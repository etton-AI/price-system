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775" tabRatio="790" activeTab="16"/>
  </bookViews>
  <sheets>
    <sheet name="目录" sheetId="239" r:id="rId1"/>
    <sheet name="发货必读" sheetId="242" r:id="rId2"/>
    <sheet name="船期表" sheetId="248" r:id="rId3"/>
    <sheet name="快捷查询" sheetId="249" r:id="rId4"/>
    <sheet name="海派专线" sheetId="236" r:id="rId5"/>
    <sheet name="王牌渠道" sheetId="209" r:id="rId6"/>
    <sheet name="美西专线" sheetId="246" r:id="rId7"/>
    <sheet name="经济线" sheetId="224" r:id="rId8"/>
    <sheet name="美中专线" sheetId="234" r:id="rId9"/>
    <sheet name="美东专线" sheetId="219" r:id="rId10"/>
    <sheet name="萨瓦纳专线" sheetId="237" r:id="rId11"/>
    <sheet name="海运整柜" sheetId="208" state="hidden" r:id="rId12"/>
    <sheet name="美东海卡" sheetId="203" state="hidden" r:id="rId13"/>
    <sheet name="美中海卡" sheetId="206" state="hidden" r:id="rId14"/>
    <sheet name="加拿大直航" sheetId="238" r:id="rId15"/>
    <sheet name="沃尔玛专线" sheetId="250" r:id="rId16"/>
    <sheet name="商业地址" sheetId="257" r:id="rId17"/>
    <sheet name="反倾销系列" sheetId="228" r:id="rId18"/>
  </sheets>
  <definedNames>
    <definedName name="_xlnm._FilterDatabase" localSheetId="2" hidden="1">船期表!$A$4:$H$33</definedName>
    <definedName name="_xlnm._FilterDatabase" localSheetId="5" hidden="1">王牌渠道!$5:$63</definedName>
    <definedName name="_xlnm._FilterDatabase" localSheetId="7" hidden="1">经济线!#REF!</definedName>
    <definedName name="_xlnm._FilterDatabase" localSheetId="9" hidden="1">美东专线!#REF!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leo</author>
    <author>Administrator</author>
    <author>123</author>
  </authors>
  <commentList>
    <comment ref="C5" authorId="0">
      <text>
        <r>
          <rPr>
            <sz val="12"/>
            <rFont val="微软雅黑"/>
            <charset val="134"/>
          </rPr>
          <t xml:space="preserve">超过5个品名，需加收续页费¥50/页
</t>
        </r>
      </text>
    </comment>
    <comment ref="C14" authorId="1">
      <text>
        <r>
          <rPr>
            <b/>
            <sz val="9"/>
            <rFont val="宋体"/>
            <charset val="134"/>
          </rPr>
          <t>Administrator:</t>
        </r>
        <r>
          <rPr>
            <sz val="9"/>
            <rFont val="宋体"/>
            <charset val="134"/>
          </rPr>
          <t xml:space="preserve">
需提供符合目的地海关要求的认证 </t>
        </r>
      </text>
    </comment>
    <comment ref="D31" authorId="0">
      <text>
        <r>
          <rPr>
            <b/>
            <sz val="9"/>
            <rFont val="宋体"/>
            <charset val="134"/>
          </rPr>
          <t>leo:</t>
        </r>
        <r>
          <rPr>
            <sz val="9"/>
            <rFont val="宋体"/>
            <charset val="134"/>
          </rPr>
          <t xml:space="preserve">
须提前咨询客服是否可以拦截扣货，且不保证每一票能扣货成功！提柜起免租7天，第8-60天收取USD2/CBM/天,第61天起收取USD3/CBM/天，（每票最低消费收费5USD/天，提供指令后仓租需+2个工作日用于操作货物） 超过3个月未出货物默认销毁，已产生的仓租正常收取</t>
        </r>
      </text>
    </comment>
    <comment ref="D32" authorId="2">
      <text>
        <r>
          <rPr>
            <sz val="9"/>
            <rFont val="宋体"/>
            <charset val="134"/>
          </rPr>
          <t>leo:
须提前咨询客服是否可以拦截扣货，且不保证每一票能扣货成功！提柜起免租7天，第8-60天收取USD2/CBM/天,第61天起收取USD3/CBM/天，（每票最低消费收费5USD/天，提供指令后仓租需+2个工作日用于操作货物） 超过3个月未出货物默认销毁，已产生的仓租正常收取；</t>
        </r>
      </text>
    </comment>
    <comment ref="C35" authorId="2">
      <text>
        <r>
          <rPr>
            <sz val="9"/>
            <rFont val="宋体"/>
            <charset val="134"/>
          </rPr>
          <t>1、大货转运库存仓储 
整板进仓的按实际占板计算,板位规则如上，高度不高于1.8米，重量不高于1000磅（450KG)；
2、大件不规则不可堆叠货物加收20%；
3、如果客户仓储时间超过预报时间，视乎仓库库容程度，仓库可以通知客户退仓移仓；
4、库内存储丢货赔偿标准：
经过调查取证证实是海外仓责任导致的货物丢失，按客户声明的成本价值赔偿，最高不超过$100/箱</t>
        </r>
      </text>
    </comment>
  </commentList>
</comments>
</file>

<file path=xl/comments2.xml><?xml version="1.0" encoding="utf-8"?>
<comments xmlns="http://schemas.openxmlformats.org/spreadsheetml/2006/main">
  <authors>
    <author>123</author>
  </authors>
  <commentList>
    <comment ref="A8" authorId="0">
      <text>
        <r>
          <rPr>
            <sz val="9"/>
            <rFont val="宋体"/>
            <charset val="134"/>
          </rPr>
          <t>注意：
96夏威夷、99阿拉斯加（无服务）</t>
        </r>
      </text>
    </comment>
  </commentList>
</comments>
</file>

<file path=xl/comments3.xml><?xml version="1.0" encoding="utf-8"?>
<comments xmlns="http://schemas.openxmlformats.org/spreadsheetml/2006/main">
  <authors>
    <author>leo</author>
  </authors>
  <commentList>
    <comment ref="F7" authorId="0">
      <text>
        <r>
          <rPr>
            <sz val="9"/>
            <rFont val="宋体"/>
            <charset val="134"/>
          </rPr>
          <t xml:space="preserve">800KG起
</t>
        </r>
      </text>
    </comment>
  </commentList>
</comments>
</file>

<file path=xl/comments4.xml><?xml version="1.0" encoding="utf-8"?>
<comments xmlns="http://schemas.openxmlformats.org/spreadsheetml/2006/main">
  <authors>
    <author>catch</author>
    <author>123</author>
  </authors>
  <commentList>
    <comment ref="A7" authorId="0">
      <text>
        <r>
          <rPr>
            <sz val="9"/>
            <rFont val="宋体"/>
            <charset val="134"/>
          </rPr>
          <t>catch:
4061 E Francis st, Ontario,CA 91761</t>
        </r>
      </text>
    </comment>
    <comment ref="U7" authorId="0">
      <text>
        <r>
          <rPr>
            <sz val="9"/>
            <rFont val="宋体"/>
            <charset val="134"/>
          </rPr>
          <t>catch:
4061 E Francis st, Ontario,CA 91761</t>
        </r>
      </text>
    </comment>
    <comment ref="A8" authorId="1">
      <text>
        <r>
          <rPr>
            <sz val="9"/>
            <rFont val="宋体"/>
            <charset val="134"/>
          </rPr>
          <t>14210 Telephone Ave，dock21 Chino 91710</t>
        </r>
      </text>
    </comment>
    <comment ref="U8" authorId="1">
      <text>
        <r>
          <rPr>
            <sz val="9"/>
            <rFont val="宋体"/>
            <charset val="134"/>
          </rPr>
          <t>14210 Telephone Ave，dock21 Chino 91710</t>
        </r>
      </text>
    </comment>
    <comment ref="A9" authorId="1">
      <text>
        <r>
          <rPr>
            <sz val="9"/>
            <rFont val="宋体"/>
            <charset val="134"/>
          </rPr>
          <t>381 S Brea Canyon Road, Walnut, CA 91789</t>
        </r>
      </text>
    </comment>
    <comment ref="U9" authorId="1">
      <text>
        <r>
          <rPr>
            <sz val="9"/>
            <rFont val="宋体"/>
            <charset val="134"/>
          </rPr>
          <t>381 S Brea Canyon Road, Walnut, CA 91789</t>
        </r>
      </text>
    </comment>
    <comment ref="A10" authorId="1">
      <text>
        <r>
          <rPr>
            <sz val="9"/>
            <rFont val="宋体"/>
            <charset val="134"/>
          </rPr>
          <t xml:space="preserve">18501 &amp; 18551 Arenth Ave, City of Industry, CA 91748 </t>
        </r>
      </text>
    </comment>
    <comment ref="U10" authorId="1">
      <text>
        <r>
          <rPr>
            <sz val="9"/>
            <rFont val="宋体"/>
            <charset val="134"/>
          </rPr>
          <t xml:space="preserve">18501 &amp; 18551 Arenth Ave, City of Industry, CA 91748 </t>
        </r>
      </text>
    </comment>
    <comment ref="A11" authorId="1">
      <text>
        <r>
          <rPr>
            <sz val="9"/>
            <rFont val="宋体"/>
            <charset val="134"/>
          </rPr>
          <t xml:space="preserve">8369 Milliken Avenue, Rancho Cucamonga, CA 91730 </t>
        </r>
      </text>
    </comment>
    <comment ref="U11" authorId="1">
      <text>
        <r>
          <rPr>
            <sz val="9"/>
            <rFont val="宋体"/>
            <charset val="134"/>
          </rPr>
          <t xml:space="preserve">8369 Milliken Avenue, Rancho Cucamonga, CA 91730 </t>
        </r>
      </text>
    </comment>
    <comment ref="A12" authorId="1">
      <text>
        <r>
          <rPr>
            <sz val="9"/>
            <rFont val="宋体"/>
            <charset val="134"/>
          </rPr>
          <t>5500 Grace Pl., City of Commerce, CA 90022</t>
        </r>
      </text>
    </comment>
    <comment ref="U12" authorId="1">
      <text>
        <r>
          <rPr>
            <sz val="9"/>
            <rFont val="宋体"/>
            <charset val="134"/>
          </rPr>
          <t>5500 Grace Pl., City of Commerce, CA 90022</t>
        </r>
      </text>
    </comment>
    <comment ref="A13" authorId="1">
      <text>
        <r>
          <rPr>
            <sz val="9"/>
            <rFont val="宋体"/>
            <charset val="134"/>
          </rPr>
          <t xml:space="preserve">19485 E. Walnut Dr. North, City of Industry, CA 91789 </t>
        </r>
      </text>
    </comment>
    <comment ref="U13" authorId="1">
      <text>
        <r>
          <rPr>
            <sz val="9"/>
            <rFont val="宋体"/>
            <charset val="134"/>
          </rPr>
          <t xml:space="preserve">19485 E. Walnut Dr. North, City of Industry, CA 91789 </t>
        </r>
      </text>
    </comment>
    <comment ref="A14" authorId="1">
      <text>
        <r>
          <rPr>
            <sz val="9"/>
            <rFont val="宋体"/>
            <charset val="134"/>
          </rPr>
          <t xml:space="preserve">8369 Milliken Avenue, Rancho Cucamonga, CA 91730 </t>
        </r>
      </text>
    </comment>
    <comment ref="U14" authorId="1">
      <text>
        <r>
          <rPr>
            <sz val="9"/>
            <rFont val="宋体"/>
            <charset val="134"/>
          </rPr>
          <t xml:space="preserve">8369 Milliken Avenue, Rancho Cucamonga, CA 91730 </t>
        </r>
      </text>
    </comment>
    <comment ref="A17" authorId="1">
      <text>
        <r>
          <rPr>
            <sz val="9"/>
            <rFont val="宋体"/>
            <charset val="134"/>
          </rPr>
          <t>1521 EFrancis St, Suite B, Ontario，CA,91761</t>
        </r>
      </text>
    </comment>
    <comment ref="U17" authorId="1">
      <text>
        <r>
          <rPr>
            <sz val="9"/>
            <rFont val="宋体"/>
            <charset val="134"/>
          </rPr>
          <t>1521 EFrancis St, Suite B, Ontario，CA,91761</t>
        </r>
      </text>
    </comment>
    <comment ref="A18" authorId="1">
      <text>
        <r>
          <rPr>
            <sz val="10"/>
            <rFont val="宋体"/>
            <charset val="134"/>
          </rPr>
          <t>Building #30,13725-13835 Pipeline Avenue, Chino,CA 91710</t>
        </r>
      </text>
    </comment>
    <comment ref="U18" authorId="1">
      <text>
        <r>
          <rPr>
            <sz val="10"/>
            <rFont val="宋体"/>
            <charset val="134"/>
          </rPr>
          <t>Building #30,13725-13835 Pipeline Avenue, Chino,CA 91710</t>
        </r>
      </text>
    </comment>
    <comment ref="A19" authorId="1">
      <text>
        <r>
          <rPr>
            <sz val="9"/>
            <rFont val="宋体"/>
            <charset val="134"/>
          </rPr>
          <t>14310 Ramona Ave Chino,CA,91710</t>
        </r>
      </text>
    </comment>
    <comment ref="U19" authorId="1">
      <text>
        <r>
          <rPr>
            <sz val="9"/>
            <rFont val="宋体"/>
            <charset val="134"/>
          </rPr>
          <t>14310 Ramona Ave Chino,CA,91710</t>
        </r>
      </text>
    </comment>
    <comment ref="A20" authorId="1">
      <text>
        <r>
          <rPr>
            <sz val="9"/>
            <rFont val="宋体"/>
            <charset val="134"/>
          </rPr>
          <t>2221 ERemington Ave, Ontario,CA 91762</t>
        </r>
      </text>
    </comment>
    <comment ref="U20" authorId="1">
      <text>
        <r>
          <rPr>
            <sz val="9"/>
            <rFont val="宋体"/>
            <charset val="134"/>
          </rPr>
          <t>2221 ERemington Ave, Ontario,CA 91762</t>
        </r>
      </text>
    </comment>
    <comment ref="A21" authorId="1">
      <text>
        <r>
          <rPr>
            <sz val="9"/>
            <rFont val="宋体"/>
            <charset val="134"/>
          </rPr>
          <t>14779 Bar Harbor Rd.,Fontana,CA 92336</t>
        </r>
      </text>
    </comment>
    <comment ref="U21" authorId="1">
      <text>
        <r>
          <rPr>
            <sz val="9"/>
            <rFont val="宋体"/>
            <charset val="134"/>
          </rPr>
          <t>14779 Bar Harbor Rd.,Fontana,CA 92336</t>
        </r>
      </text>
    </comment>
    <comment ref="A73" authorId="1">
      <text>
        <r>
          <rPr>
            <sz val="9"/>
            <rFont val="宋体"/>
            <charset val="134"/>
          </rPr>
          <t>120 Circle Drive North Piscataway, New Jersey 08854</t>
        </r>
      </text>
    </comment>
    <comment ref="A74" authorId="1">
      <text>
        <r>
          <rPr>
            <sz val="9"/>
            <rFont val="宋体"/>
            <charset val="134"/>
          </rPr>
          <t>4PX Express CO.,LTD 1401 w front st, Florence, NJ 08518</t>
        </r>
      </text>
    </comment>
    <comment ref="A75" authorId="1">
      <text>
        <r>
          <rPr>
            <sz val="9"/>
            <rFont val="宋体"/>
            <charset val="134"/>
          </rPr>
          <t>C/O 1100 Cranbury South River Road Monroe Township NJ 08831</t>
        </r>
      </text>
    </comment>
    <comment ref="A76" authorId="1">
      <text>
        <r>
          <rPr>
            <sz val="9"/>
            <rFont val="宋体"/>
            <charset val="134"/>
          </rPr>
          <t>C/O 703 Bartley-Chester Rd, Flanders, NJ 07836</t>
        </r>
      </text>
    </comment>
    <comment ref="A77" authorId="1">
      <text>
        <r>
          <rPr>
            <sz val="9"/>
            <rFont val="宋体"/>
            <charset val="134"/>
          </rPr>
          <t>1175 Florence Columbus Road  UNITB（A12-A35), Bordentown,NJ,08505</t>
        </r>
      </text>
    </comment>
    <comment ref="A78" authorId="1">
      <text>
        <r>
          <rPr>
            <sz val="9"/>
            <rFont val="宋体"/>
            <charset val="134"/>
          </rPr>
          <t>C/0 1175 Florence Columbus Road UNITC (A1-A11)Bordentown New Jersey 08505</t>
        </r>
      </text>
    </comment>
    <comment ref="A79" authorId="1">
      <text>
        <r>
          <rPr>
            <sz val="9"/>
            <rFont val="宋体"/>
            <charset val="134"/>
          </rPr>
          <t>C/O 100 Lawrence Blvd, Hainesport, NJ 08036</t>
        </r>
      </text>
    </comment>
    <comment ref="A80" authorId="1">
      <text>
        <r>
          <rPr>
            <sz val="9"/>
            <rFont val="宋体"/>
            <charset val="134"/>
          </rPr>
          <t>C/O 14 Sbar Boulevard Moorestown，NJ 08057</t>
        </r>
      </text>
    </comment>
    <comment ref="A81" authorId="1">
      <text>
        <r>
          <rPr>
            <sz val="9"/>
            <rFont val="宋体"/>
            <charset val="134"/>
          </rPr>
          <t>C/O 1620 River Rd, unite B (A9-A27) Burlington, NJ 08016</t>
        </r>
      </text>
    </comment>
    <comment ref="A82" authorId="1">
      <text>
        <r>
          <rPr>
            <sz val="9"/>
            <rFont val="宋体"/>
            <charset val="134"/>
          </rPr>
          <t>1000 High Street，PERTH AMBOY，NJ 08861</t>
        </r>
      </text>
    </comment>
    <comment ref="A83" authorId="0">
      <text>
        <r>
          <rPr>
            <b/>
            <sz val="9"/>
            <rFont val="宋体"/>
            <charset val="134"/>
          </rPr>
          <t>catch:</t>
        </r>
        <r>
          <rPr>
            <sz val="9"/>
            <rFont val="宋体"/>
            <charset val="134"/>
          </rPr>
          <t xml:space="preserve">
308 Herrod Blvd  Dayton New Jersey（NJ）08810</t>
        </r>
      </text>
    </comment>
    <comment ref="A106" authorId="1">
      <text>
        <r>
          <rPr>
            <sz val="9"/>
            <rFont val="宋体"/>
            <charset val="134"/>
          </rPr>
          <t>515 Kehoe Blvd, Carol Stream, DuPage, IL,60188 US</t>
        </r>
      </text>
    </comment>
    <comment ref="A107" authorId="1">
      <text>
        <r>
          <rPr>
            <sz val="9"/>
            <rFont val="宋体"/>
            <charset val="134"/>
          </rPr>
          <t>6161 Decatur BIvd a,Indianapolis, IN 46241</t>
        </r>
      </text>
    </comment>
    <comment ref="A131" authorId="1">
      <text>
        <r>
          <rPr>
            <sz val="9"/>
            <rFont val="宋体"/>
            <charset val="134"/>
          </rPr>
          <t xml:space="preserve">5880 west Fuqua Street ,Suite 200, HOUSTON, TX, 77085 </t>
        </r>
      </text>
    </comment>
    <comment ref="A132" authorId="1">
      <text>
        <r>
          <rPr>
            <sz val="9"/>
            <rFont val="宋体"/>
            <charset val="134"/>
          </rPr>
          <t>11142 Beltline Road, Houston, TX 77067</t>
        </r>
      </text>
    </comment>
    <comment ref="A153" authorId="1">
      <text>
        <r>
          <rPr>
            <sz val="9"/>
            <rFont val="宋体"/>
            <charset val="134"/>
          </rPr>
          <t>1100 Heritage Way Rincon, GA 31326 US</t>
        </r>
      </text>
    </comment>
    <comment ref="A154" authorId="1">
      <text>
        <r>
          <rPr>
            <sz val="9"/>
            <rFont val="宋体"/>
            <charset val="134"/>
          </rPr>
          <t>1100 LOGISTICS PARKWAY, BUILDING GA,31326</t>
        </r>
      </text>
    </comment>
    <comment ref="A155" authorId="1">
      <text>
        <r>
          <rPr>
            <sz val="9"/>
            <rFont val="宋体"/>
            <charset val="134"/>
          </rPr>
          <t>301 CYPRESS MEADOW DR,suite 200 Pooler GA,31322</t>
        </r>
      </text>
    </comment>
    <comment ref="A156" authorId="1">
      <text>
        <r>
          <rPr>
            <sz val="9"/>
            <rFont val="宋体"/>
            <charset val="134"/>
          </rPr>
          <t>4375 S Lee St, Buford, Georgia, 30518, US</t>
        </r>
      </text>
    </comment>
    <comment ref="A157" authorId="1">
      <text>
        <r>
          <rPr>
            <sz val="9"/>
            <rFont val="宋体"/>
            <charset val="134"/>
          </rPr>
          <t>240 The Bluffs Austell GA 30168</t>
        </r>
      </text>
    </comment>
    <comment ref="A158" authorId="1">
      <text>
        <r>
          <rPr>
            <sz val="9"/>
            <rFont val="宋体"/>
            <charset val="134"/>
          </rPr>
          <t>305 Best Friend Court, Suite 305, Norcross, GA 30071 USA</t>
        </r>
      </text>
    </comment>
    <comment ref="A159" authorId="1">
      <text>
        <r>
          <rPr>
            <sz val="9"/>
            <rFont val="宋体"/>
            <charset val="134"/>
          </rPr>
          <t>1380 Jesse Cronic Road | Braselton, GA 30517</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<sst xmlns="http://schemas.openxmlformats.org/spreadsheetml/2006/main" count="4490" uniqueCount="1963">
  <si>
    <r>
      <rPr>
        <b/>
        <sz val="18"/>
        <color theme="4"/>
        <rFont val="微软雅黑"/>
        <charset val="134"/>
      </rPr>
      <t>深圳市博创兴供应链有限公司</t>
    </r>
    <r>
      <rPr>
        <b/>
        <sz val="16"/>
        <color theme="4"/>
        <rFont val="Microsoft YaHei"/>
        <charset val="134"/>
      </rPr>
      <t xml:space="preserve">
</t>
    </r>
    <r>
      <rPr>
        <b/>
        <sz val="14"/>
        <color theme="4"/>
        <rFont val="微软雅黑"/>
        <charset val="134"/>
      </rPr>
      <t>Your Global Chance, We Deliver</t>
    </r>
  </si>
  <si>
    <t>国家</t>
  </si>
  <si>
    <t>渠道类型</t>
  </si>
  <si>
    <t>渠道名称</t>
  </si>
  <si>
    <t>价格表</t>
  </si>
  <si>
    <t>渠道特点</t>
  </si>
  <si>
    <t>最新动态</t>
  </si>
  <si>
    <t>美国</t>
  </si>
  <si>
    <t>海派专线</t>
  </si>
  <si>
    <t>美森正班</t>
  </si>
  <si>
    <t>进入报价表</t>
  </si>
  <si>
    <t>美森正班船，船期准点，时效快且稳！</t>
  </si>
  <si>
    <t>以星合德</t>
  </si>
  <si>
    <t>以星合德带车架服务，时效稳定有保障</t>
  </si>
  <si>
    <t>OA快船</t>
  </si>
  <si>
    <t>OA，价优时效快捷 （纯正OA）</t>
  </si>
  <si>
    <t>经济线</t>
  </si>
  <si>
    <t>直送~经济线</t>
  </si>
  <si>
    <t>普船统配，航期16~20天，75%保柜率</t>
  </si>
  <si>
    <t>美中专线</t>
  </si>
  <si>
    <t>休斯顿专线</t>
  </si>
  <si>
    <t>休斯顿直航，覆盖7邮编的卡派</t>
  </si>
  <si>
    <t>芝加哥专线</t>
  </si>
  <si>
    <t>芝加哥专线，覆盖美中4~6邮编的卡派</t>
  </si>
  <si>
    <t>美东专线</t>
  </si>
  <si>
    <t>纽约专线</t>
  </si>
  <si>
    <t>纽约直航，覆盖美东区域0~3邮编的卡派</t>
  </si>
  <si>
    <t>纽约快速达</t>
  </si>
  <si>
    <t>以星（COSCO）铁路快线快船转纽约，美东性价比首选</t>
  </si>
  <si>
    <t>萨瓦纳专线</t>
  </si>
  <si>
    <t>美东南18仓普船价格性价比高</t>
  </si>
  <si>
    <t>美西快线</t>
  </si>
  <si>
    <t>加拿大</t>
  </si>
  <si>
    <t>加拿大直航</t>
  </si>
  <si>
    <t>多伦多专线</t>
  </si>
  <si>
    <t>加拿大直航，时效优，航线优，价格优，服务优</t>
  </si>
  <si>
    <t>温哥华专线</t>
  </si>
  <si>
    <t>卡尔加里专线</t>
  </si>
  <si>
    <t>美转加</t>
  </si>
  <si>
    <t>头程至美国，二程转派加拿大</t>
  </si>
  <si>
    <t>美转加海派</t>
  </si>
  <si>
    <t>其它</t>
  </si>
  <si>
    <t>发货必读</t>
  </si>
  <si>
    <t>点击进入</t>
  </si>
  <si>
    <t>附加费、开查、赔偿等说明</t>
  </si>
  <si>
    <t>船期表</t>
  </si>
  <si>
    <t>每周更新</t>
  </si>
  <si>
    <t>反倾销列表</t>
  </si>
  <si>
    <t>附加费</t>
  </si>
  <si>
    <t>费用类型</t>
  </si>
  <si>
    <t>海卡专线</t>
  </si>
  <si>
    <t>海卡专线CBM</t>
  </si>
  <si>
    <t>海派</t>
  </si>
  <si>
    <t>国内仓增值服务</t>
  </si>
  <si>
    <t>末端派送类型</t>
  </si>
  <si>
    <t>卡派</t>
  </si>
  <si>
    <t>UPS*FEDEX</t>
  </si>
  <si>
    <t>收费项目</t>
  </si>
  <si>
    <t>单价*RMB</t>
  </si>
  <si>
    <t>单位</t>
  </si>
  <si>
    <t>最低消费</t>
  </si>
  <si>
    <t>备注</t>
  </si>
  <si>
    <t>报关费</t>
  </si>
  <si>
    <t>代理报关</t>
  </si>
  <si>
    <t>更改包装费</t>
  </si>
  <si>
    <t>箱</t>
  </si>
  <si>
    <t>不含纸箱费用</t>
  </si>
  <si>
    <t>一般贸易报关费</t>
  </si>
  <si>
    <t>350*份(超过5个品名，需加收续页费¥50*页)</t>
  </si>
  <si>
    <t>产品贴标签</t>
  </si>
  <si>
    <t>个标签</t>
  </si>
  <si>
    <t>含标签纸</t>
  </si>
  <si>
    <t>手册报关</t>
  </si>
  <si>
    <t>盐田出口500*份，其他口岸无服务</t>
  </si>
  <si>
    <t>换外箱标签</t>
  </si>
  <si>
    <t>产品附加费</t>
  </si>
  <si>
    <t>纺织品</t>
  </si>
  <si>
    <t>1*KG</t>
  </si>
  <si>
    <t>割包装袋*带</t>
  </si>
  <si>
    <t>床上用品-美线</t>
  </si>
  <si>
    <t>0.5*KG</t>
  </si>
  <si>
    <t>开木箱查货</t>
  </si>
  <si>
    <t>含封箱</t>
  </si>
  <si>
    <t>床上用品-加线</t>
  </si>
  <si>
    <t>开箱拍照</t>
  </si>
  <si>
    <t>票</t>
  </si>
  <si>
    <t>含操作耗材</t>
  </si>
  <si>
    <t>钢制品*铝制品</t>
  </si>
  <si>
    <t>拆单合票</t>
  </si>
  <si>
    <t>含二次分货</t>
  </si>
  <si>
    <t>汽车配件</t>
  </si>
  <si>
    <t>国内退货</t>
  </si>
  <si>
    <t>含装卸费</t>
  </si>
  <si>
    <t>木制品（报关件单询）</t>
  </si>
  <si>
    <t>500*票</t>
  </si>
  <si>
    <t>仓租</t>
  </si>
  <si>
    <t>3.5*天</t>
  </si>
  <si>
    <t>CBM</t>
  </si>
  <si>
    <t>50RMB,，不足一个方按一个方计算</t>
  </si>
  <si>
    <t>自入仓日起免租期7天</t>
  </si>
  <si>
    <t>二类医疗</t>
  </si>
  <si>
    <t>无服务</t>
  </si>
  <si>
    <t>5*天</t>
  </si>
  <si>
    <t>超过1个月出货</t>
  </si>
  <si>
    <t>EPA\DOT产品</t>
  </si>
  <si>
    <t>180*票（需提供符合目的地海关要求的认证 ）</t>
  </si>
  <si>
    <t>7*天</t>
  </si>
  <si>
    <t>超过2个月出货</t>
  </si>
  <si>
    <t>涉FDA产品</t>
  </si>
  <si>
    <t>180RMB*品名</t>
  </si>
  <si>
    <t>厨房刀具\太阳能产品\笔</t>
  </si>
  <si>
    <t>150*CBM</t>
  </si>
  <si>
    <t>移动电源\纯电池\暖手宝</t>
  </si>
  <si>
    <t>超尺寸货物附加费</t>
  </si>
  <si>
    <t>120cm≤最长边＜140cm</t>
  </si>
  <si>
    <t>100*件</t>
  </si>
  <si>
    <t>140cm≤最长边＜175cm</t>
  </si>
  <si>
    <t>190*CBM</t>
  </si>
  <si>
    <t>单边≥175cm的单询</t>
  </si>
  <si>
    <t>单询</t>
  </si>
  <si>
    <t>第二边长≥76cm</t>
  </si>
  <si>
    <t>22.5KG≤实重≤40KG</t>
  </si>
  <si>
    <t>120*件</t>
  </si>
  <si>
    <t>实重＞40KG</t>
  </si>
  <si>
    <t>260cm≤长+2x(宽+高)≤320cm</t>
  </si>
  <si>
    <t>320cm≤长+2x(宽+高)≤390cm</t>
  </si>
  <si>
    <t>长+2x(宽+高)＞390cm</t>
  </si>
  <si>
    <t>玩具附加费</t>
  </si>
  <si>
    <t>超箱附加费</t>
  </si>
  <si>
    <t>单箱尺寸小于0.05CBM的货物，收取超箱数附加RMB2/箱</t>
  </si>
  <si>
    <t>其他附加费</t>
  </si>
  <si>
    <t>清关超品名费（5个以上起收)</t>
  </si>
  <si>
    <t>30RMB*品名</t>
  </si>
  <si>
    <t>美国 CPC/GCC eFiling 新规申报费</t>
  </si>
  <si>
    <t>1.我司拒接涉CPC儿童产品（客户使用自有进口商以外，且须提供指定机构的有效CPC等认证及申报）。
2.GCC成人消费品，需在发货前提供完整GCC证书，若因无法提供且产品不达质量要求，导致的没收与店铺损失需客户自行承担。
3.代申报服务费：180元/品名(按认证）</t>
  </si>
  <si>
    <t>目的港扣货</t>
  </si>
  <si>
    <t>拆柜前</t>
  </si>
  <si>
    <t>USD100*票   
同柜扣多票+USD50*票  封顶USD200*柜
(加拿大扣货费150USD*票，同柜扣多票+USD100*票）
不保证扣货一定成功，不承担失败产生的费用</t>
  </si>
  <si>
    <t>拆柜后</t>
  </si>
  <si>
    <t>扣货费USD200*票+重新分货费USD2*件(低消50USD*票)
同柜扣多票+USD50*票+重新分货费USD2*件（低消50USD*票）
(加拿大扣货费150USD*票，同柜扣多票+USD100*票）
不保证扣货一定成功，不承担失败产生的费用</t>
  </si>
  <si>
    <t>申请POD</t>
  </si>
  <si>
    <t>免费</t>
  </si>
  <si>
    <t>35*RMB主单号</t>
  </si>
  <si>
    <t>退运附加费</t>
  </si>
  <si>
    <t>包税渠道需要我司包含5H和9H退运，表价单价自行+1RMB/KG , 不含税+ 200RMB/CBM,
如不需要我司包5H和9H退运，遇到美国海关5H/9H查验，相关仓租、柜租、查验费、退运指定启运港的来回运费 ,产生相关所有费用由客户自行承担，我司实报实销。
但不包含贴标换标费、暂存仓租费，不含改派送地址的派送费(实际派送地址-原先派送地址，差价多退少补)</t>
  </si>
  <si>
    <t>卡派私人仓*自提</t>
  </si>
  <si>
    <t>提柜起免租7天，30天内USD1*CBM*天,第31~60天收取USD1.5*CBM*天,第61~90天收取USD2*CBM*天,第91~180天收取USD3*CBM*天,超出180天单询（低消1CBM）
非FBA地址打托只接受混合打板（不分客户，不分唛头，没有任何区分要求)，
如需一一对应，单独打托（（举例：如单个SKU等。是指要求按唛头打板，不接受任何形式的混打）），请单询价格；</t>
  </si>
  <si>
    <t>方数换算重货</t>
  </si>
  <si>
    <t>*</t>
  </si>
  <si>
    <t>每363KG=1CBM</t>
  </si>
  <si>
    <t>方式计算算重结</t>
  </si>
  <si>
    <t>CBM结算重保留两位小数</t>
  </si>
  <si>
    <t>拒收产品</t>
  </si>
  <si>
    <t>1、带有以下标识：LASER，ACT等授权认证的产品（无论是否有认证）</t>
  </si>
  <si>
    <t>2、手机、笔记本电脑、各国国旗，婴儿用品（包括衣服），激光产品，蝴蝶刀、液体、粉末、U盘、光驱、内存条、家具、指尖陀螺、电弧打火机，手机，带压缩机产品，活性植物，太阳眼镜、化妆品、铅笔等</t>
  </si>
  <si>
    <t>3、仿牌产品，液体、粉末、食品、药品、易燃易爆、古董、货币等国家禁止出口产品，如发现罚款2000*票，情节严重上报公安局处理</t>
  </si>
  <si>
    <t>4、有疗效功能的按摩器</t>
  </si>
  <si>
    <t>5、功能眼镜，例如太阳眼镜，防UV功能的滑雪眼镜，有度数的眼镜，包括但不限于老花镜，近视眼镜，有度数的泳镜</t>
  </si>
  <si>
    <t>6、反倾销产品（点我看清单）</t>
  </si>
  <si>
    <t>目的港拦截仓租</t>
  </si>
  <si>
    <t>提柜起免租7天，第8~60天收取USD2*CBM*天,第61天起收取USD3*CBM*天，（每票最低消费收费5USD*天，提供指令后仓租需+2个工作日用于操作货物） 超过3个月未出货物默认销毁，已产生的仓租正常收取</t>
  </si>
  <si>
    <t>开查</t>
  </si>
  <si>
    <t>货物派送后，请客户在签收后7~10个工作日内查询FBA后台是否上架，如递送后15个工作日内提供货物未上架，请提供后台截图至我司客服。</t>
  </si>
  <si>
    <t>索赔</t>
  </si>
  <si>
    <t>开启索赔程序(需带有电脑屏幕右下角当下真实时间)；如递送后超过20工作日未开启索赔程序的，不予受理</t>
  </si>
  <si>
    <t>其他</t>
  </si>
  <si>
    <t>2025年8月12日如遇加收关税，将会按每10%关税增加0.5元*kg的比例加收附加费，具体需结合美国最新关税政策收取；</t>
  </si>
  <si>
    <t>赔偿标准</t>
  </si>
  <si>
    <t>①丢失赔偿：含税渠道在货物运输过程中丢失(包含整票UPS*FEDEX未提取)，按申报货值赔偿最高不超人民币40*KG赔偿，不退运费；自税渠道在货物运输过程中丢失(包含整票UPS*FEDEX未提取)，按申报货值赔偿最高不超人民币2000*CBM赔偿，不退运费；</t>
  </si>
  <si>
    <t>②提取后赔偿：已交UPS*FEDEX后(部分子单号未扫描货件，此为常见漏扫现象，我司不负责)丢失的不退运费，按UPS*FEDEX标准赔偿，即按申报价值赔偿但最高不超USD100*票。</t>
  </si>
  <si>
    <t>③派送后赔偿：已提供签收完整的POD的货（无论卡派还是UPS派），不接受索赔。
如送错仓，客户提供亚马逊平台的收费明细，我司赔偿入库配置费和缺陷费，不免运费。</t>
  </si>
  <si>
    <t>④漏报关赔偿：3倍报关费，请慎接报关件，不接受赔偿标准的不要发！</t>
  </si>
  <si>
    <t>⑤延误赔偿：以报价表为准，但如因发件人低申报、品名申报不符、产品涉及反倾销、认证、侵权等不符合当地法规的，由此产生的责任和损失，由发件人承担，我司保留追究法律责任的权利且不予任何赔偿</t>
  </si>
  <si>
    <t>⑥扣关赔偿：含税渠道非货物本身的问题产生的扣关按申报货值赔偿最高不超人民币40*KG赔偿，不退运费；自税渠道非货物本身的问题产生的扣关按申报货值赔偿最高不超人民币2000*CBM赔偿，不退运费；但如因发件人低申报、品名申报不符、产品涉及反倾销、认证、侵权等不符合当地法规的，由此产生的责任和损失，由发件人承担，我司保留追究法律责任的权利且不予任何赔偿</t>
  </si>
  <si>
    <t>⑦存仓渠道因无法购买保险，即日起问题件只赔偿40*KG，不退头程运费</t>
  </si>
  <si>
    <t>一经发货，默认接受我司报价表上所有条款！</t>
  </si>
  <si>
    <t>仓库</t>
  </si>
  <si>
    <t>船司</t>
  </si>
  <si>
    <t>截收货</t>
  </si>
  <si>
    <t>船名*航次</t>
  </si>
  <si>
    <t>ETD</t>
  </si>
  <si>
    <t>ETA</t>
  </si>
  <si>
    <t>美西快线
美西海派</t>
  </si>
  <si>
    <t>美森正班CLX</t>
  </si>
  <si>
    <t>深圳</t>
  </si>
  <si>
    <t>MAT</t>
  </si>
  <si>
    <t>DANIEL K. INOUYE 099E</t>
  </si>
  <si>
    <t>义乌</t>
  </si>
  <si>
    <t>ZIM*合德带托快提</t>
  </si>
  <si>
    <t>ZIM/HEDE</t>
  </si>
  <si>
    <t>MISSISSIPPI 18E（带车架拥有快卸快提服务）            HANSA DUBURG 2606E（ETD7.8 ETA7.22）</t>
  </si>
  <si>
    <t>HEDE</t>
  </si>
  <si>
    <t>PONTRESINA 2606E（ETD7.9 ETA7.22）</t>
  </si>
  <si>
    <t>EMC快速达</t>
  </si>
  <si>
    <t>EMC/ZIM/HEDE</t>
  </si>
  <si>
    <t>EVER MEMO 1461-012E（ETD7.7 ETA 7.21）MISSISSIPPI 18E（ETD7.8 ETA7.21）                              HANSA DUBURG 2606E（ETD7.8 ETA7.22）</t>
  </si>
  <si>
    <t>COSCO/HEDE</t>
  </si>
  <si>
    <t>CSCL BOHAI SEA 077E（ETD7.9 ETA7.22） PONTRESINA 2606E（ETD7.9 ETA7.22）</t>
  </si>
  <si>
    <t>EMC/COSCO</t>
  </si>
  <si>
    <t>COSCO SHIPPING DENALI 054E</t>
  </si>
  <si>
    <t>EVER LOYAL 0022-076E（ETD7.14 ETA 7.28）        OOCL LONDON 124E（ETD7.14 ETA7.28）</t>
  </si>
  <si>
    <t>EVER LIVELY 1228-078E（ETD7.7 ETA 7.22）                      CSCL BOHAI SEA 077E（ETD7.9 ETA7.22）                       CSCL YELLOW SEA 071E（ETD7.9 ETA7.23）                   COSCO PORTUGAL 083E（ETD7.7 ETA7.20）</t>
  </si>
  <si>
    <t>芝加哥普船卡派</t>
  </si>
  <si>
    <t>EVER MEMO 1461-012E（ETD7.7 ETA 7.21）                 COSCO SHIPPING DENALI 054E（ETD7.9 ETA7.24）</t>
  </si>
  <si>
    <t>COSCO</t>
  </si>
  <si>
    <t>CSCL BOHAI SEA 077E（ETD7.9 ETA7.22）                   COSCO PORTUGAL 083E（ETD7.7 ETA7.20）</t>
  </si>
  <si>
    <t>芝加哥快速达卡派包税</t>
  </si>
  <si>
    <t>ZIM</t>
  </si>
  <si>
    <t>MISSISSIPPI 18E</t>
  </si>
  <si>
    <t>休斯顿专线卡派</t>
  </si>
  <si>
    <t>EMC</t>
  </si>
  <si>
    <t>XIN YA ZHOU 176E</t>
  </si>
  <si>
    <t>XIN YA ZHOU 176E（ETD7.8 ETA8.7）                        CMA CGM RHONE 0PGO5E1MA</t>
  </si>
  <si>
    <t>萨凡纳专线</t>
  </si>
  <si>
    <t>EVER MERCY 1366-007E</t>
  </si>
  <si>
    <t>OOCL KOREA 058E（ETD7.10 ETA8.6）                           OOCL KAPOK 004E（ETD7.9 ETA8.9）                                EVER FULL 1274E（ETD7.13 ETA8.14）</t>
  </si>
  <si>
    <t>纽约普船</t>
  </si>
  <si>
    <t>OOCL LAVENDER 003E</t>
  </si>
  <si>
    <t>OOCL KOREA 058E（ETD7.10 ETA8.6）                            OOCL KAPOK 004E（ETD7.9 ETA8.4）</t>
  </si>
  <si>
    <t>纽约快船</t>
  </si>
  <si>
    <t>纽约特快</t>
  </si>
  <si>
    <t xml:space="preserve"> </t>
  </si>
  <si>
    <t>温哥华</t>
  </si>
  <si>
    <t>OOCL SAN FRANCISCO 197E</t>
  </si>
  <si>
    <t>多伦多</t>
  </si>
  <si>
    <t>XIN RI ZHAO 393N</t>
  </si>
  <si>
    <t>COSCO JEDDAH 096N（ETD7.7 ETA7.22）                 XIN RI ZHAO 393N</t>
  </si>
  <si>
    <t>卡尔加里</t>
  </si>
  <si>
    <t>快捷查价</t>
  </si>
  <si>
    <t>国内站点</t>
  </si>
  <si>
    <t>目的仓</t>
  </si>
  <si>
    <t>清关方式</t>
  </si>
  <si>
    <t>MDW2</t>
  </si>
  <si>
    <t>包税</t>
  </si>
  <si>
    <t>下单渠道</t>
  </si>
  <si>
    <t>单价（KG*CBM）</t>
  </si>
  <si>
    <t>参考时效(天）</t>
  </si>
  <si>
    <t>美西经济线-卡派包税 * 不包税</t>
  </si>
  <si>
    <t>休斯顿专线-卡派包税 *不包税</t>
  </si>
  <si>
    <t>芝加哥专线-卡派包税 * 不包税</t>
  </si>
  <si>
    <t>纽约普船-卡派包税 * 不包税</t>
  </si>
  <si>
    <t>纽约快船-卡派包税 *不包税</t>
  </si>
  <si>
    <t>纽约特快-卡派包税 *不包税</t>
  </si>
  <si>
    <t>萨瓦纳专线-卡派包税 *不包税</t>
  </si>
  <si>
    <t>美森-卡派包税 *不包税</t>
  </si>
  <si>
    <t>限时达-卡派包税 *不包税</t>
  </si>
  <si>
    <t>EMC快速达卡派包税*不包税</t>
  </si>
  <si>
    <t>OA快船-卡派包税 * 不包税</t>
  </si>
  <si>
    <t>多伦多 * 温哥华 * 卡尔加里 专线</t>
  </si>
  <si>
    <t xml:space="preserve">加拿大直航-卡派包税 </t>
  </si>
  <si>
    <t>美转加特快包税</t>
  </si>
  <si>
    <t>美转加快船包税</t>
  </si>
  <si>
    <t>美森海派</t>
  </si>
  <si>
    <t>/</t>
  </si>
  <si>
    <t>以星合德海派</t>
  </si>
  <si>
    <t>OA快船海派</t>
  </si>
  <si>
    <t>深圳市博创兴供应链有限公司 
SHENZHEN BOCHANCE SHIPPING INTERNATIONAL SUPPLY CHAIN CO.LTD</t>
  </si>
  <si>
    <t>邮编分区</t>
  </si>
  <si>
    <t>以星合德（统配）海派</t>
  </si>
  <si>
    <t>EMC快速达海派</t>
  </si>
  <si>
    <t>义乌\宁波</t>
  </si>
  <si>
    <t>50KG+</t>
  </si>
  <si>
    <t>美国西岸（邮编8.9开头）</t>
  </si>
  <si>
    <t>美国西岸北（邮编97.98.99开头）</t>
  </si>
  <si>
    <t>美国中部(邮编5.6.7开头)</t>
  </si>
  <si>
    <t>美国东岸(邮编0.1.2.3.4开头)</t>
  </si>
  <si>
    <t>预配船司</t>
  </si>
  <si>
    <t>Matson</t>
  </si>
  <si>
    <t>ZIM.HEDE</t>
  </si>
  <si>
    <t>EMC定提</t>
  </si>
  <si>
    <t>OA普船</t>
  </si>
  <si>
    <t>时效参考（非赔付时效）</t>
  </si>
  <si>
    <t>开船后11个工作日提取</t>
  </si>
  <si>
    <t>开船后13个工作日提取</t>
  </si>
  <si>
    <t>开船后14个工作日提取</t>
  </si>
  <si>
    <t>开船后16个工作日提取</t>
  </si>
  <si>
    <t>说明</t>
  </si>
  <si>
    <t>1、含关税和查验费；尾程UPS*FEDEX派送，不接受指定打单 ；
2、材积重=长cm*宽cm*高cm*6000，不分泡；
3、单件低消12KG，单票12-99KG，单价+4元*KG；
4、私人地址 25*件；
5、偏远附加费 +40*件；
6、单边＞120cm、实重＞22.5KG，长+2宽+2高＞260CM参考《发货必读》
7、表价不含5H,9H退运费,及罚没。</t>
  </si>
  <si>
    <t>赔付渠道</t>
  </si>
  <si>
    <t>赔付标准</t>
  </si>
  <si>
    <t>从上海离港后第二天算起，超过11个工作日未提取的，赔偿RMB1*KG*工作日，最高3RMB*KG。
船期延误、进出口查验、亚马逊问题不赔(例如删约*不放约*拒收等不可控因素)</t>
  </si>
  <si>
    <t>从离港后第二天算起，超过17个工作日未提取的，赔偿RMB0.5*KG*工作日，最高1.5RMB*KG。
船期延误、进出口查验、亚马逊问题不赔(例如删约*不放约*拒收等不可控因素)</t>
  </si>
  <si>
    <t>深圳市博创兴供应链有限公司</t>
  </si>
  <si>
    <t>SHENZHEN BOCHANCE SHIPPING INTERNATIONAL SUPPLY CHAIN CO.LTD</t>
  </si>
  <si>
    <t>美森正班卡派</t>
  </si>
  <si>
    <t>以星*合德*带托（统配）卡派</t>
  </si>
  <si>
    <t>EMC快速达卡派</t>
  </si>
  <si>
    <t>仓库代码</t>
  </si>
  <si>
    <t>参考时效
(开船后第二天起)*天</t>
  </si>
  <si>
    <t>理赔时效(开船后第二天起)*天</t>
  </si>
  <si>
    <t>21KG+</t>
  </si>
  <si>
    <t>0.5CBM+</t>
  </si>
  <si>
    <t>ONT8</t>
  </si>
  <si>
    <t>13~16</t>
  </si>
  <si>
    <t>15~20</t>
  </si>
  <si>
    <t>16~20</t>
  </si>
  <si>
    <t>LGB8</t>
  </si>
  <si>
    <t>LAX9</t>
  </si>
  <si>
    <t>SBD1</t>
  </si>
  <si>
    <t>POC1</t>
  </si>
  <si>
    <t>14~18</t>
  </si>
  <si>
    <t>16~22</t>
  </si>
  <si>
    <t>17~22</t>
  </si>
  <si>
    <t>POC2</t>
  </si>
  <si>
    <t>POC3</t>
  </si>
  <si>
    <t>IUSP</t>
  </si>
  <si>
    <t>16~23</t>
  </si>
  <si>
    <t>18~23</t>
  </si>
  <si>
    <t>LGB4</t>
  </si>
  <si>
    <t>LGB6</t>
  </si>
  <si>
    <t>FAT2</t>
  </si>
  <si>
    <t>SNA4</t>
  </si>
  <si>
    <t>SBD2</t>
  </si>
  <si>
    <t>PSP3</t>
  </si>
  <si>
    <t>LAS6</t>
  </si>
  <si>
    <t>MCE1</t>
  </si>
  <si>
    <t>PHX5</t>
  </si>
  <si>
    <t>16~21</t>
  </si>
  <si>
    <t>PHX7</t>
  </si>
  <si>
    <t>LAS1</t>
  </si>
  <si>
    <t>13~17</t>
  </si>
  <si>
    <t>GYR2</t>
  </si>
  <si>
    <t>GYR3</t>
  </si>
  <si>
    <t>VGT2</t>
  </si>
  <si>
    <t>GEU3</t>
  </si>
  <si>
    <t>HLI2</t>
  </si>
  <si>
    <t>MIT2</t>
  </si>
  <si>
    <t>GEU2</t>
  </si>
  <si>
    <t>SMF3</t>
  </si>
  <si>
    <t>SMF6</t>
  </si>
  <si>
    <t>SCK1</t>
  </si>
  <si>
    <t>SCK8</t>
  </si>
  <si>
    <t>SCK4</t>
  </si>
  <si>
    <t>TCY1</t>
  </si>
  <si>
    <t>TCY2</t>
  </si>
  <si>
    <t>QXY8</t>
  </si>
  <si>
    <t>19~24</t>
  </si>
  <si>
    <t>QZZ7</t>
  </si>
  <si>
    <t>ABQ2</t>
  </si>
  <si>
    <t>PSC2</t>
  </si>
  <si>
    <t>MCC1</t>
  </si>
  <si>
    <t>SLC2</t>
  </si>
  <si>
    <t>20~25</t>
  </si>
  <si>
    <t>FTW1</t>
  </si>
  <si>
    <t>IAH3</t>
  </si>
  <si>
    <t>BJC1</t>
  </si>
  <si>
    <t>DEN8</t>
  </si>
  <si>
    <t>IND9</t>
  </si>
  <si>
    <t>FWA4</t>
  </si>
  <si>
    <t>MQJ1</t>
  </si>
  <si>
    <t>MEM1</t>
  </si>
  <si>
    <t>RFD2</t>
  </si>
  <si>
    <t>19~23</t>
  </si>
  <si>
    <t>PDX7</t>
  </si>
  <si>
    <t>21~27</t>
  </si>
  <si>
    <t>22~29</t>
  </si>
  <si>
    <t>GEG2</t>
  </si>
  <si>
    <t>ABE8</t>
  </si>
  <si>
    <t>21~26</t>
  </si>
  <si>
    <t>AVP1</t>
  </si>
  <si>
    <t>CLT2</t>
  </si>
  <si>
    <t>RMN3</t>
  </si>
  <si>
    <t>ORF2</t>
  </si>
  <si>
    <t>RDU2</t>
  </si>
  <si>
    <t>TEB9</t>
  </si>
  <si>
    <t>SWF2</t>
  </si>
  <si>
    <t>理赔时效
(从上海离港后第二天算起)</t>
  </si>
  <si>
    <t>ZIM带托架</t>
  </si>
  <si>
    <t>EMC快提\COSCO快速达</t>
  </si>
  <si>
    <t>从上海离港后第二天算起，超过承诺时效，含税渠道:赔偿RMB1*KG*工作日，最高3RMB*KG；                                                                                                                                       不含税渠道:赔偿RMB100*CBM*工作日，最高赔偿300RMB*CBM。
船期延误、进出口查验、亚马逊问题不赔(删约*不放约*拒收*关仓等)</t>
  </si>
  <si>
    <t>从盐田*南沙开船后第二天起算，超过承诺时效，含税渠道:赔偿0.5RMB*KG*工作日，最高1.5RMB*KG；                                                                  不含税渠道:赔偿50*CBM*工作日，最高150RMB*CBM。
船期延误、进出口查验、亚马逊问题不赔(删约*不放约*拒收*关仓等)</t>
  </si>
  <si>
    <t>从盐田*上海开船后第二天起算，超过承诺时效，含税渠道:赔偿0.5RMB*KG*天，最高1.5RMB*KG；不含税渠道:赔偿50*CBM*天，最高150RMB*CBM。
船期延误、进出口查验、亚马逊问题不赔(删约*不放约*拒收*关仓等)</t>
  </si>
  <si>
    <t>Matson正班CLX线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</si>
  <si>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t>以星*合德*OA定提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</si>
  <si>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t>EMC快提*COSCO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</si>
  <si>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t>美西OA快船专线</t>
  </si>
  <si>
    <t>预计航期*天</t>
  </si>
  <si>
    <t>22~28</t>
  </si>
  <si>
    <t>XLX7</t>
  </si>
  <si>
    <t>IUTL</t>
  </si>
  <si>
    <t>IUTJ</t>
  </si>
  <si>
    <t>IUSJ</t>
  </si>
  <si>
    <t>IUSQ</t>
  </si>
  <si>
    <t>20~26</t>
  </si>
  <si>
    <t>19~25</t>
  </si>
  <si>
    <t>OAK3</t>
  </si>
  <si>
    <t>25~30</t>
  </si>
  <si>
    <t>IUTE</t>
  </si>
  <si>
    <t>23~29</t>
  </si>
  <si>
    <t>24~30</t>
  </si>
  <si>
    <t>1、含关税和查验费；
2、单票低消10KG，单票不足50KG加1*KG，另沃尔玛仓10~99KG加1*KG；
3、计费重：体积重和实重取大者，体积重=长cm*宽cm*高cm*6000；
4、单边超120CM以上，单件超50KG以上的货物，请参考《发货必读》
5、如因客户资料\产品问题，需承担因此产生的所有仓租、柜租、罚金、销毁费等，恶意瞒报的还需承担进口商损失费2000美金；
1、不含关税、如遇查验费实销；
2、计费重=长cm*宽cm*高cm*1000000，不分泡；
3、单边超120CM以上，请参考《发货必读》
4、如因客户资料\产品问题，需承担因此产生的所有仓租、柜租、罚金、销毁费等，恶意瞒报的还需承担进口商损失费2000美金；
5、沃尔玛仓点100+起收价格
6、表价不含5H,9H退运费,及罚没。</t>
  </si>
  <si>
    <t>卸货港</t>
  </si>
  <si>
    <t>1CBM+</t>
  </si>
  <si>
    <t>LA</t>
  </si>
  <si>
    <t>24~27</t>
  </si>
  <si>
    <t>20~27</t>
  </si>
  <si>
    <t>HOU</t>
  </si>
  <si>
    <t>28~35</t>
  </si>
  <si>
    <t>31~44</t>
  </si>
  <si>
    <t>CHI</t>
  </si>
  <si>
    <t>30~38</t>
  </si>
  <si>
    <t>39~46</t>
  </si>
  <si>
    <t>NY</t>
  </si>
  <si>
    <t>36~41</t>
  </si>
  <si>
    <t>SAV</t>
  </si>
  <si>
    <t>40~45</t>
  </si>
  <si>
    <t>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</si>
  <si>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r>
      <rPr>
        <b/>
        <sz val="18"/>
        <color theme="4"/>
        <rFont val="微软雅黑"/>
        <charset val="134"/>
      </rPr>
      <t>深圳市博创兴供应链有限公司</t>
    </r>
    <r>
      <rPr>
        <b/>
        <sz val="24"/>
        <color theme="4"/>
        <rFont val="微软雅黑"/>
        <charset val="134"/>
      </rPr>
      <t xml:space="preserve">
</t>
    </r>
    <r>
      <rPr>
        <b/>
        <sz val="14"/>
        <color theme="4"/>
        <rFont val="微软雅黑"/>
        <charset val="134"/>
      </rPr>
      <t>SHENZHEN BOCHANCE SHIPPING INTERNATIONAL SUPPLY CHAIN CO.LTD</t>
    </r>
  </si>
  <si>
    <t>30-38</t>
  </si>
  <si>
    <t>24~29</t>
  </si>
  <si>
    <t>HOU1</t>
  </si>
  <si>
    <t>32~46</t>
  </si>
  <si>
    <t>MDW6</t>
  </si>
  <si>
    <t>HOU2</t>
  </si>
  <si>
    <t>ORD2</t>
  </si>
  <si>
    <t>HOU3</t>
  </si>
  <si>
    <t>IGQ2</t>
  </si>
  <si>
    <t>HOU7</t>
  </si>
  <si>
    <t>RFD4</t>
  </si>
  <si>
    <t>HOU8</t>
  </si>
  <si>
    <t>STL3</t>
  </si>
  <si>
    <t>42~48</t>
  </si>
  <si>
    <t>STL4</t>
  </si>
  <si>
    <t>SAT6</t>
  </si>
  <si>
    <t>IND5</t>
  </si>
  <si>
    <t>SAT1</t>
  </si>
  <si>
    <t>DFW6</t>
  </si>
  <si>
    <t>FTW2</t>
  </si>
  <si>
    <t>FTW3</t>
  </si>
  <si>
    <t>JVL1</t>
  </si>
  <si>
    <t>FTW5</t>
  </si>
  <si>
    <t>TOL3</t>
  </si>
  <si>
    <t>FTW9</t>
  </si>
  <si>
    <t>DET1</t>
  </si>
  <si>
    <t>SAT4</t>
  </si>
  <si>
    <t>DET2</t>
  </si>
  <si>
    <t>DFW7</t>
  </si>
  <si>
    <t>CMH2</t>
  </si>
  <si>
    <t>IUSF</t>
  </si>
  <si>
    <t>34~48</t>
  </si>
  <si>
    <t>CMH3</t>
  </si>
  <si>
    <t>DAL3</t>
  </si>
  <si>
    <t>FOE1</t>
  </si>
  <si>
    <t>IUTH</t>
  </si>
  <si>
    <t>MKC4</t>
  </si>
  <si>
    <t>MEM8</t>
  </si>
  <si>
    <t>MCI4</t>
  </si>
  <si>
    <t>LFT1</t>
  </si>
  <si>
    <t>OKC2</t>
  </si>
  <si>
    <t>ICT2</t>
  </si>
  <si>
    <t>LIT2</t>
  </si>
  <si>
    <t>1、含关税和查验费；
2、单票低消10KG，单票不足50KG加1/KG；
3、计费重：体积重和实重取大者，体积重=长cm*宽cm*高cm/6000；
4、单边超120CM以上，单件超50KG以上的货物，请参考《发货必读》；
5、如因客户资料\产品问题，需承担因此产生的所有仓租、柜租、罚金、销毁费等，恶意瞒报的还需承担进口商损失费2000美金；                                                                                                                                                                                                                                                                               6、表价不含5H,9H退运费,及罚没。</t>
  </si>
  <si>
    <t>深圳市博创兴供应链有限公司
SHENZHEN BOCHANCE SHIPPING INTERNATIONAL SUPPLY CHAIN CO.LTD</t>
  </si>
  <si>
    <t>理赔时效</t>
  </si>
  <si>
    <t>TEB3</t>
  </si>
  <si>
    <t>37~43</t>
  </si>
  <si>
    <t>29~33</t>
  </si>
  <si>
    <t>25~29</t>
  </si>
  <si>
    <t>TEB4</t>
  </si>
  <si>
    <t>30~34</t>
  </si>
  <si>
    <t>26~30</t>
  </si>
  <si>
    <t>TEB6</t>
  </si>
  <si>
    <t>ABE3</t>
  </si>
  <si>
    <t>ABE4</t>
  </si>
  <si>
    <t>ACY2</t>
  </si>
  <si>
    <t>ILG1</t>
  </si>
  <si>
    <t>34~40</t>
  </si>
  <si>
    <t>30~36</t>
  </si>
  <si>
    <t>HEA2</t>
  </si>
  <si>
    <t>32~38</t>
  </si>
  <si>
    <t>AVP9</t>
  </si>
  <si>
    <t>28~34</t>
  </si>
  <si>
    <t>XEW5</t>
  </si>
  <si>
    <t>PHL4</t>
  </si>
  <si>
    <t>PHL5</t>
  </si>
  <si>
    <t>PHL6</t>
  </si>
  <si>
    <t>38~44</t>
  </si>
  <si>
    <t>SWF1</t>
  </si>
  <si>
    <t>30~35</t>
  </si>
  <si>
    <t>26~31</t>
  </si>
  <si>
    <t>MDT1</t>
  </si>
  <si>
    <t>MDT4</t>
  </si>
  <si>
    <t>DCA6</t>
  </si>
  <si>
    <t>33~39</t>
  </si>
  <si>
    <t>29~35</t>
  </si>
  <si>
    <t>TTN2</t>
  </si>
  <si>
    <t>HIA1</t>
  </si>
  <si>
    <t>LBE1</t>
  </si>
  <si>
    <t>ALB1</t>
  </si>
  <si>
    <t>PIT2</t>
  </si>
  <si>
    <t>31~37</t>
  </si>
  <si>
    <t>27~33</t>
  </si>
  <si>
    <t>XLX1</t>
  </si>
  <si>
    <t>HGR6</t>
  </si>
  <si>
    <t>BOS7</t>
  </si>
  <si>
    <t>BWI4</t>
  </si>
  <si>
    <t>BDL6</t>
  </si>
  <si>
    <t>CHO1</t>
  </si>
  <si>
    <t>34~36</t>
  </si>
  <si>
    <t>30~32</t>
  </si>
  <si>
    <t>XRI3</t>
  </si>
  <si>
    <t>GSO1</t>
  </si>
  <si>
    <t>AKR1</t>
  </si>
  <si>
    <t>XLX6</t>
  </si>
  <si>
    <t>IUSL</t>
  </si>
  <si>
    <t>40~47</t>
  </si>
  <si>
    <t>HGR2</t>
  </si>
  <si>
    <t>IUST</t>
  </si>
  <si>
    <t>IUSR</t>
  </si>
  <si>
    <t>BNA2</t>
  </si>
  <si>
    <t>CHA2</t>
  </si>
  <si>
    <t>BNA6</t>
  </si>
  <si>
    <t>MGE1</t>
  </si>
  <si>
    <t>HSV1</t>
  </si>
  <si>
    <t>CLT6</t>
  </si>
  <si>
    <t>RYY2</t>
  </si>
  <si>
    <t>MGE3</t>
  </si>
  <si>
    <t>MCO2</t>
  </si>
  <si>
    <t>TPA2</t>
  </si>
  <si>
    <t>TPA3</t>
  </si>
  <si>
    <t>COSCO\EMC\WHL：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</si>
  <si>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t>COSCO\ZIM：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</si>
  <si>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t>ZIM：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</si>
  <si>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r>
      <rPr>
        <b/>
        <sz val="18"/>
        <color theme="4"/>
        <rFont val="微软雅黑"/>
        <charset val="134"/>
      </rPr>
      <t xml:space="preserve">深圳市博创兴供应链有限公司
</t>
    </r>
    <r>
      <rPr>
        <b/>
        <sz val="14"/>
        <color theme="4"/>
        <rFont val="微软雅黑"/>
        <charset val="134"/>
      </rPr>
      <t>SHENZHEN BOCHANCE SHIPPING INTERNATIONAL SUPPLY CHAIN CO.LTD</t>
    </r>
  </si>
  <si>
    <t>JAX3</t>
  </si>
  <si>
    <t>39~44</t>
  </si>
  <si>
    <t>CLT3</t>
  </si>
  <si>
    <t>41~46</t>
  </si>
  <si>
    <t>TMB8</t>
  </si>
  <si>
    <t>PBI3</t>
  </si>
  <si>
    <t>PBI2</t>
  </si>
  <si>
    <t>XPB2</t>
  </si>
  <si>
    <t>优先OA联盟：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</si>
  <si>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t>深圳市凯琦供应链管理有限公司</t>
  </si>
  <si>
    <t xml:space="preserve"> 地址：深圳市龙岗区坂田高新技术工业园2栋B座501-514</t>
  </si>
  <si>
    <t xml:space="preserve">                        财务ATTN:洪小姐          电话：0755-28314752        网址：www.catchfba.com </t>
  </si>
  <si>
    <t>海运整柜</t>
  </si>
  <si>
    <t xml:space="preserve">                    渠道代码
 仓库地址</t>
  </si>
  <si>
    <t>F01-盐田普船</t>
  </si>
  <si>
    <t>F01-盐田以星</t>
  </si>
  <si>
    <t>F01-上海美森</t>
  </si>
  <si>
    <t>运费</t>
  </si>
  <si>
    <t>91邮编海外仓</t>
  </si>
  <si>
    <t>洛杉矶</t>
  </si>
  <si>
    <t xml:space="preserve">1、4截1开/5截3开，EMC，正常航期14天（塞港除外）；
2、其他船公司单询；
</t>
  </si>
  <si>
    <t>-</t>
  </si>
  <si>
    <t>1、7截3开，ZIM，正常航期12天</t>
  </si>
  <si>
    <t>1、6截3开，MASTON，正常航期11天;</t>
  </si>
  <si>
    <t>ONT8、LGB8、LAX9</t>
  </si>
  <si>
    <t>SMF3/SJC7/OAK3</t>
  </si>
  <si>
    <t>奥克兰</t>
  </si>
  <si>
    <t>LA拆柜送</t>
  </si>
  <si>
    <t>LAS1、GYR3</t>
  </si>
  <si>
    <t>FTW1/FTW2/DFW6</t>
  </si>
  <si>
    <t>达拉斯</t>
  </si>
  <si>
    <t>STA1</t>
  </si>
  <si>
    <t>芝加哥</t>
  </si>
  <si>
    <t>孟菲斯</t>
  </si>
  <si>
    <t>纽约</t>
  </si>
  <si>
    <t>产品说明</t>
  </si>
  <si>
    <t>以上为直送价格，亚马逊仓库请务必按亚马逊要求装柜，否则亚马逊有可能会拒收，我司不承担因仓库拒收产生的费用和责任</t>
  </si>
  <si>
    <t>以上价格包含：基本运费，起运港杂费，目的港清关费（5个HSCODE），派送费，3天托架费，1-2个小时等候费（美西2小时，美中、美东1小时)</t>
  </si>
  <si>
    <t>以上价格不包含：国内拖车费，码头提进费&amp;落箱费（华东地区会产生），报关费，商检费，熏蒸费，政府部门申报费（如FDA,LACEY,EPA等），查验及查验引起的一切费用，关税，亚马逊预约及爆仓引起的仓租/柜租/预提/拒收等非可控因素导致的额外费用</t>
  </si>
  <si>
    <t>实报实销费用明细：</t>
  </si>
  <si>
    <t>1、HS CODE费用:RMB30/个</t>
  </si>
  <si>
    <t>2、FDA/TSCA/LACEY/DOT/EPA等申报费：USD30/票</t>
  </si>
  <si>
    <t>3、拖架费：USD35/天/柜,以星USD125/柜/天</t>
  </si>
  <si>
    <t>4、预提费：USD150/柜；货柜存储费：USD35/天/柜（预提出来的柜子放海外仓仓库）</t>
  </si>
  <si>
    <t>5、超时等候费：USD75/小时（美西） USD85/小时（美中&amp;美东）</t>
  </si>
  <si>
    <t>6、底盘分离: USD150-200/柜（等同于甩柜，商业海外仓才会产生，亚马逊仓不产生）</t>
  </si>
  <si>
    <t>7、Layover fee：USD350/柜</t>
  </si>
  <si>
    <t>不接以下产品</t>
  </si>
  <si>
    <t>2、各国国旗，婴儿用品（包括衣服），激光产品，蝴蝶刀、液体、粉末、U盘、光驱、内存条、家具、指尖陀螺、电弧打火机，手机，带压缩机产品，活性植物，太阳眼镜、化妆品等</t>
  </si>
  <si>
    <t>3、不接仿牌产品，如查出仿牌产品，罚款RMB2000/票，做退件处理。  不接液体、粉末、食品、药品、易燃易爆、古董、货币等国家禁止出口</t>
  </si>
  <si>
    <t>4、超大超尺寸：①最长边超过240cm；③1长+2宽+2高超过415cm的货物</t>
  </si>
  <si>
    <t>5、反倾销产品</t>
  </si>
  <si>
    <t>索赔与赔偿标准</t>
  </si>
  <si>
    <t xml:space="preserve">货物派送后，请客户在签收后7-10个工作日内查询FBA后台是否上架，如递送后15个工作日内提供货物未上架，请提供后台截图至我司客服，开启索赔程序(需带有电脑屏幕右下角当下真实时间)；如递送后超过20工作日未开启索赔程序的，不予受理。                                                                                                                                                                                          </t>
  </si>
  <si>
    <t>疫情期间因亚马逊不提供POD，所以暂不接受丢失索赔，建议自行购买保险</t>
  </si>
  <si>
    <t>美东海运+卡车派送</t>
  </si>
  <si>
    <t>仓库地址</t>
  </si>
  <si>
    <t>K15-纽约海卡（不包税）</t>
  </si>
  <si>
    <t>K15-纽约海卡B（含税）</t>
  </si>
  <si>
    <t>时效参考</t>
  </si>
  <si>
    <t>2CBM</t>
  </si>
  <si>
    <t>10CBM</t>
  </si>
  <si>
    <t>20CBM</t>
  </si>
  <si>
    <t>150KG+</t>
  </si>
  <si>
    <t>关税附加费</t>
  </si>
  <si>
    <t>美东海外仓</t>
  </si>
  <si>
    <t>1、非报关件5CBM以内的+350/票，
2、关税、查验费实报实销(查验费按65CBM均摊)
3、重货按每300KG=1CBM</t>
  </si>
  <si>
    <t>10(800KG+)</t>
  </si>
  <si>
    <r>
      <rPr>
        <sz val="10"/>
        <rFont val="微软雅黑"/>
        <charset val="134"/>
      </rPr>
      <t>1、体积/6000,</t>
    </r>
    <r>
      <rPr>
        <b/>
        <sz val="10"/>
        <color rgb="FFFF0000"/>
        <rFont val="Microsoft YaHei"/>
        <charset val="134"/>
      </rPr>
      <t>单件最低消费</t>
    </r>
    <r>
      <rPr>
        <b/>
        <sz val="10"/>
        <color rgb="FFFF0000"/>
        <rFont val="微软雅黑"/>
        <charset val="134"/>
      </rPr>
      <t>8</t>
    </r>
    <r>
      <rPr>
        <b/>
        <sz val="10"/>
        <color rgb="FFFF0000"/>
        <rFont val="Microsoft YaHei"/>
        <charset val="134"/>
      </rPr>
      <t>KG</t>
    </r>
    <r>
      <rPr>
        <b/>
        <sz val="10"/>
        <rFont val="Microsoft YaHei"/>
        <charset val="134"/>
      </rPr>
      <t>，</t>
    </r>
    <r>
      <rPr>
        <sz val="10"/>
        <rFont val="微软雅黑"/>
        <charset val="134"/>
      </rPr>
      <t>不分泡！
2、含关税和查验费；
3、附加费见下</t>
    </r>
  </si>
  <si>
    <t>提柜后3-7天</t>
  </si>
  <si>
    <t>ABE4、ABE8，TEB3、TEB6</t>
  </si>
  <si>
    <t>EWR4、AVP3、AVP1</t>
  </si>
  <si>
    <t>PHL5、PHL6</t>
  </si>
  <si>
    <t>MDT1、MDT2</t>
  </si>
  <si>
    <t>BWI4、RIC1、BOS7</t>
  </si>
  <si>
    <t>提柜后4-8天</t>
  </si>
  <si>
    <t>CLT2、CLT3、GSP1</t>
  </si>
  <si>
    <t>提柜后5-9天</t>
  </si>
  <si>
    <t>MGE3、ATL8、JAX3</t>
  </si>
  <si>
    <t>PIT5、TPA2、TPA1、BNA2</t>
  </si>
  <si>
    <t>CHA2、MCO5、LAL1</t>
  </si>
  <si>
    <t>船期说明</t>
  </si>
  <si>
    <r>
      <rPr>
        <sz val="10"/>
        <rFont val="微软雅黑"/>
        <charset val="134"/>
      </rPr>
      <t>5截3开，航期29天到纽约</t>
    </r>
    <r>
      <rPr>
        <b/>
        <sz val="10"/>
        <color rgb="FFFF0000"/>
        <rFont val="Microsoft YaHei"/>
        <charset val="134"/>
      </rPr>
      <t>（因美国塞港，最终船期和航期船公司以为准，预计38天+）</t>
    </r>
  </si>
  <si>
    <t>1、单边超120cm的货物需按1.2倍体积计费，超过1.7cm的货物需双板派送，按2倍体积计费</t>
  </si>
  <si>
    <t>2、因海关查验，船公司船期/航线变更/延迟到港，不可抗力如罢工、疫情原因导致亚马逊仓库关闭不在此时效范围内</t>
  </si>
  <si>
    <t>一、附加费</t>
  </si>
  <si>
    <r>
      <rPr>
        <sz val="9"/>
        <rFont val="微软雅黑"/>
        <charset val="134"/>
      </rPr>
      <t>1、报关件+350RMB/份单，备案大鹏海关！一达通报关件+500/票！</t>
    </r>
    <r>
      <rPr>
        <b/>
        <sz val="9"/>
        <color rgb="FFFF0000"/>
        <rFont val="Microsoft YaHei"/>
        <charset val="134"/>
      </rPr>
      <t>漏报关仅赔偿3倍报关费，不接受可不出！</t>
    </r>
  </si>
  <si>
    <t>2、申报品名超5个以上的部分需加收30元/个</t>
  </si>
  <si>
    <r>
      <rPr>
        <sz val="9"/>
        <color theme="1"/>
        <rFont val="微软雅黑"/>
        <charset val="134"/>
      </rPr>
      <t>3、</t>
    </r>
    <r>
      <rPr>
        <b/>
        <sz val="9"/>
        <color rgb="FFFF0000"/>
        <rFont val="Microsoft YaHei"/>
        <charset val="134"/>
      </rPr>
      <t>自税渠道：</t>
    </r>
    <r>
      <rPr>
        <sz val="9"/>
        <color theme="1"/>
        <rFont val="微软雅黑"/>
        <charset val="134"/>
      </rPr>
      <t>涉FDA、EPA产品+300RMB/品名；商检产品+500/票，移动电源+300/方，纯电池+400/方，需提供MSDS和运输报告</t>
    </r>
  </si>
  <si>
    <r>
      <rPr>
        <sz val="9"/>
        <color theme="1"/>
        <rFont val="微软雅黑"/>
        <charset val="134"/>
      </rPr>
      <t>4、</t>
    </r>
    <r>
      <rPr>
        <b/>
        <sz val="9"/>
        <color rgb="FFFF0000"/>
        <rFont val="Microsoft YaHei"/>
        <charset val="134"/>
      </rPr>
      <t>含税渠道：</t>
    </r>
    <r>
      <rPr>
        <sz val="9"/>
        <color theme="1"/>
        <rFont val="微软雅黑"/>
        <charset val="134"/>
      </rPr>
      <t>纺织品、木制品、FDA\EPA产品+1；厨房刀具、太阳能产品+2、移动电源、纯电池单询</t>
    </r>
  </si>
  <si>
    <t>5、涉认证产品需提供认证审核，确认OK后方可以出；我司不保证所有认证均可被目的国海关认可，不接受可以不出！</t>
  </si>
  <si>
    <t>6、目的港扣货：操作费USD200/票；免柜租7天，超过7天收取USD5/CBM/天，最低收费15USD/天；超过3个月货物自动销毁；</t>
  </si>
  <si>
    <t>二、注意事项：</t>
  </si>
  <si>
    <t>1、自税渠道不足2CBM按2CBM计费，只保留小数点后1位（进位）</t>
  </si>
  <si>
    <t>2、走货需提供电子档发票与装箱清单（我司固定的模版）；</t>
  </si>
  <si>
    <t>3、实际货物必须和发货清单（预报）申报的品名相符，如遇查柜，一般时间为7-21天不等或许更久(无赔偿)，如需提供相关文件清关请客户配合处理。因申报不符导致扣关问题，我司概不负责，产生所有后果及费用转发件人承担；</t>
  </si>
  <si>
    <t>4、包装要求：①外箱硬朗；②外箱和每个产品上必须贴“MADE IN CHINA”；③每箱贴2张FBA标签</t>
  </si>
  <si>
    <t>5、查验只能提供查验单或柜号，不接受提供其他海关文件的要求</t>
  </si>
  <si>
    <t>四、不接以下产品</t>
  </si>
  <si>
    <t>四、索赔与赔偿标准</t>
  </si>
  <si>
    <r>
      <rPr>
        <b/>
        <sz val="9"/>
        <color rgb="FFDD0806"/>
        <rFont val="微软雅黑"/>
        <charset val="134"/>
      </rPr>
      <t>1、索赔程序：</t>
    </r>
    <r>
      <rPr>
        <sz val="9"/>
        <color indexed="8"/>
        <rFont val="微软雅黑"/>
        <charset val="134"/>
      </rPr>
      <t xml:space="preserve">货物派送后，请客户在签收后7-10个工作日内查询FBA后台是否上架，如递送后15个工作日内提供货物未上架，请提供后台截图至我司客服，开启索赔程序(需带有电脑屏幕右下角当下真实时间)；如递送后超过20工作日未开启索赔程序的，不予受理。                                                                                                                                                                                          </t>
    </r>
  </si>
  <si>
    <r>
      <rPr>
        <b/>
        <sz val="9"/>
        <color rgb="FFDD0806"/>
        <rFont val="微软雅黑"/>
        <charset val="134"/>
      </rPr>
      <t>2、赔偿方案:</t>
    </r>
    <r>
      <rPr>
        <sz val="9"/>
        <color indexed="8"/>
        <rFont val="微软雅黑"/>
        <charset val="134"/>
      </rPr>
      <t xml:space="preserve">
①派送前赔偿：在货物运输过程中丢失，自税渠道按申报货值赔偿最高不超4000RMB/CBM赔偿，不退运费；含税渠道按申报货值赔偿最高不超40RMB/KG赔偿，不退运费；
②派送后赔偿：已提供POD的，不接受索赔；只接受整箱丢失赔偿，自税渠道按申报价值赔偿但最高不超过2000/CBM，不退运费；含税渠道按申报货值赔偿最高不超20RMB/KG赔偿，不退运费；
</t>
    </r>
    <r>
      <rPr>
        <sz val="9"/>
        <color indexed="10"/>
        <rFont val="微软雅黑"/>
        <charset val="134"/>
      </rPr>
      <t>③漏报关赔偿：3倍报关费，请慎接报关件，不接受赔偿标准的不要发！</t>
    </r>
    <r>
      <rPr>
        <sz val="9"/>
        <color indexed="8"/>
        <rFont val="微软雅黑"/>
        <charset val="134"/>
      </rPr>
      <t xml:space="preserve">
④延误赔偿：从开船日算起，超过90天未派送的，赔偿100RMB/CBM；超过120天未派送运费减半，超过150天未派送退运费（海关查验、罢工、塞港等不可抗力因素除外），以上赔偿不叠加，但如因发件人低申报、品名申报不符、产品涉及反倾销、认证、侵权等不符合当地法规的，由此产生的责任和损失，由发件人承担，我司保留追究法律责任的权利且不予任何赔偿
⑤扣关赔偿：非货物本身的问题产生的扣关按申报货值赔偿最高不超4000RMB/CBM赔偿，不退运费，但如因发件人低申报、品名申报不符、产品涉及反倾销、认证、侵权等不符合当地法规的，由此产生的责任和损失，由发件人承担，我司保留追究法律责任的权利且不予任何赔偿</t>
    </r>
  </si>
  <si>
    <t>五、温馨提示</t>
  </si>
  <si>
    <t>1、根据亚马逊仓规定，如单件重量若超过15KG，在外箱贴上“Heavy Package"(超重标签）。如单件重量在22.5-30KG，在外箱贴上“Team Lift"标签。若亚马逊仓库因包装问题、标签问题产生拒收等原因，我司不承担任何责任，我司不再对包装做任何审核</t>
  </si>
  <si>
    <t>2、P.O.BOX,阿拉斯加(AK),夏威夷(HI),波多黎各(PR),关岛,军方地址不收，967**，968**和995**，999**邮编没有服务）。偏远地址加收4RMB/KG,最低一票收费RMB195+当月燃油。注意亚马逊货也可能产生住宅地址及杂费，如产生账单半年有效实报实销,欲知您所发货物目的地是否属偏远地区请上UPS网查询,我司出货时不另行通知，以UPS帐单产生为准。如果地址错误产生UPS/FEDEX改地址和扣件费用，将按每件100RMB收取；暂扣件及改派地址业务，我司不承诺百分百成功，如有此问题我司不承担任何赔偿。</t>
  </si>
  <si>
    <t>3、如派送中收件方或寄件方要求或者错误地址无法投递导致退件,我司只接受货件退回我司美国仓库并免费保存货物7天,超出7天的按人民币5RMB/件/天计费,最低消费10RMB/票;退件过程产生的费用,我司将向发件方收取；如有退回货物要求重发的快件我们将按照12/KG的运费结算并加收50RMB/件操作费。</t>
  </si>
  <si>
    <t>美中海运+卡车派送</t>
  </si>
  <si>
    <t>K13-美中海卡（不包税）</t>
  </si>
  <si>
    <t>K13-美中海卡B（含税）</t>
  </si>
  <si>
    <t>MDW6、MDW7、MDW9</t>
  </si>
  <si>
    <r>
      <rPr>
        <sz val="10"/>
        <rFont val="微软雅黑"/>
        <charset val="134"/>
      </rPr>
      <t>1、体积/6000，</t>
    </r>
    <r>
      <rPr>
        <b/>
        <sz val="10"/>
        <color rgb="FFFF0000"/>
        <rFont val="Microsoft YaHei"/>
        <charset val="134"/>
      </rPr>
      <t>单件最低消费</t>
    </r>
    <r>
      <rPr>
        <b/>
        <sz val="10"/>
        <color rgb="FFFF0000"/>
        <rFont val="微软雅黑"/>
        <charset val="134"/>
      </rPr>
      <t>8</t>
    </r>
    <r>
      <rPr>
        <b/>
        <sz val="10"/>
        <color rgb="FFFF0000"/>
        <rFont val="Microsoft YaHei"/>
        <charset val="134"/>
      </rPr>
      <t>KG</t>
    </r>
    <r>
      <rPr>
        <sz val="10"/>
        <rFont val="微软雅黑"/>
        <charset val="134"/>
      </rPr>
      <t>，不分泡！
2、含关税和查验费；
3、附加费见下</t>
    </r>
  </si>
  <si>
    <t>到芝加哥后5-7天递送</t>
  </si>
  <si>
    <t>MDW8</t>
  </si>
  <si>
    <t>IND2、IND5、IND9</t>
  </si>
  <si>
    <t>SDF8、CMH2、CMH3</t>
  </si>
  <si>
    <t>DET1/DET2</t>
  </si>
  <si>
    <t>SDF其他、LEX1、LEX2</t>
  </si>
  <si>
    <t>到芝加哥后6-10天递送</t>
  </si>
  <si>
    <t>暂停</t>
  </si>
  <si>
    <t>TUL1、MCI5、MCI7、ORD6</t>
  </si>
  <si>
    <t>MSP1、MKE1、MKE5</t>
  </si>
  <si>
    <r>
      <rPr>
        <sz val="10"/>
        <rFont val="微软雅黑"/>
        <charset val="134"/>
      </rPr>
      <t>4截1开，航期22天到芝加哥</t>
    </r>
    <r>
      <rPr>
        <b/>
        <sz val="10"/>
        <color rgb="FFFF0000"/>
        <rFont val="Microsoft YaHei"/>
        <charset val="134"/>
      </rPr>
      <t>（因美国塞港，最终船期和航期船公司以为准，预计40天+）</t>
    </r>
  </si>
  <si>
    <t>加拿大直航卡派</t>
  </si>
  <si>
    <t>对应区域</t>
  </si>
  <si>
    <t>多伦多-FBA仓
仓库代码</t>
  </si>
  <si>
    <t>101KG+</t>
  </si>
  <si>
    <t>YYZ3</t>
  </si>
  <si>
    <t>30~35天</t>
  </si>
  <si>
    <t>多伦多-FBA仓仓库代码</t>
  </si>
  <si>
    <t xml:space="preserve">  </t>
  </si>
  <si>
    <t>YYZ4</t>
  </si>
  <si>
    <t>YYZ1</t>
  </si>
  <si>
    <t>30~40天</t>
  </si>
  <si>
    <t>YYZ2</t>
  </si>
  <si>
    <t>YYZ6</t>
  </si>
  <si>
    <t>YYZ7</t>
  </si>
  <si>
    <t>YYZ9</t>
  </si>
  <si>
    <t>YOO1</t>
  </si>
  <si>
    <t>YHM1</t>
  </si>
  <si>
    <t>YXU1</t>
  </si>
  <si>
    <t>XYY1</t>
  </si>
  <si>
    <t>YOW1</t>
  </si>
  <si>
    <t>YOW3</t>
  </si>
  <si>
    <t>YGK1</t>
  </si>
  <si>
    <t>商业地址</t>
  </si>
  <si>
    <t>35~45天</t>
  </si>
  <si>
    <t>多伦多-仓库代码</t>
  </si>
  <si>
    <t>YVR1</t>
  </si>
  <si>
    <t>40~50天</t>
  </si>
  <si>
    <t>温哥华-FBA仓仓库代码</t>
  </si>
  <si>
    <t>YVR2</t>
  </si>
  <si>
    <t>YVR3</t>
  </si>
  <si>
    <t>YVR4</t>
  </si>
  <si>
    <t>YXX2</t>
  </si>
  <si>
    <t>YYC1</t>
  </si>
  <si>
    <t>YYC4</t>
  </si>
  <si>
    <t>卡尔加里-FBA仓仓库代码</t>
  </si>
  <si>
    <t>YYC6</t>
  </si>
  <si>
    <t>YEG1</t>
  </si>
  <si>
    <t>YEG2</t>
  </si>
  <si>
    <t>YGK1最小收货尺寸为:不低于50LBS，尺寸
不小于33*33*59 INCH</t>
  </si>
  <si>
    <t>1、含关税和查验费；
2、单票低消21KG，低于100KG的按照21-49KG单价+2RMB*KG  50-99KG单价+1RMB*KG，低消最低1CBM起收，单件最低5KG起，不足5KG按5KG计费，财务默认出账单；
3、计费重：体积重和实重取大者，体积重=长cm*宽cm*高cm*6000；
4、超长*超重附加：120cm＜外箱单边长度≤150cm，包税+RMB1.2*KG,不包税+228*CBM；150cm＜外箱单边长度≤200cm、包税+RMB1.8*KG,不包税+285*CBM；外箱单边长度＞2m单询；
30KG＜单件实重＜70KG，包税+RMB10*件。（适用于商业*私人*亚马逊可接收地址，另亚马逊收货尺寸*重量限制请客户出货前自行确认*咨询我司客服同事）</t>
  </si>
  <si>
    <t>1、手机、智能手环、假发、汽车诊断仪、望远镜、硒鼓、化妆品（面膜等），3岁以下儿童产品、婴儿玩具、母婴用品，二类医疗产品（牙刷、牙线、冲牙器、吸奶器等）、禁塑令产品（一次性纸杯等）、成人用品；
2、液体、纯电池、食品、粉末、移动电源、电子烟、制毒用品、医疗用品、仿牌商品、化工产品、美国*加拿大反倾销产品等。如发现冲货罚款RMB2000*票。
3、纯太阳能板、筋膜枪等按摩类产品</t>
  </si>
  <si>
    <t>OA为主：
1、含关税和查验费；
2、体积*6000；
3、不分泡，单件最低消费5KG
4、50-99KG  +1*KG
5、21-49KG  +2*KG  
6、不足21KG按21KG计算
单边超120CM以上，单件超50KG以上的货物，请参考《发货必读》
——————————
1、不含关税、如遇查验费实销；
2、计费重=长cm*宽cm*高cm*1000000，不分泡；
3、单边超120CM以上，请参考《发货必读》
4、如因客户资料\产品问题，需承担因此产生的所有仓租、柜租、罚金、销毁费等，恶意瞒报的还需承担进口商损失费2000美金；
5、表价不含5H,9H退运费,及罚没。</t>
  </si>
  <si>
    <t>沃尔玛专线</t>
  </si>
  <si>
    <t>目的港</t>
  </si>
  <si>
    <t>对应渠道</t>
  </si>
  <si>
    <t>WMT-LAX2</t>
  </si>
  <si>
    <t>WMT-LAX2T</t>
  </si>
  <si>
    <t>WMT-DFW5s</t>
  </si>
  <si>
    <t>31~46</t>
  </si>
  <si>
    <t>K13美中专线</t>
  </si>
  <si>
    <t>WMT-DFW6s</t>
  </si>
  <si>
    <t>WMT-DFW2n</t>
  </si>
  <si>
    <t>WMT-IND3</t>
  </si>
  <si>
    <t>40~48</t>
  </si>
  <si>
    <t>WMT-CVG1n</t>
  </si>
  <si>
    <t>WMT-KS1</t>
  </si>
  <si>
    <t>WMT-KY1</t>
  </si>
  <si>
    <t>WMT-IND2n</t>
  </si>
  <si>
    <t>WMT-ORD1s</t>
  </si>
  <si>
    <t>WMT-MCI1n</t>
  </si>
  <si>
    <t>WMT-IND1</t>
  </si>
  <si>
    <t>WMT-IND2t</t>
  </si>
  <si>
    <t>WMT-IND2</t>
  </si>
  <si>
    <t>37~39</t>
  </si>
  <si>
    <t>芝加哥快线</t>
  </si>
  <si>
    <t>WMT-NJ1</t>
  </si>
  <si>
    <t>WMT-NJ3</t>
  </si>
  <si>
    <t>WMT-NJ3T</t>
  </si>
  <si>
    <t>WMT-PHL2n</t>
  </si>
  <si>
    <t>WMT-PHL1S</t>
  </si>
  <si>
    <t>WMT-PHL4n</t>
  </si>
  <si>
    <t>WMT-PHL5s</t>
  </si>
  <si>
    <t>WMT-MEM1s</t>
  </si>
  <si>
    <t>WMT-BNA1s</t>
  </si>
  <si>
    <t>WMT-ATL1</t>
  </si>
  <si>
    <t>WMT-ATL2</t>
  </si>
  <si>
    <t>WMT-ATL3</t>
  </si>
  <si>
    <t>WMT-ATL2n</t>
  </si>
  <si>
    <t>WMT-MCO1</t>
  </si>
  <si>
    <t>WMT-BNA1N</t>
  </si>
  <si>
    <t>1、含关税和查验费；
2、单票低消100KG， 不足100kg按100kg计费；
3、计费重：体积重和实重取大者，体积重=长cm*宽cm*高cm/6000；
4、单边超120CM以上，单件超50KG以上的货物，请参考《发货必读》
5、如因客户资料\产品问题，需承担因此产生的所有仓租、柜租、罚金、销毁费等，恶意瞒报的还需承担进口商损失费2000美金；                                                                                              6、表价不含5H,9H退运费,及罚没。</t>
  </si>
  <si>
    <t>1、不含关税、如遇查验费实销；
2、低消0.5CBM，不足按0.5CBM结算；
3、计费重=长cm*宽cm*高cm/1000000，不分泡；
4、单边超120CM以上，请参考《发货必读》
5、如因客户资料\产品问题，需承担因此产生的所有仓租、柜租、罚金、销毁费等，恶意瞒报的还需承担进口商损失费2000美金；                                                                                              6、表价不含5H,9H退运费,及罚没。</t>
  </si>
  <si>
    <t>邮编</t>
  </si>
  <si>
    <t>334KG+</t>
  </si>
  <si>
    <t>2CBM+</t>
  </si>
  <si>
    <t>洛杉矶FBN头程</t>
  </si>
  <si>
    <t>12~15天</t>
  </si>
  <si>
    <t>18~19天</t>
  </si>
  <si>
    <t>19~20天</t>
  </si>
  <si>
    <t>21~25天</t>
  </si>
  <si>
    <t>云仓-USCA01</t>
  </si>
  <si>
    <t>15~20天</t>
  </si>
  <si>
    <t>18~24天</t>
  </si>
  <si>
    <t>19~25天</t>
  </si>
  <si>
    <t>25~32天</t>
  </si>
  <si>
    <t>YC美西仓</t>
  </si>
  <si>
    <t>万邑通91789</t>
  </si>
  <si>
    <t>万邑通91748</t>
  </si>
  <si>
    <t>4PX91730</t>
  </si>
  <si>
    <t>4PX90022</t>
  </si>
  <si>
    <t>风雷仓91789</t>
  </si>
  <si>
    <t>橙联仓91730</t>
  </si>
  <si>
    <t>橙联仓91731</t>
  </si>
  <si>
    <t>西邮仓 91730</t>
  </si>
  <si>
    <t>美西3号谷仓</t>
  </si>
  <si>
    <t>美西5号谷仓</t>
  </si>
  <si>
    <t>美西6号谷仓</t>
  </si>
  <si>
    <t>美西8号谷仓</t>
  </si>
  <si>
    <t>美西10号谷仓</t>
  </si>
  <si>
    <t>ALHAMNRA</t>
  </si>
  <si>
    <t>9180X</t>
  </si>
  <si>
    <t>ANAHEIM</t>
  </si>
  <si>
    <t>9280X</t>
  </si>
  <si>
    <t>ARCADIA</t>
  </si>
  <si>
    <t>9100X</t>
  </si>
  <si>
    <t>AZUSA</t>
  </si>
  <si>
    <t>9170X</t>
  </si>
  <si>
    <t>BREA</t>
  </si>
  <si>
    <t>9282X</t>
  </si>
  <si>
    <t>CERRITOS</t>
  </si>
  <si>
    <t>9070X</t>
  </si>
  <si>
    <t>CHINO</t>
  </si>
  <si>
    <t>9171X</t>
  </si>
  <si>
    <t>CITY OF INDUSTRY</t>
  </si>
  <si>
    <t>9174X</t>
  </si>
  <si>
    <t>COLTON</t>
  </si>
  <si>
    <t>9232X</t>
  </si>
  <si>
    <t>CORONA</t>
  </si>
  <si>
    <t>9288X</t>
  </si>
  <si>
    <t>DIAMOND BAR</t>
  </si>
  <si>
    <t>9176X</t>
  </si>
  <si>
    <t>EL MONTE</t>
  </si>
  <si>
    <t>9173X</t>
  </si>
  <si>
    <t>FONTANA</t>
  </si>
  <si>
    <t>9233X</t>
  </si>
  <si>
    <t>FULLERTON</t>
  </si>
  <si>
    <t>9283X</t>
  </si>
  <si>
    <t>HACIENDA HEIGHTS</t>
  </si>
  <si>
    <t>LA PUENTE</t>
  </si>
  <si>
    <t>Los Angeles</t>
  </si>
  <si>
    <t>9002X</t>
  </si>
  <si>
    <t>MONTEBELLO</t>
  </si>
  <si>
    <t>9064X</t>
  </si>
  <si>
    <t>MONTEREY PARK</t>
  </si>
  <si>
    <t>9175X</t>
  </si>
  <si>
    <t>NORWALK</t>
  </si>
  <si>
    <t>9065X</t>
  </si>
  <si>
    <t>ONTARIO</t>
  </si>
  <si>
    <t>PASADENA</t>
  </si>
  <si>
    <t>9110X</t>
  </si>
  <si>
    <t>POMONA</t>
  </si>
  <si>
    <t>RANCHO CUCAMONGA</t>
  </si>
  <si>
    <t>RIALTO</t>
  </si>
  <si>
    <t>9237X</t>
  </si>
  <si>
    <t>RIVERSIDE</t>
  </si>
  <si>
    <t>9250X</t>
  </si>
  <si>
    <t>ROSEMEAD</t>
  </si>
  <si>
    <t>9177X</t>
  </si>
  <si>
    <t>ROWLAND HEIGHTS</t>
  </si>
  <si>
    <t>SAN BERNARDINO</t>
  </si>
  <si>
    <t>9240X</t>
  </si>
  <si>
    <t>SAN DIMAS</t>
  </si>
  <si>
    <t>SANTA FE SPRINGS</t>
  </si>
  <si>
    <t>9067X</t>
  </si>
  <si>
    <t>TEMPLE CITY</t>
  </si>
  <si>
    <t>9178X</t>
  </si>
  <si>
    <t>WALNUT</t>
  </si>
  <si>
    <t>WEST COVINA</t>
  </si>
  <si>
    <t>9179X</t>
  </si>
  <si>
    <t>WHITTIER</t>
  </si>
  <si>
    <t>9060X</t>
  </si>
  <si>
    <t>YORBA LINDA</t>
  </si>
  <si>
    <t>说明：尾数的X可为0-9的数字</t>
  </si>
  <si>
    <t>额外产生的费用</t>
  </si>
  <si>
    <t>金额</t>
  </si>
  <si>
    <t>卸货等候费</t>
  </si>
  <si>
    <t>Per Hour 每小时</t>
  </si>
  <si>
    <t>免费等候一小时</t>
  </si>
  <si>
    <t>跑空</t>
  </si>
  <si>
    <t>实报实销</t>
  </si>
  <si>
    <t>Per Entry 每次</t>
  </si>
  <si>
    <t>如果产生</t>
  </si>
  <si>
    <t>地址更改</t>
  </si>
  <si>
    <t>补差价，多退少补</t>
  </si>
  <si>
    <t>需在我司可派送范围内，如已发车，费用不退，需额外加上二次派送费。</t>
  </si>
  <si>
    <t>更改自提</t>
  </si>
  <si>
    <t>每板</t>
  </si>
  <si>
    <t>如未派送尾程费退还，收取对应出仓费</t>
  </si>
  <si>
    <t>尾板费</t>
  </si>
  <si>
    <t>每次</t>
  </si>
  <si>
    <t>无卸货平台需收取</t>
  </si>
  <si>
    <t>非工作日送仓（商业/私人地址）</t>
  </si>
  <si>
    <t>附加费单询</t>
  </si>
  <si>
    <t>周六日或节假日送仓，需要加收费用</t>
  </si>
  <si>
    <t>含税渠道</t>
  </si>
  <si>
    <t>1、含关税和查验费；
2、低消334kg，不足按334kg结算；
3、计费重：体积重和实重取大者，体积重=长cm*宽cm*高cm/6000；
4、单边超120CM以上，单件超40KG以上的货物，请参考《发货必读》；
5、如因客户资料\产品问题，需承担因此产生的所有仓租、柜租、罚金、销毁费等，恶意瞒报的还需承担进口商损失费2000美金；</t>
  </si>
  <si>
    <t>不含税渠道</t>
  </si>
  <si>
    <t>1、不含关税、如遇查验费实销；
2、低消2CBM，不足按2CBM结算；
3、计费重=长cm*宽cm*高cm/1000000，不分泡；
4、单边超120CM以上，请参考《发货必读》
5、如因客户资料\产品问题，需承担因此产生的所有仓租、柜租、罚金、销毁费等，恶意瞒报的还需承担进口商损失费2000美金；</t>
  </si>
  <si>
    <t>邮编1</t>
  </si>
  <si>
    <t>邮编2</t>
  </si>
  <si>
    <t>邮编3</t>
  </si>
  <si>
    <t>邮编4</t>
  </si>
  <si>
    <t>邮编5</t>
  </si>
  <si>
    <t>邮编6</t>
  </si>
  <si>
    <t>邮编7</t>
  </si>
  <si>
    <t>邮编8</t>
  </si>
  <si>
    <t>邮编9</t>
  </si>
  <si>
    <t>邮编10</t>
  </si>
  <si>
    <t>邮编11</t>
  </si>
  <si>
    <t>邮编12</t>
  </si>
  <si>
    <t>邮编13</t>
  </si>
  <si>
    <t>邮编14</t>
  </si>
  <si>
    <t>邮编15</t>
  </si>
  <si>
    <t>邮编16</t>
  </si>
  <si>
    <t>邮编17</t>
  </si>
  <si>
    <t>邮编18</t>
  </si>
  <si>
    <t>邮编19</t>
  </si>
  <si>
    <t>邮编20</t>
  </si>
  <si>
    <t>邮编21</t>
  </si>
  <si>
    <t>邮编22</t>
  </si>
  <si>
    <t>邮编23</t>
  </si>
  <si>
    <t>邮编24</t>
  </si>
  <si>
    <t>邮编25</t>
  </si>
  <si>
    <t>邮编26</t>
  </si>
  <si>
    <t>邮编27</t>
  </si>
  <si>
    <t>邮编28</t>
  </si>
  <si>
    <t>邮编29</t>
  </si>
  <si>
    <t>邮编30</t>
  </si>
  <si>
    <t>邮编31</t>
  </si>
  <si>
    <t>邮编32</t>
  </si>
  <si>
    <t>邮编33</t>
  </si>
  <si>
    <t>邮编34</t>
  </si>
  <si>
    <t>邮编35</t>
  </si>
  <si>
    <t>邮编36</t>
  </si>
  <si>
    <t>邮编37</t>
  </si>
  <si>
    <t>邮编38</t>
  </si>
  <si>
    <t>邮编39</t>
  </si>
  <si>
    <t>邮编40</t>
  </si>
  <si>
    <t>邮编41</t>
  </si>
  <si>
    <t>邮编42</t>
  </si>
  <si>
    <t>邮编43</t>
  </si>
  <si>
    <t>邮编44</t>
  </si>
  <si>
    <t>邮编45</t>
  </si>
  <si>
    <t>邮编46</t>
  </si>
  <si>
    <t>邮编47</t>
  </si>
  <si>
    <t>邮编48</t>
  </si>
  <si>
    <t>邮编49</t>
  </si>
  <si>
    <t>邮编50</t>
  </si>
  <si>
    <t>邮编51</t>
  </si>
  <si>
    <t>邮编52</t>
  </si>
  <si>
    <t>邮编53</t>
  </si>
  <si>
    <t>邮编54</t>
  </si>
  <si>
    <t>邮编55</t>
  </si>
  <si>
    <t>邮编56</t>
  </si>
  <si>
    <t>邮编57</t>
  </si>
  <si>
    <t>邮编58</t>
  </si>
  <si>
    <t>邮编59</t>
  </si>
  <si>
    <t>邮编60</t>
  </si>
  <si>
    <t>邮编61</t>
  </si>
  <si>
    <t>邮编62</t>
  </si>
  <si>
    <t>邮编63</t>
  </si>
  <si>
    <t>邮编64</t>
  </si>
  <si>
    <t>邮编65</t>
  </si>
  <si>
    <t>邮编66</t>
  </si>
  <si>
    <t>邮编67</t>
  </si>
  <si>
    <t>邮编68</t>
  </si>
  <si>
    <t>邮编69</t>
  </si>
  <si>
    <t>邮编70</t>
  </si>
  <si>
    <t>邮编71</t>
  </si>
  <si>
    <t>邮编72</t>
  </si>
  <si>
    <t>邮编73</t>
  </si>
  <si>
    <t>邮编74</t>
  </si>
  <si>
    <t>邮编75</t>
  </si>
  <si>
    <t>邮编76</t>
  </si>
  <si>
    <t>邮编77</t>
  </si>
  <si>
    <t>邮编78</t>
  </si>
  <si>
    <t>邮编79</t>
  </si>
  <si>
    <t>邮编80</t>
  </si>
  <si>
    <t>邮编81</t>
  </si>
  <si>
    <t>邮编82</t>
  </si>
  <si>
    <t>邮编83</t>
  </si>
  <si>
    <t>邮编84</t>
  </si>
  <si>
    <t>邮编85</t>
  </si>
  <si>
    <t>邮编86</t>
  </si>
  <si>
    <t>邮编87</t>
  </si>
  <si>
    <t>邮编88</t>
  </si>
  <si>
    <t>邮编89</t>
  </si>
  <si>
    <t>邮编90</t>
  </si>
  <si>
    <t>邮编91</t>
  </si>
  <si>
    <t>邮编92</t>
  </si>
  <si>
    <t>邮编93</t>
  </si>
  <si>
    <t>邮编94</t>
  </si>
  <si>
    <t>邮编95</t>
  </si>
  <si>
    <t>邮编96</t>
  </si>
  <si>
    <t>邮编97</t>
  </si>
  <si>
    <t>邮编98</t>
  </si>
  <si>
    <t>邮编99</t>
  </si>
  <si>
    <t>邮编100</t>
  </si>
  <si>
    <t>邮编101</t>
  </si>
  <si>
    <t>邮编102</t>
  </si>
  <si>
    <t>邮编103</t>
  </si>
  <si>
    <t>邮编104</t>
  </si>
  <si>
    <t>邮编105</t>
  </si>
  <si>
    <t>邮编106</t>
  </si>
  <si>
    <t>邮编107</t>
  </si>
  <si>
    <t>邮编108</t>
  </si>
  <si>
    <t>邮编109</t>
  </si>
  <si>
    <t>邮编110</t>
  </si>
  <si>
    <t>邮编111</t>
  </si>
  <si>
    <t>邮编112</t>
  </si>
  <si>
    <t>邮编113</t>
  </si>
  <si>
    <t>邮编114</t>
  </si>
  <si>
    <t>邮编115</t>
  </si>
  <si>
    <t>邮编116</t>
  </si>
  <si>
    <t>邮编117</t>
  </si>
  <si>
    <t>邮编118</t>
  </si>
  <si>
    <t>邮编119</t>
  </si>
  <si>
    <t>邮编120</t>
  </si>
  <si>
    <t>邮编121</t>
  </si>
  <si>
    <t>邮编122</t>
  </si>
  <si>
    <t>邮编123</t>
  </si>
  <si>
    <t>邮编124</t>
  </si>
  <si>
    <t>邮编125</t>
  </si>
  <si>
    <t>邮编126</t>
  </si>
  <si>
    <t>邮编127</t>
  </si>
  <si>
    <t>邮编128</t>
  </si>
  <si>
    <t>邮编129</t>
  </si>
  <si>
    <t>邮编130</t>
  </si>
  <si>
    <t>邮编131</t>
  </si>
  <si>
    <t>邮编132</t>
  </si>
  <si>
    <t>邮编133</t>
  </si>
  <si>
    <t>邮编134</t>
  </si>
  <si>
    <t>邮编135</t>
  </si>
  <si>
    <t>邮编136</t>
  </si>
  <si>
    <t>邮编137</t>
  </si>
  <si>
    <t>邮编138</t>
  </si>
  <si>
    <t>邮编139</t>
  </si>
  <si>
    <t>邮编140</t>
  </si>
  <si>
    <t>邮编141</t>
  </si>
  <si>
    <t>邮编142</t>
  </si>
  <si>
    <t>邮编143</t>
  </si>
  <si>
    <t>邮编144</t>
  </si>
  <si>
    <t>邮编145</t>
  </si>
  <si>
    <t>邮编146</t>
  </si>
  <si>
    <t>邮编147</t>
  </si>
  <si>
    <t>邮编148</t>
  </si>
  <si>
    <t>邮编149</t>
  </si>
  <si>
    <t>邮编150</t>
  </si>
  <si>
    <t>邮编151</t>
  </si>
  <si>
    <t>邮编152</t>
  </si>
  <si>
    <t>邮编153</t>
  </si>
  <si>
    <t>邮编154</t>
  </si>
  <si>
    <t>邮编155</t>
  </si>
  <si>
    <t>邮编156</t>
  </si>
  <si>
    <t>邮编157</t>
  </si>
  <si>
    <t>邮编158</t>
  </si>
  <si>
    <t>邮编159</t>
  </si>
  <si>
    <t>邮编160</t>
  </si>
  <si>
    <t>邮编161</t>
  </si>
  <si>
    <t>邮编162</t>
  </si>
  <si>
    <t>邮编163</t>
  </si>
  <si>
    <t>邮编164</t>
  </si>
  <si>
    <t>邮编165</t>
  </si>
  <si>
    <t>邮编166</t>
  </si>
  <si>
    <t>邮编167</t>
  </si>
  <si>
    <t>邮编168</t>
  </si>
  <si>
    <t>邮编169</t>
  </si>
  <si>
    <t>邮编170</t>
  </si>
  <si>
    <t>邮编171</t>
  </si>
  <si>
    <t>邮编172</t>
  </si>
  <si>
    <t>邮编173</t>
  </si>
  <si>
    <t>邮编174</t>
  </si>
  <si>
    <t>邮编175</t>
  </si>
  <si>
    <t>邮编176</t>
  </si>
  <si>
    <t>邮编177</t>
  </si>
  <si>
    <t>邮编178</t>
  </si>
  <si>
    <t>邮编179</t>
  </si>
  <si>
    <t>邮编180</t>
  </si>
  <si>
    <t>邮编181</t>
  </si>
  <si>
    <t>邮编182</t>
  </si>
  <si>
    <t>邮编183</t>
  </si>
  <si>
    <t>邮编184</t>
  </si>
  <si>
    <t>邮编185</t>
  </si>
  <si>
    <t>邮编186</t>
  </si>
  <si>
    <t>邮编187</t>
  </si>
  <si>
    <t>邮编188</t>
  </si>
  <si>
    <t>邮编189</t>
  </si>
  <si>
    <t>邮编190</t>
  </si>
  <si>
    <t>邮编191</t>
  </si>
  <si>
    <t>邮编192</t>
  </si>
  <si>
    <t>邮编193</t>
  </si>
  <si>
    <t>邮编194</t>
  </si>
  <si>
    <t>邮编195</t>
  </si>
  <si>
    <t>邮编196</t>
  </si>
  <si>
    <t>邮编197</t>
  </si>
  <si>
    <t>邮编198</t>
  </si>
  <si>
    <t>邮编199</t>
  </si>
  <si>
    <t>邮编200</t>
  </si>
  <si>
    <t>邮编201</t>
  </si>
  <si>
    <t>邮编202</t>
  </si>
  <si>
    <t>邮编203</t>
  </si>
  <si>
    <t>邮编204</t>
  </si>
  <si>
    <t>邮编205</t>
  </si>
  <si>
    <t>邮编206</t>
  </si>
  <si>
    <t>邮编207</t>
  </si>
  <si>
    <t>邮编208</t>
  </si>
  <si>
    <t>邮编209</t>
  </si>
  <si>
    <t>邮编210</t>
  </si>
  <si>
    <t>邮编211</t>
  </si>
  <si>
    <t>邮编212</t>
  </si>
  <si>
    <t>邮编213</t>
  </si>
  <si>
    <t>邮编214</t>
  </si>
  <si>
    <t>邮编215</t>
  </si>
  <si>
    <t>邮编216</t>
  </si>
  <si>
    <t>邮编217</t>
  </si>
  <si>
    <t>邮编218</t>
  </si>
  <si>
    <t>邮编219</t>
  </si>
  <si>
    <t>邮编220</t>
  </si>
  <si>
    <t>邮编221</t>
  </si>
  <si>
    <t>邮编222</t>
  </si>
  <si>
    <t>邮编223</t>
  </si>
  <si>
    <t>邮编224</t>
  </si>
  <si>
    <t>邮编225</t>
  </si>
  <si>
    <t>邮编226</t>
  </si>
  <si>
    <t>邮编227</t>
  </si>
  <si>
    <t>邮编228</t>
  </si>
  <si>
    <t>邮编229</t>
  </si>
  <si>
    <t>邮编230</t>
  </si>
  <si>
    <t>邮编231</t>
  </si>
  <si>
    <t>邮编232</t>
  </si>
  <si>
    <t>邮编233</t>
  </si>
  <si>
    <t>邮编234</t>
  </si>
  <si>
    <t>邮编235</t>
  </si>
  <si>
    <t>邮编236</t>
  </si>
  <si>
    <t>邮编237</t>
  </si>
  <si>
    <t>邮编238</t>
  </si>
  <si>
    <t>邮编239</t>
  </si>
  <si>
    <t>邮编240</t>
  </si>
  <si>
    <t>邮编241</t>
  </si>
  <si>
    <t>邮编242</t>
  </si>
  <si>
    <t>邮编243</t>
  </si>
  <si>
    <t>邮编244</t>
  </si>
  <si>
    <t>邮编245</t>
  </si>
  <si>
    <t>邮编246</t>
  </si>
  <si>
    <t>邮编247</t>
  </si>
  <si>
    <t>邮编248</t>
  </si>
  <si>
    <t>邮编249</t>
  </si>
  <si>
    <t>邮编250</t>
  </si>
  <si>
    <t>邮编251</t>
  </si>
  <si>
    <t>邮编252</t>
  </si>
  <si>
    <t>邮编253</t>
  </si>
  <si>
    <t>邮编254</t>
  </si>
  <si>
    <t>邮编255</t>
  </si>
  <si>
    <t>邮编256</t>
  </si>
  <si>
    <t>邮编257</t>
  </si>
  <si>
    <t>邮编258</t>
  </si>
  <si>
    <t>邮编259</t>
  </si>
  <si>
    <t>邮编260</t>
  </si>
  <si>
    <t>邮编261</t>
  </si>
  <si>
    <t>邮编262</t>
  </si>
  <si>
    <t>邮编263</t>
  </si>
  <si>
    <t>邮编264</t>
  </si>
  <si>
    <t>邮编265</t>
  </si>
  <si>
    <t>邮编266</t>
  </si>
  <si>
    <t>邮编267</t>
  </si>
  <si>
    <t>邮编268</t>
  </si>
  <si>
    <t>邮编269</t>
  </si>
  <si>
    <t>邮编270</t>
  </si>
  <si>
    <t>邮编271</t>
  </si>
  <si>
    <t>邮编272</t>
  </si>
  <si>
    <t>邮编273</t>
  </si>
  <si>
    <t>邮编274</t>
  </si>
  <si>
    <t>邮编275</t>
  </si>
  <si>
    <t>纽约FBN头程</t>
  </si>
  <si>
    <t>20~23</t>
  </si>
  <si>
    <t>23~27</t>
  </si>
  <si>
    <t>YC美东仓</t>
  </si>
  <si>
    <t>08854</t>
  </si>
  <si>
    <t>29~34</t>
  </si>
  <si>
    <t>谷仓2号</t>
  </si>
  <si>
    <t>08518</t>
  </si>
  <si>
    <t>谷仓5号</t>
  </si>
  <si>
    <t>08831</t>
  </si>
  <si>
    <t>谷仓8号</t>
  </si>
  <si>
    <t>07836</t>
  </si>
  <si>
    <t>谷仓11号</t>
  </si>
  <si>
    <t>08505</t>
  </si>
  <si>
    <t>谷仓12号</t>
  </si>
  <si>
    <t>谷仓15号</t>
  </si>
  <si>
    <t>08036</t>
  </si>
  <si>
    <t>谷仓16号</t>
  </si>
  <si>
    <t>08057</t>
  </si>
  <si>
    <t>谷仓18号</t>
  </si>
  <si>
    <t>08016</t>
  </si>
  <si>
    <t>4PX-新泽西1仓</t>
  </si>
  <si>
    <t>08861</t>
  </si>
  <si>
    <t>凯琦云仓-USNJ03</t>
  </si>
  <si>
    <t>08810</t>
  </si>
  <si>
    <t>Edison,NJ 08837</t>
  </si>
  <si>
    <t>见右端</t>
  </si>
  <si>
    <t>0-15 MILES</t>
  </si>
  <si>
    <t>15.01-25 MILES</t>
  </si>
  <si>
    <t>25.01-35 MILES</t>
  </si>
  <si>
    <t>35.01-50 MILES</t>
  </si>
  <si>
    <t>NYC 1区Code</t>
  </si>
  <si>
    <t>NYC 2区Code</t>
  </si>
  <si>
    <t>NYC 3区Code</t>
  </si>
  <si>
    <t>1、含关税和查验费；
2、低消334kg，不足按334kg结算；；
3、计费重：体积重和实重取大者，体积重=长cm*宽cm*高cm/6000；
4、单边超120CM以上，单件超40KG以上的货物，请参考《发货必读》；
5、如因客户资料\产品问题，需承担因此产生的所有仓租、柜租、罚金、销毁费等，恶意瞒报的还需承担进口商损失费2000美金；</t>
  </si>
  <si>
    <t>芝加哥FBN头程</t>
  </si>
  <si>
    <t>TikTok_IL</t>
  </si>
  <si>
    <t>TikTok-IN</t>
  </si>
  <si>
    <t>&lt; 10 Miles</t>
  </si>
  <si>
    <t>10（含）-20 Miles</t>
  </si>
  <si>
    <t>20（含）-30 Miles</t>
  </si>
  <si>
    <t>30（含）-40 Miles</t>
  </si>
  <si>
    <t>40（含）-50 Miles</t>
  </si>
  <si>
    <t>50（含）-60 Miles</t>
  </si>
  <si>
    <t>60（含）-70 Miles</t>
  </si>
  <si>
    <t>70（含）-80 Miles</t>
  </si>
  <si>
    <t>80（含）-100Miles</t>
  </si>
  <si>
    <t>休斯顿FBN头程</t>
  </si>
  <si>
    <t>4PX</t>
  </si>
  <si>
    <t>万邑通</t>
  </si>
  <si>
    <t>3340KG+</t>
  </si>
  <si>
    <t>20CBM+</t>
  </si>
  <si>
    <t>萨瓦纳FBN头程</t>
  </si>
  <si>
    <t>谷仓GA 31326</t>
  </si>
  <si>
    <t>乐歌SAV仓 31326</t>
  </si>
  <si>
    <t>运去哪 GA 31322</t>
  </si>
  <si>
    <t>TikTok_GA</t>
  </si>
  <si>
    <t>谷仓GA 30168</t>
  </si>
  <si>
    <t>易达云仓GA 30071</t>
  </si>
  <si>
    <t>大健云仓GA 30517</t>
  </si>
  <si>
    <t>美国反倾销系列</t>
  </si>
  <si>
    <t>Case No.</t>
  </si>
  <si>
    <t>Product</t>
  </si>
  <si>
    <t>Chinese Name</t>
  </si>
  <si>
    <t>HTSUS</t>
  </si>
  <si>
    <t>解释</t>
  </si>
  <si>
    <t>A-570-904</t>
  </si>
  <si>
    <t>Activated Carbon</t>
  </si>
  <si>
    <t>活性炭</t>
  </si>
  <si>
    <t>3802.10.00</t>
  </si>
  <si>
    <r>
      <rPr>
        <sz val="11"/>
        <color rgb="FF000000"/>
        <rFont val="宋体"/>
        <charset val="134"/>
      </rPr>
      <t>订单范围涵盖通过蒸汽或二氧化碳活化的所有形式的活性炭，无论原料、等级、混合物、添加剂、进一步洗涤或活化后化学处理（化学或水洗、化学浸渍或其他处理）</t>
    </r>
    <r>
      <rPr>
        <sz val="11"/>
        <color rgb="FF000000"/>
        <rFont val="Calibri"/>
        <charset val="134"/>
      </rPr>
      <t xml:space="preserve"> ) </t>
    </r>
    <r>
      <rPr>
        <sz val="11"/>
        <color rgb="FF000000"/>
        <rFont val="宋体"/>
        <charset val="134"/>
      </rPr>
      <t>或产品形式。该订单的范围涵盖某些活性炭的所有物理形式，包括粉末状活性炭</t>
    </r>
    <r>
      <rPr>
        <sz val="11"/>
        <color rgb="FF000000"/>
        <rFont val="Calibri"/>
        <charset val="134"/>
      </rPr>
      <t xml:space="preserve"> (“PAC”)</t>
    </r>
    <r>
      <rPr>
        <sz val="11"/>
        <color rgb="FF000000"/>
        <rFont val="宋体"/>
        <charset val="134"/>
      </rPr>
      <t>、颗粒状活性炭</t>
    </r>
    <r>
      <rPr>
        <sz val="11"/>
        <color rgb="FF000000"/>
        <rFont val="Calibri"/>
        <charset val="134"/>
      </rPr>
      <t xml:space="preserve"> (“GAC”) </t>
    </r>
    <r>
      <rPr>
        <sz val="11"/>
        <color rgb="FF000000"/>
        <rFont val="宋体"/>
        <charset val="134"/>
      </rPr>
      <t>和颗粒状活性炭。</t>
    </r>
  </si>
  <si>
    <t>A-570-104</t>
  </si>
  <si>
    <t>Alloy and Certain Carbon Steel Threaded Rod</t>
  </si>
  <si>
    <t>合金和某些碳钢螺纹杆</t>
  </si>
  <si>
    <r>
      <rPr>
        <sz val="11"/>
        <color rgb="FF000000"/>
        <rFont val="Calibri"/>
        <charset val="134"/>
      </rPr>
      <t>7318.15.5051</t>
    </r>
    <r>
      <rPr>
        <sz val="11"/>
        <color rgb="FF000000"/>
        <rFont val="宋体"/>
        <charset val="134"/>
      </rPr>
      <t>、</t>
    </r>
    <r>
      <rPr>
        <sz val="11"/>
        <color rgb="FF000000"/>
        <rFont val="Calibri"/>
        <charset val="134"/>
      </rPr>
      <t xml:space="preserve">7318.15.5056 </t>
    </r>
    <r>
      <rPr>
        <sz val="11"/>
        <color rgb="FF000000"/>
        <rFont val="宋体"/>
        <charset val="134"/>
      </rPr>
      <t>、</t>
    </r>
    <r>
      <rPr>
        <sz val="11"/>
        <color rgb="FF000000"/>
        <rFont val="Calibri"/>
        <charset val="134"/>
      </rPr>
      <t xml:space="preserve"> 7318.15.5090</t>
    </r>
    <r>
      <rPr>
        <sz val="11"/>
        <color rgb="FF000000"/>
        <rFont val="宋体"/>
        <charset val="134"/>
      </rPr>
      <t>、</t>
    </r>
    <r>
      <rPr>
        <sz val="11"/>
        <color rgb="FF000000"/>
        <rFont val="Calibri"/>
        <charset val="134"/>
      </rPr>
      <t xml:space="preserve">7318.15.2095 </t>
    </r>
    <r>
      <rPr>
        <sz val="11"/>
        <color rgb="FF000000"/>
        <rFont val="宋体"/>
        <charset val="134"/>
      </rPr>
      <t>、</t>
    </r>
    <r>
      <rPr>
        <sz val="11"/>
        <color rgb="FF000000"/>
        <rFont val="Calibri"/>
        <charset val="134"/>
      </rPr>
      <t xml:space="preserve"> 7318.19.0000</t>
    </r>
  </si>
  <si>
    <r>
      <rPr>
        <sz val="11"/>
        <color rgb="FF000000"/>
        <rFont val="宋体"/>
        <charset val="134"/>
      </rPr>
      <t>本订单范围内的商品为合金和某些碳钢螺纹杆。合金和某些碳钢螺纹杆是由碳钢或合金钢制成的某些螺纹杆、棒或螺柱，具有任何直径、任何直线长度的实心圆形横截面。合金和某些碳钢螺纹杆通常经过拉拔、冷轧、螺纹和矫直，也可以进行热轧。此外，受此订单约束的合金和某些碳钢螺纹杆、棒或螺柱是无头的，并且螺纹长度超过其实际总长度的</t>
    </r>
    <r>
      <rPr>
        <sz val="11"/>
        <color rgb="FF000000"/>
        <rFont val="Calibri"/>
        <charset val="134"/>
      </rPr>
      <t xml:space="preserve"> 25%</t>
    </r>
    <r>
      <rPr>
        <sz val="11"/>
        <color rgb="FF000000"/>
        <rFont val="宋体"/>
        <charset val="134"/>
      </rPr>
      <t>。各种饰面或涂层，例如作为临时防锈剂的普通油饰面、锌涂层（即镀锌，无论是通过电镀还是热浸）、油漆和其他类似的饰面和涂层。</t>
    </r>
    <r>
      <rPr>
        <sz val="11"/>
        <color rgb="FF000000"/>
        <rFont val="Calibri"/>
        <charset val="134"/>
      </rPr>
      <t xml:space="preserve">                                                                                                                                                                                                                        </t>
    </r>
    <r>
      <rPr>
        <sz val="11"/>
        <color rgb="FF000000"/>
        <rFont val="宋体"/>
        <charset val="134"/>
      </rPr>
      <t>标的商品包括已在第三国完成、组装或包装的符合上述描述的材料，包括通过切割、倒角、涂层或涂漆螺纹杆，将螺纹杆连接到另一产品或将其与另一产品包装在一起</t>
    </r>
    <r>
      <rPr>
        <sz val="11"/>
        <color rgb="FF000000"/>
        <rFont val="Calibri"/>
        <charset val="134"/>
      </rPr>
      <t xml:space="preserve">, </t>
    </r>
    <r>
      <rPr>
        <sz val="11"/>
        <color rgb="FF000000"/>
        <rFont val="宋体"/>
        <charset val="134"/>
      </rPr>
      <t>或任何其他精加工、组装或包装操作，如果在螺纹杆的制造国执行，则不会将商品从订单范围中删除。</t>
    </r>
    <r>
      <rPr>
        <sz val="11"/>
        <color rgb="FF000000"/>
        <rFont val="Calibri"/>
        <charset val="134"/>
      </rPr>
      <t xml:space="preserve">
</t>
    </r>
    <r>
      <rPr>
        <sz val="11"/>
        <color rgb="FF000000"/>
        <rFont val="宋体"/>
        <charset val="134"/>
      </rPr>
      <t>合金和某些碳钢螺纹杆也包括在本订单的范围内，无论是否与其他零件和附件（如螺母和垫圈）连接或结合进口。如果进口碳钢和合金钢丝杆附在或与此类非标的商品结合使用，则仅丝杆包含在范围内。</t>
    </r>
  </si>
  <si>
    <t>A-570-967</t>
  </si>
  <si>
    <t>Aluminum Extrusions</t>
  </si>
  <si>
    <t>铝型材</t>
  </si>
  <si>
    <r>
      <rPr>
        <sz val="11"/>
        <color rgb="FF000000"/>
        <rFont val="Calibri"/>
        <charset val="134"/>
      </rPr>
      <t>604.21.0000</t>
    </r>
    <r>
      <rPr>
        <sz val="11"/>
        <color rgb="FF000000"/>
        <rFont val="宋体"/>
        <charset val="134"/>
      </rPr>
      <t>、</t>
    </r>
    <r>
      <rPr>
        <sz val="11"/>
        <color rgb="FF000000"/>
        <rFont val="Calibri"/>
        <charset val="134"/>
      </rPr>
      <t>7604.29.1000</t>
    </r>
    <r>
      <rPr>
        <sz val="11"/>
        <color rgb="FF000000"/>
        <rFont val="宋体"/>
        <charset val="134"/>
      </rPr>
      <t>、</t>
    </r>
    <r>
      <rPr>
        <sz val="11"/>
        <color rgb="FF000000"/>
        <rFont val="Calibri"/>
        <charset val="134"/>
      </rPr>
      <t>7604.29.3010</t>
    </r>
    <r>
      <rPr>
        <sz val="11"/>
        <color rgb="FF000000"/>
        <rFont val="宋体"/>
        <charset val="134"/>
      </rPr>
      <t>、</t>
    </r>
    <r>
      <rPr>
        <sz val="11"/>
        <color rgb="FF000000"/>
        <rFont val="Calibri"/>
        <charset val="134"/>
      </rPr>
      <t>7604.29.3050</t>
    </r>
    <r>
      <rPr>
        <sz val="11"/>
        <color rgb="FF000000"/>
        <rFont val="宋体"/>
        <charset val="134"/>
      </rPr>
      <t>、</t>
    </r>
    <r>
      <rPr>
        <sz val="11"/>
        <color rgb="FF000000"/>
        <rFont val="Calibri"/>
        <charset val="134"/>
      </rPr>
      <t>7604.29.5030</t>
    </r>
    <r>
      <rPr>
        <sz val="11"/>
        <color rgb="FF000000"/>
        <rFont val="宋体"/>
        <charset val="134"/>
      </rPr>
      <t>、</t>
    </r>
    <r>
      <rPr>
        <sz val="11"/>
        <color rgb="FF000000"/>
        <rFont val="Calibri"/>
        <charset val="134"/>
      </rPr>
      <t xml:space="preserve">7604.29.5060 </t>
    </r>
    <r>
      <rPr>
        <sz val="11"/>
        <color rgb="FF000000"/>
        <rFont val="宋体"/>
        <charset val="134"/>
      </rPr>
      <t>、</t>
    </r>
    <r>
      <rPr>
        <sz val="11"/>
        <color rgb="FF000000"/>
        <rFont val="Calibri"/>
        <charset val="134"/>
      </rPr>
      <t xml:space="preserve">7608.20.0030 </t>
    </r>
    <r>
      <rPr>
        <sz val="11"/>
        <color rgb="FF000000"/>
        <rFont val="宋体"/>
        <charset val="134"/>
      </rPr>
      <t>、</t>
    </r>
    <r>
      <rPr>
        <sz val="11"/>
        <color rgb="FF000000"/>
        <rFont val="Calibri"/>
        <charset val="134"/>
      </rPr>
      <t>7608.20.0090</t>
    </r>
    <r>
      <rPr>
        <sz val="11"/>
        <color rgb="FF000000"/>
        <rFont val="宋体"/>
        <charset val="134"/>
      </rPr>
      <t>、</t>
    </r>
    <r>
      <rPr>
        <sz val="11"/>
        <color rgb="FF000000"/>
        <rFont val="Calibri"/>
        <charset val="134"/>
      </rPr>
      <t>7610.10</t>
    </r>
    <r>
      <rPr>
        <sz val="11"/>
        <color rgb="FF000000"/>
        <rFont val="宋体"/>
        <charset val="134"/>
      </rPr>
      <t>、</t>
    </r>
    <r>
      <rPr>
        <sz val="11"/>
        <color rgb="FF000000"/>
        <rFont val="Calibri"/>
        <charset val="134"/>
      </rPr>
      <t>7610.90</t>
    </r>
    <r>
      <rPr>
        <sz val="11"/>
        <color rgb="FF000000"/>
        <rFont val="宋体"/>
        <charset val="134"/>
      </rPr>
      <t>、</t>
    </r>
    <r>
      <rPr>
        <sz val="11"/>
        <color rgb="FF000000"/>
        <rFont val="Calibri"/>
        <charset val="134"/>
      </rPr>
      <t>7615.19</t>
    </r>
    <r>
      <rPr>
        <sz val="11"/>
        <color rgb="FF000000"/>
        <rFont val="宋体"/>
        <charset val="134"/>
      </rPr>
      <t>、</t>
    </r>
    <r>
      <rPr>
        <sz val="11"/>
        <color rgb="FF000000"/>
        <rFont val="Calibri"/>
        <charset val="134"/>
      </rPr>
      <t xml:space="preserve">7615.20  </t>
    </r>
    <r>
      <rPr>
        <sz val="11"/>
        <color rgb="FF000000"/>
        <rFont val="宋体"/>
        <charset val="134"/>
      </rPr>
      <t>、</t>
    </r>
    <r>
      <rPr>
        <sz val="11"/>
        <color rgb="FF000000"/>
        <rFont val="Calibri"/>
        <charset val="134"/>
      </rPr>
      <t xml:space="preserve"> 7616.99</t>
    </r>
    <r>
      <rPr>
        <sz val="11"/>
        <color rgb="FF000000"/>
        <rFont val="宋体"/>
        <charset val="134"/>
      </rPr>
      <t>、</t>
    </r>
    <r>
      <rPr>
        <sz val="11"/>
        <color rgb="FF000000"/>
        <rFont val="Calibri"/>
        <charset val="134"/>
      </rPr>
      <t xml:space="preserve">8418.99.80.50  </t>
    </r>
    <r>
      <rPr>
        <sz val="11"/>
        <color rgb="FF000000"/>
        <rFont val="宋体"/>
        <charset val="134"/>
      </rPr>
      <t>、</t>
    </r>
    <r>
      <rPr>
        <sz val="11"/>
        <color rgb="FF000000"/>
        <rFont val="Calibri"/>
        <charset val="134"/>
      </rPr>
      <t xml:space="preserve"> 8418.99.80.60</t>
    </r>
  </si>
  <si>
    <t>该订单涵盖的商品是铝挤压件，其形状和形状是通过挤压工艺生产的，由铝合金制成，其金属元素对应于铝业协会公布的合金系列名称，从数字 1、3 和 6 开始（或专有等效物或其他认证机构等效物）。                                     铝型材以各种形状和形式生产和进口，包括但不限于空心型材、其他实心型材、管材、管材、棒材和棒材。在挤压之后拉制的铝型材（“拉制铝”）也包括在范围内。                                                                                不限于窗框、门框、太阳能电池板、幕墙或家具。其他符合铝型材定义的零件都包括在范围内。该范围包括连接（例如，通过焊接或紧固件）以形成子组件的铝挤压部件，即部分组装的商品，除非作为成品套件的一部分进口，否则将在下文进一步定义。该范围不包括子组件或主题套件的非铝挤压部件。
可以参考其最终用途来识别主题挤压件，例如栅栏柱、电线导管、门门槛、地毯装饰或散热器（不符合以下成品散热器排除语言）。如果此类商品在其他方面符合范围定义，则无论它们在进口时是否准备好使用，都属于标的商品。</t>
  </si>
  <si>
    <t>A-570-053</t>
  </si>
  <si>
    <t>Aluminum Foil</t>
  </si>
  <si>
    <t>铝箔</t>
  </si>
  <si>
    <r>
      <rPr>
        <sz val="11"/>
        <color rgb="FF000000"/>
        <rFont val="Calibri"/>
        <charset val="134"/>
      </rPr>
      <t>7607.11.3000</t>
    </r>
    <r>
      <rPr>
        <sz val="11"/>
        <color rgb="FF000000"/>
        <rFont val="宋体"/>
        <charset val="134"/>
      </rPr>
      <t>、</t>
    </r>
    <r>
      <rPr>
        <sz val="11"/>
        <color rgb="FF000000"/>
        <rFont val="Calibri"/>
        <charset val="134"/>
      </rPr>
      <t>7607.11.6000</t>
    </r>
    <r>
      <rPr>
        <sz val="11"/>
        <color rgb="FF000000"/>
        <rFont val="宋体"/>
        <charset val="134"/>
      </rPr>
      <t>、</t>
    </r>
    <r>
      <rPr>
        <sz val="11"/>
        <color rgb="FF000000"/>
        <rFont val="Calibri"/>
        <charset val="134"/>
      </rPr>
      <t>7607.11.9030</t>
    </r>
    <r>
      <rPr>
        <sz val="11"/>
        <color rgb="FF000000"/>
        <rFont val="宋体"/>
        <charset val="134"/>
      </rPr>
      <t>、</t>
    </r>
    <r>
      <rPr>
        <sz val="11"/>
        <color rgb="FF000000"/>
        <rFont val="Calibri"/>
        <charset val="134"/>
      </rPr>
      <t>7607.11.9060</t>
    </r>
    <r>
      <rPr>
        <sz val="11"/>
        <color rgb="FF000000"/>
        <rFont val="宋体"/>
        <charset val="134"/>
      </rPr>
      <t>、</t>
    </r>
    <r>
      <rPr>
        <sz val="11"/>
        <color rgb="FF000000"/>
        <rFont val="Calibri"/>
        <charset val="134"/>
      </rPr>
      <t xml:space="preserve">7607.11.9090  </t>
    </r>
    <r>
      <rPr>
        <sz val="11"/>
        <color rgb="FF000000"/>
        <rFont val="宋体"/>
        <charset val="134"/>
      </rPr>
      <t>、</t>
    </r>
    <r>
      <rPr>
        <sz val="11"/>
        <color rgb="FF000000"/>
        <rFont val="Calibri"/>
        <charset val="134"/>
      </rPr>
      <t xml:space="preserve"> 7607.19.6000</t>
    </r>
    <r>
      <rPr>
        <sz val="11"/>
        <color rgb="FF000000"/>
        <rFont val="宋体"/>
        <charset val="134"/>
      </rPr>
      <t>、</t>
    </r>
    <r>
      <rPr>
        <sz val="11"/>
        <color rgb="FF000000"/>
        <rFont val="Calibri"/>
        <charset val="134"/>
      </rPr>
      <t>7606.11.3060</t>
    </r>
    <r>
      <rPr>
        <sz val="11"/>
        <color rgb="FF000000"/>
        <rFont val="宋体"/>
        <charset val="134"/>
      </rPr>
      <t>、</t>
    </r>
    <r>
      <rPr>
        <sz val="11"/>
        <color rgb="FF000000"/>
        <rFont val="Calibri"/>
        <charset val="134"/>
      </rPr>
      <t>7606.11.6000</t>
    </r>
    <r>
      <rPr>
        <sz val="11"/>
        <color rgb="FF000000"/>
        <rFont val="宋体"/>
        <charset val="134"/>
      </rPr>
      <t>、</t>
    </r>
    <r>
      <rPr>
        <sz val="11"/>
        <color rgb="FF000000"/>
        <rFont val="Calibri"/>
        <charset val="134"/>
      </rPr>
      <t>7606.12.3045</t>
    </r>
    <r>
      <rPr>
        <sz val="11"/>
        <color rgb="FF000000"/>
        <rFont val="宋体"/>
        <charset val="134"/>
      </rPr>
      <t>、</t>
    </r>
    <r>
      <rPr>
        <sz val="11"/>
        <color rgb="FF000000"/>
        <rFont val="Calibri"/>
        <charset val="134"/>
      </rPr>
      <t>7606.12.3055</t>
    </r>
    <r>
      <rPr>
        <sz val="11"/>
        <color rgb="FF000000"/>
        <rFont val="宋体"/>
        <charset val="134"/>
      </rPr>
      <t>、</t>
    </r>
    <r>
      <rPr>
        <sz val="11"/>
        <color rgb="FF000000"/>
        <rFont val="Calibri"/>
        <charset val="134"/>
      </rPr>
      <t>7606.12.3090</t>
    </r>
    <r>
      <rPr>
        <sz val="11"/>
        <color rgb="FF000000"/>
        <rFont val="宋体"/>
        <charset val="134"/>
      </rPr>
      <t>、</t>
    </r>
    <r>
      <rPr>
        <sz val="11"/>
        <color rgb="FF000000"/>
        <rFont val="Calibri"/>
        <charset val="134"/>
      </rPr>
      <t>7606.12.6000</t>
    </r>
    <r>
      <rPr>
        <sz val="11"/>
        <color rgb="FF000000"/>
        <rFont val="宋体"/>
        <charset val="134"/>
      </rPr>
      <t>、</t>
    </r>
    <r>
      <rPr>
        <sz val="11"/>
        <color rgb="FF000000"/>
        <rFont val="Calibri"/>
        <charset val="134"/>
      </rPr>
      <t xml:space="preserve">7606.91.3090 </t>
    </r>
    <r>
      <rPr>
        <sz val="11"/>
        <color rgb="FF000000"/>
        <rFont val="宋体"/>
        <charset val="134"/>
      </rPr>
      <t>、</t>
    </r>
    <r>
      <rPr>
        <sz val="11"/>
        <color rgb="FF000000"/>
        <rFont val="Calibri"/>
        <charset val="134"/>
      </rPr>
      <t>7606.91.6080</t>
    </r>
    <r>
      <rPr>
        <sz val="11"/>
        <color rgb="FF000000"/>
        <rFont val="宋体"/>
        <charset val="134"/>
      </rPr>
      <t>、</t>
    </r>
    <r>
      <rPr>
        <sz val="11"/>
        <color rgb="FF000000"/>
        <rFont val="Calibri"/>
        <charset val="134"/>
      </rPr>
      <t xml:space="preserve">7606.92.3090 </t>
    </r>
    <r>
      <rPr>
        <sz val="11"/>
        <color rgb="FF000000"/>
        <rFont val="宋体"/>
        <charset val="134"/>
      </rPr>
      <t>、</t>
    </r>
    <r>
      <rPr>
        <sz val="11"/>
        <color rgb="FF000000"/>
        <rFont val="Calibri"/>
        <charset val="134"/>
      </rPr>
      <t xml:space="preserve"> 7606.92.6080</t>
    </r>
  </si>
  <si>
    <r>
      <rPr>
        <sz val="11"/>
        <color rgb="FF000000"/>
        <rFont val="宋体"/>
        <charset val="134"/>
      </rPr>
      <t>此订单涵盖的商品是厚度为</t>
    </r>
    <r>
      <rPr>
        <sz val="11"/>
        <color rgb="FF000000"/>
        <rFont val="Calibri"/>
        <charset val="134"/>
      </rPr>
      <t xml:space="preserve"> 0.2 </t>
    </r>
    <r>
      <rPr>
        <sz val="11"/>
        <color rgb="FF000000"/>
        <rFont val="宋体"/>
        <charset val="134"/>
      </rPr>
      <t>毫米或更小的铝箔，卷装超过</t>
    </r>
    <r>
      <rPr>
        <sz val="11"/>
        <color rgb="FF000000"/>
        <rFont val="Calibri"/>
        <charset val="134"/>
      </rPr>
      <t xml:space="preserve"> 25 </t>
    </r>
    <r>
      <rPr>
        <sz val="11"/>
        <color rgb="FF000000"/>
        <rFont val="宋体"/>
        <charset val="134"/>
      </rPr>
      <t>磅，无论宽度如何。铝箔由含有</t>
    </r>
    <r>
      <rPr>
        <sz val="11"/>
        <color rgb="FF000000"/>
        <rFont val="Calibri"/>
        <charset val="134"/>
      </rPr>
      <t xml:space="preserve"> 92% </t>
    </r>
    <r>
      <rPr>
        <sz val="11"/>
        <color rgb="FF000000"/>
        <rFont val="宋体"/>
        <charset val="134"/>
      </rPr>
      <t>以上铝的铝合金制成。铝箔可以按照</t>
    </r>
    <r>
      <rPr>
        <sz val="11"/>
        <color rgb="FF000000"/>
        <rFont val="Calibri"/>
        <charset val="134"/>
      </rPr>
      <t xml:space="preserve"> ASTM </t>
    </r>
    <r>
      <rPr>
        <sz val="11"/>
        <color rgb="FF000000"/>
        <rFont val="宋体"/>
        <charset val="134"/>
      </rPr>
      <t>规范</t>
    </r>
    <r>
      <rPr>
        <sz val="11"/>
        <color rgb="FF000000"/>
        <rFont val="Calibri"/>
        <charset val="134"/>
      </rPr>
      <t xml:space="preserve"> ASTM B479 </t>
    </r>
    <r>
      <rPr>
        <sz val="11"/>
        <color rgb="FF000000"/>
        <rFont val="宋体"/>
        <charset val="134"/>
      </rPr>
      <t>制造，但也可以按照其他规范制造。然而，无论规格如何，所有符合范围描述的铝箔都包括在范围内，包括已在箔的一侧或两侧施加润滑剂的铝箔。</t>
    </r>
  </si>
  <si>
    <t>A-570-095</t>
  </si>
  <si>
    <t>Aluminum Wire and Cable</t>
  </si>
  <si>
    <t>铝电线电缆</t>
  </si>
  <si>
    <r>
      <rPr>
        <sz val="11"/>
        <color rgb="FF000000"/>
        <rFont val="Calibri"/>
        <charset val="134"/>
      </rPr>
      <t>8544.49.9000</t>
    </r>
    <r>
      <rPr>
        <sz val="11"/>
        <color rgb="FF000000"/>
        <rFont val="宋体"/>
        <charset val="134"/>
      </rPr>
      <t>、</t>
    </r>
    <r>
      <rPr>
        <sz val="11"/>
        <color rgb="FF000000"/>
        <rFont val="Calibri"/>
        <charset val="134"/>
      </rPr>
      <t>8544.42.9090</t>
    </r>
  </si>
  <si>
    <r>
      <rPr>
        <sz val="11"/>
        <color rgb="FF000000"/>
        <rFont val="宋体"/>
        <charset val="134"/>
      </rPr>
      <t>该订单的范围包括铝电线和电缆，该组件可以：</t>
    </r>
    <r>
      <rPr>
        <sz val="11"/>
        <color rgb="FF000000"/>
        <rFont val="Calibri"/>
        <charset val="134"/>
      </rPr>
      <t xml:space="preserve"> (1) </t>
    </r>
    <r>
      <rPr>
        <sz val="11"/>
        <color rgb="FF000000"/>
        <rFont val="宋体"/>
        <charset val="134"/>
      </rPr>
      <t>包括接地或中性导体；</t>
    </r>
    <r>
      <rPr>
        <sz val="11"/>
        <color rgb="FF000000"/>
        <rFont val="Calibri"/>
        <charset val="134"/>
      </rPr>
      <t xml:space="preserve">(2) </t>
    </r>
    <r>
      <rPr>
        <sz val="11"/>
        <color rgb="FF000000"/>
        <rFont val="宋体"/>
        <charset val="134"/>
      </rPr>
      <t>包覆铝、钢或其他贱金属；</t>
    </r>
  </si>
  <si>
    <t>A-570-049</t>
  </si>
  <si>
    <t>Ammonium Sulfate</t>
  </si>
  <si>
    <t>硫酸铵</t>
  </si>
  <si>
    <t>3102.21.0000</t>
  </si>
  <si>
    <t>范围包括与其他产品组合的硫酸铵，包括例如通过混合（即，将硫酸铵颗粒与一种或多种其他产品的颗粒混合）、复合（即，当硫酸铵与一种或多种高压下的其他产品），或造粒（通过例如浆料工艺将多种产品结合成颗粒）。对于此类组合产品，这些订单范围仅涵盖硫酸铵成分。
与其他产品混合使用的硫酸铵，无论是否发生在中国以外的国家，均包含在该范围内。</t>
  </si>
  <si>
    <t>A-570-899</t>
  </si>
  <si>
    <t>Artist Canvas</t>
  </si>
  <si>
    <t>艺术家画布</t>
  </si>
  <si>
    <r>
      <rPr>
        <sz val="11"/>
        <color rgb="FF000000"/>
        <rFont val="Calibri"/>
        <charset val="134"/>
      </rPr>
      <t xml:space="preserve">5901.90.20.00  </t>
    </r>
    <r>
      <rPr>
        <sz val="11"/>
        <color rgb="FF000000"/>
        <rFont val="宋体"/>
        <charset val="134"/>
      </rPr>
      <t>、</t>
    </r>
    <r>
      <rPr>
        <sz val="11"/>
        <color rgb="FF000000"/>
        <rFont val="Calibri"/>
        <charset val="134"/>
      </rPr>
      <t>5901.90.40.00</t>
    </r>
  </si>
  <si>
    <t>此订单所涵盖的产品是艺术家画布，无论尺寸和*或尺寸，无论是否组装，是否已上底漆*涂层，无论是否由棉制成，无论是否存档，是否漂白或未漂白，以及是否包含吸墨面漆。底漆*涂层包括溶液的应用，旨在促进艺术家材料（如油漆或墨水）对织物的附着力。艺术家画布（即预拉伸画布、画布面板、画布垫、画布卷（包括已涂底漆的散装卷）、可印刷画布、地板布和餐垫）是紧密编织的准备绘画和*或印刷表面。</t>
  </si>
  <si>
    <t>A-570-880</t>
  </si>
  <si>
    <t>Barium Carbonate</t>
  </si>
  <si>
    <t>碳酸钡</t>
  </si>
  <si>
    <t>2836.60.0000</t>
  </si>
  <si>
    <t>本订单所涵盖的商品为碳酸钡，不分形式或等级</t>
  </si>
  <si>
    <t>A-570-007</t>
  </si>
  <si>
    <t>Barium Chloride</t>
  </si>
  <si>
    <t>氯化钡</t>
  </si>
  <si>
    <t>2827.39.45.00</t>
  </si>
  <si>
    <t>该订单涵盖的商品是氯化钡，一种化学式为 BaCl2 或 BaCl2-2H2O 的化合物，</t>
  </si>
  <si>
    <t>A-570-018</t>
  </si>
  <si>
    <t>Boltless Steel Shelving Units Prepackaged for sale</t>
  </si>
  <si>
    <t>预包装出售的无螺栓钢搁架单元</t>
  </si>
  <si>
    <r>
      <rPr>
        <sz val="11"/>
        <color rgb="FF000000"/>
        <rFont val="Calibri"/>
        <charset val="134"/>
      </rPr>
      <t>9403.20.0018</t>
    </r>
    <r>
      <rPr>
        <sz val="11"/>
        <color rgb="FF000000"/>
        <rFont val="宋体"/>
        <charset val="134"/>
      </rPr>
      <t>、</t>
    </r>
    <r>
      <rPr>
        <sz val="11"/>
        <color rgb="FF000000"/>
        <rFont val="Calibri"/>
        <charset val="134"/>
      </rPr>
      <t>9403.20.0020</t>
    </r>
    <r>
      <rPr>
        <sz val="11"/>
        <color rgb="FF000000"/>
        <rFont val="宋体"/>
        <charset val="134"/>
      </rPr>
      <t>、</t>
    </r>
    <r>
      <rPr>
        <sz val="11"/>
        <color rgb="FF000000"/>
        <rFont val="Calibri"/>
        <charset val="134"/>
      </rPr>
      <t xml:space="preserve">9403.20.0025  </t>
    </r>
    <r>
      <rPr>
        <sz val="11"/>
        <color rgb="FF000000"/>
        <rFont val="宋体"/>
        <charset val="134"/>
      </rPr>
      <t>、</t>
    </r>
    <r>
      <rPr>
        <sz val="11"/>
        <color rgb="FF000000"/>
        <rFont val="Calibri"/>
        <charset val="134"/>
      </rPr>
      <t xml:space="preserve"> 9403.20.0026 </t>
    </r>
    <r>
      <rPr>
        <sz val="11"/>
        <color rgb="FF000000"/>
        <rFont val="宋体"/>
        <charset val="134"/>
      </rPr>
      <t>、</t>
    </r>
    <r>
      <rPr>
        <sz val="11"/>
        <color rgb="FF000000"/>
        <rFont val="Calibri"/>
        <charset val="134"/>
      </rPr>
      <t xml:space="preserve"> 9403.10.0040</t>
    </r>
  </si>
  <si>
    <t>本订单涵盖的商品是预包装出售的无螺栓钢货架单元，带或不带甲板（“无螺栓钢货架”）。                                                                                                                                           范围包括所有符合上述描述的无螺栓钢货架，无论（1）垂直支撑或立柱类型（包括但不限于开放式立柱、封闭式立柱和管道）；（2）水平支撑或梁*支撑型材（包括但不限于Z型梁、C型梁、L型梁、台阶梁和货架）；(3) 支座数量；（4）表面涂层（包括但不限于油漆、环氧树脂、粉末涂料、锌等金属涂层）；(5) 层数；(6) 承重能力；（7）形状（包括但不限于矩形、正方形、角单元）；(8) 铺面材料（包括但不限于金属丝铺面、刨花板、层压板或根本没有铺面）；(9) 垂直和水平支撑连接的无螺栓方法（包括但不限于锁孔和铆钉、槽和凸片，</t>
  </si>
  <si>
    <t>A-570-008</t>
  </si>
  <si>
    <t>Calcium Hypochlorite</t>
  </si>
  <si>
    <t>次氯酸钙</t>
  </si>
  <si>
    <r>
      <rPr>
        <sz val="11"/>
        <color rgb="FF000000"/>
        <rFont val="Calibri"/>
        <charset val="134"/>
      </rPr>
      <t>2828.10.0000</t>
    </r>
    <r>
      <rPr>
        <sz val="11"/>
        <color rgb="FF000000"/>
        <rFont val="宋体"/>
        <charset val="134"/>
      </rPr>
      <t>、</t>
    </r>
    <r>
      <rPr>
        <sz val="11"/>
        <color rgb="FF000000"/>
        <rFont val="Calibri"/>
        <charset val="134"/>
      </rPr>
      <t xml:space="preserve">3808.94.5000 </t>
    </r>
    <r>
      <rPr>
        <sz val="11"/>
        <color rgb="FF000000"/>
        <rFont val="宋体"/>
        <charset val="134"/>
      </rPr>
      <t>、</t>
    </r>
    <r>
      <rPr>
        <sz val="11"/>
        <color rgb="FF000000"/>
        <rFont val="Calibri"/>
        <charset val="134"/>
      </rPr>
      <t xml:space="preserve"> 3808.99.9500</t>
    </r>
  </si>
  <si>
    <t>本订单涵盖的产品是次氯酸钙，无论其形式如何（例如，粉末、片剂（压缩）、结晶（颗粒）或液体溶液），无论是否与其他材料混合，均含有至少 10% 的有效氯按实际重量。范围还包括漂白粉和半碱式次氯酸钙。次氯酸钙的一般化学配方为 Ca(OCl)2，但也可以以更稀释的形式作为漂白粉与化学配方</t>
  </si>
  <si>
    <t>A-570-892</t>
  </si>
  <si>
    <t>Carbazole Violet Pigment 23</t>
  </si>
  <si>
    <r>
      <rPr>
        <sz val="11"/>
        <color rgb="FF000000"/>
        <rFont val="宋体"/>
        <charset val="134"/>
      </rPr>
      <t>咔唑紫颜料</t>
    </r>
    <r>
      <rPr>
        <sz val="11"/>
        <color rgb="FF000000"/>
        <rFont val="Calibri"/>
        <charset val="134"/>
      </rPr>
      <t xml:space="preserve"> 23</t>
    </r>
  </si>
  <si>
    <t>3204.17.9040</t>
  </si>
  <si>
    <t>本次反倾销税商品为咔唑紫颜料 23，标识为颜色索引号 51319 和化学文摘号 6358-30-1，化学名称为 diindolo [3,2-b:3',2'- m] 三苯并二恶嗪、8,18-二氯-5、15-二乙基-5、15-二氢-，分子式为C34H22Cl2N4O2。（脚注1）标的商品包括任何形式的粗颜料（如干粉、糊状） ，湿饼）和成品颜料以压饼和干色的形式。</t>
  </si>
  <si>
    <t>A-570-012</t>
  </si>
  <si>
    <t>Carbon And Certain Alloy Steel Wire Rod</t>
  </si>
  <si>
    <t>碳素及某些合金钢线材</t>
  </si>
  <si>
    <r>
      <rPr>
        <sz val="11"/>
        <color rgb="FF000000"/>
        <rFont val="Calibri"/>
        <charset val="134"/>
      </rPr>
      <t>7213.91.3011</t>
    </r>
    <r>
      <rPr>
        <sz val="11"/>
        <color rgb="FF000000"/>
        <rFont val="宋体"/>
        <charset val="134"/>
      </rPr>
      <t>、</t>
    </r>
    <r>
      <rPr>
        <sz val="11"/>
        <color rgb="FF000000"/>
        <rFont val="Calibri"/>
        <charset val="134"/>
      </rPr>
      <t>7213.91.3015</t>
    </r>
    <r>
      <rPr>
        <sz val="11"/>
        <color rgb="FF000000"/>
        <rFont val="宋体"/>
        <charset val="134"/>
      </rPr>
      <t>、</t>
    </r>
    <r>
      <rPr>
        <sz val="11"/>
        <color rgb="FF000000"/>
        <rFont val="Calibri"/>
        <charset val="134"/>
      </rPr>
      <t>7213.91.3020</t>
    </r>
    <r>
      <rPr>
        <sz val="11"/>
        <color rgb="FF000000"/>
        <rFont val="宋体"/>
        <charset val="134"/>
      </rPr>
      <t>、</t>
    </r>
    <r>
      <rPr>
        <sz val="11"/>
        <color rgb="FF000000"/>
        <rFont val="Calibri"/>
        <charset val="134"/>
      </rPr>
      <t>7213.91.3093</t>
    </r>
    <r>
      <rPr>
        <sz val="11"/>
        <color rgb="FF000000"/>
        <rFont val="宋体"/>
        <charset val="134"/>
      </rPr>
      <t>；</t>
    </r>
    <r>
      <rPr>
        <sz val="11"/>
        <color rgb="FF000000"/>
        <rFont val="Calibri"/>
        <charset val="134"/>
      </rPr>
      <t>7213.91.4500</t>
    </r>
    <r>
      <rPr>
        <sz val="11"/>
        <color rgb="FF000000"/>
        <rFont val="宋体"/>
        <charset val="134"/>
      </rPr>
      <t>、</t>
    </r>
    <r>
      <rPr>
        <sz val="11"/>
        <color rgb="FF000000"/>
        <rFont val="Calibri"/>
        <charset val="134"/>
      </rPr>
      <t>7213.91.6000</t>
    </r>
    <r>
      <rPr>
        <sz val="11"/>
        <color rgb="FF000000"/>
        <rFont val="宋体"/>
        <charset val="134"/>
      </rPr>
      <t>、</t>
    </r>
    <r>
      <rPr>
        <sz val="11"/>
        <color rgb="FF000000"/>
        <rFont val="Calibri"/>
        <charset val="134"/>
      </rPr>
      <t>7213.99.0030</t>
    </r>
    <r>
      <rPr>
        <sz val="11"/>
        <color rgb="FF000000"/>
        <rFont val="宋体"/>
        <charset val="134"/>
      </rPr>
      <t>、</t>
    </r>
    <r>
      <rPr>
        <sz val="11"/>
        <color rgb="FF000000"/>
        <rFont val="Calibri"/>
        <charset val="134"/>
      </rPr>
      <t>7227.20.0030</t>
    </r>
    <r>
      <rPr>
        <sz val="11"/>
        <color rgb="FF000000"/>
        <rFont val="宋体"/>
        <charset val="134"/>
      </rPr>
      <t>、</t>
    </r>
    <r>
      <rPr>
        <sz val="11"/>
        <color rgb="FF000000"/>
        <rFont val="Calibri"/>
        <charset val="134"/>
      </rPr>
      <t>7227.20.0080</t>
    </r>
    <r>
      <rPr>
        <sz val="11"/>
        <color rgb="FF000000"/>
        <rFont val="宋体"/>
        <charset val="134"/>
      </rPr>
      <t>、</t>
    </r>
    <r>
      <rPr>
        <sz val="11"/>
        <color rgb="FF000000"/>
        <rFont val="Calibri"/>
        <charset val="134"/>
      </rPr>
      <t>7227.90.6010</t>
    </r>
    <r>
      <rPr>
        <sz val="11"/>
        <color rgb="FF000000"/>
        <rFont val="宋体"/>
        <charset val="134"/>
      </rPr>
      <t>、</t>
    </r>
    <r>
      <rPr>
        <sz val="11"/>
        <color rgb="FF000000"/>
        <rFont val="Calibri"/>
        <charset val="134"/>
      </rPr>
      <t>7227.90.6020</t>
    </r>
    <r>
      <rPr>
        <sz val="11"/>
        <color rgb="FF000000"/>
        <rFont val="宋体"/>
        <charset val="134"/>
      </rPr>
      <t>、</t>
    </r>
    <r>
      <rPr>
        <sz val="11"/>
        <color rgb="FF000000"/>
        <rFont val="Calibri"/>
        <charset val="134"/>
      </rPr>
      <t xml:space="preserve">7227.90.6030 </t>
    </r>
    <r>
      <rPr>
        <sz val="11"/>
        <color rgb="FF000000"/>
        <rFont val="宋体"/>
        <charset val="134"/>
      </rPr>
      <t>、</t>
    </r>
    <r>
      <rPr>
        <sz val="11"/>
        <color rgb="FF000000"/>
        <rFont val="Calibri"/>
        <charset val="134"/>
      </rPr>
      <t xml:space="preserve"> 7227.90.6035</t>
    </r>
    <r>
      <rPr>
        <sz val="11"/>
        <color rgb="FF000000"/>
        <rFont val="宋体"/>
        <charset val="134"/>
      </rPr>
      <t>、</t>
    </r>
    <r>
      <rPr>
        <sz val="11"/>
        <color rgb="FF000000"/>
        <rFont val="Calibri"/>
        <charset val="134"/>
      </rPr>
      <t xml:space="preserve"> 7213.99.0090 </t>
    </r>
    <r>
      <rPr>
        <sz val="11"/>
        <color rgb="FF000000"/>
        <rFont val="宋体"/>
        <charset val="134"/>
      </rPr>
      <t>、</t>
    </r>
    <r>
      <rPr>
        <sz val="11"/>
        <color rgb="FF000000"/>
        <rFont val="Calibri"/>
        <charset val="134"/>
      </rPr>
      <t xml:space="preserve"> 7227.90.6090</t>
    </r>
  </si>
  <si>
    <t>该订单的范围包括碳钢和合金钢的某些热轧产品，成卷，横截面近似圆形，实际实心横截面直径小于 19.00 毫米。</t>
  </si>
  <si>
    <t>A-570-814</t>
  </si>
  <si>
    <t>Carbon Steel Butt-Weld Pipe Fittings</t>
  </si>
  <si>
    <t>碳钢对焊管件</t>
  </si>
  <si>
    <t>7307.93.90</t>
  </si>
  <si>
    <t>碳钢对焊管件，内径小于 14 英寸，以成品或未成品形式进口。这些成型或锻造的管件用于连接管道系统中需要永久焊接连接的部分，这与基于其他紧固方法的管件（例如螺纹、开槽或螺栓管件）不同。</t>
  </si>
  <si>
    <t>A-570-055</t>
  </si>
  <si>
    <t>Carton Closing Staples</t>
  </si>
  <si>
    <t>纸箱封口钉</t>
  </si>
  <si>
    <r>
      <rPr>
        <sz val="11"/>
        <color rgb="FF000000"/>
        <rFont val="Calibri"/>
        <charset val="134"/>
      </rPr>
      <t xml:space="preserve">8305.20.00.00 </t>
    </r>
    <r>
      <rPr>
        <sz val="11"/>
        <color rgb="FF000000"/>
        <rFont val="宋体"/>
        <charset val="134"/>
      </rPr>
      <t>、</t>
    </r>
    <r>
      <rPr>
        <sz val="11"/>
        <color rgb="FF000000"/>
        <rFont val="Calibri"/>
        <charset val="134"/>
      </rPr>
      <t xml:space="preserve"> 7317.00.65.60</t>
    </r>
  </si>
  <si>
    <t>此订单涵盖的商品是纸箱封口订书钉。纸箱闭合订书钉可以由碳、合金或不锈钢丝制成，并且无论它们是未涂层还是涂层，无论涂层类型如何，都包括在调查范围内。                   纸箱闭合订书钉通常按照美国材料与试验协会 (ASTM) 规范 ASTM D1974*D1974M-16 制造，但也可以按照其他规范制造。然而，无论规格如何，所有符合范围描述的纸盒闭合订书钉都包括在范围内。纸箱闭合订书钉包括通常称为订书钉条的棒状订书钉产品和通常称为卷的卷式订书钉产品。棒状订书钉轻轻粘合或涂漆在一起，以方便处理和装入订书机。卷钉沿着它们的冠部用胶带粘在一起。无论是棒状还是卷状进口的纸箱闭合订书钉都被覆盖。</t>
  </si>
  <si>
    <t>A-570-827</t>
  </si>
  <si>
    <t>Cased Pencils</t>
  </si>
  <si>
    <t>盒装铅笔</t>
  </si>
  <si>
    <t>9609.10.00</t>
  </si>
  <si>
    <t>本次调查涉及的产品是任何形状或尺寸的某些带壳铅笔，它们是书写和*或绘图工具，具有石墨或其他材料的芯，包裹在木材和*或人造材料中，无论是否装饰，是否不以任何方式倾斜（例如，用橡皮擦等），并且锐化或不锐化。</t>
  </si>
  <si>
    <t>A-570-079</t>
  </si>
  <si>
    <t>Cast Iron Soil Pipe</t>
  </si>
  <si>
    <t>铸铁土管</t>
  </si>
  <si>
    <t>7303.00.0030</t>
  </si>
  <si>
    <t>该订单涵盖的商品是铸铁土管，无论是成品还是未成品，无论行业或专有规格如何，也无论壁厚、长度、直径、表面光洁度、端部光洁度或模板。该订单的范围包括但不限于无轮毂和轮毂和插口铸铁土管。铸铁土管是各种设计和尺寸的不可锻铸铁管。铸铁土壤管与其他类型的不可锻铸铁管的区别通常在于它与铸铁土壤管配件的连接方式。                                    铸铁土管分为无轮毂和轮毂套管两大类。无轮毂铸铁土管是在没有轮毂的情况下制造的，通常符合铸铁土管协会 (CISPI) 规范 301 和*或美国测试与材料协会 (ASTM) 规范 A888，包括对这些规范的任何修订。集线器和插口管具有一个或多个集线器，管件的插口（平端）插入其中。所有符合上述物理描述的管道都包含在本订单的范围内，无论是否根据特定标准生产。</t>
  </si>
  <si>
    <t>A-570-062</t>
  </si>
  <si>
    <t>Cast Iron Soil Pipe Fittings</t>
  </si>
  <si>
    <t>铸铁土管配件</t>
  </si>
  <si>
    <t>A-570-108</t>
  </si>
  <si>
    <t>Ceramic Tile</t>
  </si>
  <si>
    <t>瓷砖</t>
  </si>
  <si>
    <r>
      <rPr>
        <sz val="11"/>
        <color rgb="FF000000"/>
        <rFont val="Calibri"/>
        <charset val="134"/>
      </rPr>
      <t>6907.21.1005</t>
    </r>
    <r>
      <rPr>
        <sz val="11"/>
        <color rgb="FF000000"/>
        <rFont val="宋体"/>
        <charset val="134"/>
      </rPr>
      <t>、</t>
    </r>
    <r>
      <rPr>
        <sz val="11"/>
        <color rgb="FF000000"/>
        <rFont val="Calibri"/>
        <charset val="134"/>
      </rPr>
      <t>6907.21.1011</t>
    </r>
    <r>
      <rPr>
        <sz val="11"/>
        <color rgb="FF000000"/>
        <rFont val="宋体"/>
        <charset val="134"/>
      </rPr>
      <t>、</t>
    </r>
    <r>
      <rPr>
        <sz val="11"/>
        <color rgb="FF000000"/>
        <rFont val="Calibri"/>
        <charset val="134"/>
      </rPr>
      <t>6907.21.1051</t>
    </r>
    <r>
      <rPr>
        <sz val="11"/>
        <color rgb="FF000000"/>
        <rFont val="宋体"/>
        <charset val="134"/>
      </rPr>
      <t>、</t>
    </r>
    <r>
      <rPr>
        <sz val="11"/>
        <color rgb="FF000000"/>
        <rFont val="Calibri"/>
        <charset val="134"/>
      </rPr>
      <t>6907.21.2000</t>
    </r>
    <r>
      <rPr>
        <sz val="11"/>
        <color rgb="FF000000"/>
        <rFont val="宋体"/>
        <charset val="134"/>
      </rPr>
      <t>、</t>
    </r>
    <r>
      <rPr>
        <sz val="11"/>
        <color rgb="FF000000"/>
        <rFont val="Calibri"/>
        <charset val="134"/>
      </rPr>
      <t>6907.21.3000</t>
    </r>
    <r>
      <rPr>
        <sz val="11"/>
        <color rgb="FF000000"/>
        <rFont val="宋体"/>
        <charset val="134"/>
      </rPr>
      <t>、</t>
    </r>
    <r>
      <rPr>
        <sz val="11"/>
        <color rgb="FF000000"/>
        <rFont val="Calibri"/>
        <charset val="134"/>
      </rPr>
      <t>6907.21.4000</t>
    </r>
    <r>
      <rPr>
        <sz val="11"/>
        <color rgb="FF000000"/>
        <rFont val="宋体"/>
        <charset val="134"/>
      </rPr>
      <t>、</t>
    </r>
    <r>
      <rPr>
        <sz val="11"/>
        <color rgb="FF000000"/>
        <rFont val="Calibri"/>
        <charset val="134"/>
      </rPr>
      <t>6907.2 .9011</t>
    </r>
    <r>
      <rPr>
        <sz val="11"/>
        <color rgb="FF000000"/>
        <rFont val="宋体"/>
        <charset val="134"/>
      </rPr>
      <t>，</t>
    </r>
    <r>
      <rPr>
        <sz val="11"/>
        <color rgb="FF000000"/>
        <rFont val="Calibri"/>
        <charset val="134"/>
      </rPr>
      <t>6907.21.9051</t>
    </r>
    <r>
      <rPr>
        <sz val="11"/>
        <color rgb="FF000000"/>
        <rFont val="宋体"/>
        <charset val="134"/>
      </rPr>
      <t>，</t>
    </r>
    <r>
      <rPr>
        <sz val="11"/>
        <color rgb="FF000000"/>
        <rFont val="Calibri"/>
        <charset val="134"/>
      </rPr>
      <t>6907.22.1005</t>
    </r>
    <r>
      <rPr>
        <sz val="11"/>
        <color rgb="FF000000"/>
        <rFont val="宋体"/>
        <charset val="134"/>
      </rPr>
      <t>，</t>
    </r>
    <r>
      <rPr>
        <sz val="11"/>
        <color rgb="FF000000"/>
        <rFont val="Calibri"/>
        <charset val="134"/>
      </rPr>
      <t>6907.22.1011</t>
    </r>
    <r>
      <rPr>
        <sz val="11"/>
        <color rgb="FF000000"/>
        <rFont val="宋体"/>
        <charset val="134"/>
      </rPr>
      <t>，</t>
    </r>
    <r>
      <rPr>
        <sz val="11"/>
        <color rgb="FF000000"/>
        <rFont val="Calibri"/>
        <charset val="134"/>
      </rPr>
      <t>6907.22.1051</t>
    </r>
    <r>
      <rPr>
        <sz val="11"/>
        <color rgb="FF000000"/>
        <rFont val="宋体"/>
        <charset val="134"/>
      </rPr>
      <t>，</t>
    </r>
    <r>
      <rPr>
        <sz val="11"/>
        <color rgb="FF000000"/>
        <rFont val="Calibri"/>
        <charset val="134"/>
      </rPr>
      <t>6907.22.2000</t>
    </r>
    <r>
      <rPr>
        <sz val="11"/>
        <color rgb="FF000000"/>
        <rFont val="宋体"/>
        <charset val="134"/>
      </rPr>
      <t>，</t>
    </r>
    <r>
      <rPr>
        <sz val="11"/>
        <color rgb="FF000000"/>
        <rFont val="Calibri"/>
        <charset val="134"/>
      </rPr>
      <t>6907.22.3000</t>
    </r>
    <r>
      <rPr>
        <sz val="11"/>
        <color rgb="FF000000"/>
        <rFont val="宋体"/>
        <charset val="134"/>
      </rPr>
      <t>，</t>
    </r>
    <r>
      <rPr>
        <sz val="11"/>
        <color rgb="FF000000"/>
        <rFont val="Calibri"/>
        <charset val="134"/>
      </rPr>
      <t>6907.22.4000 , 6907.23.2000, 6907.23.3000, 6907.23.4000, 6907.23.9011, 6907.23.9051, 6907.30.1005, 6907.30.1011, 6907.30.1051, 6907.30.2000, 6907.30.3000, 6907.30.4000, 6907.30.9011, 6907.30 .9051</t>
    </r>
    <r>
      <rPr>
        <sz val="11"/>
        <color rgb="FF000000"/>
        <rFont val="宋体"/>
        <charset val="134"/>
      </rPr>
      <t>、</t>
    </r>
    <r>
      <rPr>
        <sz val="11"/>
        <color rgb="FF000000"/>
        <rFont val="Calibri"/>
        <charset val="134"/>
      </rPr>
      <t>6907.40.1005</t>
    </r>
    <r>
      <rPr>
        <sz val="11"/>
        <color rgb="FF000000"/>
        <rFont val="宋体"/>
        <charset val="134"/>
      </rPr>
      <t>、</t>
    </r>
    <r>
      <rPr>
        <sz val="11"/>
        <color rgb="FF000000"/>
        <rFont val="Calibri"/>
        <charset val="134"/>
      </rPr>
      <t>6907.40.1011</t>
    </r>
    <r>
      <rPr>
        <sz val="11"/>
        <color rgb="FF000000"/>
        <rFont val="宋体"/>
        <charset val="134"/>
      </rPr>
      <t>、</t>
    </r>
    <r>
      <rPr>
        <sz val="11"/>
        <color rgb="FF000000"/>
        <rFont val="Calibri"/>
        <charset val="134"/>
      </rPr>
      <t>6907.40.1051</t>
    </r>
    <r>
      <rPr>
        <sz val="11"/>
        <color rgb="FF000000"/>
        <rFont val="宋体"/>
        <charset val="134"/>
      </rPr>
      <t>、</t>
    </r>
    <r>
      <rPr>
        <sz val="11"/>
        <color rgb="FF000000"/>
        <rFont val="Calibri"/>
        <charset val="134"/>
      </rPr>
      <t>6907.40.2000</t>
    </r>
    <r>
      <rPr>
        <sz val="11"/>
        <color rgb="FF000000"/>
        <rFont val="宋体"/>
        <charset val="134"/>
      </rPr>
      <t>、</t>
    </r>
    <r>
      <rPr>
        <sz val="11"/>
        <color rgb="FF000000"/>
        <rFont val="Calibri"/>
        <charset val="134"/>
      </rPr>
      <t>6907.40.3000</t>
    </r>
    <r>
      <rPr>
        <sz val="11"/>
        <color rgb="FF000000"/>
        <rFont val="宋体"/>
        <charset val="134"/>
      </rPr>
      <t>、</t>
    </r>
    <r>
      <rPr>
        <sz val="11"/>
        <color rgb="FF000000"/>
        <rFont val="Calibri"/>
        <charset val="134"/>
      </rPr>
      <t>6907.40.4000</t>
    </r>
    <r>
      <rPr>
        <sz val="11"/>
        <color rgb="FF000000"/>
        <rFont val="宋体"/>
        <charset val="134"/>
      </rPr>
      <t>、</t>
    </r>
    <r>
      <rPr>
        <sz val="11"/>
        <color rgb="FF000000"/>
        <rFont val="Calibri"/>
        <charset val="134"/>
      </rPr>
      <t xml:space="preserve">6907.40.9011  </t>
    </r>
    <r>
      <rPr>
        <sz val="11"/>
        <color rgb="FF000000"/>
        <rFont val="宋体"/>
        <charset val="134"/>
      </rPr>
      <t>、</t>
    </r>
    <r>
      <rPr>
        <sz val="11"/>
        <color rgb="FF000000"/>
        <rFont val="Calibri"/>
        <charset val="134"/>
      </rPr>
      <t xml:space="preserve"> 6907.40.9051, 6914  </t>
    </r>
    <r>
      <rPr>
        <sz val="11"/>
        <color rgb="FF000000"/>
        <rFont val="宋体"/>
        <charset val="134"/>
      </rPr>
      <t>、</t>
    </r>
    <r>
      <rPr>
        <sz val="11"/>
        <color rgb="FF000000"/>
        <rFont val="Calibri"/>
        <charset val="134"/>
      </rPr>
      <t xml:space="preserve"> 6905 ,6914.10.8000</t>
    </r>
    <r>
      <rPr>
        <sz val="11"/>
        <color rgb="FF000000"/>
        <rFont val="宋体"/>
        <charset val="134"/>
      </rPr>
      <t>、</t>
    </r>
    <r>
      <rPr>
        <sz val="11"/>
        <color rgb="FF000000"/>
        <rFont val="Calibri"/>
        <charset val="134"/>
      </rPr>
      <t>6914.90.8000</t>
    </r>
    <r>
      <rPr>
        <sz val="11"/>
        <color rgb="FF000000"/>
        <rFont val="宋体"/>
        <charset val="134"/>
      </rPr>
      <t>、</t>
    </r>
    <r>
      <rPr>
        <sz val="11"/>
        <color rgb="FF000000"/>
        <rFont val="Calibri"/>
        <charset val="134"/>
      </rPr>
      <t>6905.10.0000 ,690590.0050</t>
    </r>
  </si>
  <si>
    <r>
      <rPr>
        <sz val="11"/>
        <color rgb="FF000000"/>
        <rFont val="宋体"/>
        <charset val="134"/>
      </rPr>
      <t>本次订单涉及的商品有瓷砖地砖、墙砖、铺路砖、炉床砖、瓷砖、马赛克砖、旗帜、饰面砖等（以下简称瓷砖）。瓷砖是含有矿物混合物的物品，包括粘土（通常是氧化铝或镁的水合硅酸盐），经过烧制，原材料被熔化以生产实际厚度小于</t>
    </r>
    <r>
      <rPr>
        <sz val="11"/>
        <color rgb="FF000000"/>
        <rFont val="Calibri"/>
        <charset val="134"/>
      </rPr>
      <t xml:space="preserve"> 3.2 </t>
    </r>
    <r>
      <rPr>
        <sz val="11"/>
        <color rgb="FF000000"/>
        <rFont val="宋体"/>
        <charset val="134"/>
      </rPr>
      <t>厘米的成品。无论最终用途、表面积和重量如何，无论瓷砖是上釉还是未上釉，无论按重量计算的吸水系数如何，无论玻璃化程度如何，无论是否或不是瓷砖在背衬上。标的商品包括具有可能超过</t>
    </r>
    <r>
      <rPr>
        <sz val="11"/>
        <color rgb="FF000000"/>
        <rFont val="Calibri"/>
        <charset val="134"/>
      </rPr>
      <t xml:space="preserve"> 3 </t>
    </r>
    <r>
      <rPr>
        <sz val="11"/>
        <color rgb="FF000000"/>
        <rFont val="宋体"/>
        <charset val="134"/>
      </rPr>
      <t>个的装饰特征的瓷砖。</t>
    </r>
  </si>
  <si>
    <t>A-570-038</t>
  </si>
  <si>
    <t>Certain Amorphous Silica Fabric</t>
  </si>
  <si>
    <t>某些无定形二氧化硅织物</t>
  </si>
  <si>
    <r>
      <rPr>
        <sz val="11"/>
        <color rgb="FF000000"/>
        <rFont val="Calibri"/>
        <charset val="134"/>
      </rPr>
      <t>019.59.4021</t>
    </r>
    <r>
      <rPr>
        <sz val="11"/>
        <color rgb="FF000000"/>
        <rFont val="宋体"/>
        <charset val="134"/>
      </rPr>
      <t>、</t>
    </r>
    <r>
      <rPr>
        <sz val="11"/>
        <color rgb="FF000000"/>
        <rFont val="Calibri"/>
        <charset val="134"/>
      </rPr>
      <t>7019.59.4096</t>
    </r>
    <r>
      <rPr>
        <sz val="11"/>
        <color rgb="FF000000"/>
        <rFont val="宋体"/>
        <charset val="134"/>
      </rPr>
      <t>、</t>
    </r>
    <r>
      <rPr>
        <sz val="11"/>
        <color rgb="FF000000"/>
        <rFont val="Calibri"/>
        <charset val="134"/>
      </rPr>
      <t xml:space="preserve">7019.59.9021  </t>
    </r>
    <r>
      <rPr>
        <sz val="11"/>
        <color rgb="FF000000"/>
        <rFont val="宋体"/>
        <charset val="134"/>
      </rPr>
      <t>、</t>
    </r>
    <r>
      <rPr>
        <sz val="11"/>
        <color rgb="FF000000"/>
        <rFont val="Calibri"/>
        <charset val="134"/>
      </rPr>
      <t xml:space="preserve"> 7019.59.9096</t>
    </r>
    <r>
      <rPr>
        <sz val="11"/>
        <color rgb="FF000000"/>
        <rFont val="宋体"/>
        <charset val="134"/>
      </rPr>
      <t>，</t>
    </r>
    <r>
      <rPr>
        <sz val="11"/>
        <color rgb="FF000000"/>
        <rFont val="Calibri"/>
        <charset val="134"/>
      </rPr>
      <t>7019.40.4030</t>
    </r>
    <r>
      <rPr>
        <sz val="11"/>
        <color rgb="FF000000"/>
        <rFont val="宋体"/>
        <charset val="134"/>
      </rPr>
      <t>、</t>
    </r>
    <r>
      <rPr>
        <sz val="11"/>
        <color rgb="FF000000"/>
        <rFont val="Calibri"/>
        <charset val="134"/>
      </rPr>
      <t>7019.40</t>
    </r>
    <r>
      <rPr>
        <sz val="11"/>
        <color rgb="FF000000"/>
        <rFont val="宋体"/>
        <charset val="134"/>
      </rPr>
      <t>。</t>
    </r>
    <r>
      <rPr>
        <sz val="11"/>
        <color rgb="FF000000"/>
        <rFont val="Calibri"/>
        <charset val="134"/>
      </rPr>
      <t xml:space="preserve"> 4060</t>
    </r>
    <r>
      <rPr>
        <sz val="11"/>
        <color rgb="FF000000"/>
        <rFont val="宋体"/>
        <charset val="134"/>
      </rPr>
      <t>、</t>
    </r>
    <r>
      <rPr>
        <sz val="11"/>
        <color rgb="FF000000"/>
        <rFont val="Calibri"/>
        <charset val="134"/>
      </rPr>
      <t>7019.40.9030</t>
    </r>
    <r>
      <rPr>
        <sz val="11"/>
        <color rgb="FF000000"/>
        <rFont val="宋体"/>
        <charset val="134"/>
      </rPr>
      <t>、</t>
    </r>
    <r>
      <rPr>
        <sz val="11"/>
        <color rgb="FF000000"/>
        <rFont val="Calibri"/>
        <charset val="134"/>
      </rPr>
      <t>7019.40.9060</t>
    </r>
    <r>
      <rPr>
        <sz val="11"/>
        <color rgb="FF000000"/>
        <rFont val="宋体"/>
        <charset val="134"/>
      </rPr>
      <t>、</t>
    </r>
    <r>
      <rPr>
        <sz val="11"/>
        <color rgb="FF000000"/>
        <rFont val="Calibri"/>
        <charset val="134"/>
      </rPr>
      <t>7019.51.9010</t>
    </r>
    <r>
      <rPr>
        <sz val="11"/>
        <color rgb="FF000000"/>
        <rFont val="宋体"/>
        <charset val="134"/>
      </rPr>
      <t>、</t>
    </r>
    <r>
      <rPr>
        <sz val="11"/>
        <color rgb="FF000000"/>
        <rFont val="Calibri"/>
        <charset val="134"/>
      </rPr>
      <t>7019.51.9090</t>
    </r>
    <r>
      <rPr>
        <sz val="11"/>
        <color rgb="FF000000"/>
        <rFont val="宋体"/>
        <charset val="134"/>
      </rPr>
      <t>、</t>
    </r>
    <r>
      <rPr>
        <sz val="11"/>
        <color rgb="FF000000"/>
        <rFont val="Calibri"/>
        <charset val="134"/>
      </rPr>
      <t>7019.52.9010</t>
    </r>
    <r>
      <rPr>
        <sz val="11"/>
        <color rgb="FF000000"/>
        <rFont val="宋体"/>
        <charset val="134"/>
      </rPr>
      <t>、</t>
    </r>
    <r>
      <rPr>
        <sz val="11"/>
        <color rgb="FF000000"/>
        <rFont val="Calibri"/>
        <charset val="134"/>
      </rPr>
      <t>7019.52.9021</t>
    </r>
    <r>
      <rPr>
        <sz val="11"/>
        <color rgb="FF000000"/>
        <rFont val="宋体"/>
        <charset val="134"/>
      </rPr>
      <t>、</t>
    </r>
    <r>
      <rPr>
        <sz val="11"/>
        <color rgb="FF000000"/>
        <rFont val="Calibri"/>
        <charset val="134"/>
      </rPr>
      <t xml:space="preserve">7019.52.9096 </t>
    </r>
    <r>
      <rPr>
        <sz val="11"/>
        <color rgb="FF000000"/>
        <rFont val="宋体"/>
        <charset val="134"/>
      </rPr>
      <t>、</t>
    </r>
    <r>
      <rPr>
        <sz val="11"/>
        <color rgb="FF000000"/>
        <rFont val="Calibri"/>
        <charset val="134"/>
      </rPr>
      <t>7019.90.1000</t>
    </r>
    <r>
      <rPr>
        <sz val="11"/>
        <color rgb="FF000000"/>
        <rFont val="宋体"/>
        <charset val="134"/>
      </rPr>
      <t>。</t>
    </r>
  </si>
  <si>
    <r>
      <rPr>
        <sz val="11"/>
        <color rgb="FF000000"/>
        <rFont val="宋体"/>
        <charset val="134"/>
      </rPr>
      <t>此订单涵盖的商品是机织（无论是纱线还是粗纱）工业级无定形二氧化硅织物，按标称重量计，其二氧化硅</t>
    </r>
    <r>
      <rPr>
        <sz val="11"/>
        <color rgb="FF000000"/>
        <rFont val="Calibri"/>
        <charset val="134"/>
      </rPr>
      <t xml:space="preserve"> (SiO2) </t>
    </r>
    <r>
      <rPr>
        <sz val="11"/>
        <color rgb="FF000000"/>
        <rFont val="宋体"/>
        <charset val="134"/>
      </rPr>
      <t>含量至少为</t>
    </r>
    <r>
      <rPr>
        <sz val="11"/>
        <color rgb="FF000000"/>
        <rFont val="Calibri"/>
        <charset val="134"/>
      </rPr>
      <t xml:space="preserve"> 90%</t>
    </r>
    <r>
      <rPr>
        <sz val="11"/>
        <color rgb="FF000000"/>
        <rFont val="宋体"/>
        <charset val="134"/>
      </rPr>
      <t>，标称宽度超过</t>
    </r>
    <r>
      <rPr>
        <sz val="11"/>
        <color rgb="FF000000"/>
        <rFont val="Calibri"/>
        <charset val="134"/>
      </rPr>
      <t xml:space="preserve"> 8 </t>
    </r>
    <r>
      <rPr>
        <sz val="11"/>
        <color rgb="FF000000"/>
        <rFont val="宋体"/>
        <charset val="134"/>
      </rPr>
      <t>英寸。该订单涵盖工业级无定形二氧化硅织物，无论织物中包含的其他材料如何，无论是卷状还是定长切割，无论重量、宽度（除上述情况外）或长度如何。该订单涵盖工业级无定形二氧化硅织物，无论产品是否获得标准测试机构的批准（例如工厂互助</t>
    </r>
    <r>
      <rPr>
        <sz val="11"/>
        <color rgb="FF000000"/>
        <rFont val="Calibri"/>
        <charset val="134"/>
      </rPr>
      <t xml:space="preserve"> (FM) </t>
    </r>
    <r>
      <rPr>
        <sz val="11"/>
        <color rgb="FF000000"/>
        <rFont val="宋体"/>
        <charset val="134"/>
      </rPr>
      <t>批准），或者无论其是否符合任何政府规范。</t>
    </r>
    <r>
      <rPr>
        <sz val="11"/>
        <color rgb="FF000000"/>
        <rFont val="Calibri"/>
        <charset val="134"/>
      </rPr>
      <t xml:space="preserve">                                  </t>
    </r>
    <r>
      <rPr>
        <sz val="11"/>
        <color rgb="FF000000"/>
        <rFont val="宋体"/>
        <charset val="134"/>
      </rPr>
      <t>标的商品还包括（</t>
    </r>
    <r>
      <rPr>
        <sz val="11"/>
        <color rgb="FF000000"/>
        <rFont val="Calibri"/>
        <charset val="134"/>
      </rPr>
      <t>1</t>
    </r>
    <r>
      <rPr>
        <sz val="11"/>
        <color rgb="FF000000"/>
        <rFont val="宋体"/>
        <charset val="134"/>
      </rPr>
      <t>）任何工业级无定形二氧化硅织物，在中国由第三国生产的玻璃纤维布转化为工业级无定形二氧化硅织物；</t>
    </r>
    <r>
      <rPr>
        <sz val="11"/>
        <color rgb="FF000000"/>
        <rFont val="Calibri"/>
        <charset val="134"/>
      </rPr>
      <t xml:space="preserve">(2) </t>
    </r>
    <r>
      <rPr>
        <sz val="11"/>
        <color rgb="FF000000"/>
        <rFont val="宋体"/>
        <charset val="134"/>
      </rPr>
      <t>任何工业级无定形二氧化硅织物在出口到美国之前在第三国进行了进一步加工，包括但不限于处理、涂层、分切、定长切割、定宽切割、边缘整理，如果在范围内工业级无定形二氧化硅织物的制造国进行，则添加索环或任何其他不会将商品从订单范围中删除的处理。</t>
    </r>
  </si>
  <si>
    <t>A-570-036</t>
  </si>
  <si>
    <t>Certain Biaxial Integral Geogrid Products</t>
  </si>
  <si>
    <t>某些双轴整体土工格栅产品</t>
  </si>
  <si>
    <r>
      <rPr>
        <sz val="11"/>
        <color rgb="FF000000"/>
        <rFont val="Calibri"/>
        <charset val="134"/>
      </rPr>
      <t>3926.90.9996</t>
    </r>
    <r>
      <rPr>
        <sz val="11"/>
        <color rgb="FF000000"/>
        <rFont val="宋体"/>
        <charset val="134"/>
      </rPr>
      <t>，</t>
    </r>
    <r>
      <rPr>
        <sz val="11"/>
        <color rgb="FF000000"/>
        <rFont val="Calibri"/>
        <charset val="134"/>
      </rPr>
      <t xml:space="preserve"> 3920.20.0050  </t>
    </r>
    <r>
      <rPr>
        <sz val="11"/>
        <color rgb="FF000000"/>
        <rFont val="宋体"/>
        <charset val="134"/>
      </rPr>
      <t>、</t>
    </r>
    <r>
      <rPr>
        <sz val="11"/>
        <color rgb="FF000000"/>
        <rFont val="Calibri"/>
        <charset val="134"/>
      </rPr>
      <t xml:space="preserve"> 3925.90.0000</t>
    </r>
  </si>
  <si>
    <r>
      <rPr>
        <sz val="11"/>
        <color rgb="FF000000"/>
        <rFont val="宋体"/>
        <charset val="134"/>
      </rPr>
      <t>范围涵盖的产品为某些双轴整体土工格栅产品。双轴整体土工格栅产品是一种聚合物网格或网状材料（无论是否经过加工、开缝、定尺切割、附在机织或非织造织物或片材上，或包装），其中的四边开口形式为正方形、长方形、菱形、菱形或其他四边形图形占主导地位。所覆盖的产品具有整体股线，这些股股线已被拉伸以将分子定向到材料中（这表明股线的宽度在接头之间的中间比在接头本身处更细）构成了开口的侧面和整体接头，其中股线相交。范围包括以四边形为主的产品，无论它们是否还包含与四边形相交的附加股线，以及四边形的内角是否为圆角或非锐角。如本文所用，术语</t>
    </r>
    <r>
      <rPr>
        <sz val="11"/>
        <color rgb="FF000000"/>
        <rFont val="Calibri"/>
        <charset val="134"/>
      </rPr>
      <t>“</t>
    </r>
    <r>
      <rPr>
        <sz val="11"/>
        <color rgb="FF000000"/>
        <rFont val="宋体"/>
        <charset val="134"/>
      </rPr>
      <t>整体</t>
    </r>
    <r>
      <rPr>
        <sz val="11"/>
        <color rgb="FF000000"/>
        <rFont val="Calibri"/>
        <charset val="134"/>
      </rPr>
      <t>”</t>
    </r>
    <r>
      <rPr>
        <sz val="11"/>
        <color rgb="FF000000"/>
        <rFont val="宋体"/>
        <charset val="134"/>
      </rPr>
      <t>是指彼此同质的股线和接头。</t>
    </r>
    <r>
      <rPr>
        <sz val="11"/>
        <color rgb="FF000000"/>
        <rFont val="Calibri"/>
        <charset val="134"/>
      </rPr>
      <t xml:space="preserve">                                                                                               </t>
    </r>
    <r>
      <rPr>
        <sz val="11"/>
        <color rgb="FF000000"/>
        <rFont val="宋体"/>
        <charset val="134"/>
      </rPr>
      <t>标的商品包括已在第三国完成、包装或以其他方式进一步加工的与上述描述相匹配的材料，包括通过修整、分切、涂层、切割、打孔、拉伸、附着到织造或非织造织物或片材上，或任何其他精加工、包装或其他进一步处理，如果在双轴整体土工格栅制造国进行，则不会将商品从调查范围中删除。</t>
    </r>
  </si>
  <si>
    <t>A-570-047</t>
  </si>
  <si>
    <t>Certain Carbon and Alloy Steel Cut-to-Length Plate</t>
  </si>
  <si>
    <t>某些碳钢和合金钢定尺切割板</t>
  </si>
  <si>
    <r>
      <rPr>
        <sz val="11"/>
        <color rgb="FF000000"/>
        <rFont val="Calibri"/>
        <charset val="134"/>
      </rPr>
      <t>7208.40.3030</t>
    </r>
    <r>
      <rPr>
        <sz val="11"/>
        <color rgb="FF000000"/>
        <rFont val="宋体"/>
        <charset val="134"/>
      </rPr>
      <t>、</t>
    </r>
    <r>
      <rPr>
        <sz val="11"/>
        <color rgb="FF000000"/>
        <rFont val="Calibri"/>
        <charset val="134"/>
      </rPr>
      <t>7208.40.3060</t>
    </r>
    <r>
      <rPr>
        <sz val="11"/>
        <color rgb="FF000000"/>
        <rFont val="宋体"/>
        <charset val="134"/>
      </rPr>
      <t>、</t>
    </r>
    <r>
      <rPr>
        <sz val="11"/>
        <color rgb="FF000000"/>
        <rFont val="Calibri"/>
        <charset val="134"/>
      </rPr>
      <t>7208.51.0030</t>
    </r>
    <r>
      <rPr>
        <sz val="11"/>
        <color rgb="FF000000"/>
        <rFont val="宋体"/>
        <charset val="134"/>
      </rPr>
      <t>、</t>
    </r>
    <r>
      <rPr>
        <sz val="11"/>
        <color rgb="FF000000"/>
        <rFont val="Calibri"/>
        <charset val="134"/>
      </rPr>
      <t>7208.51.0045</t>
    </r>
    <r>
      <rPr>
        <sz val="11"/>
        <color rgb="FF000000"/>
        <rFont val="宋体"/>
        <charset val="134"/>
      </rPr>
      <t>、</t>
    </r>
    <r>
      <rPr>
        <sz val="11"/>
        <color rgb="FF000000"/>
        <rFont val="Calibri"/>
        <charset val="134"/>
      </rPr>
      <t>7208.51.0060</t>
    </r>
    <r>
      <rPr>
        <sz val="11"/>
        <color rgb="FF000000"/>
        <rFont val="宋体"/>
        <charset val="134"/>
      </rPr>
      <t>、</t>
    </r>
    <r>
      <rPr>
        <sz val="11"/>
        <color rgb="FF000000"/>
        <rFont val="Calibri"/>
        <charset val="134"/>
      </rPr>
      <t>7208.52.0000</t>
    </r>
    <r>
      <rPr>
        <sz val="11"/>
        <color rgb="FF000000"/>
        <rFont val="宋体"/>
        <charset val="134"/>
      </rPr>
      <t>、</t>
    </r>
    <r>
      <rPr>
        <sz val="11"/>
        <color rgb="FF000000"/>
        <rFont val="Calibri"/>
        <charset val="134"/>
      </rPr>
      <t>7211.13 .0000</t>
    </r>
    <r>
      <rPr>
        <sz val="11"/>
        <color rgb="FF000000"/>
        <rFont val="宋体"/>
        <charset val="134"/>
      </rPr>
      <t>、</t>
    </r>
    <r>
      <rPr>
        <sz val="11"/>
        <color rgb="FF000000"/>
        <rFont val="Calibri"/>
        <charset val="134"/>
      </rPr>
      <t>7211.14.0030</t>
    </r>
    <r>
      <rPr>
        <sz val="11"/>
        <color rgb="FF000000"/>
        <rFont val="宋体"/>
        <charset val="134"/>
      </rPr>
      <t>、</t>
    </r>
    <r>
      <rPr>
        <sz val="11"/>
        <color rgb="FF000000"/>
        <rFont val="Calibri"/>
        <charset val="134"/>
      </rPr>
      <t>7211.14.0045</t>
    </r>
    <r>
      <rPr>
        <sz val="11"/>
        <color rgb="FF000000"/>
        <rFont val="宋体"/>
        <charset val="134"/>
      </rPr>
      <t>、</t>
    </r>
    <r>
      <rPr>
        <sz val="11"/>
        <color rgb="FF000000"/>
        <rFont val="Calibri"/>
        <charset val="134"/>
      </rPr>
      <t>7225.40.1110</t>
    </r>
    <r>
      <rPr>
        <sz val="11"/>
        <color rgb="FF000000"/>
        <rFont val="宋体"/>
        <charset val="134"/>
      </rPr>
      <t>、</t>
    </r>
    <r>
      <rPr>
        <sz val="11"/>
        <color rgb="FF000000"/>
        <rFont val="Calibri"/>
        <charset val="134"/>
      </rPr>
      <t>7225.40.1180</t>
    </r>
    <r>
      <rPr>
        <sz val="11"/>
        <color rgb="FF000000"/>
        <rFont val="宋体"/>
        <charset val="134"/>
      </rPr>
      <t>、</t>
    </r>
    <r>
      <rPr>
        <sz val="11"/>
        <color rgb="FF000000"/>
        <rFont val="Calibri"/>
        <charset val="134"/>
      </rPr>
      <t>7225.40.3005</t>
    </r>
    <r>
      <rPr>
        <sz val="11"/>
        <color rgb="FF000000"/>
        <rFont val="宋体"/>
        <charset val="134"/>
      </rPr>
      <t>、</t>
    </r>
    <r>
      <rPr>
        <sz val="11"/>
        <color rgb="FF000000"/>
        <rFont val="Calibri"/>
        <charset val="134"/>
      </rPr>
      <t>7225.40.3050</t>
    </r>
    <r>
      <rPr>
        <sz val="11"/>
        <color rgb="FF000000"/>
        <rFont val="宋体"/>
        <charset val="134"/>
      </rPr>
      <t>、</t>
    </r>
    <r>
      <rPr>
        <sz val="11"/>
        <color rgb="FF000000"/>
        <rFont val="Calibri"/>
        <charset val="134"/>
      </rPr>
      <t xml:space="preserve">7226.20.0000  </t>
    </r>
    <r>
      <rPr>
        <sz val="11"/>
        <color rgb="FF000000"/>
        <rFont val="宋体"/>
        <charset val="134"/>
      </rPr>
      <t>、</t>
    </r>
    <r>
      <rPr>
        <sz val="11"/>
        <color rgb="FF000000"/>
        <rFont val="Calibri"/>
        <charset val="134"/>
      </rPr>
      <t xml:space="preserve"> 7226.91.5000</t>
    </r>
    <r>
      <rPr>
        <sz val="11"/>
        <color rgb="FF000000"/>
        <rFont val="宋体"/>
        <charset val="134"/>
      </rPr>
      <t>。</t>
    </r>
    <r>
      <rPr>
        <sz val="11"/>
        <color rgb="FF000000"/>
        <rFont val="Calibri"/>
        <charset val="134"/>
      </rPr>
      <t>7208.40.6060</t>
    </r>
    <r>
      <rPr>
        <sz val="11"/>
        <color rgb="FF000000"/>
        <rFont val="宋体"/>
        <charset val="134"/>
      </rPr>
      <t>、</t>
    </r>
    <r>
      <rPr>
        <sz val="11"/>
        <color rgb="FF000000"/>
        <rFont val="Calibri"/>
        <charset val="134"/>
      </rPr>
      <t>7208.53.0000</t>
    </r>
    <r>
      <rPr>
        <sz val="11"/>
        <color rgb="FF000000"/>
        <rFont val="宋体"/>
        <charset val="134"/>
      </rPr>
      <t>、</t>
    </r>
    <r>
      <rPr>
        <sz val="11"/>
        <color rgb="FF000000"/>
        <rFont val="Calibri"/>
        <charset val="134"/>
      </rPr>
      <t>7208.90.0000</t>
    </r>
    <r>
      <rPr>
        <sz val="11"/>
        <color rgb="FF000000"/>
        <rFont val="宋体"/>
        <charset val="134"/>
      </rPr>
      <t>、</t>
    </r>
    <r>
      <rPr>
        <sz val="11"/>
        <color rgb="FF000000"/>
        <rFont val="Calibri"/>
        <charset val="134"/>
      </rPr>
      <t>7210.70.3000</t>
    </r>
    <r>
      <rPr>
        <sz val="11"/>
        <color rgb="FF000000"/>
        <rFont val="宋体"/>
        <charset val="134"/>
      </rPr>
      <t>、</t>
    </r>
    <r>
      <rPr>
        <sz val="11"/>
        <color rgb="FF000000"/>
        <rFont val="Calibri"/>
        <charset val="134"/>
      </rPr>
      <t>7210.90.9000</t>
    </r>
    <r>
      <rPr>
        <sz val="11"/>
        <color rgb="FF000000"/>
        <rFont val="宋体"/>
        <charset val="134"/>
      </rPr>
      <t>、</t>
    </r>
    <r>
      <rPr>
        <sz val="11"/>
        <color rgb="FF000000"/>
        <rFont val="Calibri"/>
        <charset val="134"/>
      </rPr>
      <t>7211.19.1500</t>
    </r>
    <r>
      <rPr>
        <sz val="11"/>
        <color rgb="FF000000"/>
        <rFont val="宋体"/>
        <charset val="134"/>
      </rPr>
      <t>、</t>
    </r>
    <r>
      <rPr>
        <sz val="11"/>
        <color rgb="FF000000"/>
        <rFont val="Calibri"/>
        <charset val="134"/>
      </rPr>
      <t>7211.19.2000</t>
    </r>
    <r>
      <rPr>
        <sz val="11"/>
        <color rgb="FF000000"/>
        <rFont val="宋体"/>
        <charset val="134"/>
      </rPr>
      <t>、</t>
    </r>
    <r>
      <rPr>
        <sz val="11"/>
        <color rgb="FF000000"/>
        <rFont val="Calibri"/>
        <charset val="134"/>
      </rPr>
      <t>7211.1.19.4.5 6000</t>
    </r>
    <r>
      <rPr>
        <sz val="11"/>
        <color rgb="FF000000"/>
        <rFont val="宋体"/>
        <charset val="134"/>
      </rPr>
      <t>，</t>
    </r>
    <r>
      <rPr>
        <sz val="11"/>
        <color rgb="FF000000"/>
        <rFont val="Calibri"/>
        <charset val="134"/>
      </rPr>
      <t>7211.19.7590</t>
    </r>
    <r>
      <rPr>
        <sz val="11"/>
        <color rgb="FF000000"/>
        <rFont val="宋体"/>
        <charset val="134"/>
      </rPr>
      <t>，</t>
    </r>
    <r>
      <rPr>
        <sz val="11"/>
        <color rgb="FF000000"/>
        <rFont val="Calibri"/>
        <charset val="134"/>
      </rPr>
      <t>7211.90.0000</t>
    </r>
    <r>
      <rPr>
        <sz val="11"/>
        <color rgb="FF000000"/>
        <rFont val="宋体"/>
        <charset val="134"/>
      </rPr>
      <t>，</t>
    </r>
    <r>
      <rPr>
        <sz val="11"/>
        <color rgb="FF000000"/>
        <rFont val="Calibri"/>
        <charset val="134"/>
      </rPr>
      <t>7212.40.1000</t>
    </r>
    <r>
      <rPr>
        <sz val="11"/>
        <color rgb="FF000000"/>
        <rFont val="宋体"/>
        <charset val="134"/>
      </rPr>
      <t>，</t>
    </r>
    <r>
      <rPr>
        <sz val="11"/>
        <color rgb="FF000000"/>
        <rFont val="Calibri"/>
        <charset val="134"/>
      </rPr>
      <t>7212.40.5000</t>
    </r>
    <r>
      <rPr>
        <sz val="11"/>
        <color rgb="FF000000"/>
        <rFont val="宋体"/>
        <charset val="134"/>
      </rPr>
      <t>，</t>
    </r>
    <r>
      <rPr>
        <sz val="11"/>
        <color rgb="FF000000"/>
        <rFont val="Calibri"/>
        <charset val="134"/>
      </rPr>
      <t>7212.50.0000</t>
    </r>
    <r>
      <rPr>
        <sz val="11"/>
        <color rgb="FF000000"/>
        <rFont val="宋体"/>
        <charset val="134"/>
      </rPr>
      <t>，</t>
    </r>
    <r>
      <rPr>
        <sz val="11"/>
        <color rgb="FF000000"/>
        <rFont val="Calibri"/>
        <charset val="134"/>
      </rPr>
      <t>7214.10.0000</t>
    </r>
    <r>
      <rPr>
        <sz val="11"/>
        <color rgb="FF000000"/>
        <rFont val="宋体"/>
        <charset val="134"/>
      </rPr>
      <t>，</t>
    </r>
    <r>
      <rPr>
        <sz val="11"/>
        <color rgb="FF000000"/>
        <rFont val="Calibri"/>
        <charset val="134"/>
      </rPr>
      <t>7214.30.0010</t>
    </r>
    <r>
      <rPr>
        <sz val="11"/>
        <color rgb="FF000000"/>
        <rFont val="宋体"/>
        <charset val="134"/>
      </rPr>
      <t>，</t>
    </r>
    <r>
      <rPr>
        <sz val="11"/>
        <color rgb="FF000000"/>
        <rFont val="Calibri"/>
        <charset val="134"/>
      </rPr>
      <t>7214.30.0080 7214.91.0090</t>
    </r>
    <r>
      <rPr>
        <sz val="11"/>
        <color rgb="FF000000"/>
        <rFont val="宋体"/>
        <charset val="134"/>
      </rPr>
      <t>，</t>
    </r>
    <r>
      <rPr>
        <sz val="11"/>
        <color rgb="FF000000"/>
        <rFont val="Calibri"/>
        <charset val="134"/>
      </rPr>
      <t>7225.11.0000</t>
    </r>
    <r>
      <rPr>
        <sz val="11"/>
        <color rgb="FF000000"/>
        <rFont val="宋体"/>
        <charset val="134"/>
      </rPr>
      <t>，</t>
    </r>
    <r>
      <rPr>
        <sz val="11"/>
        <color rgb="FF000000"/>
        <rFont val="Calibri"/>
        <charset val="134"/>
      </rPr>
      <t>7225.19.0000</t>
    </r>
    <r>
      <rPr>
        <sz val="11"/>
        <color rgb="FF000000"/>
        <rFont val="宋体"/>
        <charset val="134"/>
      </rPr>
      <t>，</t>
    </r>
    <r>
      <rPr>
        <sz val="11"/>
        <color rgb="FF000000"/>
        <rFont val="Calibri"/>
        <charset val="134"/>
      </rPr>
      <t>7225.40.5110</t>
    </r>
    <r>
      <rPr>
        <sz val="11"/>
        <color rgb="FF000000"/>
        <rFont val="宋体"/>
        <charset val="134"/>
      </rPr>
      <t>，</t>
    </r>
    <r>
      <rPr>
        <sz val="11"/>
        <color rgb="FF000000"/>
        <rFont val="Calibri"/>
        <charset val="134"/>
      </rPr>
      <t>7225.40.5130</t>
    </r>
    <r>
      <rPr>
        <sz val="11"/>
        <color rgb="FF000000"/>
        <rFont val="宋体"/>
        <charset val="134"/>
      </rPr>
      <t>，</t>
    </r>
    <r>
      <rPr>
        <sz val="11"/>
        <color rgb="FF000000"/>
        <rFont val="Calibri"/>
        <charset val="134"/>
      </rPr>
      <t>7225.40.5160</t>
    </r>
    <r>
      <rPr>
        <sz val="11"/>
        <color rgb="FF000000"/>
        <rFont val="宋体"/>
        <charset val="134"/>
      </rPr>
      <t>，</t>
    </r>
    <r>
      <rPr>
        <sz val="11"/>
        <color rgb="FF000000"/>
        <rFont val="Calibri"/>
        <charset val="134"/>
      </rPr>
      <t>7225.40.7000</t>
    </r>
    <r>
      <rPr>
        <sz val="11"/>
        <color rgb="FF000000"/>
        <rFont val="宋体"/>
        <charset val="134"/>
      </rPr>
      <t>，</t>
    </r>
    <r>
      <rPr>
        <sz val="11"/>
        <color rgb="FF000000"/>
        <rFont val="Calibri"/>
        <charset val="134"/>
      </rPr>
      <t>7225.99.0010 9000</t>
    </r>
    <r>
      <rPr>
        <sz val="11"/>
        <color rgb="FF000000"/>
        <rFont val="宋体"/>
        <charset val="134"/>
      </rPr>
      <t>、</t>
    </r>
    <r>
      <rPr>
        <sz val="11"/>
        <color rgb="FF000000"/>
        <rFont val="Calibri"/>
        <charset val="134"/>
      </rPr>
      <t>7226.91.0500</t>
    </r>
    <r>
      <rPr>
        <sz val="11"/>
        <color rgb="FF000000"/>
        <rFont val="宋体"/>
        <charset val="134"/>
      </rPr>
      <t>、</t>
    </r>
    <r>
      <rPr>
        <sz val="11"/>
        <color rgb="FF000000"/>
        <rFont val="Calibri"/>
        <charset val="134"/>
      </rPr>
      <t>7226.91.1530</t>
    </r>
    <r>
      <rPr>
        <sz val="11"/>
        <color rgb="FF000000"/>
        <rFont val="宋体"/>
        <charset val="134"/>
      </rPr>
      <t>、</t>
    </r>
    <r>
      <rPr>
        <sz val="11"/>
        <color rgb="FF000000"/>
        <rFont val="Calibri"/>
        <charset val="134"/>
      </rPr>
      <t>7226.91.1560</t>
    </r>
    <r>
      <rPr>
        <sz val="11"/>
        <color rgb="FF000000"/>
        <rFont val="宋体"/>
        <charset val="134"/>
      </rPr>
      <t>、</t>
    </r>
    <r>
      <rPr>
        <sz val="11"/>
        <color rgb="FF000000"/>
        <rFont val="Calibri"/>
        <charset val="134"/>
      </rPr>
      <t>7226.91.2530</t>
    </r>
    <r>
      <rPr>
        <sz val="11"/>
        <color rgb="FF000000"/>
        <rFont val="宋体"/>
        <charset val="134"/>
      </rPr>
      <t>、</t>
    </r>
    <r>
      <rPr>
        <sz val="11"/>
        <color rgb="FF000000"/>
        <rFont val="Calibri"/>
        <charset val="134"/>
      </rPr>
      <t>7226.91.2560</t>
    </r>
    <r>
      <rPr>
        <sz val="11"/>
        <color rgb="FF000000"/>
        <rFont val="宋体"/>
        <charset val="134"/>
      </rPr>
      <t>、</t>
    </r>
    <r>
      <rPr>
        <sz val="11"/>
        <color rgb="FF000000"/>
        <rFont val="Calibri"/>
        <charset val="134"/>
      </rPr>
      <t>7226.91.7000</t>
    </r>
    <r>
      <rPr>
        <sz val="11"/>
        <color rgb="FF000000"/>
        <rFont val="宋体"/>
        <charset val="134"/>
      </rPr>
      <t>、</t>
    </r>
    <r>
      <rPr>
        <sz val="11"/>
        <color rgb="FF000000"/>
        <rFont val="Calibri"/>
        <charset val="134"/>
      </rPr>
      <t>7226.91.8000</t>
    </r>
    <r>
      <rPr>
        <sz val="11"/>
        <color rgb="FF000000"/>
        <rFont val="宋体"/>
        <charset val="134"/>
      </rPr>
      <t>、</t>
    </r>
    <r>
      <rPr>
        <sz val="11"/>
        <color rgb="FF000000"/>
        <rFont val="Calibri"/>
        <charset val="134"/>
      </rPr>
      <t>7226.99.0180</t>
    </r>
    <r>
      <rPr>
        <sz val="11"/>
        <color rgb="FF000000"/>
        <rFont val="宋体"/>
        <charset val="134"/>
      </rPr>
      <t>。</t>
    </r>
  </si>
  <si>
    <t>本订单涵盖的产品是某些非成卷的碳钢和合金钢热轧或锻造平板产品，无论是否涂漆、清漆或涂有塑料或其他非金属物质（定尺切割板）。标的商品包括通过从卷材或其他离散长度板材定长切割生产的板材以及轧制或锻造成离散长度的板材。                                                                                     涵盖的产品包括（1）万能轧板（即四面轧制或封闭箱形道次轧制的平轧产品，宽度超过 150 毫米但不超过 1250 毫米，厚度不小于 4 毫米） ，不是成卷的，没有浮雕图案），和（2）厚度为4的热轧或锻造扁钢产品。75 毫米或以上，宽度超过 150 毫米，尺寸至少是厚度的两倍，并且不成卷，无论是否带有浮雕图案。上述覆盖产品可以是矩形、正方形、圆形或其他形状，并且包括具有矩形或非矩形横截面的产品，其中这种非矩形横截面是在轧制过程之后获得的，即，已经过“轧制后加工”（例如，边缘已斜切或倒圆的产品）。</t>
  </si>
  <si>
    <t>A-570-135</t>
  </si>
  <si>
    <t>Certain Chassis and Subassemblies Thereof</t>
  </si>
  <si>
    <t>某些底盘及其子组件</t>
  </si>
  <si>
    <r>
      <rPr>
        <sz val="11"/>
        <color rgb="FF000000"/>
        <rFont val="Calibri"/>
        <charset val="134"/>
      </rPr>
      <t xml:space="preserve">8716.39.0090  </t>
    </r>
    <r>
      <rPr>
        <sz val="11"/>
        <color rgb="FF000000"/>
        <rFont val="宋体"/>
        <charset val="134"/>
      </rPr>
      <t>、</t>
    </r>
    <r>
      <rPr>
        <sz val="11"/>
        <color rgb="FF000000"/>
        <rFont val="Calibri"/>
        <charset val="134"/>
      </rPr>
      <t xml:space="preserve"> 8716.90.5060</t>
    </r>
    <r>
      <rPr>
        <sz val="11"/>
        <color rgb="FF000000"/>
        <rFont val="宋体"/>
        <charset val="134"/>
      </rPr>
      <t>，</t>
    </r>
    <r>
      <rPr>
        <sz val="11"/>
        <color rgb="FF000000"/>
        <rFont val="Calibri"/>
        <charset val="134"/>
      </rPr>
      <t xml:space="preserve"> 8716.90.5010</t>
    </r>
  </si>
  <si>
    <t>本订单涵盖的商品包括底盘及其子组件，无论是成品还是未成品，组装或未组装，涂层或未涂层，无论轴数如何，用于运输集装箱或其他有效载荷（包括自支撑有效载荷）用于公路、海上滚装*滚装 (RORO) 和*或铁路运输。底盘通常是但不限于带有悬架和车轴系统、车轮和轮胎、制动器、照明和电气系统、用于牵引卡车牵引车后面的联轴器以及用于固定车辆的锁定系统或系统的矩形框架拖车。使用扭锁、滑动销或类似的连接装置将一个或多个集装箱运输到底盘，以接合集装箱或其他有效载荷上的角配件。                                                                                                                                                                                             任何这些子组件的进口，无论是组装的还是未组装的，都构成了本订单中未完成的底盘。</t>
  </si>
  <si>
    <t>A-570-058</t>
  </si>
  <si>
    <t>Certain Cold-Drawn Mechanical Tubing of Carbon and Alloy Steel</t>
  </si>
  <si>
    <t>某些碳钢和合金钢冷拔机械管</t>
  </si>
  <si>
    <r>
      <rPr>
        <sz val="11"/>
        <color rgb="FF000000"/>
        <rFont val="Calibri"/>
        <charset val="134"/>
      </rPr>
      <t>7304.31.3000</t>
    </r>
    <r>
      <rPr>
        <sz val="11"/>
        <color rgb="FF000000"/>
        <rFont val="宋体"/>
        <charset val="134"/>
      </rPr>
      <t>、</t>
    </r>
    <r>
      <rPr>
        <sz val="11"/>
        <color rgb="FF000000"/>
        <rFont val="Calibri"/>
        <charset val="134"/>
      </rPr>
      <t>7304.31.6050</t>
    </r>
    <r>
      <rPr>
        <sz val="11"/>
        <color rgb="FF000000"/>
        <rFont val="宋体"/>
        <charset val="134"/>
      </rPr>
      <t>、</t>
    </r>
    <r>
      <rPr>
        <sz val="11"/>
        <color rgb="FF000000"/>
        <rFont val="Calibri"/>
        <charset val="134"/>
      </rPr>
      <t>7304.51.1000</t>
    </r>
    <r>
      <rPr>
        <sz val="11"/>
        <color rgb="FF000000"/>
        <rFont val="宋体"/>
        <charset val="134"/>
      </rPr>
      <t>、</t>
    </r>
    <r>
      <rPr>
        <sz val="11"/>
        <color rgb="FF000000"/>
        <rFont val="Calibri"/>
        <charset val="134"/>
      </rPr>
      <t>7304.51.5005</t>
    </r>
    <r>
      <rPr>
        <sz val="11"/>
        <color rgb="FF000000"/>
        <rFont val="宋体"/>
        <charset val="134"/>
      </rPr>
      <t>、</t>
    </r>
    <r>
      <rPr>
        <sz val="11"/>
        <color rgb="FF000000"/>
        <rFont val="Calibri"/>
        <charset val="134"/>
      </rPr>
      <t>7304.51.5060</t>
    </r>
    <r>
      <rPr>
        <sz val="11"/>
        <color rgb="FF000000"/>
        <rFont val="宋体"/>
        <charset val="134"/>
      </rPr>
      <t>、</t>
    </r>
    <r>
      <rPr>
        <sz val="11"/>
        <color rgb="FF000000"/>
        <rFont val="Calibri"/>
        <charset val="134"/>
      </rPr>
      <t>7306.30.5015</t>
    </r>
    <r>
      <rPr>
        <sz val="11"/>
        <color rgb="FF000000"/>
        <rFont val="宋体"/>
        <charset val="134"/>
      </rPr>
      <t>、</t>
    </r>
    <r>
      <rPr>
        <sz val="11"/>
        <color rgb="FF000000"/>
        <rFont val="Calibri"/>
        <charset val="134"/>
      </rPr>
      <t>7306.30 .5020</t>
    </r>
    <r>
      <rPr>
        <sz val="11"/>
        <color rgb="FF000000"/>
        <rFont val="宋体"/>
        <charset val="134"/>
      </rPr>
      <t>、</t>
    </r>
    <r>
      <rPr>
        <sz val="11"/>
        <color rgb="FF000000"/>
        <rFont val="Calibri"/>
        <charset val="134"/>
      </rPr>
      <t xml:space="preserve">7306.50.5030,7306.30.1000  </t>
    </r>
    <r>
      <rPr>
        <sz val="11"/>
        <color rgb="FF000000"/>
        <rFont val="宋体"/>
        <charset val="134"/>
      </rPr>
      <t>、</t>
    </r>
    <r>
      <rPr>
        <sz val="11"/>
        <color rgb="FF000000"/>
        <rFont val="Calibri"/>
        <charset val="134"/>
      </rPr>
      <t xml:space="preserve"> 7306.50.1000</t>
    </r>
  </si>
  <si>
    <t>该订单的范围包括圆形截面的碳钢和合金钢冷拉机械管（冷拉机械管），长度为 304.8 毫米或以上，实际外径小于 331 毫米，无论壁厚如何，表面光洁度、最终光洁度或行业规范。主题冷拔机械管是具有圆形横截面形状的管状产品，在初始管形成后以涉及管的直径或壁厚变化的方式冷拉或以其他方式冷精加工， 或两者。主题冷拔机械管可以由焊接（例如，电阻焊接、连续焊接等）或无缝（例如，穿孔、皮尔格或挤压等）碳或合金钢管产品生产。也可以在冷加工后进行热处理。这种热处理可以包括但不限于退火、正火、淬火和回火、应力消除或最终退火。主题商品的典型冷拔方法包括但不限于在芯轴上拉拔、棒拉拔、塞拉拔、下沉拉拔和涉及使用模具或类似装置减小管材外径的类似工艺，无论是否使用内部支撑装置（例如心轴、杆、塞子或类似装置）控制管道的内径。可用于生产主题商品的其他冷精加工操作包括冷轧和冷定型管材。消除应力或完成退火。主题商品的典型冷拔方法包括但不限于在芯轴上拉拔、棒拉拔、塞拉拔、下沉拉拔和涉及使用模具或类似装置减小管材外径的类似工艺，无论是否使用内部支撑装置（例如心轴、杆、塞子或类似装置）控制管道的内径。可用于生产主题商品的其他冷精加工操作包括冷轧和冷定型管材。消除应力或完成退火。主题商品的典型冷拔方法包括但不限于在芯轴上拉拔、棒拉拔、塞拉拔、下沉拉拔和涉及使用模具或类似装置减小管材外径的类似工艺，无论是否使用内部支撑装置（例如心轴、杆、塞子或类似装置）控制管道的内径。可用于生产主题商品的其他冷精加工操作包括冷轧和冷定型管材。无论是否使用内部支撑装置（例如心轴、杆、塞子或类似装置）来控制管道的内径。可用于生产主题商品的其他冷精加工操作包括冷轧和冷定型管材。无论是否使用内部支撑装置（例如心轴、杆、塞子或类似装置）来控制管道的内径。可用于生产主题商品的其他冷精加工操作包括冷轧和冷定型管材。
主题冷拔机械管通常经过认证，符合冷拔管的行业规范，包括但不限于：</t>
  </si>
  <si>
    <t>A-570-029</t>
  </si>
  <si>
    <t>Certain Cold-Rolled Steel Flat Products</t>
  </si>
  <si>
    <t>某些冷轧扁钢产品</t>
  </si>
  <si>
    <r>
      <rPr>
        <sz val="11"/>
        <color rgb="FF000000"/>
        <rFont val="Calibri"/>
        <charset val="134"/>
      </rPr>
      <t>7209.15.0000</t>
    </r>
    <r>
      <rPr>
        <sz val="11"/>
        <color rgb="FF000000"/>
        <rFont val="宋体"/>
        <charset val="134"/>
      </rPr>
      <t>、</t>
    </r>
    <r>
      <rPr>
        <sz val="11"/>
        <color rgb="FF000000"/>
        <rFont val="Calibri"/>
        <charset val="134"/>
      </rPr>
      <t>7209.16.0030</t>
    </r>
    <r>
      <rPr>
        <sz val="11"/>
        <color rgb="FF000000"/>
        <rFont val="宋体"/>
        <charset val="134"/>
      </rPr>
      <t>、</t>
    </r>
    <r>
      <rPr>
        <sz val="11"/>
        <color rgb="FF000000"/>
        <rFont val="Calibri"/>
        <charset val="134"/>
      </rPr>
      <t>7209.16.0060</t>
    </r>
    <r>
      <rPr>
        <sz val="11"/>
        <color rgb="FF000000"/>
        <rFont val="宋体"/>
        <charset val="134"/>
      </rPr>
      <t>、</t>
    </r>
    <r>
      <rPr>
        <sz val="11"/>
        <color rgb="FF000000"/>
        <rFont val="Calibri"/>
        <charset val="134"/>
      </rPr>
      <t>7209.16.0070</t>
    </r>
    <r>
      <rPr>
        <sz val="11"/>
        <color rgb="FF000000"/>
        <rFont val="宋体"/>
        <charset val="134"/>
      </rPr>
      <t>、</t>
    </r>
    <r>
      <rPr>
        <sz val="11"/>
        <color rgb="FF000000"/>
        <rFont val="Calibri"/>
        <charset val="134"/>
      </rPr>
      <t>7209.16.0091</t>
    </r>
    <r>
      <rPr>
        <sz val="11"/>
        <color rgb="FF000000"/>
        <rFont val="宋体"/>
        <charset val="134"/>
      </rPr>
      <t>、</t>
    </r>
    <r>
      <rPr>
        <sz val="11"/>
        <color rgb="FF000000"/>
        <rFont val="Calibri"/>
        <charset val="134"/>
      </rPr>
      <t>7209.17.0030</t>
    </r>
    <r>
      <rPr>
        <sz val="11"/>
        <color rgb="FF000000"/>
        <rFont val="宋体"/>
        <charset val="134"/>
      </rPr>
      <t>、</t>
    </r>
    <r>
      <rPr>
        <sz val="11"/>
        <color rgb="FF000000"/>
        <rFont val="Calibri"/>
        <charset val="134"/>
      </rPr>
      <t>7209.17 .0060</t>
    </r>
    <r>
      <rPr>
        <sz val="11"/>
        <color rgb="FF000000"/>
        <rFont val="宋体"/>
        <charset val="134"/>
      </rPr>
      <t>，</t>
    </r>
    <r>
      <rPr>
        <sz val="11"/>
        <color rgb="FF000000"/>
        <rFont val="Calibri"/>
        <charset val="134"/>
      </rPr>
      <t>7209.17.0070</t>
    </r>
    <r>
      <rPr>
        <sz val="11"/>
        <color rgb="FF000000"/>
        <rFont val="宋体"/>
        <charset val="134"/>
      </rPr>
      <t>，</t>
    </r>
    <r>
      <rPr>
        <sz val="11"/>
        <color rgb="FF000000"/>
        <rFont val="Calibri"/>
        <charset val="134"/>
      </rPr>
      <t>7209.17.0091</t>
    </r>
    <r>
      <rPr>
        <sz val="11"/>
        <color rgb="FF000000"/>
        <rFont val="宋体"/>
        <charset val="134"/>
      </rPr>
      <t>，</t>
    </r>
    <r>
      <rPr>
        <sz val="11"/>
        <color rgb="FF000000"/>
        <rFont val="Calibri"/>
        <charset val="134"/>
      </rPr>
      <t>7209.18.1530</t>
    </r>
    <r>
      <rPr>
        <sz val="11"/>
        <color rgb="FF000000"/>
        <rFont val="宋体"/>
        <charset val="134"/>
      </rPr>
      <t>，</t>
    </r>
    <r>
      <rPr>
        <sz val="11"/>
        <color rgb="FF000000"/>
        <rFont val="Calibri"/>
        <charset val="134"/>
      </rPr>
      <t>7209.18.1560</t>
    </r>
    <r>
      <rPr>
        <sz val="11"/>
        <color rgb="FF000000"/>
        <rFont val="宋体"/>
        <charset val="134"/>
      </rPr>
      <t>，</t>
    </r>
    <r>
      <rPr>
        <sz val="11"/>
        <color rgb="FF000000"/>
        <rFont val="Calibri"/>
        <charset val="134"/>
      </rPr>
      <t>7209.18.2510</t>
    </r>
    <r>
      <rPr>
        <sz val="11"/>
        <color rgb="FF000000"/>
        <rFont val="宋体"/>
        <charset val="134"/>
      </rPr>
      <t>，</t>
    </r>
    <r>
      <rPr>
        <sz val="11"/>
        <color rgb="FF000000"/>
        <rFont val="Calibri"/>
        <charset val="134"/>
      </rPr>
      <t>7209.18.2520</t>
    </r>
    <r>
      <rPr>
        <sz val="11"/>
        <color rgb="FF000000"/>
        <rFont val="宋体"/>
        <charset val="134"/>
      </rPr>
      <t>，</t>
    </r>
    <r>
      <rPr>
        <sz val="11"/>
        <color rgb="FF000000"/>
        <rFont val="Calibri"/>
        <charset val="134"/>
      </rPr>
      <t>7209.18.2580 , 7209.28.0000, 7209.90.0000, 7210.70.3000, 7211.23.1500, 7211.23.2000, 7211.23.3000, 7211.23.4500, 7211.23.6030, 7211.23.6060, 7211.23.6090, 7211.29.2030, 7211.29.2090, 7211.29 .4500</t>
    </r>
    <r>
      <rPr>
        <sz val="11"/>
        <color rgb="FF000000"/>
        <rFont val="宋体"/>
        <charset val="134"/>
      </rPr>
      <t>，</t>
    </r>
    <r>
      <rPr>
        <sz val="11"/>
        <color rgb="FF000000"/>
        <rFont val="Calibri"/>
        <charset val="134"/>
      </rPr>
      <t>7211.29.6030</t>
    </r>
    <r>
      <rPr>
        <sz val="11"/>
        <color rgb="FF000000"/>
        <rFont val="宋体"/>
        <charset val="134"/>
      </rPr>
      <t>，</t>
    </r>
    <r>
      <rPr>
        <sz val="11"/>
        <color rgb="FF000000"/>
        <rFont val="Calibri"/>
        <charset val="134"/>
      </rPr>
      <t>7211.29.6080</t>
    </r>
    <r>
      <rPr>
        <sz val="11"/>
        <color rgb="FF000000"/>
        <rFont val="宋体"/>
        <charset val="134"/>
      </rPr>
      <t>，</t>
    </r>
    <r>
      <rPr>
        <sz val="11"/>
        <color rgb="FF000000"/>
        <rFont val="Calibri"/>
        <charset val="134"/>
      </rPr>
      <t>7211.90.0000</t>
    </r>
    <r>
      <rPr>
        <sz val="11"/>
        <color rgb="FF000000"/>
        <rFont val="宋体"/>
        <charset val="134"/>
      </rPr>
      <t>，</t>
    </r>
    <r>
      <rPr>
        <sz val="11"/>
        <color rgb="FF000000"/>
        <rFont val="Calibri"/>
        <charset val="134"/>
      </rPr>
      <t>7212.40.1000</t>
    </r>
    <r>
      <rPr>
        <sz val="11"/>
        <color rgb="FF000000"/>
        <rFont val="宋体"/>
        <charset val="134"/>
      </rPr>
      <t>，</t>
    </r>
    <r>
      <rPr>
        <sz val="11"/>
        <color rgb="FF000000"/>
        <rFont val="Calibri"/>
        <charset val="134"/>
      </rPr>
      <t>7212.40.5000</t>
    </r>
    <r>
      <rPr>
        <sz val="11"/>
        <color rgb="FF000000"/>
        <rFont val="宋体"/>
        <charset val="134"/>
      </rPr>
      <t>，</t>
    </r>
    <r>
      <rPr>
        <sz val="11"/>
        <color rgb="FF000000"/>
        <rFont val="Calibri"/>
        <charset val="134"/>
      </rPr>
      <t>7225.50.6000</t>
    </r>
    <r>
      <rPr>
        <sz val="11"/>
        <color rgb="FF000000"/>
        <rFont val="宋体"/>
        <charset val="134"/>
      </rPr>
      <t>，</t>
    </r>
    <r>
      <rPr>
        <sz val="11"/>
        <color rgb="FF000000"/>
        <rFont val="Calibri"/>
        <charset val="134"/>
      </rPr>
      <t>7225.50.8080</t>
    </r>
    <r>
      <rPr>
        <sz val="11"/>
        <color rgb="FF000000"/>
        <rFont val="宋体"/>
        <charset val="134"/>
      </rPr>
      <t>，</t>
    </r>
    <r>
      <rPr>
        <sz val="11"/>
        <color rgb="FF000000"/>
        <rFont val="Calibri"/>
        <charset val="134"/>
      </rPr>
      <t>722255.99.0090</t>
    </r>
    <r>
      <rPr>
        <sz val="11"/>
        <color rgb="FF000000"/>
        <rFont val="宋体"/>
        <charset val="134"/>
      </rPr>
      <t>，</t>
    </r>
    <r>
      <rPr>
        <sz val="11"/>
        <color rgb="FF000000"/>
        <rFont val="Calibri"/>
        <charset val="134"/>
      </rPr>
      <t>7226.0090 ,7210.90</t>
    </r>
    <r>
      <rPr>
        <sz val="11"/>
        <color rgb="FF000000"/>
        <rFont val="宋体"/>
        <charset val="134"/>
      </rPr>
      <t>。</t>
    </r>
  </si>
  <si>
    <t>本订单涵盖的产品是某些冷轧（冷轧）平轧钢产品，无论是否经过退火、涂漆、清漆或涂有塑料或其他非金属物质。涵盖的产品不包括包覆、镀覆或涂有金属的产品。涵盖的产品包括宽度或其他横向测量（“宽度”）为 12.7 毫米或更大的线圈，无论线圈的形式如何（例如，在连续叠加的层中，螺旋振荡等）。涵盖的产品还包括厚度小于 4.75 毫米、宽度为 12.7 毫米或更大且尺寸至少为厚度的 10 倍的非线圈产品（例如，直线长度）。涵盖的产品还包括厚度为 4 的非线圈（例如，直线长度）的产品。75 毫米或以上，宽度超过 150 毫米，并测量至少两倍的厚度。上述产品可以是矩形、正方形、圆形或其他形状，包括具有矩形或非矩形横截面的产品，这种横截面是在轧制过程之后获得的，即经过“加工”的产品轧制后''（例如，边缘已斜切或倒圆的产品）。出于上述宽度和厚度要求的目的：“轧制后加工”的产品（例如，边缘已斜切或倒圆的产品）。出于上述宽度和厚度要求的目的：“轧制后加工”的产品（例如，边缘已斜切或倒圆的产品）。</t>
  </si>
  <si>
    <t>A-570-122</t>
  </si>
  <si>
    <t>Certain Corrosion Inhibitors</t>
  </si>
  <si>
    <t>某些缓蚀剂</t>
  </si>
  <si>
    <t>2933.99.8220,2933.99.8290, 2933.99.8210,2933.99.8290</t>
  </si>
  <si>
    <t xml:space="preserve">
该订单涵盖的商品为甲苯基三唑和苯并三唑。这包括所有等级和形式的甲苯基三唑和苯并三唑，包括它们的钠盐形式。甲苯基三唑在技术上被称为甲苯基三唑 IUPAC 4,5 甲基苯并三唑。也可识别为4,5甲基苯并三唑、甲苯三唑、TTA、TTZ。
苯并三唑在技术上称为 IUPAC 1,2,3-苯并三唑。它也可以被识别为 1,2,3-苯并三唑、1,2-氨基并亚苯基、1H-苯并三唑和 BTA。
所有形式的甲苯基三唑和苯并三唑，包括但不限于薄片、颗粒、丸剂、小球、针头、粉末或液体，都包括在本订单的范围内。                                                                                                           范围包括与其他产品组合或混合的甲苯基三唑*甲苯基三唑钠和苯并三唑*苯并三唑钠。对于此类组合产品，只有甲苯基三唑*甲苯基三唑钠和苯并三唑*苯并三唑钠组分在本订单范围内。已与其他产品合用的甲苯基三唑和甲苯基三唑钠均包含在范围内，无论是否发生在第三国。与不受此命令约束的来源的甲苯基三唑、甲苯基三唑钠、苯并三唑钠或苯并三唑钠混合时，不排除其他受此命令约束的甲苯基三唑、甲苯基三唑钠、苯并三唑和苯并三唑钠。</t>
  </si>
  <si>
    <t>A-570-026</t>
  </si>
  <si>
    <t>Certain Corrosion-Resistant Steel Products</t>
  </si>
  <si>
    <t>某些耐腐蚀钢制品</t>
  </si>
  <si>
    <r>
      <rPr>
        <sz val="11"/>
        <color rgb="FF000000"/>
        <rFont val="Calibri"/>
        <charset val="134"/>
      </rPr>
      <t>7210.30.0030</t>
    </r>
    <r>
      <rPr>
        <sz val="11"/>
        <color rgb="FF000000"/>
        <rFont val="宋体"/>
        <charset val="134"/>
      </rPr>
      <t>、</t>
    </r>
    <r>
      <rPr>
        <sz val="11"/>
        <color rgb="FF000000"/>
        <rFont val="Calibri"/>
        <charset val="134"/>
      </rPr>
      <t>7210.30.0060</t>
    </r>
    <r>
      <rPr>
        <sz val="11"/>
        <color rgb="FF000000"/>
        <rFont val="宋体"/>
        <charset val="134"/>
      </rPr>
      <t>、</t>
    </r>
    <r>
      <rPr>
        <sz val="11"/>
        <color rgb="FF000000"/>
        <rFont val="Calibri"/>
        <charset val="134"/>
      </rPr>
      <t>7210.41.0000</t>
    </r>
    <r>
      <rPr>
        <sz val="11"/>
        <color rgb="FF000000"/>
        <rFont val="宋体"/>
        <charset val="134"/>
      </rPr>
      <t>、</t>
    </r>
    <r>
      <rPr>
        <sz val="11"/>
        <color rgb="FF000000"/>
        <rFont val="Calibri"/>
        <charset val="134"/>
      </rPr>
      <t>7210.49.0030</t>
    </r>
    <r>
      <rPr>
        <sz val="11"/>
        <color rgb="FF000000"/>
        <rFont val="宋体"/>
        <charset val="134"/>
      </rPr>
      <t>、</t>
    </r>
    <r>
      <rPr>
        <sz val="11"/>
        <color rgb="FF000000"/>
        <rFont val="Calibri"/>
        <charset val="134"/>
      </rPr>
      <t>7210.49.0091</t>
    </r>
    <r>
      <rPr>
        <sz val="11"/>
        <color rgb="FF000000"/>
        <rFont val="宋体"/>
        <charset val="134"/>
      </rPr>
      <t>、</t>
    </r>
    <r>
      <rPr>
        <sz val="11"/>
        <color rgb="FF000000"/>
        <rFont val="Calibri"/>
        <charset val="134"/>
      </rPr>
      <t xml:space="preserve">7210.49.0095 </t>
    </r>
    <r>
      <rPr>
        <sz val="11"/>
        <color rgb="FF000000"/>
        <rFont val="宋体"/>
        <charset val="134"/>
      </rPr>
      <t>，</t>
    </r>
    <r>
      <rPr>
        <sz val="11"/>
        <color rgb="FF000000"/>
        <rFont val="Calibri"/>
        <charset val="134"/>
      </rPr>
      <t>7210.61.0000</t>
    </r>
    <r>
      <rPr>
        <sz val="11"/>
        <color rgb="FF000000"/>
        <rFont val="宋体"/>
        <charset val="134"/>
      </rPr>
      <t>，</t>
    </r>
    <r>
      <rPr>
        <sz val="11"/>
        <color rgb="FF000000"/>
        <rFont val="Calibri"/>
        <charset val="134"/>
      </rPr>
      <t>7210.69.0000</t>
    </r>
    <r>
      <rPr>
        <sz val="11"/>
        <color rgb="FF000000"/>
        <rFont val="宋体"/>
        <charset val="134"/>
      </rPr>
      <t>，</t>
    </r>
    <r>
      <rPr>
        <sz val="11"/>
        <color rgb="FF000000"/>
        <rFont val="Calibri"/>
        <charset val="134"/>
      </rPr>
      <t>7210.70.6030</t>
    </r>
    <r>
      <rPr>
        <sz val="11"/>
        <color rgb="FF000000"/>
        <rFont val="宋体"/>
        <charset val="134"/>
      </rPr>
      <t>，</t>
    </r>
    <r>
      <rPr>
        <sz val="11"/>
        <color rgb="FF000000"/>
        <rFont val="Calibri"/>
        <charset val="134"/>
      </rPr>
      <t>7210.70.6060</t>
    </r>
    <r>
      <rPr>
        <sz val="11"/>
        <color rgb="FF000000"/>
        <rFont val="宋体"/>
        <charset val="134"/>
      </rPr>
      <t>，</t>
    </r>
    <r>
      <rPr>
        <sz val="11"/>
        <color rgb="FF000000"/>
        <rFont val="Calibri"/>
        <charset val="134"/>
      </rPr>
      <t>7210.70.6090</t>
    </r>
    <r>
      <rPr>
        <sz val="11"/>
        <color rgb="FF000000"/>
        <rFont val="宋体"/>
        <charset val="134"/>
      </rPr>
      <t>，</t>
    </r>
    <r>
      <rPr>
        <sz val="11"/>
        <color rgb="FF000000"/>
        <rFont val="Calibri"/>
        <charset val="134"/>
      </rPr>
      <t>7210.90.6000</t>
    </r>
    <r>
      <rPr>
        <sz val="11"/>
        <color rgb="FF000000"/>
        <rFont val="宋体"/>
        <charset val="134"/>
      </rPr>
      <t>，</t>
    </r>
    <r>
      <rPr>
        <sz val="11"/>
        <color rgb="FF000000"/>
        <rFont val="Calibri"/>
        <charset val="134"/>
      </rPr>
      <t>7210.90.90.90.9000</t>
    </r>
    <r>
      <rPr>
        <sz val="11"/>
        <color rgb="FF000000"/>
        <rFont val="宋体"/>
        <charset val="134"/>
      </rPr>
      <t>，</t>
    </r>
    <r>
      <rPr>
        <sz val="11"/>
        <color rgb="FF000000"/>
        <rFont val="Calibri"/>
        <charset val="134"/>
      </rPr>
      <t>7212.20.20.20.20.0000</t>
    </r>
    <r>
      <rPr>
        <sz val="11"/>
        <color rgb="FF000000"/>
        <rFont val="宋体"/>
        <charset val="134"/>
      </rPr>
      <t>，</t>
    </r>
    <r>
      <rPr>
        <sz val="11"/>
        <color rgb="FF000000"/>
        <rFont val="Calibri"/>
        <charset val="134"/>
      </rPr>
      <t>7212.30.30.30.30.30.30.30.30.30.30.30.30.30.30.30.30. 000</t>
    </r>
    <r>
      <rPr>
        <sz val="11"/>
        <color rgb="FF000000"/>
        <rFont val="宋体"/>
        <charset val="134"/>
      </rPr>
      <t>，</t>
    </r>
    <r>
      <rPr>
        <sz val="11"/>
        <color rgb="FF000000"/>
        <rFont val="Calibri"/>
        <charset val="134"/>
      </rPr>
      <t>721.10.30.10.10.19.10.19.30.30.30. 000</t>
    </r>
    <r>
      <rPr>
        <sz val="11"/>
        <color rgb="FF000000"/>
        <rFont val="宋体"/>
        <charset val="134"/>
      </rPr>
      <t>，</t>
    </r>
    <r>
      <rPr>
        <sz val="11"/>
        <color rgb="FF000000"/>
        <rFont val="Calibri"/>
        <charset val="134"/>
      </rPr>
      <t>72330.10.19.30.30. 000</t>
    </r>
    <r>
      <rPr>
        <sz val="11"/>
        <color rgb="FF000000"/>
        <rFont val="宋体"/>
        <charset val="134"/>
      </rPr>
      <t>，</t>
    </r>
    <r>
      <rPr>
        <sz val="11"/>
        <color rgb="FF000000"/>
        <rFont val="Calibri"/>
        <charset val="134"/>
      </rPr>
      <t>72330.10.g30.330.bhter .1000</t>
    </r>
    <r>
      <rPr>
        <sz val="11"/>
        <color rgb="FF000000"/>
        <rFont val="宋体"/>
        <charset val="134"/>
      </rPr>
      <t>、</t>
    </r>
    <r>
      <rPr>
        <sz val="11"/>
        <color rgb="FF000000"/>
        <rFont val="Calibri"/>
        <charset val="134"/>
      </rPr>
      <t>7212.40.5000</t>
    </r>
    <r>
      <rPr>
        <sz val="11"/>
        <color rgb="FF000000"/>
        <rFont val="宋体"/>
        <charset val="134"/>
      </rPr>
      <t>、</t>
    </r>
    <r>
      <rPr>
        <sz val="11"/>
        <color rgb="FF000000"/>
        <rFont val="Calibri"/>
        <charset val="134"/>
      </rPr>
      <t xml:space="preserve">7212.50.0000  </t>
    </r>
    <r>
      <rPr>
        <sz val="11"/>
        <color rgb="FF000000"/>
        <rFont val="宋体"/>
        <charset val="134"/>
      </rPr>
      <t>、</t>
    </r>
    <r>
      <rPr>
        <sz val="11"/>
        <color rgb="FF000000"/>
        <rFont val="Calibri"/>
        <charset val="134"/>
      </rPr>
      <t xml:space="preserve"> 7212.60.0000 7210.90.1000</t>
    </r>
    <r>
      <rPr>
        <sz val="11"/>
        <color rgb="FF000000"/>
        <rFont val="宋体"/>
        <charset val="134"/>
      </rPr>
      <t>、</t>
    </r>
    <r>
      <rPr>
        <sz val="11"/>
        <color rgb="FF000000"/>
        <rFont val="Calibri"/>
        <charset val="134"/>
      </rPr>
      <t>7215.90.1000</t>
    </r>
    <r>
      <rPr>
        <sz val="11"/>
        <color rgb="FF000000"/>
        <rFont val="宋体"/>
        <charset val="134"/>
      </rPr>
      <t>、</t>
    </r>
    <r>
      <rPr>
        <sz val="11"/>
        <color rgb="FF000000"/>
        <rFont val="Calibri"/>
        <charset val="134"/>
      </rPr>
      <t>7215.90.3000</t>
    </r>
    <r>
      <rPr>
        <sz val="11"/>
        <color rgb="FF000000"/>
        <rFont val="宋体"/>
        <charset val="134"/>
      </rPr>
      <t>、</t>
    </r>
    <r>
      <rPr>
        <sz val="11"/>
        <color rgb="FF000000"/>
        <rFont val="Calibri"/>
        <charset val="134"/>
      </rPr>
      <t>7215.90.5000</t>
    </r>
    <r>
      <rPr>
        <sz val="11"/>
        <color rgb="FF000000"/>
        <rFont val="宋体"/>
        <charset val="134"/>
      </rPr>
      <t>、</t>
    </r>
    <r>
      <rPr>
        <sz val="11"/>
        <color rgb="FF000000"/>
        <rFont val="Calibri"/>
        <charset val="134"/>
      </rPr>
      <t>7217.20.1500</t>
    </r>
    <r>
      <rPr>
        <sz val="11"/>
        <color rgb="FF000000"/>
        <rFont val="宋体"/>
        <charset val="134"/>
      </rPr>
      <t>、</t>
    </r>
    <r>
      <rPr>
        <sz val="11"/>
        <color rgb="FF000000"/>
        <rFont val="Calibri"/>
        <charset val="134"/>
      </rPr>
      <t>7217.30.1530</t>
    </r>
    <r>
      <rPr>
        <sz val="11"/>
        <color rgb="FF000000"/>
        <rFont val="宋体"/>
        <charset val="134"/>
      </rPr>
      <t>、</t>
    </r>
    <r>
      <rPr>
        <sz val="11"/>
        <color rgb="FF000000"/>
        <rFont val="Calibri"/>
        <charset val="134"/>
      </rPr>
      <t>7217.30.156000</t>
    </r>
    <r>
      <rPr>
        <sz val="11"/>
        <color rgb="FF000000"/>
        <rFont val="宋体"/>
        <charset val="134"/>
      </rPr>
      <t>、</t>
    </r>
    <r>
      <rPr>
        <sz val="11"/>
        <color rgb="FF000000"/>
        <rFont val="Calibri"/>
        <charset val="134"/>
      </rPr>
      <t>7217.7.90.0.2 5030</t>
    </r>
    <r>
      <rPr>
        <sz val="11"/>
        <color rgb="FF000000"/>
        <rFont val="宋体"/>
        <charset val="134"/>
      </rPr>
      <t>，</t>
    </r>
    <r>
      <rPr>
        <sz val="11"/>
        <color rgb="FF000000"/>
        <rFont val="Calibri"/>
        <charset val="134"/>
      </rPr>
      <t>7217.90.5060</t>
    </r>
    <r>
      <rPr>
        <sz val="11"/>
        <color rgb="FF000000"/>
        <rFont val="宋体"/>
        <charset val="134"/>
      </rPr>
      <t>，</t>
    </r>
    <r>
      <rPr>
        <sz val="11"/>
        <color rgb="FF000000"/>
        <rFont val="Calibri"/>
        <charset val="134"/>
      </rPr>
      <t>7217.90.5090</t>
    </r>
    <r>
      <rPr>
        <sz val="11"/>
        <color rgb="FF000000"/>
        <rFont val="宋体"/>
        <charset val="134"/>
      </rPr>
      <t>，</t>
    </r>
    <r>
      <rPr>
        <sz val="11"/>
        <color rgb="FF000000"/>
        <rFont val="Calibri"/>
        <charset val="134"/>
      </rPr>
      <t>7225.91.0000</t>
    </r>
    <r>
      <rPr>
        <sz val="11"/>
        <color rgb="FF000000"/>
        <rFont val="宋体"/>
        <charset val="134"/>
      </rPr>
      <t>，</t>
    </r>
    <r>
      <rPr>
        <sz val="11"/>
        <color rgb="FF000000"/>
        <rFont val="Calibri"/>
        <charset val="134"/>
      </rPr>
      <t>7225.92.0000</t>
    </r>
    <r>
      <rPr>
        <sz val="11"/>
        <color rgb="FF000000"/>
        <rFont val="宋体"/>
        <charset val="134"/>
      </rPr>
      <t>，</t>
    </r>
    <r>
      <rPr>
        <sz val="11"/>
        <color rgb="FF000000"/>
        <rFont val="Calibri"/>
        <charset val="134"/>
      </rPr>
      <t>7225.99.0090</t>
    </r>
    <r>
      <rPr>
        <sz val="11"/>
        <color rgb="FF000000"/>
        <rFont val="宋体"/>
        <charset val="134"/>
      </rPr>
      <t>，</t>
    </r>
    <r>
      <rPr>
        <sz val="11"/>
        <color rgb="FF000000"/>
        <rFont val="Calibri"/>
        <charset val="134"/>
      </rPr>
      <t>7226.99.0110</t>
    </r>
    <r>
      <rPr>
        <sz val="11"/>
        <color rgb="FF000000"/>
        <rFont val="宋体"/>
        <charset val="134"/>
      </rPr>
      <t>，</t>
    </r>
    <r>
      <rPr>
        <sz val="11"/>
        <color rgb="FF000000"/>
        <rFont val="Calibri"/>
        <charset val="134"/>
      </rPr>
      <t>7226.99.0130</t>
    </r>
  </si>
  <si>
    <t>本次调查涵盖的产品是某些平板轧钢产品，无论是否包覆、电镀或涂有耐腐蚀金属</t>
  </si>
  <si>
    <t>A-570-849</t>
  </si>
  <si>
    <t>Certain Cut-To-Length Carbon Steel</t>
  </si>
  <si>
    <t>某些定尺切割碳钢</t>
  </si>
  <si>
    <r>
      <rPr>
        <sz val="11"/>
        <color rgb="FF000000"/>
        <rFont val="Calibri"/>
        <charset val="134"/>
      </rPr>
      <t>7208.40.3030</t>
    </r>
    <r>
      <rPr>
        <sz val="11"/>
        <color rgb="FF000000"/>
        <rFont val="宋体"/>
        <charset val="134"/>
      </rPr>
      <t>、</t>
    </r>
    <r>
      <rPr>
        <sz val="11"/>
        <color rgb="FF000000"/>
        <rFont val="Calibri"/>
        <charset val="134"/>
      </rPr>
      <t>7208.40.3060</t>
    </r>
    <r>
      <rPr>
        <sz val="11"/>
        <color rgb="FF000000"/>
        <rFont val="宋体"/>
        <charset val="134"/>
      </rPr>
      <t>、</t>
    </r>
    <r>
      <rPr>
        <sz val="11"/>
        <color rgb="FF000000"/>
        <rFont val="Calibri"/>
        <charset val="134"/>
      </rPr>
      <t>7208.51.0030</t>
    </r>
    <r>
      <rPr>
        <sz val="11"/>
        <color rgb="FF000000"/>
        <rFont val="宋体"/>
        <charset val="134"/>
      </rPr>
      <t>、</t>
    </r>
    <r>
      <rPr>
        <sz val="11"/>
        <color rgb="FF000000"/>
        <rFont val="Calibri"/>
        <charset val="134"/>
      </rPr>
      <t>7208.51.0045</t>
    </r>
    <r>
      <rPr>
        <sz val="11"/>
        <color rgb="FF000000"/>
        <rFont val="宋体"/>
        <charset val="134"/>
      </rPr>
      <t>、</t>
    </r>
    <r>
      <rPr>
        <sz val="11"/>
        <color rgb="FF000000"/>
        <rFont val="Calibri"/>
        <charset val="134"/>
      </rPr>
      <t>7208.51.0060</t>
    </r>
    <r>
      <rPr>
        <sz val="11"/>
        <color rgb="FF000000"/>
        <rFont val="宋体"/>
        <charset val="134"/>
      </rPr>
      <t>、</t>
    </r>
    <r>
      <rPr>
        <sz val="11"/>
        <color rgb="FF000000"/>
        <rFont val="Calibri"/>
        <charset val="134"/>
      </rPr>
      <t>7208.52.0000</t>
    </r>
    <r>
      <rPr>
        <sz val="11"/>
        <color rgb="FF000000"/>
        <rFont val="宋体"/>
        <charset val="134"/>
      </rPr>
      <t>、</t>
    </r>
    <r>
      <rPr>
        <sz val="11"/>
        <color rgb="FF000000"/>
        <rFont val="Calibri"/>
        <charset val="134"/>
      </rPr>
      <t>7208.53.0000</t>
    </r>
    <r>
      <rPr>
        <sz val="11"/>
        <color rgb="FF000000"/>
        <rFont val="宋体"/>
        <charset val="134"/>
      </rPr>
      <t>、</t>
    </r>
    <r>
      <rPr>
        <sz val="11"/>
        <color rgb="FF000000"/>
        <rFont val="Calibri"/>
        <charset val="134"/>
      </rPr>
      <t>7208</t>
    </r>
    <r>
      <rPr>
        <sz val="11"/>
        <color rgb="FF000000"/>
        <rFont val="宋体"/>
        <charset val="134"/>
      </rPr>
      <t>。</t>
    </r>
    <r>
      <rPr>
        <sz val="11"/>
        <color rgb="FF000000"/>
        <rFont val="Calibri"/>
        <charset val="134"/>
      </rPr>
      <t xml:space="preserve"> 0000</t>
    </r>
    <r>
      <rPr>
        <sz val="11"/>
        <color rgb="FF000000"/>
        <rFont val="宋体"/>
        <charset val="134"/>
      </rPr>
      <t>、</t>
    </r>
    <r>
      <rPr>
        <sz val="11"/>
        <color rgb="FF000000"/>
        <rFont val="Calibri"/>
        <charset val="134"/>
      </rPr>
      <t>7210.70.3000</t>
    </r>
    <r>
      <rPr>
        <sz val="11"/>
        <color rgb="FF000000"/>
        <rFont val="宋体"/>
        <charset val="134"/>
      </rPr>
      <t>、</t>
    </r>
    <r>
      <rPr>
        <sz val="11"/>
        <color rgb="FF000000"/>
        <rFont val="Calibri"/>
        <charset val="134"/>
      </rPr>
      <t>7210.90.9000</t>
    </r>
    <r>
      <rPr>
        <sz val="11"/>
        <color rgb="FF000000"/>
        <rFont val="宋体"/>
        <charset val="134"/>
      </rPr>
      <t>、</t>
    </r>
    <r>
      <rPr>
        <sz val="11"/>
        <color rgb="FF000000"/>
        <rFont val="Calibri"/>
        <charset val="134"/>
      </rPr>
      <t>7211.13.0000</t>
    </r>
    <r>
      <rPr>
        <sz val="11"/>
        <color rgb="FF000000"/>
        <rFont val="宋体"/>
        <charset val="134"/>
      </rPr>
      <t>、</t>
    </r>
    <r>
      <rPr>
        <sz val="11"/>
        <color rgb="FF000000"/>
        <rFont val="Calibri"/>
        <charset val="134"/>
      </rPr>
      <t>7211.14.0030</t>
    </r>
    <r>
      <rPr>
        <sz val="11"/>
        <color rgb="FF000000"/>
        <rFont val="宋体"/>
        <charset val="134"/>
      </rPr>
      <t>、</t>
    </r>
    <r>
      <rPr>
        <sz val="11"/>
        <color rgb="FF000000"/>
        <rFont val="Calibri"/>
        <charset val="134"/>
      </rPr>
      <t>7211.14.0045</t>
    </r>
    <r>
      <rPr>
        <sz val="11"/>
        <color rgb="FF000000"/>
        <rFont val="宋体"/>
        <charset val="134"/>
      </rPr>
      <t>、</t>
    </r>
    <r>
      <rPr>
        <sz val="11"/>
        <color rgb="FF000000"/>
        <rFont val="Calibri"/>
        <charset val="134"/>
      </rPr>
      <t>7211.90.0000</t>
    </r>
    <r>
      <rPr>
        <sz val="11"/>
        <color rgb="FF000000"/>
        <rFont val="宋体"/>
        <charset val="134"/>
      </rPr>
      <t>、</t>
    </r>
    <r>
      <rPr>
        <sz val="11"/>
        <color rgb="FF000000"/>
        <rFont val="Calibri"/>
        <charset val="134"/>
      </rPr>
      <t>7212.40.1000</t>
    </r>
    <r>
      <rPr>
        <sz val="11"/>
        <color rgb="FF000000"/>
        <rFont val="宋体"/>
        <charset val="134"/>
      </rPr>
      <t>、</t>
    </r>
    <r>
      <rPr>
        <sz val="11"/>
        <color rgb="FF000000"/>
        <rFont val="Calibri"/>
        <charset val="134"/>
      </rPr>
      <t>7212.40.50000</t>
    </r>
    <r>
      <rPr>
        <sz val="11"/>
        <color rgb="FF000000"/>
        <rFont val="宋体"/>
        <charset val="134"/>
      </rPr>
      <t>、</t>
    </r>
    <r>
      <rPr>
        <sz val="11"/>
        <color rgb="FF000000"/>
        <rFont val="Calibri"/>
        <charset val="134"/>
      </rPr>
      <t>7212.50.</t>
    </r>
  </si>
  <si>
    <t>本订单涉及的商品为中华人民共和国某定长定尺碳钢板</t>
  </si>
  <si>
    <t>A-570-051</t>
  </si>
  <si>
    <t>Certain Hardwood Plywood Products</t>
  </si>
  <si>
    <t>某些硬木胶合板产品</t>
  </si>
  <si>
    <r>
      <rPr>
        <sz val="11"/>
        <color rgb="FF000000"/>
        <rFont val="Calibri"/>
        <charset val="134"/>
      </rPr>
      <t>4412.10.0500;4412.31.0520; 4412.31.0540</t>
    </r>
    <r>
      <rPr>
        <sz val="11"/>
        <color rgb="FF000000"/>
        <rFont val="宋体"/>
        <charset val="134"/>
      </rPr>
      <t>；</t>
    </r>
    <r>
      <rPr>
        <sz val="11"/>
        <color rgb="FF000000"/>
        <rFont val="Calibri"/>
        <charset val="134"/>
      </rPr>
      <t>4412.31.0560</t>
    </r>
    <r>
      <rPr>
        <sz val="11"/>
        <color rgb="FF000000"/>
        <rFont val="宋体"/>
        <charset val="134"/>
      </rPr>
      <t>；</t>
    </r>
    <r>
      <rPr>
        <sz val="11"/>
        <color rgb="FF000000"/>
        <rFont val="Calibri"/>
        <charset val="134"/>
      </rPr>
      <t>4412.31.0620</t>
    </r>
    <r>
      <rPr>
        <sz val="11"/>
        <color rgb="FF000000"/>
        <rFont val="宋体"/>
        <charset val="134"/>
      </rPr>
      <t>；</t>
    </r>
    <r>
      <rPr>
        <sz val="11"/>
        <color rgb="FF000000"/>
        <rFont val="Calibri"/>
        <charset val="134"/>
      </rPr>
      <t>4412.31.0640</t>
    </r>
    <r>
      <rPr>
        <sz val="11"/>
        <color rgb="FF000000"/>
        <rFont val="宋体"/>
        <charset val="134"/>
      </rPr>
      <t>；</t>
    </r>
    <r>
      <rPr>
        <sz val="11"/>
        <color rgb="FF000000"/>
        <rFont val="Calibri"/>
        <charset val="134"/>
      </rPr>
      <t>4412.31.0660</t>
    </r>
    <r>
      <rPr>
        <sz val="11"/>
        <color rgb="FF000000"/>
        <rFont val="宋体"/>
        <charset val="134"/>
      </rPr>
      <t>；</t>
    </r>
    <r>
      <rPr>
        <sz val="11"/>
        <color rgb="FF000000"/>
        <rFont val="Calibri"/>
        <charset val="134"/>
      </rPr>
      <t>4412.31.2510</t>
    </r>
    <r>
      <rPr>
        <sz val="11"/>
        <color rgb="FF000000"/>
        <rFont val="宋体"/>
        <charset val="134"/>
      </rPr>
      <t>；</t>
    </r>
    <r>
      <rPr>
        <sz val="11"/>
        <color rgb="FF000000"/>
        <rFont val="Calibri"/>
        <charset val="134"/>
      </rPr>
      <t>4412.31.2520</t>
    </r>
    <r>
      <rPr>
        <sz val="11"/>
        <color rgb="FF000000"/>
        <rFont val="宋体"/>
        <charset val="134"/>
      </rPr>
      <t>；</t>
    </r>
    <r>
      <rPr>
        <sz val="11"/>
        <color rgb="FF000000"/>
        <rFont val="Calibri"/>
        <charset val="134"/>
      </rPr>
      <t>4412.31.2610</t>
    </r>
    <r>
      <rPr>
        <sz val="11"/>
        <color rgb="FF000000"/>
        <rFont val="宋体"/>
        <charset val="134"/>
      </rPr>
      <t>；</t>
    </r>
    <r>
      <rPr>
        <sz val="11"/>
        <color rgb="FF000000"/>
        <rFont val="Calibri"/>
        <charset val="134"/>
      </rPr>
      <t>4412.31.2620</t>
    </r>
    <r>
      <rPr>
        <sz val="11"/>
        <color rgb="FF000000"/>
        <rFont val="宋体"/>
        <charset val="134"/>
      </rPr>
      <t>；</t>
    </r>
    <r>
      <rPr>
        <sz val="11"/>
        <color rgb="FF000000"/>
        <rFont val="Calibri"/>
        <charset val="134"/>
      </rPr>
      <t>4412.31.4040</t>
    </r>
    <r>
      <rPr>
        <sz val="11"/>
        <color rgb="FF000000"/>
        <rFont val="宋体"/>
        <charset val="134"/>
      </rPr>
      <t>；</t>
    </r>
    <r>
      <rPr>
        <sz val="11"/>
        <color rgb="FF000000"/>
        <rFont val="Calibri"/>
        <charset val="134"/>
      </rPr>
      <t>4412.31.4050</t>
    </r>
    <r>
      <rPr>
        <sz val="11"/>
        <color rgb="FF000000"/>
        <rFont val="宋体"/>
        <charset val="134"/>
      </rPr>
      <t>；</t>
    </r>
    <r>
      <rPr>
        <sz val="11"/>
        <color rgb="FF000000"/>
        <rFont val="Calibri"/>
        <charset val="134"/>
      </rPr>
      <t>4412.31.4060</t>
    </r>
    <r>
      <rPr>
        <sz val="11"/>
        <color rgb="FF000000"/>
        <rFont val="宋体"/>
        <charset val="134"/>
      </rPr>
      <t>；</t>
    </r>
    <r>
      <rPr>
        <sz val="11"/>
        <color rgb="FF000000"/>
        <rFont val="Calibri"/>
        <charset val="134"/>
      </rPr>
      <t>4412.31.4075</t>
    </r>
    <r>
      <rPr>
        <sz val="11"/>
        <color rgb="FF000000"/>
        <rFont val="宋体"/>
        <charset val="134"/>
      </rPr>
      <t>；</t>
    </r>
    <r>
      <rPr>
        <sz val="11"/>
        <color rgb="FF000000"/>
        <rFont val="Calibri"/>
        <charset val="134"/>
      </rPr>
      <t>4412.31.4080</t>
    </r>
    <r>
      <rPr>
        <sz val="11"/>
        <color rgb="FF000000"/>
        <rFont val="宋体"/>
        <charset val="134"/>
      </rPr>
      <t>；</t>
    </r>
    <r>
      <rPr>
        <sz val="11"/>
        <color rgb="FF000000"/>
        <rFont val="Calibri"/>
        <charset val="134"/>
      </rPr>
      <t>4412.31.4140</t>
    </r>
    <r>
      <rPr>
        <sz val="11"/>
        <color rgb="FF000000"/>
        <rFont val="宋体"/>
        <charset val="134"/>
      </rPr>
      <t>；</t>
    </r>
    <r>
      <rPr>
        <sz val="11"/>
        <color rgb="FF000000"/>
        <rFont val="Calibri"/>
        <charset val="134"/>
      </rPr>
      <t>4412.31.4150</t>
    </r>
    <r>
      <rPr>
        <sz val="11"/>
        <color rgb="FF000000"/>
        <rFont val="宋体"/>
        <charset val="134"/>
      </rPr>
      <t>；</t>
    </r>
    <r>
      <rPr>
        <sz val="11"/>
        <color rgb="FF000000"/>
        <rFont val="Calibri"/>
        <charset val="134"/>
      </rPr>
      <t>4412.31.4160</t>
    </r>
    <r>
      <rPr>
        <sz val="11"/>
        <color rgb="FF000000"/>
        <rFont val="宋体"/>
        <charset val="134"/>
      </rPr>
      <t>；</t>
    </r>
    <r>
      <rPr>
        <sz val="11"/>
        <color rgb="FF000000"/>
        <rFont val="Calibri"/>
        <charset val="134"/>
      </rPr>
      <t>4412.31.4180</t>
    </r>
    <r>
      <rPr>
        <sz val="11"/>
        <color rgb="FF000000"/>
        <rFont val="宋体"/>
        <charset val="134"/>
      </rPr>
      <t>；</t>
    </r>
    <r>
      <rPr>
        <sz val="11"/>
        <color rgb="FF000000"/>
        <rFont val="Calibri"/>
        <charset val="134"/>
      </rPr>
      <t>4412.31.5125</t>
    </r>
    <r>
      <rPr>
        <sz val="11"/>
        <color rgb="FF000000"/>
        <rFont val="宋体"/>
        <charset val="134"/>
      </rPr>
      <t>；</t>
    </r>
    <r>
      <rPr>
        <sz val="11"/>
        <color rgb="FF000000"/>
        <rFont val="Calibri"/>
        <charset val="134"/>
      </rPr>
      <t>4412.31.5135</t>
    </r>
    <r>
      <rPr>
        <sz val="11"/>
        <color rgb="FF000000"/>
        <rFont val="宋体"/>
        <charset val="134"/>
      </rPr>
      <t>；</t>
    </r>
    <r>
      <rPr>
        <sz val="11"/>
        <color rgb="FF000000"/>
        <rFont val="Calibri"/>
        <charset val="134"/>
      </rPr>
      <t>4412.31.5155</t>
    </r>
    <r>
      <rPr>
        <sz val="11"/>
        <color rgb="FF000000"/>
        <rFont val="宋体"/>
        <charset val="134"/>
      </rPr>
      <t>；</t>
    </r>
    <r>
      <rPr>
        <sz val="11"/>
        <color rgb="FF000000"/>
        <rFont val="Calibri"/>
        <charset val="134"/>
      </rPr>
      <t>4412.31.5165</t>
    </r>
    <r>
      <rPr>
        <sz val="11"/>
        <color rgb="FF000000"/>
        <rFont val="宋体"/>
        <charset val="134"/>
      </rPr>
      <t>；</t>
    </r>
    <r>
      <rPr>
        <sz val="11"/>
        <color rgb="FF000000"/>
        <rFont val="Calibri"/>
        <charset val="134"/>
      </rPr>
      <t>4412.31.5175</t>
    </r>
    <r>
      <rPr>
        <sz val="11"/>
        <color rgb="FF000000"/>
        <rFont val="宋体"/>
        <charset val="134"/>
      </rPr>
      <t>；</t>
    </r>
    <r>
      <rPr>
        <sz val="11"/>
        <color rgb="FF000000"/>
        <rFont val="Calibri"/>
        <charset val="134"/>
      </rPr>
      <t>4412.31.5235</t>
    </r>
    <r>
      <rPr>
        <sz val="11"/>
        <color rgb="FF000000"/>
        <rFont val="宋体"/>
        <charset val="134"/>
      </rPr>
      <t>；</t>
    </r>
    <r>
      <rPr>
        <sz val="11"/>
        <color rgb="FF000000"/>
        <rFont val="Calibri"/>
        <charset val="134"/>
      </rPr>
      <t>4412.31.5255</t>
    </r>
    <r>
      <rPr>
        <sz val="11"/>
        <color rgb="FF000000"/>
        <rFont val="宋体"/>
        <charset val="134"/>
      </rPr>
      <t>；</t>
    </r>
    <r>
      <rPr>
        <sz val="11"/>
        <color rgb="FF000000"/>
        <rFont val="Calibri"/>
        <charset val="134"/>
      </rPr>
      <t>4412.31.5265</t>
    </r>
    <r>
      <rPr>
        <sz val="11"/>
        <color rgb="FF000000"/>
        <rFont val="宋体"/>
        <charset val="134"/>
      </rPr>
      <t>；</t>
    </r>
    <r>
      <rPr>
        <sz val="11"/>
        <color rgb="FF000000"/>
        <rFont val="Calibri"/>
        <charset val="134"/>
      </rPr>
      <t>4412.31.5275</t>
    </r>
    <r>
      <rPr>
        <sz val="11"/>
        <color rgb="FF000000"/>
        <rFont val="宋体"/>
        <charset val="134"/>
      </rPr>
      <t>；</t>
    </r>
    <r>
      <rPr>
        <sz val="11"/>
        <color rgb="FF000000"/>
        <rFont val="Calibri"/>
        <charset val="134"/>
      </rPr>
      <t>4412.31.6000</t>
    </r>
    <r>
      <rPr>
        <sz val="11"/>
        <color rgb="FF000000"/>
        <rFont val="宋体"/>
        <charset val="134"/>
      </rPr>
      <t>；</t>
    </r>
    <r>
      <rPr>
        <sz val="11"/>
        <color rgb="FF000000"/>
        <rFont val="Calibri"/>
        <charset val="134"/>
      </rPr>
      <t>4412.31.6100</t>
    </r>
    <r>
      <rPr>
        <sz val="11"/>
        <color rgb="FF000000"/>
        <rFont val="宋体"/>
        <charset val="134"/>
      </rPr>
      <t>；</t>
    </r>
    <r>
      <rPr>
        <sz val="11"/>
        <color rgb="FF000000"/>
        <rFont val="Calibri"/>
        <charset val="134"/>
      </rPr>
      <t>4412.31.9100</t>
    </r>
    <r>
      <rPr>
        <sz val="11"/>
        <color rgb="FF000000"/>
        <rFont val="宋体"/>
        <charset val="134"/>
      </rPr>
      <t>；</t>
    </r>
    <r>
      <rPr>
        <sz val="11"/>
        <color rgb="FF000000"/>
        <rFont val="Calibri"/>
        <charset val="134"/>
      </rPr>
      <t>4412.31.9200</t>
    </r>
    <r>
      <rPr>
        <sz val="11"/>
        <color rgb="FF000000"/>
        <rFont val="宋体"/>
        <charset val="134"/>
      </rPr>
      <t>；</t>
    </r>
    <r>
      <rPr>
        <sz val="11"/>
        <color rgb="FF000000"/>
        <rFont val="Calibri"/>
        <charset val="134"/>
      </rPr>
      <t>4412.32.0520</t>
    </r>
    <r>
      <rPr>
        <sz val="11"/>
        <color rgb="FF000000"/>
        <rFont val="宋体"/>
        <charset val="134"/>
      </rPr>
      <t>；</t>
    </r>
    <r>
      <rPr>
        <sz val="11"/>
        <color rgb="FF000000"/>
        <rFont val="Calibri"/>
        <charset val="134"/>
      </rPr>
      <t>4412.32.0540</t>
    </r>
    <r>
      <rPr>
        <sz val="11"/>
        <color rgb="FF000000"/>
        <rFont val="宋体"/>
        <charset val="134"/>
      </rPr>
      <t>；</t>
    </r>
    <r>
      <rPr>
        <sz val="11"/>
        <color rgb="FF000000"/>
        <rFont val="Calibri"/>
        <charset val="134"/>
      </rPr>
      <t>4412.32.0565</t>
    </r>
    <r>
      <rPr>
        <sz val="11"/>
        <color rgb="FF000000"/>
        <rFont val="宋体"/>
        <charset val="134"/>
      </rPr>
      <t>；</t>
    </r>
    <r>
      <rPr>
        <sz val="11"/>
        <color rgb="FF000000"/>
        <rFont val="Calibri"/>
        <charset val="134"/>
      </rPr>
      <t>4412.32.0570</t>
    </r>
    <r>
      <rPr>
        <sz val="11"/>
        <color rgb="FF000000"/>
        <rFont val="宋体"/>
        <charset val="134"/>
      </rPr>
      <t>；</t>
    </r>
    <r>
      <rPr>
        <sz val="11"/>
        <color rgb="FF000000"/>
        <rFont val="Calibri"/>
        <charset val="134"/>
      </rPr>
      <t>4412.32.0620</t>
    </r>
    <r>
      <rPr>
        <sz val="11"/>
        <color rgb="FF000000"/>
        <rFont val="宋体"/>
        <charset val="134"/>
      </rPr>
      <t>；</t>
    </r>
    <r>
      <rPr>
        <sz val="11"/>
        <color rgb="FF000000"/>
        <rFont val="Calibri"/>
        <charset val="134"/>
      </rPr>
      <t>4412.32.0640</t>
    </r>
    <r>
      <rPr>
        <sz val="11"/>
        <color rgb="FF000000"/>
        <rFont val="宋体"/>
        <charset val="134"/>
      </rPr>
      <t>；</t>
    </r>
    <r>
      <rPr>
        <sz val="11"/>
        <color rgb="FF000000"/>
        <rFont val="Calibri"/>
        <charset val="134"/>
      </rPr>
      <t>4412.32.0670</t>
    </r>
    <r>
      <rPr>
        <sz val="11"/>
        <color rgb="FF000000"/>
        <rFont val="宋体"/>
        <charset val="134"/>
      </rPr>
      <t>；</t>
    </r>
    <r>
      <rPr>
        <sz val="11"/>
        <color rgb="FF000000"/>
        <rFont val="Calibri"/>
        <charset val="134"/>
      </rPr>
      <t>4412.32.2510</t>
    </r>
    <r>
      <rPr>
        <sz val="11"/>
        <color rgb="FF000000"/>
        <rFont val="宋体"/>
        <charset val="134"/>
      </rPr>
      <t>；</t>
    </r>
    <r>
      <rPr>
        <sz val="11"/>
        <color rgb="FF000000"/>
        <rFont val="Calibri"/>
        <charset val="134"/>
      </rPr>
      <t>4412.32.2525</t>
    </r>
    <r>
      <rPr>
        <sz val="11"/>
        <color rgb="FF000000"/>
        <rFont val="宋体"/>
        <charset val="134"/>
      </rPr>
      <t>；</t>
    </r>
    <r>
      <rPr>
        <sz val="11"/>
        <color rgb="FF000000"/>
        <rFont val="Calibri"/>
        <charset val="134"/>
      </rPr>
      <t>4412.32.2530</t>
    </r>
    <r>
      <rPr>
        <sz val="11"/>
        <color rgb="FF000000"/>
        <rFont val="宋体"/>
        <charset val="134"/>
      </rPr>
      <t>；</t>
    </r>
    <r>
      <rPr>
        <sz val="11"/>
        <color rgb="FF000000"/>
        <rFont val="Calibri"/>
        <charset val="134"/>
      </rPr>
      <t>4412.32.2610</t>
    </r>
    <r>
      <rPr>
        <sz val="11"/>
        <color rgb="FF000000"/>
        <rFont val="宋体"/>
        <charset val="134"/>
      </rPr>
      <t>；</t>
    </r>
    <r>
      <rPr>
        <sz val="11"/>
        <color rgb="FF000000"/>
        <rFont val="Calibri"/>
        <charset val="134"/>
      </rPr>
      <t>4412.32.2630</t>
    </r>
    <r>
      <rPr>
        <sz val="11"/>
        <color rgb="FF000000"/>
        <rFont val="宋体"/>
        <charset val="134"/>
      </rPr>
      <t>；</t>
    </r>
    <r>
      <rPr>
        <sz val="11"/>
        <color rgb="FF000000"/>
        <rFont val="Calibri"/>
        <charset val="134"/>
      </rPr>
      <t>4412.32.3125</t>
    </r>
    <r>
      <rPr>
        <sz val="11"/>
        <color rgb="FF000000"/>
        <rFont val="宋体"/>
        <charset val="134"/>
      </rPr>
      <t>；</t>
    </r>
    <r>
      <rPr>
        <sz val="11"/>
        <color rgb="FF000000"/>
        <rFont val="Calibri"/>
        <charset val="134"/>
      </rPr>
      <t>4412.32.3135</t>
    </r>
    <r>
      <rPr>
        <sz val="11"/>
        <color rgb="FF000000"/>
        <rFont val="宋体"/>
        <charset val="134"/>
      </rPr>
      <t>；</t>
    </r>
    <r>
      <rPr>
        <sz val="11"/>
        <color rgb="FF000000"/>
        <rFont val="Calibri"/>
        <charset val="134"/>
      </rPr>
      <t>4412.32.3155</t>
    </r>
    <r>
      <rPr>
        <sz val="11"/>
        <color rgb="FF000000"/>
        <rFont val="宋体"/>
        <charset val="134"/>
      </rPr>
      <t>；</t>
    </r>
    <r>
      <rPr>
        <sz val="11"/>
        <color rgb="FF000000"/>
        <rFont val="Calibri"/>
        <charset val="134"/>
      </rPr>
      <t>4412.32.3165</t>
    </r>
    <r>
      <rPr>
        <sz val="11"/>
        <color rgb="FF000000"/>
        <rFont val="宋体"/>
        <charset val="134"/>
      </rPr>
      <t>；</t>
    </r>
    <r>
      <rPr>
        <sz val="11"/>
        <color rgb="FF000000"/>
        <rFont val="Calibri"/>
        <charset val="134"/>
      </rPr>
      <t>4412.32.3175</t>
    </r>
    <r>
      <rPr>
        <sz val="11"/>
        <color rgb="FF000000"/>
        <rFont val="宋体"/>
        <charset val="134"/>
      </rPr>
      <t>；</t>
    </r>
    <r>
      <rPr>
        <sz val="11"/>
        <color rgb="FF000000"/>
        <rFont val="Calibri"/>
        <charset val="134"/>
      </rPr>
      <t>4412.32</t>
    </r>
    <r>
      <rPr>
        <sz val="11"/>
        <color rgb="FF000000"/>
        <rFont val="宋体"/>
        <charset val="134"/>
      </rPr>
      <t>。</t>
    </r>
    <r>
      <rPr>
        <sz val="11"/>
        <color rgb="FF000000"/>
        <rFont val="Calibri"/>
        <charset val="134"/>
      </rPr>
      <t>3185; 4412.32.3235</t>
    </r>
    <r>
      <rPr>
        <sz val="11"/>
        <color rgb="FF000000"/>
        <rFont val="宋体"/>
        <charset val="134"/>
      </rPr>
      <t>；</t>
    </r>
    <r>
      <rPr>
        <sz val="11"/>
        <color rgb="FF000000"/>
        <rFont val="Calibri"/>
        <charset val="134"/>
      </rPr>
      <t>4412.32.3255</t>
    </r>
    <r>
      <rPr>
        <sz val="11"/>
        <color rgb="FF000000"/>
        <rFont val="宋体"/>
        <charset val="134"/>
      </rPr>
      <t>；</t>
    </r>
    <r>
      <rPr>
        <sz val="11"/>
        <color rgb="FF000000"/>
        <rFont val="Calibri"/>
        <charset val="134"/>
      </rPr>
      <t>4412.32.3265</t>
    </r>
    <r>
      <rPr>
        <sz val="11"/>
        <color rgb="FF000000"/>
        <rFont val="宋体"/>
        <charset val="134"/>
      </rPr>
      <t>；</t>
    </r>
    <r>
      <rPr>
        <sz val="11"/>
        <color rgb="FF000000"/>
        <rFont val="Calibri"/>
        <charset val="134"/>
      </rPr>
      <t>4412.32.3275</t>
    </r>
    <r>
      <rPr>
        <sz val="11"/>
        <color rgb="FF000000"/>
        <rFont val="宋体"/>
        <charset val="134"/>
      </rPr>
      <t>；</t>
    </r>
    <r>
      <rPr>
        <sz val="11"/>
        <color rgb="FF000000"/>
        <rFont val="Calibri"/>
        <charset val="134"/>
      </rPr>
      <t>4412.32.3285</t>
    </r>
    <r>
      <rPr>
        <sz val="11"/>
        <color rgb="FF000000"/>
        <rFont val="宋体"/>
        <charset val="134"/>
      </rPr>
      <t>；</t>
    </r>
    <r>
      <rPr>
        <sz val="11"/>
        <color rgb="FF000000"/>
        <rFont val="Calibri"/>
        <charset val="134"/>
      </rPr>
      <t>4412.32.5600</t>
    </r>
    <r>
      <rPr>
        <sz val="11"/>
        <color rgb="FF000000"/>
        <rFont val="宋体"/>
        <charset val="134"/>
      </rPr>
      <t>；</t>
    </r>
    <r>
      <rPr>
        <sz val="11"/>
        <color rgb="FF000000"/>
        <rFont val="Calibri"/>
        <charset val="134"/>
      </rPr>
      <t>4412.32.3235</t>
    </r>
    <r>
      <rPr>
        <sz val="11"/>
        <color rgb="FF000000"/>
        <rFont val="宋体"/>
        <charset val="134"/>
      </rPr>
      <t>；</t>
    </r>
    <r>
      <rPr>
        <sz val="11"/>
        <color rgb="FF000000"/>
        <rFont val="Calibri"/>
        <charset val="134"/>
      </rPr>
      <t>4412.32.3255</t>
    </r>
    <r>
      <rPr>
        <sz val="11"/>
        <color rgb="FF000000"/>
        <rFont val="宋体"/>
        <charset val="134"/>
      </rPr>
      <t>；</t>
    </r>
    <r>
      <rPr>
        <sz val="11"/>
        <color rgb="FF000000"/>
        <rFont val="Calibri"/>
        <charset val="134"/>
      </rPr>
      <t>4412.32.3265</t>
    </r>
    <r>
      <rPr>
        <sz val="11"/>
        <color rgb="FF000000"/>
        <rFont val="宋体"/>
        <charset val="134"/>
      </rPr>
      <t>；</t>
    </r>
    <r>
      <rPr>
        <sz val="11"/>
        <color rgb="FF000000"/>
        <rFont val="Calibri"/>
        <charset val="134"/>
      </rPr>
      <t>4412.32.3275</t>
    </r>
    <r>
      <rPr>
        <sz val="11"/>
        <color rgb="FF000000"/>
        <rFont val="宋体"/>
        <charset val="134"/>
      </rPr>
      <t>；</t>
    </r>
    <r>
      <rPr>
        <sz val="11"/>
        <color rgb="FF000000"/>
        <rFont val="Calibri"/>
        <charset val="134"/>
      </rPr>
      <t>4412.32.3285</t>
    </r>
    <r>
      <rPr>
        <sz val="11"/>
        <color rgb="FF000000"/>
        <rFont val="宋体"/>
        <charset val="134"/>
      </rPr>
      <t>；</t>
    </r>
    <r>
      <rPr>
        <sz val="11"/>
        <color rgb="FF000000"/>
        <rFont val="Calibri"/>
        <charset val="134"/>
      </rPr>
      <t>4412.32.5700</t>
    </r>
    <r>
      <rPr>
        <sz val="11"/>
        <color rgb="FF000000"/>
        <rFont val="宋体"/>
        <charset val="134"/>
      </rPr>
      <t>；</t>
    </r>
    <r>
      <rPr>
        <sz val="11"/>
        <color rgb="FF000000"/>
        <rFont val="Calibri"/>
        <charset val="134"/>
      </rPr>
      <t>4412.94.1030</t>
    </r>
    <r>
      <rPr>
        <sz val="11"/>
        <color rgb="FF000000"/>
        <rFont val="宋体"/>
        <charset val="134"/>
      </rPr>
      <t>；</t>
    </r>
    <r>
      <rPr>
        <sz val="11"/>
        <color rgb="FF000000"/>
        <rFont val="Calibri"/>
        <charset val="134"/>
      </rPr>
      <t>4412.94.1050</t>
    </r>
    <r>
      <rPr>
        <sz val="11"/>
        <color rgb="FF000000"/>
        <rFont val="宋体"/>
        <charset val="134"/>
      </rPr>
      <t>；</t>
    </r>
    <r>
      <rPr>
        <sz val="11"/>
        <color rgb="FF000000"/>
        <rFont val="Calibri"/>
        <charset val="134"/>
      </rPr>
      <t>4412.94.3105</t>
    </r>
    <r>
      <rPr>
        <sz val="11"/>
        <color rgb="FF000000"/>
        <rFont val="宋体"/>
        <charset val="134"/>
      </rPr>
      <t>；</t>
    </r>
    <r>
      <rPr>
        <sz val="11"/>
        <color rgb="FF000000"/>
        <rFont val="Calibri"/>
        <charset val="134"/>
      </rPr>
      <t>4412.94.3111</t>
    </r>
    <r>
      <rPr>
        <sz val="11"/>
        <color rgb="FF000000"/>
        <rFont val="宋体"/>
        <charset val="134"/>
      </rPr>
      <t>；</t>
    </r>
    <r>
      <rPr>
        <sz val="11"/>
        <color rgb="FF000000"/>
        <rFont val="Calibri"/>
        <charset val="134"/>
      </rPr>
      <t>4412.94.3121</t>
    </r>
    <r>
      <rPr>
        <sz val="11"/>
        <color rgb="FF000000"/>
        <rFont val="宋体"/>
        <charset val="134"/>
      </rPr>
      <t>；</t>
    </r>
    <r>
      <rPr>
        <sz val="11"/>
        <color rgb="FF000000"/>
        <rFont val="Calibri"/>
        <charset val="134"/>
      </rPr>
      <t>4412.94.3141</t>
    </r>
    <r>
      <rPr>
        <sz val="11"/>
        <color rgb="FF000000"/>
        <rFont val="宋体"/>
        <charset val="134"/>
      </rPr>
      <t>；</t>
    </r>
    <r>
      <rPr>
        <sz val="11"/>
        <color rgb="FF000000"/>
        <rFont val="Calibri"/>
        <charset val="134"/>
      </rPr>
      <t>4412.94.3161</t>
    </r>
    <r>
      <rPr>
        <sz val="11"/>
        <color rgb="FF000000"/>
        <rFont val="宋体"/>
        <charset val="134"/>
      </rPr>
      <t>；</t>
    </r>
    <r>
      <rPr>
        <sz val="11"/>
        <color rgb="FF000000"/>
        <rFont val="Calibri"/>
        <charset val="134"/>
      </rPr>
      <t>4412.94.3175</t>
    </r>
    <r>
      <rPr>
        <sz val="11"/>
        <color rgb="FF000000"/>
        <rFont val="宋体"/>
        <charset val="134"/>
      </rPr>
      <t>；</t>
    </r>
    <r>
      <rPr>
        <sz val="11"/>
        <color rgb="FF000000"/>
        <rFont val="Calibri"/>
        <charset val="134"/>
      </rPr>
      <t>4412.94.4100</t>
    </r>
    <r>
      <rPr>
        <sz val="11"/>
        <color rgb="FF000000"/>
        <rFont val="宋体"/>
        <charset val="134"/>
      </rPr>
      <t>；</t>
    </r>
    <r>
      <rPr>
        <sz val="11"/>
        <color rgb="FF000000"/>
        <rFont val="Calibri"/>
        <charset val="134"/>
      </rPr>
      <t>4412.99.0600</t>
    </r>
    <r>
      <rPr>
        <sz val="11"/>
        <color rgb="FF000000"/>
        <rFont val="宋体"/>
        <charset val="134"/>
      </rPr>
      <t>；</t>
    </r>
    <r>
      <rPr>
        <sz val="11"/>
        <color rgb="FF000000"/>
        <rFont val="Calibri"/>
        <charset val="134"/>
      </rPr>
      <t>4412.99.1020</t>
    </r>
    <r>
      <rPr>
        <sz val="11"/>
        <color rgb="FF000000"/>
        <rFont val="宋体"/>
        <charset val="134"/>
      </rPr>
      <t>；</t>
    </r>
    <r>
      <rPr>
        <sz val="11"/>
        <color rgb="FF000000"/>
        <rFont val="Calibri"/>
        <charset val="134"/>
      </rPr>
      <t>4412.99.1030</t>
    </r>
    <r>
      <rPr>
        <sz val="11"/>
        <color rgb="FF000000"/>
        <rFont val="宋体"/>
        <charset val="134"/>
      </rPr>
      <t>；</t>
    </r>
    <r>
      <rPr>
        <sz val="11"/>
        <color rgb="FF000000"/>
        <rFont val="Calibri"/>
        <charset val="134"/>
      </rPr>
      <t>4412.99.1040</t>
    </r>
    <r>
      <rPr>
        <sz val="11"/>
        <color rgb="FF000000"/>
        <rFont val="宋体"/>
        <charset val="134"/>
      </rPr>
      <t>；</t>
    </r>
    <r>
      <rPr>
        <sz val="11"/>
        <color rgb="FF000000"/>
        <rFont val="Calibri"/>
        <charset val="134"/>
      </rPr>
      <t>4412.99.3110</t>
    </r>
    <r>
      <rPr>
        <sz val="11"/>
        <color rgb="FF000000"/>
        <rFont val="宋体"/>
        <charset val="134"/>
      </rPr>
      <t>；</t>
    </r>
    <r>
      <rPr>
        <sz val="11"/>
        <color rgb="FF000000"/>
        <rFont val="Calibri"/>
        <charset val="134"/>
      </rPr>
      <t>4412.99.3120</t>
    </r>
    <r>
      <rPr>
        <sz val="11"/>
        <color rgb="FF000000"/>
        <rFont val="宋体"/>
        <charset val="134"/>
      </rPr>
      <t>；</t>
    </r>
    <r>
      <rPr>
        <sz val="11"/>
        <color rgb="FF000000"/>
        <rFont val="Calibri"/>
        <charset val="134"/>
      </rPr>
      <t>4412.99.3130</t>
    </r>
    <r>
      <rPr>
        <sz val="11"/>
        <color rgb="FF000000"/>
        <rFont val="宋体"/>
        <charset val="134"/>
      </rPr>
      <t>；</t>
    </r>
    <r>
      <rPr>
        <sz val="11"/>
        <color rgb="FF000000"/>
        <rFont val="Calibri"/>
        <charset val="134"/>
      </rPr>
      <t>4412.99.3140</t>
    </r>
    <r>
      <rPr>
        <sz val="11"/>
        <color rgb="FF000000"/>
        <rFont val="宋体"/>
        <charset val="134"/>
      </rPr>
      <t>；</t>
    </r>
    <r>
      <rPr>
        <sz val="11"/>
        <color rgb="FF000000"/>
        <rFont val="Calibri"/>
        <charset val="134"/>
      </rPr>
      <t>4412.99.3150</t>
    </r>
    <r>
      <rPr>
        <sz val="11"/>
        <color rgb="FF000000"/>
        <rFont val="宋体"/>
        <charset val="134"/>
      </rPr>
      <t>；</t>
    </r>
    <r>
      <rPr>
        <sz val="11"/>
        <color rgb="FF000000"/>
        <rFont val="Calibri"/>
        <charset val="134"/>
      </rPr>
      <t>4412.99.3160</t>
    </r>
    <r>
      <rPr>
        <sz val="11"/>
        <color rgb="FF000000"/>
        <rFont val="宋体"/>
        <charset val="134"/>
      </rPr>
      <t>；</t>
    </r>
    <r>
      <rPr>
        <sz val="11"/>
        <color rgb="FF000000"/>
        <rFont val="Calibri"/>
        <charset val="134"/>
      </rPr>
      <t>4412.99.3170</t>
    </r>
    <r>
      <rPr>
        <sz val="11"/>
        <color rgb="FF000000"/>
        <rFont val="宋体"/>
        <charset val="134"/>
      </rPr>
      <t>；</t>
    </r>
    <r>
      <rPr>
        <sz val="11"/>
        <color rgb="FF000000"/>
        <rFont val="Calibri"/>
        <charset val="134"/>
      </rPr>
      <t>4412.99.4100</t>
    </r>
    <r>
      <rPr>
        <sz val="11"/>
        <color rgb="FF000000"/>
        <rFont val="宋体"/>
        <charset val="134"/>
      </rPr>
      <t>；</t>
    </r>
    <r>
      <rPr>
        <sz val="11"/>
        <color rgb="FF000000"/>
        <rFont val="Calibri"/>
        <charset val="134"/>
      </rPr>
      <t xml:space="preserve">4412.99.5115 </t>
    </r>
    <r>
      <rPr>
        <sz val="11"/>
        <color rgb="FF000000"/>
        <rFont val="宋体"/>
        <charset val="134"/>
      </rPr>
      <t>、</t>
    </r>
    <r>
      <rPr>
        <sz val="11"/>
        <color rgb="FF000000"/>
        <rFont val="Calibri"/>
        <charset val="134"/>
      </rPr>
      <t xml:space="preserve"> 4412.99.5710; 4412.99.3110</t>
    </r>
    <r>
      <rPr>
        <sz val="11"/>
        <color rgb="FF000000"/>
        <rFont val="宋体"/>
        <charset val="134"/>
      </rPr>
      <t>；</t>
    </r>
    <r>
      <rPr>
        <sz val="11"/>
        <color rgb="FF000000"/>
        <rFont val="Calibri"/>
        <charset val="134"/>
      </rPr>
      <t>4412.99.3120</t>
    </r>
    <r>
      <rPr>
        <sz val="11"/>
        <color rgb="FF000000"/>
        <rFont val="宋体"/>
        <charset val="134"/>
      </rPr>
      <t>；</t>
    </r>
    <r>
      <rPr>
        <sz val="11"/>
        <color rgb="FF000000"/>
        <rFont val="Calibri"/>
        <charset val="134"/>
      </rPr>
      <t>4412.99.3130</t>
    </r>
    <r>
      <rPr>
        <sz val="11"/>
        <color rgb="FF000000"/>
        <rFont val="宋体"/>
        <charset val="134"/>
      </rPr>
      <t>；</t>
    </r>
    <r>
      <rPr>
        <sz val="11"/>
        <color rgb="FF000000"/>
        <rFont val="Calibri"/>
        <charset val="134"/>
      </rPr>
      <t>4412.99.3140</t>
    </r>
    <r>
      <rPr>
        <sz val="11"/>
        <color rgb="FF000000"/>
        <rFont val="宋体"/>
        <charset val="134"/>
      </rPr>
      <t>；</t>
    </r>
    <r>
      <rPr>
        <sz val="11"/>
        <color rgb="FF000000"/>
        <rFont val="Calibri"/>
        <charset val="134"/>
      </rPr>
      <t>4412.99.3150</t>
    </r>
    <r>
      <rPr>
        <sz val="11"/>
        <color rgb="FF000000"/>
        <rFont val="宋体"/>
        <charset val="134"/>
      </rPr>
      <t>；</t>
    </r>
    <r>
      <rPr>
        <sz val="11"/>
        <color rgb="FF000000"/>
        <rFont val="Calibri"/>
        <charset val="134"/>
      </rPr>
      <t>4412.99.3160</t>
    </r>
    <r>
      <rPr>
        <sz val="11"/>
        <color rgb="FF000000"/>
        <rFont val="宋体"/>
        <charset val="134"/>
      </rPr>
      <t>；</t>
    </r>
    <r>
      <rPr>
        <sz val="11"/>
        <color rgb="FF000000"/>
        <rFont val="Calibri"/>
        <charset val="134"/>
      </rPr>
      <t>4412.99.3170</t>
    </r>
    <r>
      <rPr>
        <sz val="11"/>
        <color rgb="FF000000"/>
        <rFont val="宋体"/>
        <charset val="134"/>
      </rPr>
      <t>；</t>
    </r>
    <r>
      <rPr>
        <sz val="11"/>
        <color rgb="FF000000"/>
        <rFont val="Calibri"/>
        <charset val="134"/>
      </rPr>
      <t>4412.99.4100</t>
    </r>
    <r>
      <rPr>
        <sz val="11"/>
        <color rgb="FF000000"/>
        <rFont val="宋体"/>
        <charset val="134"/>
      </rPr>
      <t>；</t>
    </r>
    <r>
      <rPr>
        <sz val="11"/>
        <color rgb="FF000000"/>
        <rFont val="Calibri"/>
        <charset val="134"/>
      </rPr>
      <t>4412.99.5115</t>
    </r>
    <r>
      <rPr>
        <sz val="11"/>
        <color rgb="FF000000"/>
        <rFont val="宋体"/>
        <charset val="134"/>
      </rPr>
      <t>；</t>
    </r>
    <r>
      <rPr>
        <sz val="11"/>
        <color rgb="FF000000"/>
        <rFont val="Calibri"/>
        <charset val="134"/>
      </rPr>
      <t xml:space="preserve"> </t>
    </r>
    <r>
      <rPr>
        <sz val="11"/>
        <color rgb="FF000000"/>
        <rFont val="宋体"/>
        <charset val="134"/>
      </rPr>
      <t>、</t>
    </r>
    <r>
      <rPr>
        <sz val="11"/>
        <color rgb="FF000000"/>
        <rFont val="Calibri"/>
        <charset val="134"/>
      </rPr>
      <t xml:space="preserve"> 4412.99.5710,4412.99.3110</t>
    </r>
    <r>
      <rPr>
        <sz val="11"/>
        <color rgb="FF000000"/>
        <rFont val="宋体"/>
        <charset val="134"/>
      </rPr>
      <t>；</t>
    </r>
    <r>
      <rPr>
        <sz val="11"/>
        <color rgb="FF000000"/>
        <rFont val="Calibri"/>
        <charset val="134"/>
      </rPr>
      <t>4412.99.3120</t>
    </r>
    <r>
      <rPr>
        <sz val="11"/>
        <color rgb="FF000000"/>
        <rFont val="宋体"/>
        <charset val="134"/>
      </rPr>
      <t>；</t>
    </r>
    <r>
      <rPr>
        <sz val="11"/>
        <color rgb="FF000000"/>
        <rFont val="Calibri"/>
        <charset val="134"/>
      </rPr>
      <t>4412.99.3130</t>
    </r>
    <r>
      <rPr>
        <sz val="11"/>
        <color rgb="FF000000"/>
        <rFont val="宋体"/>
        <charset val="134"/>
      </rPr>
      <t>；</t>
    </r>
    <r>
      <rPr>
        <sz val="11"/>
        <color rgb="FF000000"/>
        <rFont val="Calibri"/>
        <charset val="134"/>
      </rPr>
      <t>4412.99.3140</t>
    </r>
    <r>
      <rPr>
        <sz val="11"/>
        <color rgb="FF000000"/>
        <rFont val="宋体"/>
        <charset val="134"/>
      </rPr>
      <t>；</t>
    </r>
    <r>
      <rPr>
        <sz val="11"/>
        <color rgb="FF000000"/>
        <rFont val="Calibri"/>
        <charset val="134"/>
      </rPr>
      <t>4412.99.3150</t>
    </r>
    <r>
      <rPr>
        <sz val="11"/>
        <color rgb="FF000000"/>
        <rFont val="宋体"/>
        <charset val="134"/>
      </rPr>
      <t>；</t>
    </r>
    <r>
      <rPr>
        <sz val="11"/>
        <color rgb="FF000000"/>
        <rFont val="Calibri"/>
        <charset val="134"/>
      </rPr>
      <t>4412.99.3160</t>
    </r>
    <r>
      <rPr>
        <sz val="11"/>
        <color rgb="FF000000"/>
        <rFont val="宋体"/>
        <charset val="134"/>
      </rPr>
      <t>；</t>
    </r>
    <r>
      <rPr>
        <sz val="11"/>
        <color rgb="FF000000"/>
        <rFont val="Calibri"/>
        <charset val="134"/>
      </rPr>
      <t>4412.99.3170</t>
    </r>
    <r>
      <rPr>
        <sz val="11"/>
        <color rgb="FF000000"/>
        <rFont val="宋体"/>
        <charset val="134"/>
      </rPr>
      <t>；</t>
    </r>
    <r>
      <rPr>
        <sz val="11"/>
        <color rgb="FF000000"/>
        <rFont val="Calibri"/>
        <charset val="134"/>
      </rPr>
      <t>4412.99.4100</t>
    </r>
    <r>
      <rPr>
        <sz val="11"/>
        <color rgb="FF000000"/>
        <rFont val="宋体"/>
        <charset val="134"/>
      </rPr>
      <t>；</t>
    </r>
    <r>
      <rPr>
        <sz val="11"/>
        <color rgb="FF000000"/>
        <rFont val="Calibri"/>
        <charset val="134"/>
      </rPr>
      <t>4412.99.5115</t>
    </r>
    <r>
      <rPr>
        <sz val="11"/>
        <color rgb="FF000000"/>
        <rFont val="宋体"/>
        <charset val="134"/>
      </rPr>
      <t>；</t>
    </r>
    <r>
      <rPr>
        <sz val="11"/>
        <color rgb="FF000000"/>
        <rFont val="Calibri"/>
        <charset val="134"/>
      </rPr>
      <t xml:space="preserve"> </t>
    </r>
    <r>
      <rPr>
        <sz val="11"/>
        <color rgb="FF000000"/>
        <rFont val="宋体"/>
        <charset val="134"/>
      </rPr>
      <t>、</t>
    </r>
    <r>
      <rPr>
        <sz val="11"/>
        <color rgb="FF000000"/>
        <rFont val="Calibri"/>
        <charset val="134"/>
      </rPr>
      <t xml:space="preserve"> 4412.99.5710</t>
    </r>
    <r>
      <rPr>
        <sz val="11"/>
        <color rgb="FF000000"/>
        <rFont val="宋体"/>
        <charset val="134"/>
      </rPr>
      <t>。</t>
    </r>
    <r>
      <rPr>
        <sz val="11"/>
        <color rgb="FF000000"/>
        <rFont val="Calibri"/>
        <charset val="134"/>
      </rPr>
      <t xml:space="preserve">
4412.99.7000</t>
    </r>
    <r>
      <rPr>
        <sz val="11"/>
        <color rgb="FF000000"/>
        <rFont val="宋体"/>
        <charset val="134"/>
      </rPr>
      <t>；</t>
    </r>
    <r>
      <rPr>
        <sz val="11"/>
        <color rgb="FF000000"/>
        <rFont val="Calibri"/>
        <charset val="134"/>
      </rPr>
      <t>4412.99.8000</t>
    </r>
    <r>
      <rPr>
        <sz val="11"/>
        <color rgb="FF000000"/>
        <rFont val="宋体"/>
        <charset val="134"/>
      </rPr>
      <t>；</t>
    </r>
    <r>
      <rPr>
        <sz val="11"/>
        <color rgb="FF000000"/>
        <rFont val="Calibri"/>
        <charset val="134"/>
      </rPr>
      <t>4412.99.9000</t>
    </r>
    <r>
      <rPr>
        <sz val="11"/>
        <color rgb="FF000000"/>
        <rFont val="宋体"/>
        <charset val="134"/>
      </rPr>
      <t>；</t>
    </r>
    <r>
      <rPr>
        <sz val="11"/>
        <color rgb="FF000000"/>
        <rFont val="Calibri"/>
        <charset val="134"/>
      </rPr>
      <t>4412.10.9000</t>
    </r>
    <r>
      <rPr>
        <sz val="11"/>
        <color rgb="FF000000"/>
        <rFont val="宋体"/>
        <charset val="134"/>
      </rPr>
      <t>；</t>
    </r>
    <r>
      <rPr>
        <sz val="11"/>
        <color rgb="FF000000"/>
        <rFont val="Calibri"/>
        <charset val="134"/>
      </rPr>
      <t>4412.94.5100</t>
    </r>
    <r>
      <rPr>
        <sz val="11"/>
        <color rgb="FF000000"/>
        <rFont val="宋体"/>
        <charset val="134"/>
      </rPr>
      <t>；</t>
    </r>
    <r>
      <rPr>
        <sz val="11"/>
        <color rgb="FF000000"/>
        <rFont val="Calibri"/>
        <charset val="134"/>
      </rPr>
      <t xml:space="preserve">4412.94.9500 </t>
    </r>
    <r>
      <rPr>
        <sz val="11"/>
        <color rgb="FF000000"/>
        <rFont val="宋体"/>
        <charset val="134"/>
      </rPr>
      <t>、</t>
    </r>
    <r>
      <rPr>
        <sz val="11"/>
        <color rgb="FF000000"/>
        <rFont val="Calibri"/>
        <charset val="134"/>
      </rPr>
      <t xml:space="preserve"> 4412.99.9500</t>
    </r>
    <r>
      <rPr>
        <sz val="11"/>
        <color rgb="FF000000"/>
        <rFont val="宋体"/>
        <charset val="134"/>
      </rPr>
      <t>。</t>
    </r>
  </si>
  <si>
    <t>本次调查的商品是硬木和装饰胶合板，以及如下所述的某些单板。就本程序而言，硬木和装饰胶合板被定义为一般平坦的多层胶合板或其他单板，由两层或多层木单板和一个芯组成，表面和*或背面单板由非-针叶木（硬木）或竹子。单板连同芯可以胶合或以其他方式结合在一起。硬木和装饰胶合板可能包括符合美国硬木和装饰胶合板国家标准 ANSI*HPVA HP-1-2016（包括对该标准的任何修订）的产品。
就本次调查而言，“单板”是指从原木、螺栓或木片上切割、切割或锯开的一片木头，无论其厚度如何。正面和背面单板是芯材任一侧的最外层木材单板，与下文所述的附加表面涂层或覆盖层无关。
硬木和装饰胶合板的芯材由位于正面和背面单板之间的一层或多层材料组成。芯材可由多种材料组成，包括但不限于硬木、软木、刨花板或中密度纤维板 (MDF)。
所有硬木胶合板都包括在本次调查的范围内，无论正面和*或背面单板是否经过表面涂层或覆盖，以及此类表面涂层或覆盖层是否会掩盖木材的纹理、纹理或标记木头。表面涂层和覆盖物的例子包括但不限于： 紫外光固化聚氨酯；油或油改性或水基聚氨酯；蜡; 环氧酯饰面；湿固化聚氨酯；油漆；污渍；纸; 铝; 高压层压板；中密度纤维板；中密度覆盖（MDO）；和酚醛薄膜。此外，硬木胶合板的饰面可以打磨；通过手工刮擦或钢丝刷等方法使外观平滑或呈现“仿旧”外观。所有硬木胶合板都包括在范围内，即使它被修剪过；按尺寸裁剪；缺口; 打孔；钻孔；或经过其他形式的小加工。
所有硬木和装饰胶合板都包括在本次调查范围内，不考虑尺寸（总厚度、正面单板厚度、背单板厚度、芯材厚度、内单板厚度、宽度或长度）。</t>
  </si>
  <si>
    <t>A-570-865</t>
  </si>
  <si>
    <t>Certain Hot-Rolled Carbon Steel Flat Products</t>
  </si>
  <si>
    <t>某些热轧碳钢平板产品</t>
  </si>
  <si>
    <r>
      <rPr>
        <sz val="11"/>
        <color rgb="FF000000"/>
        <rFont val="Calibri"/>
        <charset val="134"/>
      </rPr>
      <t>7208.10.15.00, 7208.10.30.00, 7208.10.60.00, 7208.25.30.00, 7208.25.60.00, 7208.26.00.30, 7208.26.00.60, 7208.27.00.30, 7208.27.00.60, 7208.36.00.30, 7208.36.00.60, 7208.37.00.30, 7208.37.00.60, 7208.38.00.15, 7208.38.00.30, 7208.38.00.90, 7208.39.00.15, 7208.39.00.30, 7208.39.00.90, 7208.40.60.30, 7208.40.60.60, 7208.53. 00.00, 7208.54.00.00, 7208.90.00.00, 7211.14.00.90, 7211.19.15.00, 7211.19.20.00, 7211.19.30.00, 7211.19.45.00, 7211.19.60.00, 7211.19.75.30, 7211.19.75.60, and 7211.19.75.90. 7225.11.00.00</t>
    </r>
    <r>
      <rPr>
        <sz val="11"/>
        <color rgb="FF000000"/>
        <rFont val="宋体"/>
        <charset val="134"/>
      </rPr>
      <t>、</t>
    </r>
    <r>
      <rPr>
        <sz val="11"/>
        <color rgb="FF000000"/>
        <rFont val="Calibri"/>
        <charset val="134"/>
      </rPr>
      <t>7225.19.00</t>
    </r>
    <r>
      <rPr>
        <sz val="11"/>
        <color rgb="FF000000"/>
        <rFont val="宋体"/>
        <charset val="134"/>
      </rPr>
      <t>。</t>
    </r>
    <r>
      <rPr>
        <sz val="11"/>
        <color rgb="FF000000"/>
        <rFont val="Calibri"/>
        <charset val="134"/>
      </rPr>
      <t>00</t>
    </r>
    <r>
      <rPr>
        <sz val="11"/>
        <color rgb="FF000000"/>
        <rFont val="宋体"/>
        <charset val="134"/>
      </rPr>
      <t>，</t>
    </r>
    <r>
      <rPr>
        <sz val="11"/>
        <color rgb="FF000000"/>
        <rFont val="Calibri"/>
        <charset val="134"/>
      </rPr>
      <t>7225.30.30.50</t>
    </r>
    <r>
      <rPr>
        <sz val="11"/>
        <color rgb="FF000000"/>
        <rFont val="宋体"/>
        <charset val="134"/>
      </rPr>
      <t>，</t>
    </r>
    <r>
      <rPr>
        <sz val="11"/>
        <color rgb="FF000000"/>
        <rFont val="Calibri"/>
        <charset val="134"/>
      </rPr>
      <t>7225.30.70.00</t>
    </r>
    <r>
      <rPr>
        <sz val="11"/>
        <color rgb="FF000000"/>
        <rFont val="宋体"/>
        <charset val="134"/>
      </rPr>
      <t>，</t>
    </r>
    <r>
      <rPr>
        <sz val="11"/>
        <color rgb="FF000000"/>
        <rFont val="Calibri"/>
        <charset val="134"/>
      </rPr>
      <t>7225.40.70.00</t>
    </r>
    <r>
      <rPr>
        <sz val="11"/>
        <color rgb="FF000000"/>
        <rFont val="宋体"/>
        <charset val="134"/>
      </rPr>
      <t>，</t>
    </r>
    <r>
      <rPr>
        <sz val="11"/>
        <color rgb="FF000000"/>
        <rFont val="Calibri"/>
        <charset val="134"/>
      </rPr>
      <t>7225.99.00.90</t>
    </r>
    <r>
      <rPr>
        <sz val="11"/>
        <color rgb="FF000000"/>
        <rFont val="宋体"/>
        <charset val="134"/>
      </rPr>
      <t>，</t>
    </r>
    <r>
      <rPr>
        <sz val="11"/>
        <color rgb="FF000000"/>
        <rFont val="Calibri"/>
        <charset val="134"/>
      </rPr>
      <t>7226.11.11.10.11.11.11.11.11.90.90.30</t>
    </r>
    <r>
      <rPr>
        <sz val="11"/>
        <color rgb="FF000000"/>
        <rFont val="宋体"/>
        <charset val="134"/>
      </rPr>
      <t>，</t>
    </r>
    <r>
      <rPr>
        <sz val="11"/>
        <color rgb="FF000000"/>
        <rFont val="Calibri"/>
        <charset val="134"/>
      </rPr>
      <t xml:space="preserve">7226.11.11.90.11.90.60 </t>
    </r>
    <r>
      <rPr>
        <sz val="11"/>
        <color rgb="FF000000"/>
        <rFont val="宋体"/>
        <charset val="134"/>
      </rPr>
      <t>、</t>
    </r>
    <r>
      <rPr>
        <sz val="11"/>
        <color rgb="FF000000"/>
        <rFont val="Calibri"/>
        <charset val="134"/>
      </rPr>
      <t xml:space="preserve"> 7226.99.00.00</t>
    </r>
    <r>
      <rPr>
        <sz val="11"/>
        <color rgb="FF000000"/>
        <rFont val="宋体"/>
        <charset val="134"/>
      </rPr>
      <t>。</t>
    </r>
    <r>
      <rPr>
        <sz val="11"/>
        <color rgb="FF000000"/>
        <rFont val="Calibri"/>
        <charset val="134"/>
      </rPr>
      <t xml:space="preserve"> 7210.70.30.00</t>
    </r>
    <r>
      <rPr>
        <sz val="11"/>
        <color rgb="FF000000"/>
        <rFont val="宋体"/>
        <charset val="134"/>
      </rPr>
      <t>、</t>
    </r>
    <r>
      <rPr>
        <sz val="11"/>
        <color rgb="FF000000"/>
        <rFont val="Calibri"/>
        <charset val="134"/>
      </rPr>
      <t>7210.90.90.00</t>
    </r>
    <r>
      <rPr>
        <sz val="11"/>
        <color rgb="FF000000"/>
        <rFont val="宋体"/>
        <charset val="134"/>
      </rPr>
      <t>、</t>
    </r>
    <r>
      <rPr>
        <sz val="11"/>
        <color rgb="FF000000"/>
        <rFont val="Calibri"/>
        <charset val="134"/>
      </rPr>
      <t>7211.14.00.30</t>
    </r>
    <r>
      <rPr>
        <sz val="11"/>
        <color rgb="FF000000"/>
        <rFont val="宋体"/>
        <charset val="134"/>
      </rPr>
      <t>、</t>
    </r>
    <r>
      <rPr>
        <sz val="11"/>
        <color rgb="FF000000"/>
        <rFont val="Calibri"/>
        <charset val="134"/>
      </rPr>
      <t>7212.40.10.00</t>
    </r>
    <r>
      <rPr>
        <sz val="11"/>
        <color rgb="FF000000"/>
        <rFont val="宋体"/>
        <charset val="134"/>
      </rPr>
      <t>、</t>
    </r>
    <r>
      <rPr>
        <sz val="11"/>
        <color rgb="FF000000"/>
        <rFont val="Calibri"/>
        <charset val="134"/>
      </rPr>
      <t xml:space="preserve">7212.40.50.00  </t>
    </r>
    <r>
      <rPr>
        <sz val="11"/>
        <color rgb="FF000000"/>
        <rFont val="宋体"/>
        <charset val="134"/>
      </rPr>
      <t>、</t>
    </r>
    <r>
      <rPr>
        <sz val="11"/>
        <color rgb="FF000000"/>
        <rFont val="Calibri"/>
        <charset val="134"/>
      </rPr>
      <t xml:space="preserve"> 7212.50.00.00</t>
    </r>
  </si>
  <si>
    <t>订单所涵盖的产品是某些矩形热轧碳钢扁平产品，宽度为 0.5 英寸或更大，既不包覆、镀覆或涂敷金属，也不论是否涂漆、清漆或涂有塑料或其他非金属物质，成卷的（不论是否在连续叠加的层中），无论厚度如何，直线长度小于 4.75 毫米，宽度至少为厚度的 10 倍。通用轧板（即在四个面或封闭箱形道次轧制的平轧产品，宽度超过 150 毫米但不超过 1,250 毫米，厚度不小于 4.0 毫米，非成卷且无厚度不小于 4.0 毫米的浮雕图案）不包括在订单范围内。订单范围内具体包括真空脱气、完全稳定（通常称为无间隙（“IF”））钢、高强度低合金（“HSLA”）钢和电机层压钢的基材。IF 钢被认为是低碳钢，添加了微合金化水平的元素，例如钛或铌（通常也称为钶）或两者，以稳定碳和氮元素。HSLA 钢被公认为具有微合金化水平的元素，例如铬、铜、铌、钒和钼。电机层压钢的基材包含微合金化水平的元素，例如硅和铝。高强度低合金（“HSLA”）钢，以及电机层压钢的基材。IF 钢被认为是低碳钢，添加了微合金化水平的元素，例如钛或铌（通常也称为钶）或两者，以稳定碳和氮元素。HSLA 钢被公认为具有微合金化水平的元素，例如铬、铜、铌、钒和钼。电机层压钢的基材包含微合金化水平的元素，例如硅和铝。高强度低合金（“HSLA”）钢，以及电机层压钢的基材。IF 钢被认为是低碳钢，添加了微合金化水平的元素，例如钛或铌（通常也称为钶）或两者，以稳定碳和氮元素。HSLA 钢被公认为具有微合金化水平的元素，例如铬、铜、铌、钒和钼。电机层压钢的基材包含微合金化水平的元素，例如硅和铝。HSLA 钢被公认为具有微合金化水平的元素，例如铬、铜、铌、钒和钼。电机层压钢的基材包含微合金化水平的元素，例如硅和铝。HSLA 钢被公认为具有微合金化水平的元素，例如铬、铜、铌、钒和钼。电机层压钢的基材包含微合金化水平的元素，例如硅和铝。</t>
  </si>
  <si>
    <t>A-570-133</t>
  </si>
  <si>
    <t>Certain Metal Lockers and Parts Thereof</t>
  </si>
  <si>
    <t>某些金属储物柜及其零件</t>
  </si>
  <si>
    <r>
      <rPr>
        <sz val="11"/>
        <color rgb="FF000000"/>
        <rFont val="Calibri"/>
        <charset val="134"/>
      </rPr>
      <t>9403.20.0078</t>
    </r>
    <r>
      <rPr>
        <sz val="11"/>
        <color rgb="FF000000"/>
        <rFont val="宋体"/>
        <charset val="134"/>
      </rPr>
      <t>，</t>
    </r>
    <r>
      <rPr>
        <sz val="11"/>
        <color rgb="FF000000"/>
        <rFont val="Calibri"/>
        <charset val="134"/>
      </rPr>
      <t>9403.90.8041,9403.20.0050</t>
    </r>
    <r>
      <rPr>
        <sz val="11"/>
        <color rgb="FF000000"/>
        <rFont val="宋体"/>
        <charset val="134"/>
      </rPr>
      <t>。</t>
    </r>
  </si>
  <si>
    <t>该命令的范围包括某些带门或不带门的金属储物柜及其零件（金属储物柜）。主题金属储物柜是宽度小于 27 英寸且深度小于 27 英寸的安全金属存储设备，无论是落地式、安装在底座上还是壁挂式。在多个储物柜组件中（无论是焊接储物柜单元、以其他方式组装的储物柜单元还是拆卸单元或套件），宽度测量应基于单个储物柜的宽度而不是整体单元尺寸。此范围内的所有测量值均基于对单个储物柜单元的外部尺寸进行的实际测量。高度是从设备底部到顶部的垂直测量值。宽度是设备正面的水平（左右）测量值，并且单元的前部是带有门或门的面，或者如果配置为不带门，则单元的内部通道的开口。深度是从设备前面到后面的测量值。某些金属储物柜的主题通常包括主体（背面、侧面、搁板、顶部和底部面板）、带或不带门的门框（可以集成到侧面或单独制作）和门。</t>
  </si>
  <si>
    <t>A-570-016</t>
  </si>
  <si>
    <t>Certain Passenger Vehicle and Light Truck Tires</t>
  </si>
  <si>
    <t>某些乘用车和轻型卡车轮胎</t>
  </si>
  <si>
    <r>
      <rPr>
        <sz val="11"/>
        <color rgb="FF000000"/>
        <rFont val="Calibri"/>
        <charset val="134"/>
      </rPr>
      <t>4011.10.10.10</t>
    </r>
    <r>
      <rPr>
        <sz val="11"/>
        <color rgb="FF000000"/>
        <rFont val="宋体"/>
        <charset val="134"/>
      </rPr>
      <t>、</t>
    </r>
    <r>
      <rPr>
        <sz val="11"/>
        <color rgb="FF000000"/>
        <rFont val="Calibri"/>
        <charset val="134"/>
      </rPr>
      <t>4011.10.10.20</t>
    </r>
    <r>
      <rPr>
        <sz val="11"/>
        <color rgb="FF000000"/>
        <rFont val="宋体"/>
        <charset val="134"/>
      </rPr>
      <t>、</t>
    </r>
    <r>
      <rPr>
        <sz val="11"/>
        <color rgb="FF000000"/>
        <rFont val="Calibri"/>
        <charset val="134"/>
      </rPr>
      <t>4011.10.10.30</t>
    </r>
    <r>
      <rPr>
        <sz val="11"/>
        <color rgb="FF000000"/>
        <rFont val="宋体"/>
        <charset val="134"/>
      </rPr>
      <t>、</t>
    </r>
    <r>
      <rPr>
        <sz val="11"/>
        <color rgb="FF000000"/>
        <rFont val="Calibri"/>
        <charset val="134"/>
      </rPr>
      <t>4011.10.10.40</t>
    </r>
    <r>
      <rPr>
        <sz val="11"/>
        <color rgb="FF000000"/>
        <rFont val="宋体"/>
        <charset val="134"/>
      </rPr>
      <t>、</t>
    </r>
    <r>
      <rPr>
        <sz val="11"/>
        <color rgb="FF000000"/>
        <rFont val="Calibri"/>
        <charset val="134"/>
      </rPr>
      <t>4011.10.10.50</t>
    </r>
    <r>
      <rPr>
        <sz val="11"/>
        <color rgb="FF000000"/>
        <rFont val="宋体"/>
        <charset val="134"/>
      </rPr>
      <t>、</t>
    </r>
    <r>
      <rPr>
        <sz val="11"/>
        <color rgb="FF000000"/>
        <rFont val="Calibri"/>
        <charset val="134"/>
      </rPr>
      <t>4011.10.10.60</t>
    </r>
    <r>
      <rPr>
        <sz val="11"/>
        <color rgb="FF000000"/>
        <rFont val="宋体"/>
        <charset val="134"/>
      </rPr>
      <t>、</t>
    </r>
    <r>
      <rPr>
        <sz val="11"/>
        <color rgb="FF000000"/>
        <rFont val="Calibri"/>
        <charset val="134"/>
      </rPr>
      <t>401111</t>
    </r>
    <r>
      <rPr>
        <sz val="11"/>
        <color rgb="FF000000"/>
        <rFont val="宋体"/>
        <charset val="134"/>
      </rPr>
      <t>。</t>
    </r>
    <r>
      <rPr>
        <sz val="11"/>
        <color rgb="FF000000"/>
        <rFont val="Calibri"/>
        <charset val="134"/>
      </rPr>
      <t xml:space="preserve"> 10.70</t>
    </r>
    <r>
      <rPr>
        <sz val="11"/>
        <color rgb="FF000000"/>
        <rFont val="宋体"/>
        <charset val="134"/>
      </rPr>
      <t>、</t>
    </r>
    <r>
      <rPr>
        <sz val="11"/>
        <color rgb="FF000000"/>
        <rFont val="Calibri"/>
        <charset val="134"/>
      </rPr>
      <t>4011.10.50.00</t>
    </r>
    <r>
      <rPr>
        <sz val="11"/>
        <color rgb="FF000000"/>
        <rFont val="宋体"/>
        <charset val="134"/>
      </rPr>
      <t>、</t>
    </r>
    <r>
      <rPr>
        <sz val="11"/>
        <color rgb="FF000000"/>
        <rFont val="Calibri"/>
        <charset val="134"/>
      </rPr>
      <t xml:space="preserve">4011.20.10.05  </t>
    </r>
    <r>
      <rPr>
        <sz val="11"/>
        <color rgb="FF000000"/>
        <rFont val="宋体"/>
        <charset val="134"/>
      </rPr>
      <t>、</t>
    </r>
    <r>
      <rPr>
        <sz val="11"/>
        <color rgb="FF000000"/>
        <rFont val="Calibri"/>
        <charset val="134"/>
      </rPr>
      <t xml:space="preserve"> 4011.20.50.10</t>
    </r>
    <r>
      <rPr>
        <sz val="11"/>
        <color rgb="FF000000"/>
        <rFont val="宋体"/>
        <charset val="134"/>
      </rPr>
      <t>。</t>
    </r>
    <r>
      <rPr>
        <sz val="11"/>
        <color rgb="FF000000"/>
        <rFont val="Calibri"/>
        <charset val="134"/>
      </rPr>
      <t>4011.99.45.10</t>
    </r>
    <r>
      <rPr>
        <sz val="11"/>
        <color rgb="FF000000"/>
        <rFont val="宋体"/>
        <charset val="134"/>
      </rPr>
      <t>，</t>
    </r>
    <r>
      <rPr>
        <sz val="11"/>
        <color rgb="FF000000"/>
        <rFont val="Calibri"/>
        <charset val="134"/>
      </rPr>
      <t>4011.99.45.50</t>
    </r>
    <r>
      <rPr>
        <sz val="11"/>
        <color rgb="FF000000"/>
        <rFont val="宋体"/>
        <charset val="134"/>
      </rPr>
      <t>，</t>
    </r>
    <r>
      <rPr>
        <sz val="11"/>
        <color rgb="FF000000"/>
        <rFont val="Calibri"/>
        <charset val="134"/>
      </rPr>
      <t>4011.99.85.10</t>
    </r>
    <r>
      <rPr>
        <sz val="11"/>
        <color rgb="FF000000"/>
        <rFont val="宋体"/>
        <charset val="134"/>
      </rPr>
      <t>，</t>
    </r>
    <r>
      <rPr>
        <sz val="11"/>
        <color rgb="FF000000"/>
        <rFont val="Calibri"/>
        <charset val="134"/>
      </rPr>
      <t>4011.99.85.50</t>
    </r>
    <r>
      <rPr>
        <sz val="11"/>
        <color rgb="FF000000"/>
        <rFont val="宋体"/>
        <charset val="134"/>
      </rPr>
      <t>，</t>
    </r>
    <r>
      <rPr>
        <sz val="11"/>
        <color rgb="FF000000"/>
        <rFont val="Calibri"/>
        <charset val="134"/>
      </rPr>
      <t>8708.70.45.45</t>
    </r>
    <r>
      <rPr>
        <sz val="11"/>
        <color rgb="FF000000"/>
        <rFont val="宋体"/>
        <charset val="134"/>
      </rPr>
      <t>，</t>
    </r>
    <r>
      <rPr>
        <sz val="11"/>
        <color rgb="FF000000"/>
        <rFont val="Calibri"/>
        <charset val="134"/>
      </rPr>
      <t>870.70.70.70.45.45.60 .</t>
    </r>
  </si>
  <si>
    <t>这些订单的范围是乘用车和轻型卡车轮胎。乘用车和轻型卡车轮胎是带有乘用车或轻型卡车尺寸名称的新型橡胶充气轮胎。这些订单涵盖的轮胎可能是有内胎的、无内胎的、子午线的或非子午线的，它们可能会出售给原始设备制造商或替换市场。
标的轮胎在进口时在胎侧带有“DOT”符号，证明该轮胎符合适用的机动车辆安全标准。主题轮胎的轮胎尺寸名称中也可能有以下前缀或后缀，这些前缀或后缀也出现在轮胎的侧壁上：所有带有“P”或“LT”前缀的轮胎，以及所有在其胎侧标记中带有“LT”后缀的轮胎，无论其预期用途如何，都包含在本调查范围内。（P - 标识主要用于乘用车的轮胎 LT- 标识主要用于轻型卡车的轮胎）</t>
  </si>
  <si>
    <t>A-570-024</t>
  </si>
  <si>
    <t>Certain Polyethylene Terephthalate Resin</t>
  </si>
  <si>
    <t>某些聚对苯二甲酸乙二醇酯树脂</t>
  </si>
  <si>
    <r>
      <rPr>
        <sz val="11"/>
        <color rgb="FF000000"/>
        <rFont val="Calibri"/>
        <charset val="134"/>
      </rPr>
      <t xml:space="preserve">3907.61.00.00  </t>
    </r>
    <r>
      <rPr>
        <sz val="11"/>
        <color rgb="FF000000"/>
        <rFont val="宋体"/>
        <charset val="134"/>
      </rPr>
      <t>、</t>
    </r>
    <r>
      <rPr>
        <sz val="11"/>
        <color rgb="FF000000"/>
        <rFont val="Calibri"/>
        <charset val="134"/>
      </rPr>
      <t xml:space="preserve"> 3907.69.00.00</t>
    </r>
  </si>
  <si>
    <t>这些订单涵盖的商品是聚对苯二甲酸乙二醇酯 (PET) 树脂，其特性粘度至少为 0.70，但不超过 0.88 分升*克。该范围包括原始 PET 树脂和含有 50% 或更多重量的原始 PET 树脂的再生 PET 树脂的混合物，前提是此类混合物符合上述特性粘度要求。范围包括所有符合上述规格的 PET 树脂，无论在制造过程中引入了何种添加剂。</t>
  </si>
  <si>
    <t>A-570-851</t>
  </si>
  <si>
    <t>Certain Preserved Mushrooms</t>
  </si>
  <si>
    <t>某些腌制蘑菇</t>
  </si>
  <si>
    <t>2003.10.0127, 2003.10.0131, 2003.10.0137, 2003.10.0143, 2003.10.0147, 2003.10.0153, and 0711.51.0000</t>
  </si>
  <si>
    <t>该反倾销税令涵盖的产品是某些腌制蘑菇，无论是进口的整片、切片、切块还是茎和片。该命令下的保存蘑菇是双孢蘑菇和双孢蘑菇。“腌制蘑菇”是指经过清洗、热烫、有时切片或切割制备或保存的蘑菇。然后将这些蘑菇在合适的液体介质（包括但不限于水、盐水、黄油或黄油酱）中包装和加热在容器中，包括但不限于罐头或玻璃罐。腌制蘑菇可以是整个进口的、切片的、切丁的或作为茎和块的。调查范围内包括“腌制”蘑菇，</t>
  </si>
  <si>
    <t>A-570-090</t>
  </si>
  <si>
    <t>Certain Steel Wheels 12 to 16.5 Inches in Diameter</t>
  </si>
  <si>
    <r>
      <rPr>
        <sz val="11"/>
        <color rgb="FF000000"/>
        <rFont val="宋体"/>
        <charset val="134"/>
      </rPr>
      <t>某些直径为</t>
    </r>
    <r>
      <rPr>
        <sz val="11"/>
        <color rgb="FF000000"/>
        <rFont val="Calibri"/>
        <charset val="134"/>
      </rPr>
      <t xml:space="preserve"> 12 </t>
    </r>
    <r>
      <rPr>
        <sz val="11"/>
        <color rgb="FF000000"/>
        <rFont val="宋体"/>
        <charset val="134"/>
      </rPr>
      <t>至</t>
    </r>
    <r>
      <rPr>
        <sz val="11"/>
        <color rgb="FF000000"/>
        <rFont val="Calibri"/>
        <charset val="134"/>
      </rPr>
      <t xml:space="preserve"> 16.5 </t>
    </r>
    <r>
      <rPr>
        <sz val="11"/>
        <color rgb="FF000000"/>
        <rFont val="宋体"/>
        <charset val="134"/>
      </rPr>
      <t>英寸的钢轮</t>
    </r>
  </si>
  <si>
    <r>
      <rPr>
        <sz val="11"/>
        <color rgb="FF000000"/>
        <rFont val="Calibri"/>
        <charset val="134"/>
      </rPr>
      <t>8716.90.5035</t>
    </r>
    <r>
      <rPr>
        <sz val="11"/>
        <color rgb="FF000000"/>
        <rFont val="宋体"/>
        <charset val="134"/>
      </rPr>
      <t>，</t>
    </r>
    <r>
      <rPr>
        <sz val="11"/>
        <color rgb="FF000000"/>
        <rFont val="Calibri"/>
        <charset val="134"/>
      </rPr>
      <t>8716.90.5059</t>
    </r>
  </si>
  <si>
    <t>受此订单约束的产品是用于无内胎轮胎的某些公路用钢轮、盘和轮辋，其标称轮径为 12 英寸至 16.5 英寸，无论宽度如何。范围内标称车轮直径为 12 英寸至 16.5 英寸的某些公路用钢轮通常用于公路和公路拖车和其他可牵引设备，包括公用拖车、货物拖车、马拖车、船拖车、休闲拖车和可牵引移动房屋。某些公路用钢轮的标准宽度为 4 英寸、4.5 英寸、5 英寸、5.5 英寸、6 英寸和 6.5 英寸，但所有某些公路用钢轮，无论宽度如何，均由范围。范围包括用于某些公路钢轮的轮辋和圆盘，无论是作为组装、未组装还是单独进口。该范围包括某些公路钢轮，无论钢成分如何，是否包层，是否已完成，是否有涂层或未涂层。该范围还包括某些带有“轮毂引导”或“螺柱引导”安装配置的圆盘的公路钢轮，尽管螺柱引导配置在所涵盖的尺寸范围内最为常见。</t>
  </si>
  <si>
    <t>A-570-082</t>
  </si>
  <si>
    <t>Certain Steel Wheels 22.5 to 24.5 Inches in Diameter</t>
  </si>
  <si>
    <r>
      <rPr>
        <sz val="11"/>
        <color rgb="FF000000"/>
        <rFont val="宋体"/>
        <charset val="134"/>
      </rPr>
      <t>某些直径为</t>
    </r>
    <r>
      <rPr>
        <sz val="11"/>
        <color rgb="FF000000"/>
        <rFont val="Calibri"/>
        <charset val="134"/>
      </rPr>
      <t xml:space="preserve"> 22.5 </t>
    </r>
    <r>
      <rPr>
        <sz val="11"/>
        <color rgb="FF000000"/>
        <rFont val="宋体"/>
        <charset val="134"/>
      </rPr>
      <t>至</t>
    </r>
    <r>
      <rPr>
        <sz val="11"/>
        <color rgb="FF000000"/>
        <rFont val="Calibri"/>
        <charset val="134"/>
      </rPr>
      <t xml:space="preserve"> 24.5 </t>
    </r>
    <r>
      <rPr>
        <sz val="11"/>
        <color rgb="FF000000"/>
        <rFont val="宋体"/>
        <charset val="134"/>
      </rPr>
      <t>英寸的钢轮</t>
    </r>
  </si>
  <si>
    <r>
      <rPr>
        <sz val="11"/>
        <color rgb="FF000000"/>
        <rFont val="Calibri"/>
        <charset val="134"/>
      </rPr>
      <t>8708.70.4530</t>
    </r>
    <r>
      <rPr>
        <sz val="11"/>
        <color rgb="FF000000"/>
        <rFont val="宋体"/>
        <charset val="134"/>
      </rPr>
      <t>、</t>
    </r>
    <r>
      <rPr>
        <sz val="11"/>
        <color rgb="FF000000"/>
        <rFont val="Calibri"/>
        <charset val="134"/>
      </rPr>
      <t>8708.70.4560</t>
    </r>
    <r>
      <rPr>
        <sz val="11"/>
        <color rgb="FF000000"/>
        <rFont val="宋体"/>
        <charset val="134"/>
      </rPr>
      <t>、</t>
    </r>
    <r>
      <rPr>
        <sz val="11"/>
        <color rgb="FF000000"/>
        <rFont val="Calibri"/>
        <charset val="134"/>
      </rPr>
      <t>8708.70.6030</t>
    </r>
    <r>
      <rPr>
        <sz val="11"/>
        <color rgb="FF000000"/>
        <rFont val="宋体"/>
        <charset val="134"/>
      </rPr>
      <t>、</t>
    </r>
    <r>
      <rPr>
        <sz val="11"/>
        <color rgb="FF000000"/>
        <rFont val="Calibri"/>
        <charset val="134"/>
      </rPr>
      <t>8708.70.6060</t>
    </r>
    <r>
      <rPr>
        <sz val="11"/>
        <color rgb="FF000000"/>
        <rFont val="宋体"/>
        <charset val="134"/>
      </rPr>
      <t>、</t>
    </r>
    <r>
      <rPr>
        <sz val="11"/>
        <color rgb="FF000000"/>
        <rFont val="Calibri"/>
        <charset val="134"/>
      </rPr>
      <t xml:space="preserve">8716.90.5045  </t>
    </r>
    <r>
      <rPr>
        <sz val="11"/>
        <color rgb="FF000000"/>
        <rFont val="宋体"/>
        <charset val="134"/>
      </rPr>
      <t>、</t>
    </r>
    <r>
      <rPr>
        <sz val="11"/>
        <color rgb="FF000000"/>
        <rFont val="Calibri"/>
        <charset val="134"/>
      </rPr>
      <t xml:space="preserve"> 8716.90.5059</t>
    </r>
    <r>
      <rPr>
        <sz val="11"/>
        <color rgb="FF000000"/>
        <rFont val="宋体"/>
        <charset val="134"/>
      </rPr>
      <t>。</t>
    </r>
    <r>
      <rPr>
        <sz val="11"/>
        <color rgb="FF000000"/>
        <rFont val="Calibri"/>
        <charset val="134"/>
      </rPr>
      <t>4011.20.1015</t>
    </r>
    <r>
      <rPr>
        <sz val="11"/>
        <color rgb="FF000000"/>
        <rFont val="宋体"/>
        <charset val="134"/>
      </rPr>
      <t>、</t>
    </r>
    <r>
      <rPr>
        <sz val="11"/>
        <color rgb="FF000000"/>
        <rFont val="Calibri"/>
        <charset val="134"/>
      </rPr>
      <t xml:space="preserve">4011.20.5020  </t>
    </r>
    <r>
      <rPr>
        <sz val="11"/>
        <color rgb="FF000000"/>
        <rFont val="宋体"/>
        <charset val="134"/>
      </rPr>
      <t>、</t>
    </r>
    <r>
      <rPr>
        <sz val="11"/>
        <color rgb="FF000000"/>
        <rFont val="Calibri"/>
        <charset val="134"/>
      </rPr>
      <t xml:space="preserve"> 8708.99.4850</t>
    </r>
    <r>
      <rPr>
        <sz val="11"/>
        <color rgb="FF000000"/>
        <rFont val="宋体"/>
        <charset val="134"/>
      </rPr>
      <t>。</t>
    </r>
  </si>
  <si>
    <t>订单范围包括用于无内胎轮胎的某些公路钢轮、盘和轮辋，标称轮辋直径为 22.5 英寸和 24.5 英寸，不考虑宽度。某些标称车轮直径为 22.5 英寸和 24.5 英寸的公路钢轮通常用于 6、7 和 8 类商用车辆（由联邦公路管理局车辆总重评级系统分类），包括拖拉机、半- 拖车、自卸车、垃圾车、混凝土搅拌车和公共汽车，是此类应用的当前标准车轮直径。某些公路用钢轮的标准宽度为7.5英寸、8.25英寸和9.0英寸，但所有某些公路用钢轮，无论宽度如何，都在范围内。而 22.5 英寸和 24。
范围包括具有“轮毂导向”或“螺柱导向”安装配置的某些公路钢轮，包括用于此类车轮的轮辋和盘，无论是作为组件进口还是单独进口。该范围包括某些由碳钢和*或合金钢组成的公路用钢轮、盘和轮辋，无论是否包覆，是否已完成，以及是否有涂层</t>
  </si>
  <si>
    <t>C-570-057</t>
  </si>
  <si>
    <t>Certain Tool and Chests and Cabinets</t>
  </si>
  <si>
    <t>某些工具和箱子和橱柜</t>
  </si>
  <si>
    <r>
      <rPr>
        <sz val="11"/>
        <color rgb="FF000000"/>
        <rFont val="Calibri"/>
        <charset val="134"/>
      </rPr>
      <t xml:space="preserve">9403.10.0020 </t>
    </r>
    <r>
      <rPr>
        <sz val="11"/>
        <color rgb="FF000000"/>
        <rFont val="宋体"/>
        <charset val="134"/>
      </rPr>
      <t>，</t>
    </r>
    <r>
      <rPr>
        <sz val="11"/>
        <color rgb="FF000000"/>
        <rFont val="Calibri"/>
        <charset val="134"/>
      </rPr>
      <t>9403.20.0021</t>
    </r>
    <r>
      <rPr>
        <sz val="11"/>
        <color rgb="FF000000"/>
        <rFont val="宋体"/>
        <charset val="134"/>
      </rPr>
      <t>、</t>
    </r>
    <r>
      <rPr>
        <sz val="11"/>
        <color rgb="FF000000"/>
        <rFont val="Calibri"/>
        <charset val="134"/>
      </rPr>
      <t>9403.20.0026</t>
    </r>
    <r>
      <rPr>
        <sz val="11"/>
        <color rgb="FF000000"/>
        <rFont val="宋体"/>
        <charset val="134"/>
      </rPr>
      <t>、</t>
    </r>
    <r>
      <rPr>
        <sz val="11"/>
        <color rgb="FF000000"/>
        <rFont val="Calibri"/>
        <charset val="134"/>
      </rPr>
      <t xml:space="preserve">9403.20.0030  </t>
    </r>
    <r>
      <rPr>
        <sz val="11"/>
        <color rgb="FF000000"/>
        <rFont val="宋体"/>
        <charset val="134"/>
      </rPr>
      <t>、</t>
    </r>
    <r>
      <rPr>
        <sz val="11"/>
        <color rgb="FF000000"/>
        <rFont val="Calibri"/>
        <charset val="134"/>
      </rPr>
      <t xml:space="preserve"> 7326.90.8688</t>
    </r>
    <r>
      <rPr>
        <sz val="11"/>
        <color rgb="FF000000"/>
        <rFont val="宋体"/>
        <charset val="134"/>
      </rPr>
      <t>，</t>
    </r>
    <r>
      <rPr>
        <sz val="11"/>
        <color rgb="FF000000"/>
        <rFont val="Calibri"/>
        <charset val="134"/>
      </rPr>
      <t xml:space="preserve"> 7326.90.3500</t>
    </r>
    <r>
      <rPr>
        <sz val="11"/>
        <color rgb="FF000000"/>
        <rFont val="宋体"/>
        <charset val="134"/>
      </rPr>
      <t>。</t>
    </r>
  </si>
  <si>
    <t>该订单的范围包括来自中华人民共和国（中国）和越南社会主义共和国（越南）的某些金属工具箱和工具柜，带抽屉（工具箱和柜子）。范围涵盖所有具有以下物理特征的金属工具箱和柜子，包括顶部箱、中间箱、工具柜和边柜、存储单元、移动工作台和工作站：
(1) 由碳、合金或不锈钢和*或其他金属制成的主体；
(2) 每个独立单元有两个或多个用于存放的抽屉；
(3) 边柜宽度（边到边）超过 15 英寸，所有其他独立单元超过 21 英寸，但不超过 60 英寸；
(4) 身体深度（从前到后）超过 10 英寸但不超过 24 英寸；和
(5) 预包装零售。</t>
  </si>
  <si>
    <t>A-570-022</t>
  </si>
  <si>
    <t>Certain Uncoated Paper</t>
  </si>
  <si>
    <t>某些未涂布纸</t>
  </si>
  <si>
    <r>
      <rPr>
        <sz val="11"/>
        <color rgb="FF000000"/>
        <rFont val="Calibri"/>
        <charset val="134"/>
      </rPr>
      <t>4802.55.1000, 4802.55.2000, 4802.55.3000, 4802.55.4000, 4802.55.6000, 4802.55.7020, 4802.55.7040, 4802. 1000, 4802.56.2000, 4802.56.3000, 4802.56.4000, 4802.56.6000, 4802.56.7020, 4802.56.7040, 4802.57.1​​000, 4802.57.203000, 4802.5000, 4802.50.7..  4802.62.1000, 4802.62.2000, 4802.62.3000, 4802.62.5000, 4802.62.6020, 4802.62.6040, 4802.69.1000, 4802.69.2000, 4802.69.3000, 4811.90.8050 and 4811.90.9080</t>
    </r>
    <r>
      <rPr>
        <sz val="11"/>
        <color rgb="FF000000"/>
        <rFont val="宋体"/>
        <charset val="134"/>
      </rPr>
      <t>。</t>
    </r>
  </si>
  <si>
    <t>该订单的范围包括单张无涂层纸；重量至少为每平方米 40 克，但不超过每平方米 150 克；要么是 GE 亮度等级（注 1）为 85 或更高的白纸，要么是彩色纸；不论是否有表面装饰、印刷（下文所述除外）、压花、穿孔或冲孔；不考虑表面的光滑度；并且与尺寸无关（某些未涂布纸）。某些未涂布纸包括 (a) 符合此范围定义的未涂布纸；(b) 由符合此范围定义的漂白化学热机械浆 (BCTMP) 生产的未涂布磨木纸；(c) 任何其他符合此范围定义的未涂布纸，无论用于生产纸张的纸浆类型如何。某些未转化为主题商品的主题纸卷进口商可以证明这些纸卷不会进一步加工成订单范围内的主题商品。未能遵守必要的认证要求可能会导致商品被认定需缴纳反倾销税。</t>
  </si>
  <si>
    <t>A-570-119</t>
  </si>
  <si>
    <t>Certain Vertical Shaft Engines Between 225C and 999CC, and Parts Thereof</t>
  </si>
  <si>
    <r>
      <rPr>
        <sz val="11"/>
        <color rgb="FF000000"/>
        <rFont val="Calibri"/>
        <charset val="134"/>
      </rPr>
      <t>225C</t>
    </r>
    <r>
      <rPr>
        <sz val="11"/>
        <color rgb="FF000000"/>
        <rFont val="宋体"/>
        <charset val="134"/>
      </rPr>
      <t>和</t>
    </r>
    <r>
      <rPr>
        <sz val="11"/>
        <color rgb="FF000000"/>
        <rFont val="Calibri"/>
        <charset val="134"/>
      </rPr>
      <t>999CC</t>
    </r>
    <r>
      <rPr>
        <sz val="11"/>
        <color rgb="FF000000"/>
        <rFont val="宋体"/>
        <charset val="134"/>
      </rPr>
      <t>之间的某些立轴发动机及其零件</t>
    </r>
  </si>
  <si>
    <r>
      <rPr>
        <sz val="11"/>
        <color rgb="FF000000"/>
        <rFont val="Calibri"/>
        <charset val="134"/>
      </rPr>
      <t>8407.90.1020</t>
    </r>
    <r>
      <rPr>
        <sz val="11"/>
        <color rgb="FF000000"/>
        <rFont val="宋体"/>
        <charset val="134"/>
      </rPr>
      <t>、</t>
    </r>
    <r>
      <rPr>
        <sz val="11"/>
        <color rgb="FF000000"/>
        <rFont val="Calibri"/>
        <charset val="134"/>
      </rPr>
      <t xml:space="preserve">8407.90.1060  </t>
    </r>
    <r>
      <rPr>
        <sz val="11"/>
        <color rgb="FF000000"/>
        <rFont val="宋体"/>
        <charset val="134"/>
      </rPr>
      <t>、</t>
    </r>
    <r>
      <rPr>
        <sz val="11"/>
        <color rgb="FF000000"/>
        <rFont val="Calibri"/>
        <charset val="134"/>
      </rPr>
      <t xml:space="preserve"> 8407.90.1080</t>
    </r>
    <r>
      <rPr>
        <sz val="11"/>
        <color rgb="FF000000"/>
        <rFont val="宋体"/>
        <charset val="134"/>
      </rPr>
      <t>。</t>
    </r>
    <r>
      <rPr>
        <sz val="11"/>
        <color rgb="FF000000"/>
        <rFont val="Calibri"/>
        <charset val="134"/>
      </rPr>
      <t xml:space="preserve"> 8409.91.9990 </t>
    </r>
    <r>
      <rPr>
        <sz val="11"/>
        <color rgb="FF000000"/>
        <rFont val="宋体"/>
        <charset val="134"/>
      </rPr>
      <t>，</t>
    </r>
    <r>
      <rPr>
        <sz val="11"/>
        <color rgb="FF000000"/>
        <rFont val="Calibri"/>
        <charset val="134"/>
      </rPr>
      <t xml:space="preserve"> 8407.90.9060  </t>
    </r>
    <r>
      <rPr>
        <sz val="11"/>
        <color rgb="FF000000"/>
        <rFont val="宋体"/>
        <charset val="134"/>
      </rPr>
      <t>、</t>
    </r>
    <r>
      <rPr>
        <sz val="11"/>
        <color rgb="FF000000"/>
        <rFont val="Calibri"/>
        <charset val="134"/>
      </rPr>
      <t xml:space="preserve"> 8407.90.9080</t>
    </r>
  </si>
  <si>
    <t>该订单涵盖的商品包括火花点火式非道路垂直轴发动机，无论是成品还是未成品，无论是组装还是未组装，主要用于骑乘式割草机和零转弯半径割草机。满足此物理描述的发动机也可用于其他非手持式户外动力设备，例如但不限于拖曳式割草机、研磨机和立轴发电机。主题发动机是火花点火、单缸或多缸、风冷、带有垂直动力输出轴的内燃机，最小排量为 225 立方厘米 (cc)，最大排量为 999cc。通常，这种排量的发动机产生的总功率在 6.7 千瓦 (kw) 到 42 千瓦之间。</t>
  </si>
  <si>
    <t>A-570-124</t>
  </si>
  <si>
    <t>Certain Vertical Shaft Engines with a Displace Between 99 Cubic Centimeters and up to 225CC, and Parts Thereof</t>
  </si>
  <si>
    <r>
      <rPr>
        <sz val="11"/>
        <color rgb="FF000000"/>
        <rFont val="宋体"/>
        <charset val="134"/>
      </rPr>
      <t>某些排量在</t>
    </r>
    <r>
      <rPr>
        <sz val="11"/>
        <color rgb="FF000000"/>
        <rFont val="Calibri"/>
        <charset val="134"/>
      </rPr>
      <t>99</t>
    </r>
    <r>
      <rPr>
        <sz val="11"/>
        <color rgb="FF000000"/>
        <rFont val="宋体"/>
        <charset val="134"/>
      </rPr>
      <t>立方厘米至</t>
    </r>
    <r>
      <rPr>
        <sz val="11"/>
        <color rgb="FF000000"/>
        <rFont val="Calibri"/>
        <charset val="134"/>
      </rPr>
      <t>225CC</t>
    </r>
    <r>
      <rPr>
        <sz val="11"/>
        <color rgb="FF000000"/>
        <rFont val="宋体"/>
        <charset val="134"/>
      </rPr>
      <t>之间的立轴发动机及其零件</t>
    </r>
  </si>
  <si>
    <r>
      <rPr>
        <sz val="11"/>
        <color rgb="FF000000"/>
        <rFont val="Calibri"/>
        <charset val="134"/>
      </rPr>
      <t>8407.90.1010</t>
    </r>
    <r>
      <rPr>
        <sz val="11"/>
        <color rgb="FF000000"/>
        <rFont val="宋体"/>
        <charset val="134"/>
      </rPr>
      <t>。</t>
    </r>
    <r>
      <rPr>
        <sz val="11"/>
        <color rgb="FF000000"/>
        <rFont val="Calibri"/>
        <charset val="134"/>
      </rPr>
      <t>8433.11.0050</t>
    </r>
    <r>
      <rPr>
        <sz val="11"/>
        <color rgb="FF000000"/>
        <rFont val="宋体"/>
        <charset val="134"/>
      </rPr>
      <t>、</t>
    </r>
    <r>
      <rPr>
        <sz val="11"/>
        <color rgb="FF000000"/>
        <rFont val="Calibri"/>
        <charset val="134"/>
      </rPr>
      <t xml:space="preserve">8433.11.0060  </t>
    </r>
    <r>
      <rPr>
        <sz val="11"/>
        <color rgb="FF000000"/>
        <rFont val="宋体"/>
        <charset val="134"/>
      </rPr>
      <t>、</t>
    </r>
    <r>
      <rPr>
        <sz val="11"/>
        <color rgb="FF000000"/>
        <rFont val="Calibri"/>
        <charset val="134"/>
      </rPr>
      <t xml:space="preserve"> 8424.30.9000 </t>
    </r>
    <r>
      <rPr>
        <sz val="11"/>
        <color rgb="FF000000"/>
        <rFont val="宋体"/>
        <charset val="134"/>
      </rPr>
      <t>，</t>
    </r>
    <r>
      <rPr>
        <sz val="11"/>
        <color rgb="FF000000"/>
        <rFont val="Calibri"/>
        <charset val="134"/>
      </rPr>
      <t>8407.90.1020</t>
    </r>
    <r>
      <rPr>
        <sz val="11"/>
        <color rgb="FF000000"/>
        <rFont val="宋体"/>
        <charset val="134"/>
      </rPr>
      <t>、</t>
    </r>
    <r>
      <rPr>
        <sz val="11"/>
        <color rgb="FF000000"/>
        <rFont val="Calibri"/>
        <charset val="134"/>
      </rPr>
      <t xml:space="preserve">8407.90.9040  </t>
    </r>
    <r>
      <rPr>
        <sz val="11"/>
        <color rgb="FF000000"/>
        <rFont val="宋体"/>
        <charset val="134"/>
      </rPr>
      <t>、</t>
    </r>
    <r>
      <rPr>
        <sz val="11"/>
        <color rgb="FF000000"/>
        <rFont val="Calibri"/>
        <charset val="134"/>
      </rPr>
      <t xml:space="preserve"> 8407.90.9060</t>
    </r>
  </si>
  <si>
    <t>这些订单涵盖的商品包括火花点火、非道路、垂直轴发动机，无论是成品还是未成品，无论是组装还是未组装，无论是安装还是未安装，主要用于手推式割草机。符合此物理描述的发动机也可用于其他非手持式户外动力设备，包括但不限于高压清洗机。主题发动机是火花点火、单缸、风冷、带有垂直动力输出轴的内燃机，最小排量为 99 立方厘米 (cc)，最大排量高达但不包括 225cc。通常，具有这种排量的发动机产生的总功率在 1.95 千瓦 (kw) 到 4.75 千瓦之间。</t>
  </si>
  <si>
    <t>A-570-129</t>
  </si>
  <si>
    <t>Certain Walk-Behind Lawn Mowers and Parts Thereof</t>
  </si>
  <si>
    <t>某些手扶式割草机及其零件</t>
  </si>
  <si>
    <r>
      <rPr>
        <sz val="11"/>
        <color rgb="FF000000"/>
        <rFont val="Calibri"/>
        <charset val="134"/>
      </rPr>
      <t>8433.11.0050</t>
    </r>
    <r>
      <rPr>
        <sz val="11"/>
        <color rgb="FF000000"/>
        <rFont val="宋体"/>
        <charset val="134"/>
      </rPr>
      <t>，</t>
    </r>
    <r>
      <rPr>
        <sz val="11"/>
        <color rgb="FF000000"/>
        <rFont val="Calibri"/>
        <charset val="134"/>
      </rPr>
      <t xml:space="preserve">8407.90.1010  </t>
    </r>
    <r>
      <rPr>
        <sz val="11"/>
        <color rgb="FF000000"/>
        <rFont val="宋体"/>
        <charset val="134"/>
      </rPr>
      <t>、</t>
    </r>
    <r>
      <rPr>
        <sz val="11"/>
        <color rgb="FF000000"/>
        <rFont val="Calibri"/>
        <charset val="134"/>
      </rPr>
      <t xml:space="preserve"> 8433.90.1090</t>
    </r>
  </si>
  <si>
    <t>该订单涵盖的商品包括某些旋转式手推式割草机，这些割草机是由内燃机驱动的。该命令的范围涵盖某些手扶式割草机，无论是自行式还是非自行式，无论是成品还是未成品，组装或未组装，以及是否包含除割草之外的任何附加功能。
本订单范围内的手扶式割草机仅限于额定功率小于3.7千瓦的内燃机驱动的割草机。这些内燃机通常是火花点火、单缸或多缸、风冷、带有垂直动力输出轴的内燃机，最大排量为 196cc。此范围涵盖的手扶式割草机通常必须经过认证并符合消费品安全委员会 16 CFR 第 1205 部分下的手扶式电动割草机安全标准。但是，符合上述物理描述但不符合上述物理描述的割草机根据 16 CFR 第 1205 部分认证的产品仍受本订单范围的约束。</t>
  </si>
  <si>
    <t>A-570-898</t>
  </si>
  <si>
    <t>Chlorinated Isocyanurates</t>
  </si>
  <si>
    <t>氯化异氰脲酸酯</t>
  </si>
  <si>
    <r>
      <rPr>
        <sz val="11"/>
        <color rgb="FF000000"/>
        <rFont val="Calibri"/>
        <charset val="134"/>
      </rPr>
      <t>2933.69.6015</t>
    </r>
    <r>
      <rPr>
        <sz val="11"/>
        <color rgb="FF000000"/>
        <rFont val="宋体"/>
        <charset val="134"/>
      </rPr>
      <t>、</t>
    </r>
    <r>
      <rPr>
        <sz val="11"/>
        <color rgb="FF000000"/>
        <rFont val="Calibri"/>
        <charset val="134"/>
      </rPr>
      <t>2933.69.6021</t>
    </r>
    <r>
      <rPr>
        <sz val="11"/>
        <color rgb="FF000000"/>
        <rFont val="宋体"/>
        <charset val="134"/>
      </rPr>
      <t>、</t>
    </r>
    <r>
      <rPr>
        <sz val="11"/>
        <color rgb="FF000000"/>
        <rFont val="Calibri"/>
        <charset val="134"/>
      </rPr>
      <t>293​​3.69.6050</t>
    </r>
    <r>
      <rPr>
        <sz val="11"/>
        <color rgb="FF000000"/>
        <rFont val="宋体"/>
        <charset val="134"/>
      </rPr>
      <t>、</t>
    </r>
    <r>
      <rPr>
        <sz val="11"/>
        <color rgb="FF000000"/>
        <rFont val="Calibri"/>
        <charset val="134"/>
      </rPr>
      <t>3808.40.50</t>
    </r>
    <r>
      <rPr>
        <sz val="11"/>
        <color rgb="FF000000"/>
        <rFont val="宋体"/>
        <charset val="134"/>
      </rPr>
      <t>、</t>
    </r>
    <r>
      <rPr>
        <sz val="11"/>
        <color rgb="FF000000"/>
        <rFont val="Calibri"/>
        <charset val="134"/>
      </rPr>
      <t xml:space="preserve">3808.50.40  </t>
    </r>
    <r>
      <rPr>
        <sz val="11"/>
        <color rgb="FF000000"/>
        <rFont val="宋体"/>
        <charset val="134"/>
      </rPr>
      <t>、</t>
    </r>
    <r>
      <rPr>
        <sz val="11"/>
        <color rgb="FF000000"/>
        <rFont val="Calibri"/>
        <charset val="134"/>
      </rPr>
      <t xml:space="preserve"> 3808.94.5000 , 2933.69.6015</t>
    </r>
    <r>
      <rPr>
        <sz val="11"/>
        <color rgb="FF000000"/>
        <rFont val="宋体"/>
        <charset val="134"/>
      </rPr>
      <t>，</t>
    </r>
    <r>
      <rPr>
        <sz val="11"/>
        <color rgb="FF000000"/>
        <rFont val="Calibri"/>
        <charset val="134"/>
      </rPr>
      <t xml:space="preserve">2933.69.6021  </t>
    </r>
    <r>
      <rPr>
        <sz val="11"/>
        <color rgb="FF000000"/>
        <rFont val="宋体"/>
        <charset val="134"/>
      </rPr>
      <t>、</t>
    </r>
    <r>
      <rPr>
        <sz val="11"/>
        <color rgb="FF000000"/>
        <rFont val="Calibri"/>
        <charset val="134"/>
      </rPr>
      <t xml:space="preserve"> 2933.69.6050</t>
    </r>
  </si>
  <si>
    <t>该订单涵盖的产品是氯化异氰脲酸酯（氯化异氰酸酯），它是氰尿酸的衍生物，被描述为氯化 s-三嗪三酮类。氯化异氰酸酯有三种主要化学成分：(1) 三氯异氰尿酸 (Cl3(NCO)3)，(2) 二氯异氰脲酸钠（二水合物）（NaCl2(NCO)3(2H2O)，和 (3) 二氯异氰脲酸钠（无水） (NaCl2(NCO)3). 氯化异构体有粉末、颗粒和片剂形式。订单涵盖所有氯化异构体。</t>
  </si>
  <si>
    <t>A-570-002</t>
  </si>
  <si>
    <t>Chloropicrin</t>
  </si>
  <si>
    <t>氯化苦</t>
  </si>
  <si>
    <t>2904.90.50</t>
  </si>
  <si>
    <t>该订单涵盖的商品是氯化苦，也称为三氯硝基甲烷。该产品的主要用途是作为种植前土壤熏蒸剂。</t>
  </si>
  <si>
    <t>A-570-930</t>
  </si>
  <si>
    <t>Circular Welded Austenitic Stainless Pressure Pipe</t>
  </si>
  <si>
    <t>圆形焊接奥氏体不锈钢压力管</t>
  </si>
  <si>
    <r>
      <rPr>
        <sz val="11"/>
        <color rgb="FF000000"/>
        <rFont val="Calibri"/>
        <charset val="134"/>
      </rPr>
      <t>7306.40.5005</t>
    </r>
    <r>
      <rPr>
        <sz val="11"/>
        <color rgb="FF000000"/>
        <rFont val="宋体"/>
        <charset val="134"/>
      </rPr>
      <t>，</t>
    </r>
    <r>
      <rPr>
        <sz val="11"/>
        <color rgb="FF000000"/>
        <rFont val="Calibri"/>
        <charset val="134"/>
      </rPr>
      <t>7306.40.5040</t>
    </r>
    <r>
      <rPr>
        <sz val="11"/>
        <color rgb="FF000000"/>
        <rFont val="宋体"/>
        <charset val="134"/>
      </rPr>
      <t>、</t>
    </r>
    <r>
      <rPr>
        <sz val="11"/>
        <color rgb="FF000000"/>
        <rFont val="Calibri"/>
        <charset val="134"/>
      </rPr>
      <t>7306.40.5062</t>
    </r>
    <r>
      <rPr>
        <sz val="11"/>
        <color rgb="FF000000"/>
        <rFont val="宋体"/>
        <charset val="134"/>
      </rPr>
      <t>、</t>
    </r>
    <r>
      <rPr>
        <sz val="11"/>
        <color rgb="FF000000"/>
        <rFont val="Calibri"/>
        <charset val="134"/>
      </rPr>
      <t xml:space="preserve">7306.40.5064  </t>
    </r>
    <r>
      <rPr>
        <sz val="11"/>
        <color rgb="FF000000"/>
        <rFont val="宋体"/>
        <charset val="134"/>
      </rPr>
      <t>、</t>
    </r>
    <r>
      <rPr>
        <sz val="11"/>
        <color rgb="FF000000"/>
        <rFont val="Calibri"/>
        <charset val="134"/>
      </rPr>
      <t xml:space="preserve"> 7306.40.5085</t>
    </r>
    <r>
      <rPr>
        <sz val="11"/>
        <color rgb="FF000000"/>
        <rFont val="宋体"/>
        <charset val="134"/>
      </rPr>
      <t>，</t>
    </r>
    <r>
      <rPr>
        <sz val="11"/>
        <color rgb="FF000000"/>
        <rFont val="Calibri"/>
        <charset val="134"/>
      </rPr>
      <t xml:space="preserve"> 7306.40.1010 </t>
    </r>
    <r>
      <rPr>
        <sz val="11"/>
        <color rgb="FF000000"/>
        <rFont val="宋体"/>
        <charset val="134"/>
      </rPr>
      <t>下进入；</t>
    </r>
    <r>
      <rPr>
        <sz val="11"/>
        <color rgb="FF000000"/>
        <rFont val="Calibri"/>
        <charset val="134"/>
      </rPr>
      <t>7306.40.1015</t>
    </r>
    <r>
      <rPr>
        <sz val="11"/>
        <color rgb="FF000000"/>
        <rFont val="宋体"/>
        <charset val="134"/>
      </rPr>
      <t>；</t>
    </r>
    <r>
      <rPr>
        <sz val="11"/>
        <color rgb="FF000000"/>
        <rFont val="Calibri"/>
        <charset val="134"/>
      </rPr>
      <t>7306.40.5042</t>
    </r>
    <r>
      <rPr>
        <sz val="11"/>
        <color rgb="FF000000"/>
        <rFont val="宋体"/>
        <charset val="134"/>
      </rPr>
      <t>、</t>
    </r>
    <r>
      <rPr>
        <sz val="11"/>
        <color rgb="FF000000"/>
        <rFont val="Calibri"/>
        <charset val="134"/>
      </rPr>
      <t>7306.40.5044</t>
    </r>
    <r>
      <rPr>
        <sz val="11"/>
        <color rgb="FF000000"/>
        <rFont val="宋体"/>
        <charset val="134"/>
      </rPr>
      <t>、</t>
    </r>
    <r>
      <rPr>
        <sz val="11"/>
        <color rgb="FF000000"/>
        <rFont val="Calibri"/>
        <charset val="134"/>
      </rPr>
      <t xml:space="preserve">7306.40.5080  </t>
    </r>
    <r>
      <rPr>
        <sz val="11"/>
        <color rgb="FF000000"/>
        <rFont val="宋体"/>
        <charset val="134"/>
      </rPr>
      <t>、</t>
    </r>
    <r>
      <rPr>
        <sz val="11"/>
        <color rgb="FF000000"/>
        <rFont val="Calibri"/>
        <charset val="134"/>
      </rPr>
      <t xml:space="preserve"> 7306.40.5090</t>
    </r>
  </si>
  <si>
    <t>本订单涵盖的商品为外径不大于 14 英寸的圆形焊接奥氏体不锈钢压力管。</t>
  </si>
  <si>
    <t>A-570-935</t>
  </si>
  <si>
    <t>Circular Welded Carbon Quality Steel Line Pipe</t>
  </si>
  <si>
    <t>圆形焊接碳素钢管线管</t>
  </si>
  <si>
    <r>
      <rPr>
        <sz val="11"/>
        <color rgb="FF000000"/>
        <rFont val="Calibri"/>
        <charset val="134"/>
      </rPr>
      <t>7306.19.10.10</t>
    </r>
    <r>
      <rPr>
        <sz val="11"/>
        <color rgb="FF000000"/>
        <rFont val="宋体"/>
        <charset val="134"/>
      </rPr>
      <t>、</t>
    </r>
    <r>
      <rPr>
        <sz val="11"/>
        <color rgb="FF000000"/>
        <rFont val="Calibri"/>
        <charset val="134"/>
      </rPr>
      <t>7306.19.10.50</t>
    </r>
    <r>
      <rPr>
        <sz val="11"/>
        <color rgb="FF000000"/>
        <rFont val="宋体"/>
        <charset val="134"/>
      </rPr>
      <t>、</t>
    </r>
    <r>
      <rPr>
        <sz val="11"/>
        <color rgb="FF000000"/>
        <rFont val="Calibri"/>
        <charset val="134"/>
      </rPr>
      <t xml:space="preserve">7306.19.51.10  </t>
    </r>
    <r>
      <rPr>
        <sz val="11"/>
        <color rgb="FF000000"/>
        <rFont val="宋体"/>
        <charset val="134"/>
      </rPr>
      <t>、</t>
    </r>
    <r>
      <rPr>
        <sz val="11"/>
        <color rgb="FF000000"/>
        <rFont val="Calibri"/>
        <charset val="134"/>
      </rPr>
      <t xml:space="preserve"> 7306.19.51.50</t>
    </r>
    <r>
      <rPr>
        <sz val="11"/>
        <color rgb="FF000000"/>
        <rFont val="宋体"/>
        <charset val="134"/>
      </rPr>
      <t>。</t>
    </r>
  </si>
  <si>
    <t>本订单涉及的商品为油气管道用圆形焊接碳质钢管（焊接管线管），不论壁厚、长度、表面光洁度，外径不超过406.4毫米（16英寸） ，结束完成或模板。</t>
  </si>
  <si>
    <t>A-570-910</t>
  </si>
  <si>
    <t>Circular Welded Carbon Quality Steel Pipe</t>
  </si>
  <si>
    <t>圆形焊接碳质钢管</t>
  </si>
  <si>
    <r>
      <rPr>
        <sz val="11"/>
        <color rgb="FF000000"/>
        <rFont val="Calibri"/>
        <charset val="134"/>
      </rPr>
      <t>7306.30.10.00, 7306.30.50.25, 7306.30.50.32, 7306.30.50.40, 7306.30.50.55, 7306.30.50.85, 7306.30.50.100.5,0 7306.50.50.50</t>
    </r>
    <r>
      <rPr>
        <sz val="11"/>
        <color rgb="FF000000"/>
        <rFont val="宋体"/>
        <charset val="134"/>
      </rPr>
      <t>、</t>
    </r>
    <r>
      <rPr>
        <sz val="11"/>
        <color rgb="FF000000"/>
        <rFont val="Calibri"/>
        <charset val="134"/>
      </rPr>
      <t>7306.50.50.70</t>
    </r>
    <r>
      <rPr>
        <sz val="11"/>
        <color rgb="FF000000"/>
        <rFont val="宋体"/>
        <charset val="134"/>
      </rPr>
      <t>、</t>
    </r>
    <r>
      <rPr>
        <sz val="11"/>
        <color rgb="FF000000"/>
        <rFont val="Calibri"/>
        <charset val="134"/>
      </rPr>
      <t>7306.19.10.10</t>
    </r>
    <r>
      <rPr>
        <sz val="11"/>
        <color rgb="FF000000"/>
        <rFont val="宋体"/>
        <charset val="134"/>
      </rPr>
      <t>、</t>
    </r>
    <r>
      <rPr>
        <sz val="11"/>
        <color rgb="FF000000"/>
        <rFont val="Calibri"/>
        <charset val="134"/>
      </rPr>
      <t>7306.19.10.50</t>
    </r>
    <r>
      <rPr>
        <sz val="11"/>
        <color rgb="FF000000"/>
        <rFont val="宋体"/>
        <charset val="134"/>
      </rPr>
      <t>、</t>
    </r>
    <r>
      <rPr>
        <sz val="11"/>
        <color rgb="FF000000"/>
        <rFont val="Calibri"/>
        <charset val="134"/>
      </rPr>
      <t xml:space="preserve">7306.19.51.10  </t>
    </r>
    <r>
      <rPr>
        <sz val="11"/>
        <color rgb="FF000000"/>
        <rFont val="宋体"/>
        <charset val="134"/>
      </rPr>
      <t>、</t>
    </r>
    <r>
      <rPr>
        <sz val="11"/>
        <color rgb="FF000000"/>
        <rFont val="Calibri"/>
        <charset val="134"/>
      </rPr>
      <t xml:space="preserve"> 7306.19.51.50</t>
    </r>
    <r>
      <rPr>
        <sz val="11"/>
        <color rgb="FF000000"/>
        <rFont val="宋体"/>
        <charset val="134"/>
      </rPr>
      <t>。</t>
    </r>
  </si>
  <si>
    <t>受此程序约束的商品是某些焊接碳质钢管，具有圆形横截面，外径为 0.372 英寸（9.45 毫米）或更大，但不超过 16 英寸（406.4 毫米），无论是否无论壁厚、表面光洁度（例如，黑色、镀锌或涂漆）、端面光洁度（例如，平端、斜面端、凹槽、螺纹或螺纹连接）或行业规范（例如，ASTM、专有或其他），通常称为标准管和结构管（它们也可称为圆形管、结构管或机械管）。</t>
  </si>
  <si>
    <t>A-570-937</t>
  </si>
  <si>
    <t>Citric Acid And Citrate Salt</t>
  </si>
  <si>
    <t>柠檬酸和柠檬酸盐</t>
  </si>
  <si>
    <r>
      <rPr>
        <sz val="11"/>
        <color rgb="FF000000"/>
        <rFont val="Calibri"/>
        <charset val="134"/>
      </rPr>
      <t xml:space="preserve">2918.14.0000  </t>
    </r>
    <r>
      <rPr>
        <sz val="11"/>
        <color rgb="FF000000"/>
        <rFont val="宋体"/>
        <charset val="134"/>
      </rPr>
      <t>、</t>
    </r>
    <r>
      <rPr>
        <sz val="11"/>
        <color rgb="FF000000"/>
        <rFont val="Calibri"/>
        <charset val="134"/>
      </rPr>
      <t xml:space="preserve"> 2918.151000</t>
    </r>
    <r>
      <rPr>
        <sz val="11"/>
        <color rgb="FF000000"/>
        <rFont val="宋体"/>
        <charset val="134"/>
      </rPr>
      <t>，</t>
    </r>
    <r>
      <rPr>
        <sz val="11"/>
        <color rgb="FF000000"/>
        <rFont val="Calibri"/>
        <charset val="134"/>
      </rPr>
      <t xml:space="preserve">2918.15.5000  </t>
    </r>
    <r>
      <rPr>
        <sz val="11"/>
        <color rgb="FF000000"/>
        <rFont val="宋体"/>
        <charset val="134"/>
      </rPr>
      <t>、</t>
    </r>
    <r>
      <rPr>
        <sz val="11"/>
        <color rgb="FF000000"/>
        <rFont val="Calibri"/>
        <charset val="134"/>
      </rPr>
      <t xml:space="preserve"> 3824.90.9290</t>
    </r>
    <r>
      <rPr>
        <sz val="11"/>
        <color rgb="FF000000"/>
        <rFont val="宋体"/>
        <charset val="134"/>
      </rPr>
      <t>，</t>
    </r>
    <r>
      <rPr>
        <sz val="11"/>
        <color rgb="FF000000"/>
        <rFont val="Calibri"/>
        <charset val="134"/>
      </rPr>
      <t>3824.90.9290</t>
    </r>
  </si>
  <si>
    <t>订单范围包括未混合形式的柠檬酸、柠檬酸钠和柠檬酸钾的所有等级和颗粒尺寸，无论是干燥形式还是溶液形式，无论包装类型如何。范围还包括柠檬酸、柠檬酸钠和柠檬酸钾的混合物；以及与其他成分（例如糖）的混合物，其中柠檬酸、柠檬酸钠和柠檬酸钾的未混合形式占混合物重量的 40% 或更多。该订单的范围还包括所有形式的粗柠檬酸钙，包括一水柠檬酸二钙和四水柠檬酸三钙，它们是生产柠檬酸、柠檬酸钠和柠檬酸钾的中间产品。</t>
  </si>
  <si>
    <t>A-570-958</t>
  </si>
  <si>
    <t>Coated Paper Suitable For High-Quality Print Graphics Using Sheet-Fed Presses</t>
  </si>
  <si>
    <t>适用于使用单张纸印刷机的高质量印刷图形的铜版纸</t>
  </si>
  <si>
    <r>
      <rPr>
        <sz val="11"/>
        <color rgb="FF000000"/>
        <rFont val="Calibri"/>
        <charset val="134"/>
      </rPr>
      <t>4810.14.11</t>
    </r>
    <r>
      <rPr>
        <sz val="11"/>
        <color rgb="FF000000"/>
        <rFont val="宋体"/>
        <charset val="134"/>
      </rPr>
      <t>、</t>
    </r>
    <r>
      <rPr>
        <sz val="11"/>
        <color rgb="FF000000"/>
        <rFont val="Calibri"/>
        <charset val="134"/>
      </rPr>
      <t>4810.14.1900</t>
    </r>
    <r>
      <rPr>
        <sz val="11"/>
        <color rgb="FF000000"/>
        <rFont val="宋体"/>
        <charset val="134"/>
      </rPr>
      <t>、</t>
    </r>
    <r>
      <rPr>
        <sz val="11"/>
        <color rgb="FF000000"/>
        <rFont val="Calibri"/>
        <charset val="134"/>
      </rPr>
      <t>4810.14.2010</t>
    </r>
    <r>
      <rPr>
        <sz val="11"/>
        <color rgb="FF000000"/>
        <rFont val="宋体"/>
        <charset val="134"/>
      </rPr>
      <t>、</t>
    </r>
    <r>
      <rPr>
        <sz val="11"/>
        <color rgb="FF000000"/>
        <rFont val="Calibri"/>
        <charset val="134"/>
      </rPr>
      <t>4810.14.2090</t>
    </r>
    <r>
      <rPr>
        <sz val="11"/>
        <color rgb="FF000000"/>
        <rFont val="宋体"/>
        <charset val="134"/>
      </rPr>
      <t>、</t>
    </r>
    <r>
      <rPr>
        <sz val="11"/>
        <color rgb="FF000000"/>
        <rFont val="Calibri"/>
        <charset val="134"/>
      </rPr>
      <t>4810.14.5000</t>
    </r>
    <r>
      <rPr>
        <sz val="11"/>
        <color rgb="FF000000"/>
        <rFont val="宋体"/>
        <charset val="134"/>
      </rPr>
      <t>、</t>
    </r>
    <r>
      <rPr>
        <sz val="11"/>
        <color rgb="FF000000"/>
        <rFont val="Calibri"/>
        <charset val="134"/>
      </rPr>
      <t xml:space="preserve">4810.14.6000 </t>
    </r>
    <r>
      <rPr>
        <sz val="11"/>
        <color rgb="FF000000"/>
        <rFont val="宋体"/>
        <charset val="134"/>
      </rPr>
      <t>，</t>
    </r>
    <r>
      <rPr>
        <sz val="11"/>
        <color rgb="FF000000"/>
        <rFont val="Calibri"/>
        <charset val="134"/>
      </rPr>
      <t>4810.14.70</t>
    </r>
    <r>
      <rPr>
        <sz val="11"/>
        <color rgb="FF000000"/>
        <rFont val="宋体"/>
        <charset val="134"/>
      </rPr>
      <t>，</t>
    </r>
    <r>
      <rPr>
        <sz val="11"/>
        <color rgb="FF000000"/>
        <rFont val="Calibri"/>
        <charset val="134"/>
      </rPr>
      <t>4810.19.1100</t>
    </r>
    <r>
      <rPr>
        <sz val="11"/>
        <color rgb="FF000000"/>
        <rFont val="宋体"/>
        <charset val="134"/>
      </rPr>
      <t>，</t>
    </r>
    <r>
      <rPr>
        <sz val="11"/>
        <color rgb="FF000000"/>
        <rFont val="Calibri"/>
        <charset val="134"/>
      </rPr>
      <t>4810.19.1900</t>
    </r>
    <r>
      <rPr>
        <sz val="11"/>
        <color rgb="FF000000"/>
        <rFont val="宋体"/>
        <charset val="134"/>
      </rPr>
      <t>，</t>
    </r>
    <r>
      <rPr>
        <sz val="11"/>
        <color rgb="FF000000"/>
        <rFont val="Calibri"/>
        <charset val="134"/>
      </rPr>
      <t>4810.19.2010</t>
    </r>
    <r>
      <rPr>
        <sz val="11"/>
        <color rgb="FF000000"/>
        <rFont val="宋体"/>
        <charset val="134"/>
      </rPr>
      <t>，</t>
    </r>
    <r>
      <rPr>
        <sz val="11"/>
        <color rgb="FF000000"/>
        <rFont val="Calibri"/>
        <charset val="134"/>
      </rPr>
      <t>4810.19.2090</t>
    </r>
    <r>
      <rPr>
        <sz val="11"/>
        <color rgb="FF000000"/>
        <rFont val="宋体"/>
        <charset val="134"/>
      </rPr>
      <t>，</t>
    </r>
    <r>
      <rPr>
        <sz val="11"/>
        <color rgb="FF000000"/>
        <rFont val="Calibri"/>
        <charset val="134"/>
      </rPr>
      <t>4810.22.1000</t>
    </r>
    <r>
      <rPr>
        <sz val="11"/>
        <color rgb="FF000000"/>
        <rFont val="宋体"/>
        <charset val="134"/>
      </rPr>
      <t>，</t>
    </r>
    <r>
      <rPr>
        <sz val="11"/>
        <color rgb="FF000000"/>
        <rFont val="Calibri"/>
        <charset val="134"/>
      </rPr>
      <t>4810.22.50</t>
    </r>
    <r>
      <rPr>
        <sz val="11"/>
        <color rgb="FF000000"/>
        <rFont val="宋体"/>
        <charset val="134"/>
      </rPr>
      <t>，</t>
    </r>
    <r>
      <rPr>
        <sz val="11"/>
        <color rgb="FF000000"/>
        <rFont val="Calibri"/>
        <charset val="134"/>
      </rPr>
      <t>4810.22.6000</t>
    </r>
    <r>
      <rPr>
        <sz val="11"/>
        <color rgb="FF000000"/>
        <rFont val="宋体"/>
        <charset val="134"/>
      </rPr>
      <t>，</t>
    </r>
    <r>
      <rPr>
        <sz val="11"/>
        <color rgb="FF000000"/>
        <rFont val="Calibri"/>
        <charset val="134"/>
      </rPr>
      <t>4810.22.6000</t>
    </r>
    <r>
      <rPr>
        <sz val="11"/>
        <color rgb="FF000000"/>
        <rFont val="宋体"/>
        <charset val="134"/>
      </rPr>
      <t>，</t>
    </r>
    <r>
      <rPr>
        <sz val="11"/>
        <color rgb="FF000000"/>
        <rFont val="Calibri"/>
        <charset val="134"/>
      </rPr>
      <t>4810.22.70 .6000</t>
    </r>
    <r>
      <rPr>
        <sz val="11"/>
        <color rgb="FF000000"/>
        <rFont val="宋体"/>
        <charset val="134"/>
      </rPr>
      <t>，</t>
    </r>
    <r>
      <rPr>
        <sz val="11"/>
        <color rgb="FF000000"/>
        <rFont val="Calibri"/>
        <charset val="134"/>
      </rPr>
      <t>4810.29.70</t>
    </r>
    <r>
      <rPr>
        <sz val="11"/>
        <color rgb="FF000000"/>
        <rFont val="宋体"/>
        <charset val="134"/>
      </rPr>
      <t>，</t>
    </r>
    <r>
      <rPr>
        <sz val="11"/>
        <color rgb="FF000000"/>
        <rFont val="Calibri"/>
        <charset val="134"/>
      </rPr>
      <t>4810.29.7035</t>
    </r>
    <r>
      <rPr>
        <sz val="11"/>
        <color rgb="FF000000"/>
        <rFont val="宋体"/>
        <charset val="134"/>
      </rPr>
      <t>，</t>
    </r>
    <r>
      <rPr>
        <sz val="11"/>
        <color rgb="FF000000"/>
        <rFont val="Calibri"/>
        <charset val="134"/>
      </rPr>
      <t>4810.32.10</t>
    </r>
    <r>
      <rPr>
        <sz val="11"/>
        <color rgb="FF000000"/>
        <rFont val="宋体"/>
        <charset val="134"/>
      </rPr>
      <t>，</t>
    </r>
    <r>
      <rPr>
        <sz val="11"/>
        <color rgb="FF000000"/>
        <rFont val="Calibri"/>
        <charset val="134"/>
      </rPr>
      <t>4810.32.30</t>
    </r>
    <r>
      <rPr>
        <sz val="11"/>
        <color rgb="FF000000"/>
        <rFont val="宋体"/>
        <charset val="134"/>
      </rPr>
      <t>，</t>
    </r>
    <r>
      <rPr>
        <sz val="11"/>
        <color rgb="FF000000"/>
        <rFont val="Calibri"/>
        <charset val="134"/>
      </rPr>
      <t>4810.32.65</t>
    </r>
    <r>
      <rPr>
        <sz val="11"/>
        <color rgb="FF000000"/>
        <rFont val="宋体"/>
        <charset val="134"/>
      </rPr>
      <t>，</t>
    </r>
    <r>
      <rPr>
        <sz val="11"/>
        <color rgb="FF000000"/>
        <rFont val="Calibri"/>
        <charset val="134"/>
      </rPr>
      <t>4810.39.12</t>
    </r>
    <r>
      <rPr>
        <sz val="11"/>
        <color rgb="FF000000"/>
        <rFont val="宋体"/>
        <charset val="134"/>
      </rPr>
      <t>，</t>
    </r>
    <r>
      <rPr>
        <sz val="11"/>
        <color rgb="FF000000"/>
        <rFont val="Calibri"/>
        <charset val="134"/>
      </rPr>
      <t>4810.39.14</t>
    </r>
    <r>
      <rPr>
        <sz val="11"/>
        <color rgb="FF000000"/>
        <rFont val="宋体"/>
        <charset val="134"/>
      </rPr>
      <t>，</t>
    </r>
    <r>
      <rPr>
        <sz val="11"/>
        <color rgb="FF000000"/>
        <rFont val="Calibri"/>
        <charset val="134"/>
      </rPr>
      <t>4810.39.30</t>
    </r>
    <r>
      <rPr>
        <sz val="11"/>
        <color rgb="FF000000"/>
        <rFont val="宋体"/>
        <charset val="134"/>
      </rPr>
      <t>，</t>
    </r>
    <r>
      <rPr>
        <sz val="11"/>
        <color rgb="FF000000"/>
        <rFont val="Calibri"/>
        <charset val="134"/>
      </rPr>
      <t>4810.39.30</t>
    </r>
    <r>
      <rPr>
        <sz val="11"/>
        <color rgb="FF000000"/>
        <rFont val="宋体"/>
        <charset val="134"/>
      </rPr>
      <t>，</t>
    </r>
    <r>
      <rPr>
        <sz val="11"/>
        <color rgb="FF000000"/>
        <rFont val="Calibri"/>
        <charset val="134"/>
      </rPr>
      <t>4810.39.65 , 4810.92.1435, 4810.92.30, 4810.92.65, 4810.92.6535</t>
    </r>
    <r>
      <rPr>
        <sz val="11"/>
        <color rgb="FF000000"/>
        <rFont val="宋体"/>
        <charset val="134"/>
      </rPr>
      <t>。</t>
    </r>
  </si>
  <si>
    <t>本订单涵盖的商品包括某些铜版纸和纸板 “‘纸板’是指比其他符合产品描述的铜版纸更重、更厚、更硬的某些铜版纸。在某些铜版纸的上下文中，纸板通常被称为“封面”，以区别于“文本”。</t>
  </si>
  <si>
    <t>A-570-112</t>
  </si>
  <si>
    <t>Collated Steel Staples</t>
  </si>
  <si>
    <t>整理钢钉</t>
  </si>
  <si>
    <t>8305.20.0000</t>
  </si>
  <si>
    <t>本订单范围内的商品是某些经过整理的钢钉。受此订单约束的某些配页钢订书钉由标称直径为 0.0355 英寸至 0.0830 英寸（含）的钢丝制成，标称腿长为 0.25 英寸至 3.0 英寸（含），标称冠部宽度为 0.187 英寸至1.125 英寸（含）。某些经过整理的钢制订书钉可以由任何类型的钢制成，并且无论它们是未涂层还是涂层，并且无论涂层的类型或数量如何，都包括在本订单的范围内，包括但不限于用于抑制腐蚀的涂层.
某些经整理的钢钉可以使用任何材料或材料组合进行整理，包括但不限于粘合剂、胶水和粘合剂膜或粘合剂或纸带。</t>
  </si>
  <si>
    <t>A-570-073</t>
  </si>
  <si>
    <t>Common Alloy Aluminum Sheet</t>
  </si>
  <si>
    <t>普通合金铝板</t>
  </si>
  <si>
    <r>
      <rPr>
        <sz val="11"/>
        <color rgb="FF000000"/>
        <rFont val="Calibri"/>
        <charset val="134"/>
      </rPr>
      <t xml:space="preserve">7606.11.3060, 7606.11.6000, 606.12.3090, 7606.12.6000, 7606.91.3090, 7606.91.3095, 7606.91.6080, 7606.91.6095, 7606.92.3090, 7606.92.3035, 7606.92 .6080  </t>
    </r>
    <r>
      <rPr>
        <sz val="11"/>
        <color rgb="FF000000"/>
        <rFont val="宋体"/>
        <charset val="134"/>
      </rPr>
      <t>、</t>
    </r>
    <r>
      <rPr>
        <sz val="11"/>
        <color rgb="FF000000"/>
        <rFont val="Calibri"/>
        <charset val="134"/>
      </rPr>
      <t xml:space="preserve"> 7606.92.6095</t>
    </r>
    <r>
      <rPr>
        <sz val="11"/>
        <color rgb="FF000000"/>
        <rFont val="宋体"/>
        <charset val="134"/>
      </rPr>
      <t>。</t>
    </r>
    <r>
      <rPr>
        <sz val="11"/>
        <color rgb="FF000000"/>
        <rFont val="Calibri"/>
        <charset val="134"/>
      </rPr>
      <t>7606.11.3030</t>
    </r>
    <r>
      <rPr>
        <sz val="11"/>
        <color rgb="FF000000"/>
        <rFont val="宋体"/>
        <charset val="134"/>
      </rPr>
      <t>、</t>
    </r>
    <r>
      <rPr>
        <sz val="11"/>
        <color rgb="FF000000"/>
        <rFont val="Calibri"/>
        <charset val="134"/>
      </rPr>
      <t>606.12.3015</t>
    </r>
    <r>
      <rPr>
        <sz val="11"/>
        <color rgb="FF000000"/>
        <rFont val="宋体"/>
        <charset val="134"/>
      </rPr>
      <t>、</t>
    </r>
    <r>
      <rPr>
        <sz val="11"/>
        <color rgb="FF000000"/>
        <rFont val="Calibri"/>
        <charset val="134"/>
      </rPr>
      <t>7606.12.3025</t>
    </r>
    <r>
      <rPr>
        <sz val="11"/>
        <color rgb="FF000000"/>
        <rFont val="宋体"/>
        <charset val="134"/>
      </rPr>
      <t>、</t>
    </r>
    <r>
      <rPr>
        <sz val="11"/>
        <color rgb="FF000000"/>
        <rFont val="Calibri"/>
        <charset val="134"/>
      </rPr>
      <t>7606.12.3030</t>
    </r>
    <r>
      <rPr>
        <sz val="11"/>
        <color rgb="FF000000"/>
        <rFont val="宋体"/>
        <charset val="134"/>
      </rPr>
      <t>、</t>
    </r>
    <r>
      <rPr>
        <sz val="11"/>
        <color rgb="FF000000"/>
        <rFont val="Calibri"/>
        <charset val="134"/>
      </rPr>
      <t>7606.12.3035</t>
    </r>
    <r>
      <rPr>
        <sz val="11"/>
        <color rgb="FF000000"/>
        <rFont val="宋体"/>
        <charset val="134"/>
      </rPr>
      <t>、</t>
    </r>
    <r>
      <rPr>
        <sz val="11"/>
        <color rgb="FF000000"/>
        <rFont val="Calibri"/>
        <charset val="134"/>
      </rPr>
      <t>7606.91.3055</t>
    </r>
    <r>
      <rPr>
        <sz val="11"/>
        <color rgb="FF000000"/>
        <rFont val="宋体"/>
        <charset val="134"/>
      </rPr>
      <t>、</t>
    </r>
    <r>
      <rPr>
        <sz val="11"/>
        <color rgb="FF000000"/>
        <rFont val="Calibri"/>
        <charset val="134"/>
      </rPr>
      <t xml:space="preserve">7606.91.3060 </t>
    </r>
    <r>
      <rPr>
        <sz val="11"/>
        <color rgb="FF000000"/>
        <rFont val="宋体"/>
        <charset val="134"/>
      </rPr>
      <t>，</t>
    </r>
    <r>
      <rPr>
        <sz val="11"/>
        <color rgb="FF000000"/>
        <rFont val="Calibri"/>
        <charset val="134"/>
      </rPr>
      <t>7606.91.6040</t>
    </r>
    <r>
      <rPr>
        <sz val="11"/>
        <color rgb="FF000000"/>
        <rFont val="宋体"/>
        <charset val="134"/>
      </rPr>
      <t>、</t>
    </r>
    <r>
      <rPr>
        <sz val="11"/>
        <color rgb="FF000000"/>
        <rFont val="Calibri"/>
        <charset val="134"/>
      </rPr>
      <t>7606.91.6055</t>
    </r>
    <r>
      <rPr>
        <sz val="11"/>
        <color rgb="FF000000"/>
        <rFont val="宋体"/>
        <charset val="134"/>
      </rPr>
      <t>、</t>
    </r>
    <r>
      <rPr>
        <sz val="11"/>
        <color rgb="FF000000"/>
        <rFont val="Calibri"/>
        <charset val="134"/>
      </rPr>
      <t>7606.92.3025</t>
    </r>
    <r>
      <rPr>
        <sz val="11"/>
        <color rgb="FF000000"/>
        <rFont val="宋体"/>
        <charset val="134"/>
      </rPr>
      <t>、</t>
    </r>
    <r>
      <rPr>
        <sz val="11"/>
        <color rgb="FF000000"/>
        <rFont val="Calibri"/>
        <charset val="134"/>
      </rPr>
      <t>7606.92.3060</t>
    </r>
    <r>
      <rPr>
        <sz val="11"/>
        <color rgb="FF000000"/>
        <rFont val="宋体"/>
        <charset val="134"/>
      </rPr>
      <t>、</t>
    </r>
    <r>
      <rPr>
        <sz val="11"/>
        <color rgb="FF000000"/>
        <rFont val="Calibri"/>
        <charset val="134"/>
      </rPr>
      <t>7606.92.6040</t>
    </r>
    <r>
      <rPr>
        <sz val="11"/>
        <color rgb="FF000000"/>
        <rFont val="宋体"/>
        <charset val="134"/>
      </rPr>
      <t>、</t>
    </r>
    <r>
      <rPr>
        <sz val="11"/>
        <color rgb="FF000000"/>
        <rFont val="Calibri"/>
        <charset val="134"/>
      </rPr>
      <t>7606.92.6055</t>
    </r>
    <r>
      <rPr>
        <sz val="11"/>
        <color rgb="FF000000"/>
        <rFont val="宋体"/>
        <charset val="134"/>
      </rPr>
      <t>、</t>
    </r>
    <r>
      <rPr>
        <sz val="11"/>
        <color rgb="FF000000"/>
        <rFont val="Calibri"/>
        <charset val="134"/>
      </rPr>
      <t>7607.11.9090</t>
    </r>
    <r>
      <rPr>
        <sz val="11"/>
        <color rgb="FF000000"/>
        <rFont val="宋体"/>
        <charset val="134"/>
      </rPr>
      <t>。</t>
    </r>
  </si>
  <si>
    <t>本订单涉及的商品为普通铝合金板（common alloy sheet），是一种厚度在6.3mm以下但大于0.2mm的铝材扁轧产品，无论是成卷还是定长，无论的宽度。订单范围内的普通合金板既包括非复合铝板，也包括多合金复合铝板。对于非复合铝板，普通合金板由铝业协会指定的 1XXX、3XXX 或 5XXX 系列合金制成。对于多合金复合铝板，普通合金板由 3XXX 系列芯材制成，在芯材的一侧或两侧施加覆层。</t>
  </si>
  <si>
    <t>Corrosion Resistant Steel Products</t>
  </si>
  <si>
    <t>耐腐蚀钢制品</t>
  </si>
  <si>
    <r>
      <rPr>
        <sz val="11"/>
        <color rgb="FF000000"/>
        <rFont val="Calibri"/>
        <charset val="134"/>
      </rPr>
      <t>7210.30.0030</t>
    </r>
    <r>
      <rPr>
        <sz val="11"/>
        <color rgb="FF000000"/>
        <rFont val="宋体"/>
        <charset val="134"/>
      </rPr>
      <t>、</t>
    </r>
    <r>
      <rPr>
        <sz val="11"/>
        <color rgb="FF000000"/>
        <rFont val="Calibri"/>
        <charset val="134"/>
      </rPr>
      <t>7210.30.0060</t>
    </r>
    <r>
      <rPr>
        <sz val="11"/>
        <color rgb="FF000000"/>
        <rFont val="宋体"/>
        <charset val="134"/>
      </rPr>
      <t>、</t>
    </r>
    <r>
      <rPr>
        <sz val="11"/>
        <color rgb="FF000000"/>
        <rFont val="Calibri"/>
        <charset val="134"/>
      </rPr>
      <t>7210.41.0000</t>
    </r>
    <r>
      <rPr>
        <sz val="11"/>
        <color rgb="FF000000"/>
        <rFont val="宋体"/>
        <charset val="134"/>
      </rPr>
      <t>、</t>
    </r>
    <r>
      <rPr>
        <sz val="11"/>
        <color rgb="FF000000"/>
        <rFont val="Calibri"/>
        <charset val="134"/>
      </rPr>
      <t>7210.49.0030</t>
    </r>
    <r>
      <rPr>
        <sz val="11"/>
        <color rgb="FF000000"/>
        <rFont val="宋体"/>
        <charset val="134"/>
      </rPr>
      <t>、</t>
    </r>
    <r>
      <rPr>
        <sz val="11"/>
        <color rgb="FF000000"/>
        <rFont val="Calibri"/>
        <charset val="134"/>
      </rPr>
      <t>7210.49.0091</t>
    </r>
    <r>
      <rPr>
        <sz val="11"/>
        <color rgb="FF000000"/>
        <rFont val="宋体"/>
        <charset val="134"/>
      </rPr>
      <t>、</t>
    </r>
    <r>
      <rPr>
        <sz val="11"/>
        <color rgb="FF000000"/>
        <rFont val="Calibri"/>
        <charset val="134"/>
      </rPr>
      <t>7210.49 .0095</t>
    </r>
    <r>
      <rPr>
        <sz val="11"/>
        <color rgb="FF000000"/>
        <rFont val="宋体"/>
        <charset val="134"/>
      </rPr>
      <t>，</t>
    </r>
    <r>
      <rPr>
        <sz val="11"/>
        <color rgb="FF000000"/>
        <rFont val="Calibri"/>
        <charset val="134"/>
      </rPr>
      <t>7210.61.0000</t>
    </r>
    <r>
      <rPr>
        <sz val="11"/>
        <color rgb="FF000000"/>
        <rFont val="宋体"/>
        <charset val="134"/>
      </rPr>
      <t>，</t>
    </r>
    <r>
      <rPr>
        <sz val="11"/>
        <color rgb="FF000000"/>
        <rFont val="Calibri"/>
        <charset val="134"/>
      </rPr>
      <t>7210.69.0000</t>
    </r>
    <r>
      <rPr>
        <sz val="11"/>
        <color rgb="FF000000"/>
        <rFont val="宋体"/>
        <charset val="134"/>
      </rPr>
      <t>，</t>
    </r>
    <r>
      <rPr>
        <sz val="11"/>
        <color rgb="FF000000"/>
        <rFont val="Calibri"/>
        <charset val="134"/>
      </rPr>
      <t>7210.70.6030</t>
    </r>
    <r>
      <rPr>
        <sz val="11"/>
        <color rgb="FF000000"/>
        <rFont val="宋体"/>
        <charset val="134"/>
      </rPr>
      <t>，</t>
    </r>
    <r>
      <rPr>
        <sz val="11"/>
        <color rgb="FF000000"/>
        <rFont val="Calibri"/>
        <charset val="134"/>
      </rPr>
      <t>7210.70.6060</t>
    </r>
    <r>
      <rPr>
        <sz val="11"/>
        <color rgb="FF000000"/>
        <rFont val="宋体"/>
        <charset val="134"/>
      </rPr>
      <t>，</t>
    </r>
    <r>
      <rPr>
        <sz val="11"/>
        <color rgb="FF000000"/>
        <rFont val="Calibri"/>
        <charset val="134"/>
      </rPr>
      <t>7210.70.6090</t>
    </r>
    <r>
      <rPr>
        <sz val="11"/>
        <color rgb="FF000000"/>
        <rFont val="宋体"/>
        <charset val="134"/>
      </rPr>
      <t>，</t>
    </r>
    <r>
      <rPr>
        <sz val="11"/>
        <color rgb="FF000000"/>
        <rFont val="Calibri"/>
        <charset val="134"/>
      </rPr>
      <t>7210.90.90.6000</t>
    </r>
    <r>
      <rPr>
        <sz val="11"/>
        <color rgb="FF000000"/>
        <rFont val="宋体"/>
        <charset val="134"/>
      </rPr>
      <t>，</t>
    </r>
    <r>
      <rPr>
        <sz val="11"/>
        <color rgb="FF000000"/>
        <rFont val="Calibri"/>
        <charset val="134"/>
      </rPr>
      <t xml:space="preserve">7210.90.90.90.9000 </t>
    </r>
    <r>
      <rPr>
        <sz val="11"/>
        <color rgb="FF000000"/>
        <rFont val="宋体"/>
        <charset val="134"/>
      </rPr>
      <t>、</t>
    </r>
    <r>
      <rPr>
        <sz val="11"/>
        <color rgb="FF000000"/>
        <rFont val="Calibri"/>
        <charset val="134"/>
      </rPr>
      <t>7212.40.1000</t>
    </r>
    <r>
      <rPr>
        <sz val="11"/>
        <color rgb="FF000000"/>
        <rFont val="宋体"/>
        <charset val="134"/>
      </rPr>
      <t>、</t>
    </r>
    <r>
      <rPr>
        <sz val="11"/>
        <color rgb="FF000000"/>
        <rFont val="Calibri"/>
        <charset val="134"/>
      </rPr>
      <t>7212.40.5000</t>
    </r>
    <r>
      <rPr>
        <sz val="11"/>
        <color rgb="FF000000"/>
        <rFont val="宋体"/>
        <charset val="134"/>
      </rPr>
      <t>、</t>
    </r>
    <r>
      <rPr>
        <sz val="11"/>
        <color rgb="FF000000"/>
        <rFont val="Calibri"/>
        <charset val="134"/>
      </rPr>
      <t xml:space="preserve">7212.50.0000  </t>
    </r>
    <r>
      <rPr>
        <sz val="11"/>
        <color rgb="FF000000"/>
        <rFont val="宋体"/>
        <charset val="134"/>
      </rPr>
      <t>、</t>
    </r>
    <r>
      <rPr>
        <sz val="11"/>
        <color rgb="FF000000"/>
        <rFont val="Calibri"/>
        <charset val="134"/>
      </rPr>
      <t xml:space="preserve"> 7212.60.0000</t>
    </r>
    <r>
      <rPr>
        <sz val="11"/>
        <color rgb="FF000000"/>
        <rFont val="宋体"/>
        <charset val="134"/>
      </rPr>
      <t>。</t>
    </r>
    <r>
      <rPr>
        <sz val="11"/>
        <color rgb="FF000000"/>
        <rFont val="Calibri"/>
        <charset val="134"/>
      </rPr>
      <t>7210.90.1000</t>
    </r>
    <r>
      <rPr>
        <sz val="11"/>
        <color rgb="FF000000"/>
        <rFont val="宋体"/>
        <charset val="134"/>
      </rPr>
      <t>、</t>
    </r>
    <r>
      <rPr>
        <sz val="11"/>
        <color rgb="FF000000"/>
        <rFont val="Calibri"/>
        <charset val="134"/>
      </rPr>
      <t>7215.90.1000</t>
    </r>
    <r>
      <rPr>
        <sz val="11"/>
        <color rgb="FF000000"/>
        <rFont val="宋体"/>
        <charset val="134"/>
      </rPr>
      <t>、</t>
    </r>
    <r>
      <rPr>
        <sz val="11"/>
        <color rgb="FF000000"/>
        <rFont val="Calibri"/>
        <charset val="134"/>
      </rPr>
      <t>7215.90.3000</t>
    </r>
    <r>
      <rPr>
        <sz val="11"/>
        <color rgb="FF000000"/>
        <rFont val="宋体"/>
        <charset val="134"/>
      </rPr>
      <t>、</t>
    </r>
    <r>
      <rPr>
        <sz val="11"/>
        <color rgb="FF000000"/>
        <rFont val="Calibri"/>
        <charset val="134"/>
      </rPr>
      <t>7215.90.5000</t>
    </r>
    <r>
      <rPr>
        <sz val="11"/>
        <color rgb="FF000000"/>
        <rFont val="宋体"/>
        <charset val="134"/>
      </rPr>
      <t>、</t>
    </r>
    <r>
      <rPr>
        <sz val="11"/>
        <color rgb="FF000000"/>
        <rFont val="Calibri"/>
        <charset val="134"/>
      </rPr>
      <t>7217.20.1500</t>
    </r>
    <r>
      <rPr>
        <sz val="11"/>
        <color rgb="FF000000"/>
        <rFont val="宋体"/>
        <charset val="134"/>
      </rPr>
      <t>、</t>
    </r>
    <r>
      <rPr>
        <sz val="11"/>
        <color rgb="FF000000"/>
        <rFont val="Calibri"/>
        <charset val="134"/>
      </rPr>
      <t>7217.30.1530</t>
    </r>
    <r>
      <rPr>
        <sz val="11"/>
        <color rgb="FF000000"/>
        <rFont val="宋体"/>
        <charset val="134"/>
      </rPr>
      <t>、</t>
    </r>
    <r>
      <rPr>
        <sz val="11"/>
        <color rgb="FF000000"/>
        <rFont val="Calibri"/>
        <charset val="134"/>
      </rPr>
      <t>7217.30.156000</t>
    </r>
    <r>
      <rPr>
        <sz val="11"/>
        <color rgb="FF000000"/>
        <rFont val="宋体"/>
        <charset val="134"/>
      </rPr>
      <t>、</t>
    </r>
    <r>
      <rPr>
        <sz val="11"/>
        <color rgb="FF000000"/>
        <rFont val="Calibri"/>
        <charset val="134"/>
      </rPr>
      <t>7217.7.90.0.2 5030</t>
    </r>
    <r>
      <rPr>
        <sz val="11"/>
        <color rgb="FF000000"/>
        <rFont val="宋体"/>
        <charset val="134"/>
      </rPr>
      <t>，</t>
    </r>
    <r>
      <rPr>
        <sz val="11"/>
        <color rgb="FF000000"/>
        <rFont val="Calibri"/>
        <charset val="134"/>
      </rPr>
      <t>7217.90.5060</t>
    </r>
    <r>
      <rPr>
        <sz val="11"/>
        <color rgb="FF000000"/>
        <rFont val="宋体"/>
        <charset val="134"/>
      </rPr>
      <t>，</t>
    </r>
    <r>
      <rPr>
        <sz val="11"/>
        <color rgb="FF000000"/>
        <rFont val="Calibri"/>
        <charset val="134"/>
      </rPr>
      <t>7217.90.5090</t>
    </r>
    <r>
      <rPr>
        <sz val="11"/>
        <color rgb="FF000000"/>
        <rFont val="宋体"/>
        <charset val="134"/>
      </rPr>
      <t>，</t>
    </r>
    <r>
      <rPr>
        <sz val="11"/>
        <color rgb="FF000000"/>
        <rFont val="Calibri"/>
        <charset val="134"/>
      </rPr>
      <t>7225.91.0000</t>
    </r>
    <r>
      <rPr>
        <sz val="11"/>
        <color rgb="FF000000"/>
        <rFont val="宋体"/>
        <charset val="134"/>
      </rPr>
      <t>，</t>
    </r>
    <r>
      <rPr>
        <sz val="11"/>
        <color rgb="FF000000"/>
        <rFont val="Calibri"/>
        <charset val="134"/>
      </rPr>
      <t>7225.92.0000</t>
    </r>
    <r>
      <rPr>
        <sz val="11"/>
        <color rgb="FF000000"/>
        <rFont val="宋体"/>
        <charset val="134"/>
      </rPr>
      <t>，</t>
    </r>
    <r>
      <rPr>
        <sz val="11"/>
        <color rgb="FF000000"/>
        <rFont val="Calibri"/>
        <charset val="134"/>
      </rPr>
      <t>7225.99.0090</t>
    </r>
    <r>
      <rPr>
        <sz val="11"/>
        <color rgb="FF000000"/>
        <rFont val="宋体"/>
        <charset val="134"/>
      </rPr>
      <t>，</t>
    </r>
    <r>
      <rPr>
        <sz val="11"/>
        <color rgb="FF000000"/>
        <rFont val="Calibri"/>
        <charset val="134"/>
      </rPr>
      <t>7226.99.0110</t>
    </r>
    <r>
      <rPr>
        <sz val="11"/>
        <color rgb="FF000000"/>
        <rFont val="宋体"/>
        <charset val="134"/>
      </rPr>
      <t>，</t>
    </r>
    <r>
      <rPr>
        <sz val="11"/>
        <color rgb="FF000000"/>
        <rFont val="Calibri"/>
        <charset val="134"/>
      </rPr>
      <t>7226.99.0130</t>
    </r>
  </si>
  <si>
    <t>本订单涵盖的产品是某些平板轧钢产品，无论是否包覆、电镀或涂有耐腐蚀金属，例如锌、铝或锌、铝、镍或铁基合金除金属涂层外，用塑料或其他非金属物质制成的波纹或涂漆、清漆、层压或涂层。涵盖的产品包括宽度为 12.7 毫米或更大的线圈，无论线圈的形式如何（例如，在连续叠加的层中，螺旋振荡等）。</t>
  </si>
  <si>
    <t>A-570-895</t>
  </si>
  <si>
    <t>Crepe Paper Products</t>
  </si>
  <si>
    <t>皱纹纸制品</t>
  </si>
  <si>
    <r>
      <rPr>
        <sz val="11"/>
        <color rgb="FF000000"/>
        <rFont val="Calibri"/>
        <charset val="134"/>
      </rPr>
      <t>4802.30</t>
    </r>
    <r>
      <rPr>
        <sz val="11"/>
        <color rgb="FF000000"/>
        <rFont val="宋体"/>
        <charset val="134"/>
      </rPr>
      <t>；</t>
    </r>
    <r>
      <rPr>
        <sz val="11"/>
        <color rgb="FF000000"/>
        <rFont val="Calibri"/>
        <charset val="134"/>
      </rPr>
      <t>4802.54</t>
    </r>
    <r>
      <rPr>
        <sz val="11"/>
        <color rgb="FF000000"/>
        <rFont val="宋体"/>
        <charset val="134"/>
      </rPr>
      <t>；</t>
    </r>
    <r>
      <rPr>
        <sz val="11"/>
        <color rgb="FF000000"/>
        <rFont val="Calibri"/>
        <charset val="134"/>
      </rPr>
      <t>4802.61</t>
    </r>
    <r>
      <rPr>
        <sz val="11"/>
        <color rgb="FF000000"/>
        <rFont val="宋体"/>
        <charset val="134"/>
      </rPr>
      <t>；</t>
    </r>
    <r>
      <rPr>
        <sz val="11"/>
        <color rgb="FF000000"/>
        <rFont val="Calibri"/>
        <charset val="134"/>
      </rPr>
      <t>4802.62</t>
    </r>
    <r>
      <rPr>
        <sz val="11"/>
        <color rgb="FF000000"/>
        <rFont val="宋体"/>
        <charset val="134"/>
      </rPr>
      <t>；</t>
    </r>
    <r>
      <rPr>
        <sz val="11"/>
        <color rgb="FF000000"/>
        <rFont val="Calibri"/>
        <charset val="134"/>
      </rPr>
      <t>4802.69</t>
    </r>
    <r>
      <rPr>
        <sz val="11"/>
        <color rgb="FF000000"/>
        <rFont val="宋体"/>
        <charset val="134"/>
      </rPr>
      <t>；</t>
    </r>
    <r>
      <rPr>
        <sz val="11"/>
        <color rgb="FF000000"/>
        <rFont val="Calibri"/>
        <charset val="134"/>
      </rPr>
      <t>4804.39</t>
    </r>
    <r>
      <rPr>
        <sz val="11"/>
        <color rgb="FF000000"/>
        <rFont val="宋体"/>
        <charset val="134"/>
      </rPr>
      <t>；</t>
    </r>
    <r>
      <rPr>
        <sz val="11"/>
        <color rgb="FF000000"/>
        <rFont val="Calibri"/>
        <charset val="134"/>
      </rPr>
      <t>4806.40</t>
    </r>
    <r>
      <rPr>
        <sz val="11"/>
        <color rgb="FF000000"/>
        <rFont val="宋体"/>
        <charset val="134"/>
      </rPr>
      <t>；</t>
    </r>
    <r>
      <rPr>
        <sz val="11"/>
        <color rgb="FF000000"/>
        <rFont val="Calibri"/>
        <charset val="134"/>
      </rPr>
      <t>4808.30</t>
    </r>
    <r>
      <rPr>
        <sz val="11"/>
        <color rgb="FF000000"/>
        <rFont val="宋体"/>
        <charset val="134"/>
      </rPr>
      <t>；</t>
    </r>
    <r>
      <rPr>
        <sz val="11"/>
        <color rgb="FF000000"/>
        <rFont val="Calibri"/>
        <charset val="134"/>
      </rPr>
      <t>4808.90</t>
    </r>
    <r>
      <rPr>
        <sz val="11"/>
        <color rgb="FF000000"/>
        <rFont val="宋体"/>
        <charset val="134"/>
      </rPr>
      <t>；</t>
    </r>
    <r>
      <rPr>
        <sz val="11"/>
        <color rgb="FF000000"/>
        <rFont val="Calibri"/>
        <charset val="134"/>
      </rPr>
      <t>4811.90</t>
    </r>
    <r>
      <rPr>
        <sz val="11"/>
        <color rgb="FF000000"/>
        <rFont val="宋体"/>
        <charset val="134"/>
      </rPr>
      <t>；</t>
    </r>
    <r>
      <rPr>
        <sz val="11"/>
        <color rgb="FF000000"/>
        <rFont val="Calibri"/>
        <charset val="134"/>
      </rPr>
      <t>4818.90</t>
    </r>
    <r>
      <rPr>
        <sz val="11"/>
        <color rgb="FF000000"/>
        <rFont val="宋体"/>
        <charset val="134"/>
      </rPr>
      <t>；</t>
    </r>
    <r>
      <rPr>
        <sz val="11"/>
        <color rgb="FF000000"/>
        <rFont val="Calibri"/>
        <charset val="134"/>
      </rPr>
      <t>4823.90</t>
    </r>
    <r>
      <rPr>
        <sz val="11"/>
        <color rgb="FF000000"/>
        <rFont val="宋体"/>
        <charset val="134"/>
      </rPr>
      <t>；</t>
    </r>
    <r>
      <rPr>
        <sz val="11"/>
        <color rgb="FF000000"/>
        <rFont val="Calibri"/>
        <charset val="134"/>
      </rPr>
      <t>9505.90.40</t>
    </r>
    <r>
      <rPr>
        <sz val="11"/>
        <color rgb="FF000000"/>
        <rFont val="宋体"/>
        <charset val="134"/>
      </rPr>
      <t>。</t>
    </r>
  </si>
  <si>
    <t>就本命令而言，术语“某些绉纸”包括在起绉之前基重不超过每平方米 29 克的绉纸产品，如果适用，还需进行防火处理。绉纸具有精细起皱的表面纹理，通常但不仅限于阻燃处理。绉纸通常但不限于以卷筒形式生产并包装在塑料袋中。绉纸可能会或可能不会漂白、染色、表面着色、表面装饰或印刷、上光、亮片、压花、模切和*或阻燃。主题绉纸可以是卷起的、平整的或折叠的，并且可以通过用纸捆扎或包裹、放置在塑料袋中和*或放置在盒子中进行包装，以供最终消费者分发和使用。</t>
  </si>
  <si>
    <t>A-570-979</t>
  </si>
  <si>
    <t>Crystalline Silicon Photovoltaic Cells, Whether Or Not Assembled Into Modules</t>
  </si>
  <si>
    <t>结晶硅光伏电池，无论是否组装成模块</t>
  </si>
  <si>
    <r>
      <rPr>
        <sz val="11"/>
        <color rgb="FF000000"/>
        <rFont val="Calibri"/>
        <charset val="134"/>
      </rPr>
      <t>8501.61.0000</t>
    </r>
    <r>
      <rPr>
        <sz val="11"/>
        <color rgb="FF000000"/>
        <rFont val="宋体"/>
        <charset val="134"/>
      </rPr>
      <t>、</t>
    </r>
    <r>
      <rPr>
        <sz val="11"/>
        <color rgb="FF000000"/>
        <rFont val="Calibri"/>
        <charset val="134"/>
      </rPr>
      <t>8507.20.80</t>
    </r>
    <r>
      <rPr>
        <sz val="11"/>
        <color rgb="FF000000"/>
        <rFont val="宋体"/>
        <charset val="134"/>
      </rPr>
      <t>、</t>
    </r>
    <r>
      <rPr>
        <sz val="11"/>
        <color rgb="FF000000"/>
        <rFont val="Calibri"/>
        <charset val="134"/>
      </rPr>
      <t>8541.40.6020</t>
    </r>
    <r>
      <rPr>
        <sz val="11"/>
        <color rgb="FF000000"/>
        <rFont val="宋体"/>
        <charset val="134"/>
      </rPr>
      <t>、</t>
    </r>
    <r>
      <rPr>
        <sz val="11"/>
        <color rgb="FF000000"/>
        <rFont val="Calibri"/>
        <charset val="134"/>
      </rPr>
      <t xml:space="preserve">8541.40.6030  </t>
    </r>
    <r>
      <rPr>
        <sz val="11"/>
        <color rgb="FF000000"/>
        <rFont val="宋体"/>
        <charset val="134"/>
      </rPr>
      <t>、</t>
    </r>
    <r>
      <rPr>
        <sz val="11"/>
        <color rgb="FF000000"/>
        <rFont val="Calibri"/>
        <charset val="134"/>
      </rPr>
      <t xml:space="preserve"> 8501.31.8000 </t>
    </r>
    <r>
      <rPr>
        <sz val="11"/>
        <color rgb="FF000000"/>
        <rFont val="宋体"/>
        <charset val="134"/>
      </rPr>
      <t>，</t>
    </r>
    <r>
      <rPr>
        <sz val="11"/>
        <color rgb="FF000000"/>
        <rFont val="Calibri"/>
        <charset val="134"/>
      </rPr>
      <t>8501.31.8000</t>
    </r>
  </si>
  <si>
    <t>本订单涵盖的商品为晶体硅光伏电池，以及由晶体硅光伏电池组成的模块、层压板和面板，无论是否部分或完全组装成其他产品，包括但不限于模块、层压板、面板和建筑综合材料。
该订单涵盖厚度等于或大于 20 微米的晶体硅光伏电池，具有通过任何方式形成的 p*n 结，无论电池是否经过其他处理，包括但不限于清洁、蚀刻、涂层、和*或添加材料（包括但不限于金属化和导体图案）以收集和转发由电池产生的电力。
考虑中的商品可能在进口时被描述为进口后组装的最终成品的零件，包括但不限于模块、层压板、面板、建筑集成模块、建筑集成面板或其他成品套件。在其他方面符合所考虑商品定义的此类部件包含在本订单的范围内。</t>
  </si>
  <si>
    <t>A-570-010</t>
  </si>
  <si>
    <t>Crystalline Silicon Photovoltaic Products</t>
  </si>
  <si>
    <t>晶硅光伏产品</t>
  </si>
  <si>
    <r>
      <rPr>
        <sz val="11"/>
        <color rgb="FF000000"/>
        <rFont val="Calibri"/>
        <charset val="134"/>
      </rPr>
      <t>8501.61.0000</t>
    </r>
    <r>
      <rPr>
        <sz val="11"/>
        <color rgb="FF000000"/>
        <rFont val="宋体"/>
        <charset val="134"/>
      </rPr>
      <t>、</t>
    </r>
    <r>
      <rPr>
        <sz val="11"/>
        <color rgb="FF000000"/>
        <rFont val="Calibri"/>
        <charset val="134"/>
      </rPr>
      <t>8507.20.8030</t>
    </r>
    <r>
      <rPr>
        <sz val="11"/>
        <color rgb="FF000000"/>
        <rFont val="宋体"/>
        <charset val="134"/>
      </rPr>
      <t>、</t>
    </r>
    <r>
      <rPr>
        <sz val="11"/>
        <color rgb="FF000000"/>
        <rFont val="Calibri"/>
        <charset val="134"/>
      </rPr>
      <t>8507.20.8040</t>
    </r>
    <r>
      <rPr>
        <sz val="11"/>
        <color rgb="FF000000"/>
        <rFont val="宋体"/>
        <charset val="134"/>
      </rPr>
      <t>、</t>
    </r>
    <r>
      <rPr>
        <sz val="11"/>
        <color rgb="FF000000"/>
        <rFont val="Calibri"/>
        <charset val="134"/>
      </rPr>
      <t>8507.20.8060</t>
    </r>
    <r>
      <rPr>
        <sz val="11"/>
        <color rgb="FF000000"/>
        <rFont val="宋体"/>
        <charset val="134"/>
      </rPr>
      <t>、</t>
    </r>
    <r>
      <rPr>
        <sz val="11"/>
        <color rgb="FF000000"/>
        <rFont val="Calibri"/>
        <charset val="134"/>
      </rPr>
      <t>8507.20.8090</t>
    </r>
    <r>
      <rPr>
        <sz val="11"/>
        <color rgb="FF000000"/>
        <rFont val="宋体"/>
        <charset val="134"/>
      </rPr>
      <t>、</t>
    </r>
    <r>
      <rPr>
        <sz val="11"/>
        <color rgb="FF000000"/>
        <rFont val="Calibri"/>
        <charset val="134"/>
      </rPr>
      <t>8541.40.6020</t>
    </r>
    <r>
      <rPr>
        <sz val="11"/>
        <color rgb="FF000000"/>
        <rFont val="宋体"/>
        <charset val="134"/>
      </rPr>
      <t>、</t>
    </r>
    <r>
      <rPr>
        <sz val="11"/>
        <color rgb="FF000000"/>
        <rFont val="Calibri"/>
        <charset val="134"/>
      </rPr>
      <t>8541.40.6030</t>
    </r>
  </si>
  <si>
    <t>本次调查涉及的商品是由晶体硅光伏电池组成的模块、层压板和*或面板，无论是否部分或完全组装成其他产品，包括建筑集成材料。就本次调查而言，标的商品包括在中国组装的模块、层压板和*或面板，由在中国以外的关税区生产的晶体硅光伏电池组成。
标的商品包括在中国组装的模块、层压板和*或面板，由厚度等于或大于 20 微米的晶体硅光伏电池组成，具有通过任何方式形成的 p*n 结，无论电池是否经过其他处理，包括但不限于清洁、蚀刻、涂层和*或添加材料（包括但不限于金属化和导体图案）以收集和转发由电池产生的电力。</t>
  </si>
  <si>
    <t>A-570-900</t>
  </si>
  <si>
    <t>Diamond Sawblades</t>
  </si>
  <si>
    <t>金刚石锯片</t>
  </si>
  <si>
    <r>
      <rPr>
        <sz val="11"/>
        <color rgb="FF000000"/>
        <rFont val="Calibri"/>
        <charset val="134"/>
      </rPr>
      <t>8202.39.00.00</t>
    </r>
    <r>
      <rPr>
        <sz val="11"/>
        <color rgb="FF000000"/>
        <rFont val="宋体"/>
        <charset val="134"/>
      </rPr>
      <t>，</t>
    </r>
    <r>
      <rPr>
        <sz val="11"/>
        <color rgb="FF000000"/>
        <rFont val="Calibri"/>
        <charset val="134"/>
      </rPr>
      <t>8206.00.00.00</t>
    </r>
    <r>
      <rPr>
        <sz val="11"/>
        <color rgb="FF000000"/>
        <rFont val="宋体"/>
        <charset val="134"/>
      </rPr>
      <t>，</t>
    </r>
    <r>
      <rPr>
        <sz val="11"/>
        <color rgb="FF000000"/>
        <rFont val="Calibri"/>
        <charset val="134"/>
      </rPr>
      <t>6804.21.00.00</t>
    </r>
  </si>
  <si>
    <t>订单所涵盖的产品都是成品圆锯片，无论是否开槽，其工作部分由一个或多个金刚石段及其零件组成，无论规格或尺寸如何，除非下文明确排除。订单范围内是半成品金刚石锯片，包括金刚石锯片芯和金刚石锯片片。金刚石锯片芯是圆形钢板，无论是否连接到非钢板上，都带有槽。金刚石锯片芯主要但不完全由合金钢制成。金刚石锯片由金刚石（无论是天然的还是合成的，无论金刚石数量多少）和金属粉末（包括但不限于铁、钴、镍、金刚石锯片通过树脂或电镀结合剂直接附着在核心上</t>
  </si>
  <si>
    <t>A-570-121</t>
  </si>
  <si>
    <t>Difluoromethane</t>
  </si>
  <si>
    <t>二氟甲烷</t>
  </si>
  <si>
    <r>
      <rPr>
        <sz val="11"/>
        <color rgb="FF000000"/>
        <rFont val="Calibri"/>
        <charset val="134"/>
      </rPr>
      <t xml:space="preserve">2903.39.2045  </t>
    </r>
    <r>
      <rPr>
        <sz val="11"/>
        <color rgb="FF000000"/>
        <rFont val="宋体"/>
        <charset val="134"/>
      </rPr>
      <t>、</t>
    </r>
    <r>
      <rPr>
        <sz val="11"/>
        <color rgb="FF000000"/>
        <rFont val="Calibri"/>
        <charset val="134"/>
      </rPr>
      <t xml:space="preserve"> 3824.78.0020</t>
    </r>
  </si>
  <si>
    <t>此订单涵盖的商品是二氟甲烷 (R-32) 或其化学等效物，无论其形式、类型或纯度水平如何</t>
  </si>
  <si>
    <t>A-570-983</t>
  </si>
  <si>
    <t>Drawn Stainless Steel Sinks</t>
  </si>
  <si>
    <t>拉制不锈钢水槽</t>
  </si>
  <si>
    <r>
      <rPr>
        <sz val="11"/>
        <color rgb="FF000000"/>
        <rFont val="Calibri"/>
        <charset val="134"/>
      </rPr>
      <t xml:space="preserve">7324.10.0000  </t>
    </r>
    <r>
      <rPr>
        <sz val="11"/>
        <color rgb="FF000000"/>
        <rFont val="宋体"/>
        <charset val="134"/>
      </rPr>
      <t>、</t>
    </r>
    <r>
      <rPr>
        <sz val="11"/>
        <color rgb="FF000000"/>
        <rFont val="Calibri"/>
        <charset val="134"/>
      </rPr>
      <t xml:space="preserve"> 7324.10.00.10</t>
    </r>
  </si>
  <si>
    <t>本订单范围内的产品是带有单个或多个拉制碗的拉制不锈钢水槽，带或不带排水板，无论是成品还是未成品，无论不锈钢的饰面类型、规格或等级如何。如果安装夹、紧固件、密封件和隔音垫包含在拉制不锈钢水槽的销售价格内，则它们也包含在本订单的范围内。``拉制''是指使用金属成型技术生产具有无缝、光滑和圆角的光滑盆的制造工艺。拉制不锈钢水槽有多种形状和配置可供选择，并且可以通过多种方式进行描述，包括嵌入式安装、顶部安装、或底座（以指示相对于台面的附件）。带有多个拉制碗的不锈钢水槽通过焊接操作连接形成一个单元，属于订单范围。</t>
  </si>
  <si>
    <t>A-570-919</t>
  </si>
  <si>
    <t>Electrolytic Manganese Dioxide</t>
  </si>
  <si>
    <t>电解二氧化锰</t>
  </si>
  <si>
    <t>2820.10.00.00</t>
  </si>
  <si>
    <t>该订单涵盖的商品包括所有在电解过程中制造的二氧化锰 (MnO[2])，无论是粉末状、片状还是片状</t>
  </si>
  <si>
    <t>A-570-873</t>
  </si>
  <si>
    <t>Ferrovanadium</t>
  </si>
  <si>
    <t>钒铁</t>
  </si>
  <si>
    <r>
      <rPr>
        <sz val="11"/>
        <color rgb="FF000000"/>
        <rFont val="Calibri"/>
        <charset val="134"/>
      </rPr>
      <t>2850.00.2000</t>
    </r>
    <r>
      <rPr>
        <sz val="11"/>
        <color rgb="FF000000"/>
        <rFont val="宋体"/>
        <charset val="134"/>
      </rPr>
      <t>、</t>
    </r>
    <r>
      <rPr>
        <sz val="11"/>
        <color rgb="FF000000"/>
        <rFont val="Calibri"/>
        <charset val="134"/>
      </rPr>
      <t xml:space="preserve">8112.40.3000  </t>
    </r>
    <r>
      <rPr>
        <sz val="11"/>
        <color rgb="FF000000"/>
        <rFont val="宋体"/>
        <charset val="134"/>
      </rPr>
      <t>、</t>
    </r>
    <r>
      <rPr>
        <sz val="11"/>
        <color rgb="FF000000"/>
        <rFont val="Calibri"/>
        <charset val="134"/>
      </rPr>
      <t xml:space="preserve"> 8112.40.6000 </t>
    </r>
    <r>
      <rPr>
        <sz val="11"/>
        <color rgb="FF000000"/>
        <rFont val="宋体"/>
        <charset val="134"/>
      </rPr>
      <t>，</t>
    </r>
    <r>
      <rPr>
        <sz val="11"/>
        <color rgb="FF000000"/>
        <rFont val="Calibri"/>
        <charset val="134"/>
      </rPr>
      <t>7202.92.00</t>
    </r>
  </si>
  <si>
    <t>该订单的范围涵盖所有钒铁，无论其等级、化学成分、形状、形状或大小如何。钒铁是一种铁和钒的合金，主要用作钢铁制造中的添加剂。该商品在商业和科学上被认定为钒。</t>
  </si>
  <si>
    <t>A-570-060</t>
  </si>
  <si>
    <t>Fine Denier Polyester Staple Fiber</t>
  </si>
  <si>
    <t>细旦涤纶短纤维</t>
  </si>
  <si>
    <t>5503.20.0025</t>
  </si>
  <si>
    <t>此订单涵盖的商品是细旦涤纶短纤维（细旦 PSF），未经梳理或精梳，直径小于 3.3 分特（3 旦）。范围涵盖所有细旦 PSF，无论是涂层还是未涂层。</t>
  </si>
  <si>
    <t>A-570-888</t>
  </si>
  <si>
    <t>Floor-Standing, Metal-Top Ironing Tables And Parts Thereof</t>
  </si>
  <si>
    <t>落地式金属顶熨衣台及其零件</t>
  </si>
  <si>
    <r>
      <rPr>
        <sz val="11"/>
        <color rgb="FF000000"/>
        <rFont val="Calibri"/>
        <charset val="134"/>
      </rPr>
      <t xml:space="preserve">9403.20.0010 </t>
    </r>
    <r>
      <rPr>
        <sz val="11"/>
        <color rgb="FF000000"/>
        <rFont val="宋体"/>
        <charset val="134"/>
      </rPr>
      <t>，</t>
    </r>
    <r>
      <rPr>
        <sz val="11"/>
        <color rgb="FF000000"/>
        <rFont val="Calibri"/>
        <charset val="134"/>
      </rPr>
      <t xml:space="preserve">9403.20.0011 </t>
    </r>
    <r>
      <rPr>
        <sz val="11"/>
        <color rgb="FF000000"/>
        <rFont val="宋体"/>
        <charset val="134"/>
      </rPr>
      <t>，</t>
    </r>
    <r>
      <rPr>
        <sz val="11"/>
        <color rgb="FF000000"/>
        <rFont val="Calibri"/>
        <charset val="134"/>
      </rPr>
      <t xml:space="preserve"> 9403.90.8040 </t>
    </r>
    <r>
      <rPr>
        <sz val="11"/>
        <color rgb="FF000000"/>
        <rFont val="宋体"/>
        <charset val="134"/>
      </rPr>
      <t>，</t>
    </r>
    <r>
      <rPr>
        <sz val="11"/>
        <color rgb="FF000000"/>
        <rFont val="Calibri"/>
        <charset val="134"/>
      </rPr>
      <t xml:space="preserve"> 9403.90.8041</t>
    </r>
  </si>
  <si>
    <t>所涵盖的产品包括落地式金属顶烫台，组装或未组装，完整或不完整，以及其中的某些部分。主题桌主要用于手熨烫或熨烫服装或其他织物制品。主题桌具有全高腿组件，可将熨烫表面支撑在地板上方适当（通常可调节）的高度。主题桌采用各种桌腿饰面制成，例如喷漆、电镀或哑光，并且它们具有各种功能，包括铁架、亚麻架等。可以出售带有或不带有垫和*或盖的主题熨烫台。此订单涵盖所有类型和配置的落地式金属顶烫台。</t>
  </si>
  <si>
    <t>A-570-866</t>
  </si>
  <si>
    <t>Folding Gift Boxes</t>
  </si>
  <si>
    <t>折叠礼盒</t>
  </si>
  <si>
    <r>
      <rPr>
        <sz val="11"/>
        <color rgb="FF000000"/>
        <rFont val="Calibri"/>
        <charset val="134"/>
      </rPr>
      <t xml:space="preserve">4819.20.0040  </t>
    </r>
    <r>
      <rPr>
        <sz val="11"/>
        <color rgb="FF000000"/>
        <rFont val="宋体"/>
        <charset val="134"/>
      </rPr>
      <t>、</t>
    </r>
    <r>
      <rPr>
        <sz val="11"/>
        <color rgb="FF000000"/>
        <rFont val="Calibri"/>
        <charset val="134"/>
      </rPr>
      <t xml:space="preserve"> 4819.50.4060</t>
    </r>
  </si>
  <si>
    <t>订单涵盖的产品为某些折叠礼盒。折叠礼盒是一种由纸或纸板制成的折叠或拆卸纸盒。折叠礼盒由各种回收的原始纸或纸板材料制成，包括但不限于粘土涂层纸或纸板和牛皮纸（漂白或未漂白）纸或纸板。该订单的范围不包括由厚度超过 0.8 毫米的纸或纸板、瓦楞纸板或纸浆制成的礼品盒。该订单的范围也不包括那些在组装时没有任何边长至少为 9 英寸的礼品盒。
订单范围内的折叠礼盒通常使用各种工艺装饰有节日图案，包括印刷、压花、压花和烫金，但也可以是纯白色或单色印刷。标的商品包括折叠礼品盒，有或没有把手，无论是成品还是未成品，无论是一件式还是多件式。一体式礼品盒是模切或以其他方式成型的，因此顶部、底部和侧面形成一个单独的连续单元。两件式礼品盒是那些底部折叠和顶部折叠作为单独部分的礼品盒。折叠礼品盒通常采用收缩包装、玻璃纸或其他包装材料包装，以单盒或多盒包装出售给零售客户。</t>
  </si>
  <si>
    <t>A-570-067</t>
  </si>
  <si>
    <t>Forged Steel Fittings</t>
  </si>
  <si>
    <t>锻钢配件</t>
  </si>
  <si>
    <r>
      <rPr>
        <sz val="11"/>
        <color rgb="FF000000"/>
        <rFont val="Calibri"/>
        <charset val="134"/>
      </rPr>
      <t>7307.99.1000</t>
    </r>
    <r>
      <rPr>
        <sz val="11"/>
        <color rgb="FF000000"/>
        <rFont val="宋体"/>
        <charset val="134"/>
      </rPr>
      <t>、</t>
    </r>
    <r>
      <rPr>
        <sz val="11"/>
        <color rgb="FF000000"/>
        <rFont val="Calibri"/>
        <charset val="134"/>
      </rPr>
      <t>7307.99.3000</t>
    </r>
    <r>
      <rPr>
        <sz val="11"/>
        <color rgb="FF000000"/>
        <rFont val="宋体"/>
        <charset val="134"/>
      </rPr>
      <t>、</t>
    </r>
    <r>
      <rPr>
        <sz val="11"/>
        <color rgb="FF000000"/>
        <rFont val="Calibri"/>
        <charset val="134"/>
      </rPr>
      <t xml:space="preserve">7307.99.5045  </t>
    </r>
    <r>
      <rPr>
        <sz val="11"/>
        <color rgb="FF000000"/>
        <rFont val="宋体"/>
        <charset val="134"/>
      </rPr>
      <t>、</t>
    </r>
    <r>
      <rPr>
        <sz val="11"/>
        <color rgb="FF000000"/>
        <rFont val="Calibri"/>
        <charset val="134"/>
      </rPr>
      <t xml:space="preserve"> 7307.99.5060 , 7307.92.3010</t>
    </r>
    <r>
      <rPr>
        <sz val="11"/>
        <color rgb="FF000000"/>
        <rFont val="宋体"/>
        <charset val="134"/>
      </rPr>
      <t>、</t>
    </r>
    <r>
      <rPr>
        <sz val="11"/>
        <color rgb="FF000000"/>
        <rFont val="Calibri"/>
        <charset val="134"/>
      </rPr>
      <t>7307.92.3030</t>
    </r>
    <r>
      <rPr>
        <sz val="11"/>
        <color rgb="FF000000"/>
        <rFont val="宋体"/>
        <charset val="134"/>
      </rPr>
      <t>、</t>
    </r>
    <r>
      <rPr>
        <sz val="11"/>
        <color rgb="FF000000"/>
        <rFont val="Calibri"/>
        <charset val="134"/>
      </rPr>
      <t xml:space="preserve">7307.92.9000  </t>
    </r>
    <r>
      <rPr>
        <sz val="11"/>
        <color rgb="FF000000"/>
        <rFont val="宋体"/>
        <charset val="134"/>
      </rPr>
      <t>、</t>
    </r>
    <r>
      <rPr>
        <sz val="11"/>
        <color rgb="FF000000"/>
        <rFont val="Calibri"/>
        <charset val="134"/>
      </rPr>
      <t xml:space="preserve"> 7326.19.0010</t>
    </r>
  </si>
  <si>
    <t>该订单涵盖的商品为碳素和合金锻钢配件，无论是未完成的（通常称为毛坯或粗锻件）还是成品。这种配件制成各种形状，包括但不限于弯头、三通、四通、支管、联轴器、异径管、帽、塞、衬套、接头和出口。无论端部表面处理如何，无论是螺纹、承插焊还是其他端部连接，都覆盖了锻钢配件。</t>
  </si>
  <si>
    <t>C-570-116</t>
  </si>
  <si>
    <t>Forged Steel Fluid End Blocks</t>
  </si>
  <si>
    <t>锻钢流体端块</t>
  </si>
  <si>
    <r>
      <rPr>
        <sz val="11"/>
        <color rgb="FF000000"/>
        <rFont val="Calibri"/>
        <charset val="134"/>
      </rPr>
      <t>7218.91.0030</t>
    </r>
    <r>
      <rPr>
        <sz val="11"/>
        <color rgb="FF000000"/>
        <rFont val="宋体"/>
        <charset val="134"/>
      </rPr>
      <t>、</t>
    </r>
    <r>
      <rPr>
        <sz val="11"/>
        <color rgb="FF000000"/>
        <rFont val="Calibri"/>
        <charset val="134"/>
      </rPr>
      <t>7218.99.0030</t>
    </r>
    <r>
      <rPr>
        <sz val="11"/>
        <color rgb="FF000000"/>
        <rFont val="宋体"/>
        <charset val="134"/>
      </rPr>
      <t>、</t>
    </r>
    <r>
      <rPr>
        <sz val="11"/>
        <color rgb="FF000000"/>
        <rFont val="Calibri"/>
        <charset val="134"/>
      </rPr>
      <t>7224.90.0015</t>
    </r>
    <r>
      <rPr>
        <sz val="11"/>
        <color rgb="FF000000"/>
        <rFont val="宋体"/>
        <charset val="134"/>
      </rPr>
      <t>、</t>
    </r>
    <r>
      <rPr>
        <sz val="11"/>
        <color rgb="FF000000"/>
        <rFont val="Calibri"/>
        <charset val="134"/>
      </rPr>
      <t>7224.90.0045</t>
    </r>
    <r>
      <rPr>
        <sz val="11"/>
        <color rgb="FF000000"/>
        <rFont val="宋体"/>
        <charset val="134"/>
      </rPr>
      <t>、</t>
    </r>
    <r>
      <rPr>
        <sz val="11"/>
        <color rgb="FF000000"/>
        <rFont val="Calibri"/>
        <charset val="134"/>
      </rPr>
      <t>7326.19.0010</t>
    </r>
    <r>
      <rPr>
        <sz val="11"/>
        <color rgb="FF000000"/>
        <rFont val="宋体"/>
        <charset val="134"/>
      </rPr>
      <t>、</t>
    </r>
    <r>
      <rPr>
        <sz val="11"/>
        <color rgb="FF000000"/>
        <rFont val="Calibri"/>
        <charset val="134"/>
      </rPr>
      <t xml:space="preserve">7326.90.8688 </t>
    </r>
    <r>
      <rPr>
        <sz val="11"/>
        <color rgb="FF000000"/>
        <rFont val="宋体"/>
        <charset val="134"/>
      </rPr>
      <t>、</t>
    </r>
    <r>
      <rPr>
        <sz val="11"/>
        <color rgb="FF000000"/>
        <rFont val="Calibri"/>
        <charset val="134"/>
      </rPr>
      <t xml:space="preserve"> 8413.91. 9055</t>
    </r>
  </si>
  <si>
    <t>这些订单涵盖的产品是锻钢流体端块（流体端块），无论是成品还是未成品，通常用于液压泵的制造或维修。</t>
  </si>
  <si>
    <t>A-570-862</t>
  </si>
  <si>
    <t>Foundry Coke</t>
  </si>
  <si>
    <t>铸造焦炭</t>
  </si>
  <si>
    <r>
      <rPr>
        <sz val="11"/>
        <color rgb="FF000000"/>
        <rFont val="Calibri"/>
        <charset val="134"/>
      </rPr>
      <t>2704.00.00.10</t>
    </r>
    <r>
      <rPr>
        <sz val="11"/>
        <color rgb="FF000000"/>
        <rFont val="宋体"/>
        <charset val="134"/>
      </rPr>
      <t>，</t>
    </r>
    <r>
      <rPr>
        <sz val="11"/>
        <color rgb="FF000000"/>
        <rFont val="Calibri"/>
        <charset val="134"/>
      </rPr>
      <t>2704.00.00.11</t>
    </r>
  </si>
  <si>
    <t>反倾销税令涵盖的产品是最大直径大于 100 毫米（4 英寸）的焦炭，其中至少 50% 保留在铸造厂使用的 100 毫米（4 英寸）筛子上。</t>
  </si>
  <si>
    <t>A-570-831</t>
  </si>
  <si>
    <t>Fresh Garlic</t>
  </si>
  <si>
    <t>新鲜大蒜</t>
  </si>
  <si>
    <r>
      <rPr>
        <sz val="11"/>
        <color rgb="FF000000"/>
        <rFont val="Calibri"/>
        <charset val="134"/>
      </rPr>
      <t>0703.20.0010</t>
    </r>
    <r>
      <rPr>
        <sz val="11"/>
        <color rgb="FF000000"/>
        <rFont val="宋体"/>
        <charset val="134"/>
      </rPr>
      <t>、</t>
    </r>
    <r>
      <rPr>
        <sz val="11"/>
        <color rgb="FF000000"/>
        <rFont val="Calibri"/>
        <charset val="134"/>
      </rPr>
      <t>0703.20.0020</t>
    </r>
    <r>
      <rPr>
        <sz val="11"/>
        <color rgb="FF000000"/>
        <rFont val="宋体"/>
        <charset val="134"/>
      </rPr>
      <t>、</t>
    </r>
    <r>
      <rPr>
        <sz val="11"/>
        <color rgb="FF000000"/>
        <rFont val="Calibri"/>
        <charset val="134"/>
      </rPr>
      <t>0703.20.0090</t>
    </r>
    <r>
      <rPr>
        <sz val="11"/>
        <color rgb="FF000000"/>
        <rFont val="宋体"/>
        <charset val="134"/>
      </rPr>
      <t>。</t>
    </r>
  </si>
  <si>
    <t>受本反倾销税令管辖的产品是所有等级的大蒜，无论是完整的还是分离成瓣的大蒜，无论是否去皮、新鲜、冷藏、冷冻、临时保藏或用水或其他中性物质包装，但不是由添加其他成分或热处理。等级之间的差异基于颜色、大小、护套和衰减程度。</t>
  </si>
  <si>
    <t>A-570-848</t>
  </si>
  <si>
    <t>Freshwater Crawfish Tailmeat</t>
  </si>
  <si>
    <t>淡水小龙虾尾肉</t>
  </si>
  <si>
    <r>
      <rPr>
        <sz val="11"/>
        <color rgb="FF000000"/>
        <rFont val="Calibri"/>
        <charset val="134"/>
      </rPr>
      <t xml:space="preserve">1605.40.1010  </t>
    </r>
    <r>
      <rPr>
        <sz val="11"/>
        <color rgb="FF000000"/>
        <rFont val="宋体"/>
        <charset val="134"/>
      </rPr>
      <t>、</t>
    </r>
    <r>
      <rPr>
        <sz val="11"/>
        <color rgb="FF000000"/>
        <rFont val="Calibri"/>
        <charset val="134"/>
      </rPr>
      <t xml:space="preserve"> 1605.40.1090</t>
    </r>
    <r>
      <rPr>
        <sz val="11"/>
        <color rgb="FF000000"/>
        <rFont val="宋体"/>
        <charset val="134"/>
      </rPr>
      <t>，</t>
    </r>
    <r>
      <rPr>
        <sz val="11"/>
        <color rgb="FF000000"/>
        <rFont val="Calibri"/>
        <charset val="134"/>
      </rPr>
      <t xml:space="preserve">0306.19.0010  </t>
    </r>
    <r>
      <rPr>
        <sz val="11"/>
        <color rgb="FF000000"/>
        <rFont val="宋体"/>
        <charset val="134"/>
      </rPr>
      <t>、</t>
    </r>
    <r>
      <rPr>
        <sz val="11"/>
        <color rgb="FF000000"/>
        <rFont val="Calibri"/>
        <charset val="134"/>
      </rPr>
      <t xml:space="preserve"> 0306.29.0000</t>
    </r>
    <r>
      <rPr>
        <sz val="11"/>
        <color rgb="FF000000"/>
        <rFont val="宋体"/>
        <charset val="134"/>
      </rPr>
      <t>，</t>
    </r>
    <r>
      <rPr>
        <sz val="11"/>
        <color rgb="FF000000"/>
        <rFont val="Calibri"/>
        <charset val="134"/>
      </rPr>
      <t>0306.29.0100</t>
    </r>
  </si>
  <si>
    <t>反倾销税令所涵盖的产品是淡水螯虾尾肉，其所有形式（无论是清洗过的还是涂有脂肪的，无论是清洗过的还是未清洗过的）、等级和尺寸；无论是冷冻的、新鲜的还是冷藏的；不管它是如何包装、保存或准备的。不包括在订单范围内的是活小龙虾和其他整只小龙虾，无论是煮熟的、冷冻的、新鲜的还是冷藏的</t>
  </si>
  <si>
    <t>A-570-893</t>
  </si>
  <si>
    <t>Frozen Warmwater Shrimp</t>
  </si>
  <si>
    <t>冷冻热水虾</t>
  </si>
  <si>
    <r>
      <rPr>
        <sz val="11"/>
        <color rgb="FF000000"/>
        <rFont val="Calibri"/>
        <charset val="134"/>
      </rPr>
      <t>0306.13.0003</t>
    </r>
    <r>
      <rPr>
        <sz val="11"/>
        <color rgb="FF000000"/>
        <rFont val="宋体"/>
        <charset val="134"/>
      </rPr>
      <t>、</t>
    </r>
    <r>
      <rPr>
        <sz val="11"/>
        <color rgb="FF000000"/>
        <rFont val="Calibri"/>
        <charset val="134"/>
      </rPr>
      <t>0306.13.0006</t>
    </r>
    <r>
      <rPr>
        <sz val="11"/>
        <color rgb="FF000000"/>
        <rFont val="宋体"/>
        <charset val="134"/>
      </rPr>
      <t>、</t>
    </r>
    <r>
      <rPr>
        <sz val="11"/>
        <color rgb="FF000000"/>
        <rFont val="Calibri"/>
        <charset val="134"/>
      </rPr>
      <t>0306.13.0009</t>
    </r>
    <r>
      <rPr>
        <sz val="11"/>
        <color rgb="FF000000"/>
        <rFont val="宋体"/>
        <charset val="134"/>
      </rPr>
      <t>、</t>
    </r>
    <r>
      <rPr>
        <sz val="11"/>
        <color rgb="FF000000"/>
        <rFont val="Calibri"/>
        <charset val="134"/>
      </rPr>
      <t>0306.13.0012</t>
    </r>
    <r>
      <rPr>
        <sz val="11"/>
        <color rgb="FF000000"/>
        <rFont val="宋体"/>
        <charset val="134"/>
      </rPr>
      <t>、</t>
    </r>
    <r>
      <rPr>
        <sz val="11"/>
        <color rgb="FF000000"/>
        <rFont val="Calibri"/>
        <charset val="134"/>
      </rPr>
      <t>0306.13.0015</t>
    </r>
    <r>
      <rPr>
        <sz val="11"/>
        <color rgb="FF000000"/>
        <rFont val="宋体"/>
        <charset val="134"/>
      </rPr>
      <t>、</t>
    </r>
    <r>
      <rPr>
        <sz val="11"/>
        <color rgb="FF000000"/>
        <rFont val="Calibri"/>
        <charset val="134"/>
      </rPr>
      <t>0306.13.0018</t>
    </r>
    <r>
      <rPr>
        <sz val="11"/>
        <color rgb="FF000000"/>
        <rFont val="宋体"/>
        <charset val="134"/>
      </rPr>
      <t>、</t>
    </r>
    <r>
      <rPr>
        <sz val="11"/>
        <color rgb="FF000000"/>
        <rFont val="Calibri"/>
        <charset val="134"/>
      </rPr>
      <t>0306.13.0021</t>
    </r>
    <r>
      <rPr>
        <sz val="11"/>
        <color rgb="FF000000"/>
        <rFont val="宋体"/>
        <charset val="134"/>
      </rPr>
      <t>、</t>
    </r>
    <r>
      <rPr>
        <sz val="11"/>
        <color rgb="FF000000"/>
        <rFont val="Calibri"/>
        <charset val="134"/>
      </rPr>
      <t>0306.13.020204</t>
    </r>
    <r>
      <rPr>
        <sz val="11"/>
        <color rgb="FF000000"/>
        <rFont val="宋体"/>
        <charset val="134"/>
      </rPr>
      <t>、</t>
    </r>
    <r>
      <rPr>
        <sz val="11"/>
        <color rgb="FF000000"/>
        <rFont val="Calibri"/>
        <charset val="134"/>
      </rPr>
      <t>0306.13.03.0 , 0306.13.0040, 0306.17.0003, 0306.17.0006, 0306.17.0009, 0306.17.0012, 0306.17.0015, 0306.17.0018, 0306.17.0021, 0306.17.0024, 0306.17.0027, 0306.17.0040, 1605.20.1010, 1605.20 .1030</t>
    </r>
    <r>
      <rPr>
        <sz val="11"/>
        <color rgb="FF000000"/>
        <rFont val="宋体"/>
        <charset val="134"/>
      </rPr>
      <t>、</t>
    </r>
    <r>
      <rPr>
        <sz val="11"/>
        <color rgb="FF000000"/>
        <rFont val="Calibri"/>
        <charset val="134"/>
      </rPr>
      <t xml:space="preserve">1605.21.1030  </t>
    </r>
    <r>
      <rPr>
        <sz val="11"/>
        <color rgb="FF000000"/>
        <rFont val="宋体"/>
        <charset val="134"/>
      </rPr>
      <t>、</t>
    </r>
    <r>
      <rPr>
        <sz val="11"/>
        <color rgb="FF000000"/>
        <rFont val="Calibri"/>
        <charset val="134"/>
      </rPr>
      <t xml:space="preserve"> 1605.29.1010</t>
    </r>
    <r>
      <rPr>
        <sz val="11"/>
        <color rgb="FF000000"/>
        <rFont val="宋体"/>
        <charset val="134"/>
      </rPr>
      <t>。</t>
    </r>
    <r>
      <rPr>
        <sz val="11"/>
        <color rgb="FF000000"/>
        <rFont val="Calibri"/>
        <charset val="134"/>
      </rPr>
      <t>0306.17.00.03</t>
    </r>
    <r>
      <rPr>
        <sz val="11"/>
        <color rgb="FF000000"/>
        <rFont val="宋体"/>
        <charset val="134"/>
      </rPr>
      <t>、</t>
    </r>
    <r>
      <rPr>
        <sz val="11"/>
        <color rgb="FF000000"/>
        <rFont val="Calibri"/>
        <charset val="134"/>
      </rPr>
      <t>0306.17.00.06</t>
    </r>
    <r>
      <rPr>
        <sz val="11"/>
        <color rgb="FF000000"/>
        <rFont val="宋体"/>
        <charset val="134"/>
      </rPr>
      <t>、</t>
    </r>
    <r>
      <rPr>
        <sz val="11"/>
        <color rgb="FF000000"/>
        <rFont val="Calibri"/>
        <charset val="134"/>
      </rPr>
      <t>0306.17.00.09</t>
    </r>
    <r>
      <rPr>
        <sz val="11"/>
        <color rgb="FF000000"/>
        <rFont val="宋体"/>
        <charset val="134"/>
      </rPr>
      <t>、</t>
    </r>
    <r>
      <rPr>
        <sz val="11"/>
        <color rgb="FF000000"/>
        <rFont val="Calibri"/>
        <charset val="134"/>
      </rPr>
      <t>0306.17.00.09</t>
    </r>
    <r>
      <rPr>
        <sz val="11"/>
        <color rgb="FF000000"/>
        <rFont val="宋体"/>
        <charset val="134"/>
      </rPr>
      <t>、</t>
    </r>
    <r>
      <rPr>
        <sz val="11"/>
        <color rgb="FF000000"/>
        <rFont val="Calibri"/>
        <charset val="134"/>
      </rPr>
      <t>0306.17.00.12</t>
    </r>
    <r>
      <rPr>
        <sz val="11"/>
        <color rgb="FF000000"/>
        <rFont val="宋体"/>
        <charset val="134"/>
      </rPr>
      <t>、</t>
    </r>
    <r>
      <rPr>
        <sz val="11"/>
        <color rgb="FF000000"/>
        <rFont val="Calibri"/>
        <charset val="134"/>
      </rPr>
      <t>0306.17.00.15</t>
    </r>
    <r>
      <rPr>
        <sz val="11"/>
        <color rgb="FF000000"/>
        <rFont val="宋体"/>
        <charset val="134"/>
      </rPr>
      <t>、</t>
    </r>
    <r>
      <rPr>
        <sz val="11"/>
        <color rgb="FF000000"/>
        <rFont val="Calibri"/>
        <charset val="134"/>
      </rPr>
      <t>0306.17.00.18</t>
    </r>
    <r>
      <rPr>
        <sz val="11"/>
        <color rgb="FF000000"/>
        <rFont val="宋体"/>
        <charset val="134"/>
      </rPr>
      <t>、</t>
    </r>
    <r>
      <rPr>
        <sz val="11"/>
        <color rgb="FF000000"/>
        <rFont val="Calibri"/>
        <charset val="134"/>
      </rPr>
      <t>0306.06.17.0.0.0.0.2 0306.17.00.27</t>
    </r>
    <r>
      <rPr>
        <sz val="11"/>
        <color rgb="FF000000"/>
        <rFont val="宋体"/>
        <charset val="134"/>
      </rPr>
      <t>、</t>
    </r>
    <r>
      <rPr>
        <sz val="11"/>
        <color rgb="FF000000"/>
        <rFont val="Calibri"/>
        <charset val="134"/>
      </rPr>
      <t>0306.17.00.40</t>
    </r>
    <r>
      <rPr>
        <sz val="11"/>
        <color rgb="FF000000"/>
        <rFont val="宋体"/>
        <charset val="134"/>
      </rPr>
      <t>、</t>
    </r>
    <r>
      <rPr>
        <sz val="11"/>
        <color rgb="FF000000"/>
        <rFont val="Calibri"/>
        <charset val="134"/>
      </rPr>
      <t xml:space="preserve">1605.21.10.30  </t>
    </r>
    <r>
      <rPr>
        <sz val="11"/>
        <color rgb="FF000000"/>
        <rFont val="宋体"/>
        <charset val="134"/>
      </rPr>
      <t>、</t>
    </r>
    <r>
      <rPr>
        <sz val="11"/>
        <color rgb="FF000000"/>
        <rFont val="Calibri"/>
        <charset val="134"/>
      </rPr>
      <t xml:space="preserve"> 1605.29.10.10</t>
    </r>
    <r>
      <rPr>
        <sz val="11"/>
        <color rgb="FF000000"/>
        <rFont val="宋体"/>
        <charset val="134"/>
      </rPr>
      <t>。</t>
    </r>
  </si>
  <si>
    <t>该命令的范围包括某些温水虾和对虾，无论是冷冻的、野生捕捞的（海洋捕捞的）还是农场养殖的（水产养殖生产的）、正面或正面、带壳或去皮、带尾或tail-off，“尾巴”在这种情况下是指尾扇，包括 telson 和 uropods。去肠或不去肠，煮熟或生吃，或以其他方式以冷冻形式加工。从温水虾和对虾通过冷冻加工而成的产品，在任何计数大小。
上述产品可以从任何种类的温水虾和对虾加工而来。温水虾和对虾通常归类于但不限于对虾科。包装有腌料、香料或酱汁的冷冻虾和对虾包括在订单范围内。此外，按重量计虾或对虾的含量超过 20% 的非“熟食”的食品制品（包括撒粉虾）也包括在该命令的范围内。</t>
  </si>
  <si>
    <t>A-570-835</t>
  </si>
  <si>
    <t>Furfuryl Alcohol</t>
  </si>
  <si>
    <t>糠醇</t>
  </si>
  <si>
    <t>2932.13.00.00</t>
  </si>
  <si>
    <t>该订单涵盖的商品为糠醇 (C4H3OCH2OH)。糠醇是一种伯醇，外观无色或淡黄色。用于制造树脂，用作涂布树脂、硝化纤维素、醋酸纤维素和其他可溶性染料的润湿剂和溶剂。</t>
  </si>
  <si>
    <t>A-570-836</t>
  </si>
  <si>
    <t>Glycine</t>
  </si>
  <si>
    <t>甘氨酸</t>
  </si>
  <si>
    <r>
      <rPr>
        <sz val="11"/>
        <color rgb="FF000000"/>
        <rFont val="Calibri"/>
        <charset val="134"/>
      </rPr>
      <t>2922.49.4020</t>
    </r>
    <r>
      <rPr>
        <sz val="11"/>
        <color rgb="FF000000"/>
        <rFont val="宋体"/>
        <charset val="134"/>
      </rPr>
      <t>。</t>
    </r>
  </si>
  <si>
    <t>该订单涵盖的产品是甘氨酸，它是一种自由流动的结晶材料，如盐或糖。甘氨酸以不同的纯度生产，用作甜味剂*增味剂、缓冲剂、可再吸收的氨基酸、化学中间体和金属络合剂。</t>
  </si>
  <si>
    <t>A-570-891</t>
  </si>
  <si>
    <t>Hand Trucks</t>
  </si>
  <si>
    <t>手推车</t>
  </si>
  <si>
    <r>
      <rPr>
        <sz val="11"/>
        <color rgb="FF000000"/>
        <rFont val="Calibri"/>
        <charset val="134"/>
      </rPr>
      <t xml:space="preserve">8716.80.50.10 </t>
    </r>
    <r>
      <rPr>
        <sz val="11"/>
        <color rgb="FF000000"/>
        <rFont val="宋体"/>
        <charset val="134"/>
      </rPr>
      <t>，</t>
    </r>
    <r>
      <rPr>
        <sz val="11"/>
        <color rgb="FF000000"/>
        <rFont val="Calibri"/>
        <charset val="134"/>
      </rPr>
      <t>8716.80.50.90</t>
    </r>
    <r>
      <rPr>
        <sz val="11"/>
        <color rgb="FF000000"/>
        <rFont val="宋体"/>
        <charset val="134"/>
      </rPr>
      <t>，</t>
    </r>
    <r>
      <rPr>
        <sz val="11"/>
        <color rgb="FF000000"/>
        <rFont val="Calibri"/>
        <charset val="134"/>
      </rPr>
      <t>8716.90.50.60</t>
    </r>
  </si>
  <si>
    <t>受本反倾销税令约束的商品包括由任何材料制造的手推车，无论是组装的还是未组装的、完整的还是不完整的、适用于任何用途的，以及其中的某些部分，即垂直框架、处理区域和突出的边缘或脚趾板，以及它们的任何组合。
完整或完全组装的手推车是一种手推手推车，由垂直设置的框架组成，在垂直框架的上部或附近有一个把手或一个以上的把手；至少两个轮子位于或靠近垂直框架的下部；一个或多个水平突出边缘或趾板，与垂直框架垂直或成角度，位于或靠近垂直框架的下部。为了提升和*或移动负载，突出的边缘或边缘或趾板在负载下滑动。
垂直框架可以从垂直设置转换为水平设置，然后在该水平设置中作为平台操作，这不是将手推车排除在本申请范围之外的依据。手推车的垂直框架、处理区域、车轮、突出边缘或其他部分可以折叠或折叠，这不是将手推车排除在请愿范围之外的依据。除了位于或靠近垂直框架下部的两个或多个车轮之外，其他车轮可能连接到垂直框架、处理区域、突出边缘或手推车的其他部分，不是将手推车排除在请愿范围之外。最后，手推车除了垂直框架外，还可能表现出物理特性，</t>
  </si>
  <si>
    <t>A-570-803</t>
  </si>
  <si>
    <t>Heavy Forged Hand Tools, With Or Without Handles</t>
  </si>
  <si>
    <t>重型锻造手动工具，带或不带手柄</t>
  </si>
  <si>
    <r>
      <rPr>
        <sz val="11"/>
        <color rgb="FF000000"/>
        <rFont val="Calibri"/>
        <charset val="134"/>
      </rPr>
      <t>8205.20.60</t>
    </r>
    <r>
      <rPr>
        <sz val="11"/>
        <color rgb="FF000000"/>
        <rFont val="宋体"/>
        <charset val="134"/>
      </rPr>
      <t>、</t>
    </r>
    <r>
      <rPr>
        <sz val="11"/>
        <color rgb="FF000000"/>
        <rFont val="Calibri"/>
        <charset val="134"/>
      </rPr>
      <t>8205.59.30</t>
    </r>
    <r>
      <rPr>
        <sz val="11"/>
        <color rgb="FF000000"/>
        <rFont val="宋体"/>
        <charset val="134"/>
      </rPr>
      <t>、</t>
    </r>
    <r>
      <rPr>
        <sz val="11"/>
        <color rgb="FF000000"/>
        <rFont val="Calibri"/>
        <charset val="134"/>
      </rPr>
      <t xml:space="preserve">8201.30.00  </t>
    </r>
    <r>
      <rPr>
        <sz val="11"/>
        <color rgb="FF000000"/>
        <rFont val="宋体"/>
        <charset val="134"/>
      </rPr>
      <t>、</t>
    </r>
    <r>
      <rPr>
        <sz val="11"/>
        <color rgb="FF000000"/>
        <rFont val="Calibri"/>
        <charset val="134"/>
      </rPr>
      <t xml:space="preserve"> 8201.40.60</t>
    </r>
    <r>
      <rPr>
        <sz val="11"/>
        <color rgb="FF000000"/>
        <rFont val="宋体"/>
        <charset val="134"/>
      </rPr>
      <t>。</t>
    </r>
    <r>
      <rPr>
        <sz val="11"/>
        <color rgb="FF000000"/>
        <rFont val="Calibri"/>
        <charset val="134"/>
      </rPr>
      <t>8205.20.60</t>
    </r>
    <r>
      <rPr>
        <sz val="11"/>
        <color rgb="FF000000"/>
        <rFont val="宋体"/>
        <charset val="134"/>
      </rPr>
      <t>、</t>
    </r>
    <r>
      <rPr>
        <sz val="11"/>
        <color rgb="FF000000"/>
        <rFont val="Calibri"/>
        <charset val="134"/>
      </rPr>
      <t>8205.59.30</t>
    </r>
    <r>
      <rPr>
        <sz val="11"/>
        <color rgb="FF000000"/>
        <rFont val="宋体"/>
        <charset val="134"/>
      </rPr>
      <t>、</t>
    </r>
    <r>
      <rPr>
        <sz val="11"/>
        <color rgb="FF000000"/>
        <rFont val="Calibri"/>
        <charset val="134"/>
      </rPr>
      <t xml:space="preserve">8201.30.00  </t>
    </r>
    <r>
      <rPr>
        <sz val="11"/>
        <color rgb="FF000000"/>
        <rFont val="宋体"/>
        <charset val="134"/>
      </rPr>
      <t>、</t>
    </r>
    <r>
      <rPr>
        <sz val="11"/>
        <color rgb="FF000000"/>
        <rFont val="Calibri"/>
        <charset val="134"/>
      </rPr>
      <t xml:space="preserve"> 8201.40.60</t>
    </r>
  </si>
  <si>
    <t>(1) 头部超过 1.5 公斤（3.33 磅）的锤子和雪橇；(2) 长度超过 18 英寸的钢筋、轨道工具和楔块；(3) 拨球和马球；(4) 斧头、锄头和类似的砍伐工具。HFHT 包括用于钻孔的锤头、雪橇、斧头、锤子、镐和锄头，可能会或可能不会涂漆，可能会或可能不会完成，或者可能会或可能不会带手柄进口；各种棒材产品和轨道工具，包括破坏棒、挖掘棒和捣固机；和钢木劈楔。HFHT 是通过热锻操作制造的，其中钢被剪切到所需的长度，加热到锻造温度，并使用特定于所需产品形状和尺寸的模具在锻造设备上形成最终形状。根据产品的不同，精加工操作可能包括喷丸、打磨、抛光和喷漆，以及为处理的产品插入把手。</t>
  </si>
  <si>
    <t>A-570-045</t>
  </si>
  <si>
    <t>1-Hydroxyethylidene-1, 1-Diphosphonic Acid</t>
  </si>
  <si>
    <r>
      <rPr>
        <sz val="11"/>
        <color rgb="FF000000"/>
        <rFont val="Calibri"/>
        <charset val="134"/>
      </rPr>
      <t>1-</t>
    </r>
    <r>
      <rPr>
        <sz val="11"/>
        <color rgb="FF000000"/>
        <rFont val="宋体"/>
        <charset val="134"/>
      </rPr>
      <t>羟基亚乙基</t>
    </r>
    <r>
      <rPr>
        <sz val="11"/>
        <color rgb="FF000000"/>
        <rFont val="Calibri"/>
        <charset val="134"/>
      </rPr>
      <t>-1, 1-</t>
    </r>
    <r>
      <rPr>
        <sz val="11"/>
        <color rgb="FF000000"/>
        <rFont val="宋体"/>
        <charset val="134"/>
      </rPr>
      <t>二膦酸</t>
    </r>
  </si>
  <si>
    <r>
      <rPr>
        <sz val="11"/>
        <color rgb="FF000000"/>
        <rFont val="Calibri"/>
        <charset val="134"/>
      </rPr>
      <t>2931.90.9043</t>
    </r>
    <r>
      <rPr>
        <sz val="11"/>
        <color rgb="FF000000"/>
        <rFont val="宋体"/>
        <charset val="134"/>
      </rPr>
      <t>，</t>
    </r>
    <r>
      <rPr>
        <sz val="11"/>
        <color rgb="FF000000"/>
        <rFont val="Calibri"/>
        <charset val="134"/>
      </rPr>
      <t xml:space="preserve">281.19.6090  </t>
    </r>
    <r>
      <rPr>
        <sz val="11"/>
        <color rgb="FF000000"/>
        <rFont val="宋体"/>
        <charset val="134"/>
      </rPr>
      <t>、</t>
    </r>
    <r>
      <rPr>
        <sz val="11"/>
        <color rgb="FF000000"/>
        <rFont val="Calibri"/>
        <charset val="134"/>
      </rPr>
      <t xml:space="preserve"> 2931.90.9041</t>
    </r>
  </si>
  <si>
    <t>本次调查涉及的商品包括所有等级的酸性（未中和）浓度的 HEDP，也称为羟乙基亚乙基二膦酸、羟基乙二膦酸、乙酰二膦酸和依替膦酸。</t>
  </si>
  <si>
    <t>A-570-822</t>
  </si>
  <si>
    <t>Helical Spring Lock Washers</t>
  </si>
  <si>
    <t>螺旋弹簧锁紧垫圈</t>
  </si>
  <si>
    <r>
      <rPr>
        <sz val="11"/>
        <color rgb="FF000000"/>
        <rFont val="Calibri"/>
        <charset val="134"/>
      </rPr>
      <t xml:space="preserve">7318.21.0000  </t>
    </r>
    <r>
      <rPr>
        <sz val="11"/>
        <color rgb="FF000000"/>
        <rFont val="宋体"/>
        <charset val="134"/>
      </rPr>
      <t>、</t>
    </r>
    <r>
      <rPr>
        <sz val="11"/>
        <color rgb="FF000000"/>
        <rFont val="Calibri"/>
        <charset val="134"/>
      </rPr>
      <t xml:space="preserve"> 7318.21.0030</t>
    </r>
  </si>
  <si>
    <t>订单涵盖的产品是碳钢、碳合金钢或不锈钢的 HSLW，热处理或非热处理，镀层或非镀层，末端离线。HSLW 的设计目的是： (1) 用作弹簧，以补偿紧固组件的组成部分之间产生的松动；(2) 将载荷分布在更大面积的螺钉或螺栓上；(3) 提供硬化的轴承表面。该范围不包括内齿垫圈或外齿垫圈，也不包括由铜等其他金属制成的弹簧锁紧垫圈。</t>
  </si>
  <si>
    <t>A-570-977</t>
  </si>
  <si>
    <t>High Pressure Steel Cylinders</t>
  </si>
  <si>
    <t>高压钢瓶</t>
  </si>
  <si>
    <r>
      <rPr>
        <sz val="11"/>
        <color rgb="FF000000"/>
        <rFont val="Calibri"/>
        <charset val="134"/>
      </rPr>
      <t>7311.00.00.30</t>
    </r>
    <r>
      <rPr>
        <sz val="11"/>
        <color rgb="FF000000"/>
        <rFont val="宋体"/>
        <charset val="134"/>
      </rPr>
      <t>，</t>
    </r>
    <r>
      <rPr>
        <sz val="11"/>
        <color rgb="FF000000"/>
        <rFont val="Calibri"/>
        <charset val="134"/>
      </rPr>
      <t>7311.00.00.60 , 7311.00.00.90</t>
    </r>
  </si>
  <si>
    <t>订单涵盖的商品是设计用于储存或运输压缩或液化气体的无缝钢瓶（“高压钢瓶”）。高压钢瓶由铬合金钢制成，包括但不限于铬钼钢或铬镁钢，并在进口之前或之后永久地压入钢中，这是美国交通部管道的标志和危险材料安全管理局 (“DOT”) 批准的高压钢瓶制造商，以及批准的 DOT 类型标记 DOT 3A、3AX、3AA、3AAX、3B、3E、3HT、3T 或 DOT-E（后跟一个特定的豁免编号）根据联邦法规第 49 篇第 178.36 至 178.68 节的要求，或其任何后续修订。调查涵盖的高压钢瓶的水容量高达 450 升，气体容量从 8 到 702 立方英尺不等，无论相应的服务压力水平如何，也无论物理尺寸、饰面或涂层如何。</t>
  </si>
  <si>
    <t>A-570-863</t>
  </si>
  <si>
    <t>Honey</t>
  </si>
  <si>
    <t>蜜糖</t>
  </si>
  <si>
    <r>
      <rPr>
        <sz val="11"/>
        <color rgb="FF000000"/>
        <rFont val="Calibri"/>
        <charset val="134"/>
      </rPr>
      <t>0409.00.00</t>
    </r>
    <r>
      <rPr>
        <sz val="11"/>
        <color rgb="FF000000"/>
        <rFont val="宋体"/>
        <charset val="134"/>
      </rPr>
      <t>、</t>
    </r>
    <r>
      <rPr>
        <sz val="11"/>
        <color rgb="FF000000"/>
        <rFont val="Calibri"/>
        <charset val="134"/>
      </rPr>
      <t>1702.90.90</t>
    </r>
    <r>
      <rPr>
        <sz val="11"/>
        <color rgb="FF000000"/>
        <rFont val="宋体"/>
        <charset val="134"/>
      </rPr>
      <t>、</t>
    </r>
    <r>
      <rPr>
        <sz val="11"/>
        <color rgb="FF000000"/>
        <rFont val="Calibri"/>
        <charset val="134"/>
      </rPr>
      <t>2106.90.99</t>
    </r>
    <r>
      <rPr>
        <sz val="11"/>
        <color rgb="FF000000"/>
        <rFont val="宋体"/>
        <charset val="134"/>
      </rPr>
      <t>、</t>
    </r>
    <r>
      <rPr>
        <sz val="11"/>
        <color rgb="FF000000"/>
        <rFont val="Calibri"/>
        <charset val="134"/>
      </rPr>
      <t>0409.00.0010</t>
    </r>
    <r>
      <rPr>
        <sz val="11"/>
        <color rgb="FF000000"/>
        <rFont val="宋体"/>
        <charset val="134"/>
      </rPr>
      <t>、</t>
    </r>
    <r>
      <rPr>
        <sz val="11"/>
        <color rgb="FF000000"/>
        <rFont val="Calibri"/>
        <charset val="134"/>
      </rPr>
      <t>0409.00.0035</t>
    </r>
    <r>
      <rPr>
        <sz val="11"/>
        <color rgb="FF000000"/>
        <rFont val="宋体"/>
        <charset val="134"/>
      </rPr>
      <t>、</t>
    </r>
    <r>
      <rPr>
        <sz val="11"/>
        <color rgb="FF000000"/>
        <rFont val="Calibri"/>
        <charset val="134"/>
      </rPr>
      <t>0409.00.0005</t>
    </r>
    <r>
      <rPr>
        <sz val="11"/>
        <color rgb="FF000000"/>
        <rFont val="宋体"/>
        <charset val="134"/>
      </rPr>
      <t>、</t>
    </r>
    <r>
      <rPr>
        <sz val="11"/>
        <color rgb="FF000000"/>
        <rFont val="Calibri"/>
        <charset val="134"/>
      </rPr>
      <t>0409.00.0045</t>
    </r>
    <r>
      <rPr>
        <sz val="11"/>
        <color rgb="FF000000"/>
        <rFont val="宋体"/>
        <charset val="134"/>
      </rPr>
      <t>、</t>
    </r>
    <r>
      <rPr>
        <sz val="11"/>
        <color rgb="FF000000"/>
        <rFont val="Calibri"/>
        <charset val="134"/>
      </rPr>
      <t xml:space="preserve">0409.00.0056  </t>
    </r>
    <r>
      <rPr>
        <sz val="11"/>
        <color rgb="FF000000"/>
        <rFont val="宋体"/>
        <charset val="134"/>
      </rPr>
      <t>、</t>
    </r>
    <r>
      <rPr>
        <sz val="11"/>
        <color rgb="FF000000"/>
        <rFont val="Calibri"/>
        <charset val="134"/>
      </rPr>
      <t xml:space="preserve"> 50.006 </t>
    </r>
    <r>
      <rPr>
        <sz val="11"/>
        <color rgb="FF000000"/>
        <rFont val="宋体"/>
        <charset val="134"/>
      </rPr>
      <t>的</t>
    </r>
    <r>
      <rPr>
        <sz val="11"/>
        <color rgb="FF000000"/>
        <rFont val="Calibri"/>
        <charset val="134"/>
      </rPr>
      <t xml:space="preserve"> 0409.006</t>
    </r>
  </si>
  <si>
    <t>该订单涵盖的产品包括天然蜂蜜、天然蜂蜜重量百分比超过 50% 的人造蜂蜜、天然蜂蜜重量百分比超过 50% 的天然蜂蜜制剂和调味蜂蜜。主题商品包括所有等级和颜色的蜂蜜，无论是液体、奶油、梳状、切梳状或块状，也无论是零售包装还是散装形式。
范围内还包括蜂蜜和大米糖浆的混合物，无论混合物中蜂蜜的百分比如何。</t>
  </si>
  <si>
    <t>A-570-028</t>
  </si>
  <si>
    <t>Hydrofluorocarbon Blends</t>
  </si>
  <si>
    <t>氢氟碳化合物混合物</t>
  </si>
  <si>
    <r>
      <rPr>
        <sz val="11"/>
        <color rgb="FF000000"/>
        <rFont val="Calibri"/>
        <charset val="134"/>
      </rPr>
      <t xml:space="preserve">3824.78.0020  </t>
    </r>
    <r>
      <rPr>
        <sz val="11"/>
        <color rgb="FF000000"/>
        <rFont val="宋体"/>
        <charset val="134"/>
      </rPr>
      <t>、</t>
    </r>
    <r>
      <rPr>
        <sz val="11"/>
        <color rgb="FF000000"/>
        <rFont val="Calibri"/>
        <charset val="134"/>
      </rPr>
      <t xml:space="preserve"> 3824.78.0050</t>
    </r>
  </si>
  <si>
    <t>受此订单约束的产品是 HFC 混合物</t>
  </si>
  <si>
    <t>A-570-502</t>
  </si>
  <si>
    <t>Iron Construction Castings</t>
  </si>
  <si>
    <t>铁结构铸件</t>
  </si>
  <si>
    <r>
      <rPr>
        <sz val="11"/>
        <color rgb="FF000000"/>
        <rFont val="Calibri"/>
        <charset val="134"/>
      </rPr>
      <t xml:space="preserve">7325.10.0010  </t>
    </r>
    <r>
      <rPr>
        <sz val="11"/>
        <color rgb="FF000000"/>
        <rFont val="宋体"/>
        <charset val="134"/>
      </rPr>
      <t>、</t>
    </r>
    <r>
      <rPr>
        <sz val="11"/>
        <color rgb="FF000000"/>
        <rFont val="Calibri"/>
        <charset val="134"/>
      </rPr>
      <t xml:space="preserve"> 7325.10.0050</t>
    </r>
  </si>
  <si>
    <t>本次调查涉及的产品是某些铁结构铸件。仅限于用于公用事业、供水和卫生系统的排水或通道目的的人孔盖、环和框架、集水盆格栅和框架、清洁盖和排水管；阀门、服务和仪表箱，放置在地下，用于装水、燃气或其他阀门，或水表或燃气表。这些物品必须是铸铁的，不是合金的，也不是可锻的。</t>
  </si>
  <si>
    <t>A-570-941</t>
  </si>
  <si>
    <t>Kitchen Appliance Shelving And Racks</t>
  </si>
  <si>
    <t>厨房用具搁架和架子</t>
  </si>
  <si>
    <r>
      <rPr>
        <sz val="11"/>
        <color rgb="FF000000"/>
        <rFont val="Calibri"/>
        <charset val="134"/>
      </rPr>
      <t>8418.99.8050</t>
    </r>
    <r>
      <rPr>
        <sz val="11"/>
        <color rgb="FF000000"/>
        <rFont val="宋体"/>
        <charset val="134"/>
      </rPr>
      <t>、</t>
    </r>
    <r>
      <rPr>
        <sz val="11"/>
        <color rgb="FF000000"/>
        <rFont val="Calibri"/>
        <charset val="134"/>
      </rPr>
      <t>8418.99.8060</t>
    </r>
    <r>
      <rPr>
        <sz val="11"/>
        <color rgb="FF000000"/>
        <rFont val="宋体"/>
        <charset val="134"/>
      </rPr>
      <t>、</t>
    </r>
    <r>
      <rPr>
        <sz val="11"/>
        <color rgb="FF000000"/>
        <rFont val="Calibri"/>
        <charset val="134"/>
      </rPr>
      <t>7321.90.5000</t>
    </r>
    <r>
      <rPr>
        <sz val="11"/>
        <color rgb="FF000000"/>
        <rFont val="宋体"/>
        <charset val="134"/>
      </rPr>
      <t>、</t>
    </r>
    <r>
      <rPr>
        <sz val="11"/>
        <color rgb="FF000000"/>
        <rFont val="Calibri"/>
        <charset val="134"/>
      </rPr>
      <t>7321.90.6090</t>
    </r>
    <r>
      <rPr>
        <sz val="11"/>
        <color rgb="FF000000"/>
        <rFont val="宋体"/>
        <charset val="134"/>
      </rPr>
      <t>、</t>
    </r>
    <r>
      <rPr>
        <sz val="11"/>
        <color rgb="FF000000"/>
        <rFont val="Calibri"/>
        <charset val="134"/>
      </rPr>
      <t>8516.90.8000</t>
    </r>
    <r>
      <rPr>
        <sz val="11"/>
        <color rgb="FF000000"/>
        <rFont val="宋体"/>
        <charset val="134"/>
      </rPr>
      <t>、</t>
    </r>
    <r>
      <rPr>
        <sz val="11"/>
        <color rgb="FF000000"/>
        <rFont val="Calibri"/>
        <charset val="134"/>
      </rPr>
      <t>8516.90.8010</t>
    </r>
    <r>
      <rPr>
        <sz val="11"/>
        <color rgb="FF000000"/>
        <rFont val="宋体"/>
        <charset val="134"/>
      </rPr>
      <t>、</t>
    </r>
    <r>
      <rPr>
        <sz val="11"/>
        <color rgb="FF000000"/>
        <rFont val="Calibri"/>
        <charset val="134"/>
      </rPr>
      <t xml:space="preserve"> 7321.90.6040  </t>
    </r>
    <r>
      <rPr>
        <sz val="11"/>
        <color rgb="FF000000"/>
        <rFont val="宋体"/>
        <charset val="134"/>
      </rPr>
      <t>、</t>
    </r>
    <r>
      <rPr>
        <sz val="11"/>
        <color rgb="FF000000"/>
        <rFont val="Calibri"/>
        <charset val="134"/>
      </rPr>
      <t xml:space="preserve"> 8419.90.9520</t>
    </r>
    <r>
      <rPr>
        <sz val="11"/>
        <color rgb="FF000000"/>
        <rFont val="宋体"/>
        <charset val="134"/>
      </rPr>
      <t>。</t>
    </r>
  </si>
  <si>
    <t>本订单的范围包括用于冰箱、冰柜、组合式冷藏冷冻柜、其他冷藏或冷冻设备、炉灶、炉灶和烤箱的搁架和架子（“某些厨房用具搁架和架子”或“订购的商品”） . 某些厨房用具搁架和架子被定义为搁架、篮子、架子（有或没有扩展滑轨，它们是连接到搁架、篮子或架子以实现滑动的碳或不锈钢硬件设备）、侧架（焊接用于连接到烤箱腔内壁的烤箱架的金属丝支撑结构，不包括作为设计特征的支撑肋），</t>
  </si>
  <si>
    <t>A-570-916</t>
  </si>
  <si>
    <t>Laminated Woven Sacks</t>
  </si>
  <si>
    <t>层压编织袋</t>
  </si>
  <si>
    <r>
      <rPr>
        <sz val="11"/>
        <color rgb="FF000000"/>
        <rFont val="Calibri"/>
        <charset val="134"/>
      </rPr>
      <t xml:space="preserve">8450.20.0040  </t>
    </r>
    <r>
      <rPr>
        <sz val="11"/>
        <color rgb="FF000000"/>
        <rFont val="宋体"/>
        <charset val="134"/>
      </rPr>
      <t>、</t>
    </r>
    <r>
      <rPr>
        <sz val="11"/>
        <color rgb="FF000000"/>
        <rFont val="Calibri"/>
        <charset val="134"/>
      </rPr>
      <t xml:space="preserve"> 8450.20.0080, 8450.11.0040</t>
    </r>
    <r>
      <rPr>
        <sz val="11"/>
        <color rgb="FF000000"/>
        <rFont val="宋体"/>
        <charset val="134"/>
      </rPr>
      <t>、</t>
    </r>
    <r>
      <rPr>
        <sz val="11"/>
        <color rgb="FF000000"/>
        <rFont val="Calibri"/>
        <charset val="134"/>
      </rPr>
      <t>8450.11.0080</t>
    </r>
    <r>
      <rPr>
        <sz val="11"/>
        <color rgb="FF000000"/>
        <rFont val="宋体"/>
        <charset val="134"/>
      </rPr>
      <t>、</t>
    </r>
    <r>
      <rPr>
        <sz val="11"/>
        <color rgb="FF000000"/>
        <rFont val="Calibri"/>
        <charset val="134"/>
      </rPr>
      <t xml:space="preserve">8450.90.2000  </t>
    </r>
    <r>
      <rPr>
        <sz val="11"/>
        <color rgb="FF000000"/>
        <rFont val="宋体"/>
        <charset val="134"/>
      </rPr>
      <t>、</t>
    </r>
    <r>
      <rPr>
        <sz val="11"/>
        <color rgb="FF000000"/>
        <rFont val="Calibri"/>
        <charset val="134"/>
      </rPr>
      <t xml:space="preserve"> 8450.90.6000</t>
    </r>
  </si>
  <si>
    <t>涉及的产品均为中华人民共和国的大型家用洗衣机及其部分部件。就本命令而言，“大型住宅洗衣机”一词是指所有自动洗衣机，无论旋转轴的方向如何，机柜宽度（从其最宽点测量）至少为 24.5 英寸（62.23 厘米），并且不超过 32.0 英寸（81.28 厘米），除非下面注明。
还包括用于大型住宅洗衣机的某些部件，即： (1) 设计用于大型住宅洗衣机的所有橱柜或其部分；(2) 设计用于大型住宅洗衣机的所有组装浴缸（脚注 1），至少包含： (a) 浴缸；(b) 印章；(3) 设计用于大型住宅洗衣机的所有组装篮子（脚注 2），至少包含： (a) 侧包装（脚注 3）；(b) 一个基地；(c) 驱动轮毂（脚注 4）；(4) 上述部件或组件的任何组合。
1) (a) 它包含支付系统电子设备（脚注 5）；(b) 它配置有一个至少六英寸高的外部安装钢架，用于容纳硬币*代币操作的支付系统（无论在进口时是否安装了实际的硬币*代币操作的支付系统）；(c) 它包含一个按钮用户界面，最多可手动选择六个洗涤循环设置，最终用户无法修改选定洗涤循环设置的水温、水位或脱水速度；(d) 包含用户界面的控制台由钢制成，并装有安全紧固件（脚注 6）；或者
(2) (a) 它包含支付系统电子设备；(b) 支付系统电子设备已启用（无论在进口时是否已安装支付接受设备），因此在正常操作中（脚注 7），如果没有先收到来自真正的支付接受设备，例如电子信用卡阅读器；(c) 它包含一个按钮用户界面，最多可手动选择六个洗涤循环设置，最终用户无法修改选定洗涤循环设置的水温、水位或脱水速度；(d) 包含用户界面的控制台由钢制成，并装有安全紧固件。</t>
  </si>
  <si>
    <t>A-570-077</t>
  </si>
  <si>
    <t>Large Diameter Welded Pipe</t>
  </si>
  <si>
    <t>大口径焊管</t>
  </si>
  <si>
    <r>
      <rPr>
        <sz val="11"/>
        <color rgb="FF000000"/>
        <rFont val="Calibri"/>
        <charset val="134"/>
      </rPr>
      <t>7305.11.1030</t>
    </r>
    <r>
      <rPr>
        <sz val="11"/>
        <color rgb="FF000000"/>
        <rFont val="宋体"/>
        <charset val="134"/>
      </rPr>
      <t>、</t>
    </r>
    <r>
      <rPr>
        <sz val="11"/>
        <color rgb="FF000000"/>
        <rFont val="Calibri"/>
        <charset val="134"/>
      </rPr>
      <t>7305.11.1060</t>
    </r>
    <r>
      <rPr>
        <sz val="11"/>
        <color rgb="FF000000"/>
        <rFont val="宋体"/>
        <charset val="134"/>
      </rPr>
      <t>、</t>
    </r>
    <r>
      <rPr>
        <sz val="11"/>
        <color rgb="FF000000"/>
        <rFont val="Calibri"/>
        <charset val="134"/>
      </rPr>
      <t>7305.11.5000</t>
    </r>
    <r>
      <rPr>
        <sz val="11"/>
        <color rgb="FF000000"/>
        <rFont val="宋体"/>
        <charset val="134"/>
      </rPr>
      <t>、</t>
    </r>
    <r>
      <rPr>
        <sz val="11"/>
        <color rgb="FF000000"/>
        <rFont val="Calibri"/>
        <charset val="134"/>
      </rPr>
      <t>7305.12.1030</t>
    </r>
    <r>
      <rPr>
        <sz val="11"/>
        <color rgb="FF000000"/>
        <rFont val="宋体"/>
        <charset val="134"/>
      </rPr>
      <t>、</t>
    </r>
    <r>
      <rPr>
        <sz val="11"/>
        <color rgb="FF000000"/>
        <rFont val="Calibri"/>
        <charset val="134"/>
      </rPr>
      <t>7305.12.1060</t>
    </r>
    <r>
      <rPr>
        <sz val="11"/>
        <color rgb="FF000000"/>
        <rFont val="宋体"/>
        <charset val="134"/>
      </rPr>
      <t>、</t>
    </r>
    <r>
      <rPr>
        <sz val="11"/>
        <color rgb="FF000000"/>
        <rFont val="Calibri"/>
        <charset val="134"/>
      </rPr>
      <t>7305.12</t>
    </r>
    <r>
      <rPr>
        <sz val="11"/>
        <color rgb="FF000000"/>
        <rFont val="宋体"/>
        <charset val="134"/>
      </rPr>
      <t>。</t>
    </r>
    <r>
      <rPr>
        <sz val="11"/>
        <color rgb="FF000000"/>
        <rFont val="Calibri"/>
        <charset val="134"/>
      </rPr>
      <t xml:space="preserve"> 5000</t>
    </r>
    <r>
      <rPr>
        <sz val="11"/>
        <color rgb="FF000000"/>
        <rFont val="宋体"/>
        <charset val="134"/>
      </rPr>
      <t>、</t>
    </r>
    <r>
      <rPr>
        <sz val="11"/>
        <color rgb="FF000000"/>
        <rFont val="Calibri"/>
        <charset val="134"/>
      </rPr>
      <t>7305.19.1030</t>
    </r>
    <r>
      <rPr>
        <sz val="11"/>
        <color rgb="FF000000"/>
        <rFont val="宋体"/>
        <charset val="134"/>
      </rPr>
      <t>、</t>
    </r>
    <r>
      <rPr>
        <sz val="11"/>
        <color rgb="FF000000"/>
        <rFont val="Calibri"/>
        <charset val="134"/>
      </rPr>
      <t>7305.19.1060</t>
    </r>
    <r>
      <rPr>
        <sz val="11"/>
        <color rgb="FF000000"/>
        <rFont val="宋体"/>
        <charset val="134"/>
      </rPr>
      <t>、</t>
    </r>
    <r>
      <rPr>
        <sz val="11"/>
        <color rgb="FF000000"/>
        <rFont val="Calibri"/>
        <charset val="134"/>
      </rPr>
      <t>7305.19.5000</t>
    </r>
    <r>
      <rPr>
        <sz val="11"/>
        <color rgb="FF000000"/>
        <rFont val="宋体"/>
        <charset val="134"/>
      </rPr>
      <t>、</t>
    </r>
    <r>
      <rPr>
        <sz val="11"/>
        <color rgb="FF000000"/>
        <rFont val="Calibri"/>
        <charset val="134"/>
      </rPr>
      <t>7305.31.4000</t>
    </r>
    <r>
      <rPr>
        <sz val="11"/>
        <color rgb="FF000000"/>
        <rFont val="宋体"/>
        <charset val="134"/>
      </rPr>
      <t>、</t>
    </r>
    <r>
      <rPr>
        <sz val="11"/>
        <color rgb="FF000000"/>
        <rFont val="Calibri"/>
        <charset val="134"/>
      </rPr>
      <t>7305.31.6090</t>
    </r>
    <r>
      <rPr>
        <sz val="11"/>
        <color rgb="FF000000"/>
        <rFont val="宋体"/>
        <charset val="134"/>
      </rPr>
      <t>、</t>
    </r>
    <r>
      <rPr>
        <sz val="11"/>
        <color rgb="FF000000"/>
        <rFont val="Calibri"/>
        <charset val="134"/>
      </rPr>
      <t xml:space="preserve">7305.39.1000  </t>
    </r>
    <r>
      <rPr>
        <sz val="11"/>
        <color rgb="FF000000"/>
        <rFont val="宋体"/>
        <charset val="134"/>
      </rPr>
      <t>、</t>
    </r>
    <r>
      <rPr>
        <sz val="11"/>
        <color rgb="FF000000"/>
        <rFont val="Calibri"/>
        <charset val="134"/>
      </rPr>
      <t xml:space="preserve"> 7305.39.5000</t>
    </r>
    <r>
      <rPr>
        <sz val="11"/>
        <color rgb="FF000000"/>
        <rFont val="宋体"/>
        <charset val="134"/>
      </rPr>
      <t>。</t>
    </r>
  </si>
  <si>
    <t>涵盖的商品是焊接碳钢管和合金钢管（不锈钢管除外），公称外径超过 406.4 毫米（16 英寸）（大直径焊管），不考虑壁厚、长度、表面光洁度、等级，最终完成或模板。大直径焊管可用于输送油、气、浆液、蒸汽或其他流体、液体或气体。它也可用于结构目的，包括但不限于打桩。具体而言，不包括仅按照美国自来水厂协会 (AWWA) 的供水和污水管道规格生产的大直径焊管。
用于输送石油、天然气或天然气液体的大直径焊管通常按照美国石油学会 (API) 规范 5L 生产。大直径焊管也可以按照美国材料与试验协会 (ASTM) 标准 A500、A252 或 A53 或其他相关的国内规范、等级和*或标准生产。大直径焊管可以按照可比较的国外规格、等级和*或标准或专有规格、等级和*或标准生产，或者可以是非分级材料。所有符合上述物理描述的管道都包含在本订单的范围内，无论是否根据特定标准生产。
标的商品还包括在第三国进一步加工的大直径焊管，包括但不限于涂层、喷漆、开槽、斜切、切割、冲孔、焊接或任何其他不会将商品从如果在范围内大直径焊管的制造国执行</t>
  </si>
  <si>
    <t>A-570-033</t>
  </si>
  <si>
    <t>Large Residential Washers</t>
  </si>
  <si>
    <t>大型家用洗衣机</t>
  </si>
  <si>
    <r>
      <rPr>
        <sz val="11"/>
        <color rgb="FF000000"/>
        <rFont val="Calibri"/>
        <charset val="134"/>
      </rPr>
      <t xml:space="preserve">8450.20.0040  </t>
    </r>
    <r>
      <rPr>
        <sz val="11"/>
        <color rgb="FF000000"/>
        <rFont val="宋体"/>
        <charset val="134"/>
      </rPr>
      <t>、</t>
    </r>
    <r>
      <rPr>
        <sz val="11"/>
        <color rgb="FF000000"/>
        <rFont val="Calibri"/>
        <charset val="134"/>
      </rPr>
      <t xml:space="preserve"> 8450.20.0080</t>
    </r>
    <r>
      <rPr>
        <sz val="11"/>
        <color rgb="FF000000"/>
        <rFont val="宋体"/>
        <charset val="134"/>
      </rPr>
      <t>。</t>
    </r>
    <r>
      <rPr>
        <sz val="11"/>
        <color rgb="FF000000"/>
        <rFont val="Calibri"/>
        <charset val="134"/>
      </rPr>
      <t xml:space="preserve"> 8450.11.0040</t>
    </r>
    <r>
      <rPr>
        <sz val="11"/>
        <color rgb="FF000000"/>
        <rFont val="宋体"/>
        <charset val="134"/>
      </rPr>
      <t>、</t>
    </r>
    <r>
      <rPr>
        <sz val="11"/>
        <color rgb="FF000000"/>
        <rFont val="Calibri"/>
        <charset val="134"/>
      </rPr>
      <t>8450.11.0080</t>
    </r>
    <r>
      <rPr>
        <sz val="11"/>
        <color rgb="FF000000"/>
        <rFont val="宋体"/>
        <charset val="134"/>
      </rPr>
      <t>、</t>
    </r>
    <r>
      <rPr>
        <sz val="11"/>
        <color rgb="FF000000"/>
        <rFont val="Calibri"/>
        <charset val="134"/>
      </rPr>
      <t xml:space="preserve">8450.90.2000  </t>
    </r>
    <r>
      <rPr>
        <sz val="11"/>
        <color rgb="FF000000"/>
        <rFont val="宋体"/>
        <charset val="134"/>
      </rPr>
      <t>、</t>
    </r>
    <r>
      <rPr>
        <sz val="11"/>
        <color rgb="FF000000"/>
        <rFont val="Calibri"/>
        <charset val="134"/>
      </rPr>
      <t xml:space="preserve"> 8450.90.6000</t>
    </r>
    <r>
      <rPr>
        <sz val="11"/>
        <color rgb="FF000000"/>
        <rFont val="宋体"/>
        <charset val="134"/>
      </rPr>
      <t>。</t>
    </r>
  </si>
  <si>
    <t>大型家用洗衣机及其部分部件。就本命令而言，“大型住宅洗衣机”一词是指所有自动洗衣机，无论旋转轴的方向如何，机柜宽度（从其最宽点测量）至少为 24.5 英寸（62.23 厘米），并且不超过 32.0 英寸（81.28 厘米）</t>
  </si>
  <si>
    <t>A-570-914</t>
  </si>
  <si>
    <t>Light-Walled Rectangular Pipe And Tube</t>
  </si>
  <si>
    <t>薄壁矩形管材</t>
  </si>
  <si>
    <r>
      <rPr>
        <sz val="11"/>
        <color rgb="FF000000"/>
        <rFont val="Calibri"/>
        <charset val="134"/>
      </rPr>
      <t xml:space="preserve">7306.61.50.00  </t>
    </r>
    <r>
      <rPr>
        <sz val="11"/>
        <color rgb="FF000000"/>
        <rFont val="宋体"/>
        <charset val="134"/>
      </rPr>
      <t>、</t>
    </r>
    <r>
      <rPr>
        <sz val="11"/>
        <color rgb="FF000000"/>
        <rFont val="Calibri"/>
        <charset val="134"/>
      </rPr>
      <t xml:space="preserve"> 7306.61.70.60 </t>
    </r>
    <r>
      <rPr>
        <sz val="11"/>
        <color rgb="FF000000"/>
        <rFont val="宋体"/>
        <charset val="134"/>
      </rPr>
      <t>下。</t>
    </r>
  </si>
  <si>
    <r>
      <rPr>
        <sz val="11"/>
        <color rgb="FF000000"/>
        <rFont val="宋体"/>
        <charset val="134"/>
      </rPr>
      <t>商品是某种焊接碳质轻壁钢管，截面为矩形（包括正方形），壁厚小于</t>
    </r>
    <r>
      <rPr>
        <sz val="11"/>
        <color rgb="FF000000"/>
        <rFont val="Calibri"/>
        <charset val="134"/>
      </rPr>
      <t>4</t>
    </r>
    <r>
      <rPr>
        <sz val="11"/>
        <color rgb="FF000000"/>
        <rFont val="宋体"/>
        <charset val="134"/>
      </rPr>
      <t>毫米。</t>
    </r>
    <r>
      <rPr>
        <sz val="11"/>
        <color rgb="FF000000"/>
        <rFont val="Calibri"/>
        <charset val="134"/>
      </rPr>
      <t xml:space="preserve">
</t>
    </r>
    <r>
      <rPr>
        <sz val="11"/>
        <color rgb="FF000000"/>
        <rFont val="宋体"/>
        <charset val="134"/>
      </rPr>
      <t>碳素钢一词包括碳钢和仅含有少量合金元素的合金钢。具体而言，</t>
    </r>
    <r>
      <rPr>
        <sz val="11"/>
        <color rgb="FF000000"/>
        <rFont val="Calibri"/>
        <charset val="134"/>
      </rPr>
      <t>“</t>
    </r>
    <r>
      <rPr>
        <sz val="11"/>
        <color rgb="FF000000"/>
        <rFont val="宋体"/>
        <charset val="134"/>
      </rPr>
      <t>碳质量</t>
    </r>
    <r>
      <rPr>
        <sz val="11"/>
        <color rgb="FF000000"/>
        <rFont val="Calibri"/>
        <charset val="134"/>
      </rPr>
      <t>”</t>
    </r>
    <r>
      <rPr>
        <sz val="11"/>
        <color rgb="FF000000"/>
        <rFont val="宋体"/>
        <charset val="134"/>
      </rPr>
      <t>一词包括以下所列元素均未超过相应重量的产品：</t>
    </r>
    <r>
      <rPr>
        <sz val="11"/>
        <color rgb="FF000000"/>
        <rFont val="Calibri"/>
        <charset val="134"/>
      </rPr>
      <t xml:space="preserve">1.80% </t>
    </r>
    <r>
      <rPr>
        <sz val="11"/>
        <color rgb="FF000000"/>
        <rFont val="宋体"/>
        <charset val="134"/>
      </rPr>
      <t>的锰，或</t>
    </r>
    <r>
      <rPr>
        <sz val="11"/>
        <color rgb="FF000000"/>
        <rFont val="Calibri"/>
        <charset val="134"/>
      </rPr>
      <t xml:space="preserve"> 2.25% </t>
    </r>
    <r>
      <rPr>
        <sz val="11"/>
        <color rgb="FF000000"/>
        <rFont val="宋体"/>
        <charset val="134"/>
      </rPr>
      <t>的硅，或</t>
    </r>
    <r>
      <rPr>
        <sz val="11"/>
        <color rgb="FF000000"/>
        <rFont val="Calibri"/>
        <charset val="134"/>
      </rPr>
      <t xml:space="preserve"> 1.00% </t>
    </r>
    <r>
      <rPr>
        <sz val="11"/>
        <color rgb="FF000000"/>
        <rFont val="宋体"/>
        <charset val="134"/>
      </rPr>
      <t>的铜，或</t>
    </r>
    <r>
      <rPr>
        <sz val="11"/>
        <color rgb="FF000000"/>
        <rFont val="Calibri"/>
        <charset val="134"/>
      </rPr>
      <t xml:space="preserve"> 0.50% </t>
    </r>
    <r>
      <rPr>
        <sz val="11"/>
        <color rgb="FF000000"/>
        <rFont val="宋体"/>
        <charset val="134"/>
      </rPr>
      <t>的铝，或</t>
    </r>
    <r>
      <rPr>
        <sz val="11"/>
        <color rgb="FF000000"/>
        <rFont val="Calibri"/>
        <charset val="134"/>
      </rPr>
      <t xml:space="preserve"> 1.25</t>
    </r>
    <r>
      <rPr>
        <sz val="11"/>
        <color rgb="FF000000"/>
        <rFont val="宋体"/>
        <charset val="134"/>
      </rPr>
      <t>铬的百分比，或</t>
    </r>
    <r>
      <rPr>
        <sz val="11"/>
        <color rgb="FF000000"/>
        <rFont val="Calibri"/>
        <charset val="134"/>
      </rPr>
      <t xml:space="preserve"> 0.30% </t>
    </r>
    <r>
      <rPr>
        <sz val="11"/>
        <color rgb="FF000000"/>
        <rFont val="宋体"/>
        <charset val="134"/>
      </rPr>
      <t>的钴，或</t>
    </r>
    <r>
      <rPr>
        <sz val="11"/>
        <color rgb="FF000000"/>
        <rFont val="Calibri"/>
        <charset val="134"/>
      </rPr>
      <t xml:space="preserve"> 0.40% </t>
    </r>
    <r>
      <rPr>
        <sz val="11"/>
        <color rgb="FF000000"/>
        <rFont val="宋体"/>
        <charset val="134"/>
      </rPr>
      <t>的铅，或</t>
    </r>
    <r>
      <rPr>
        <sz val="11"/>
        <color rgb="FF000000"/>
        <rFont val="Calibri"/>
        <charset val="134"/>
      </rPr>
      <t xml:space="preserve"> 1.25% </t>
    </r>
    <r>
      <rPr>
        <sz val="11"/>
        <color rgb="FF000000"/>
        <rFont val="宋体"/>
        <charset val="134"/>
      </rPr>
      <t>的镍，或</t>
    </r>
    <r>
      <rPr>
        <sz val="11"/>
        <color rgb="FF000000"/>
        <rFont val="Calibri"/>
        <charset val="134"/>
      </rPr>
      <t xml:space="preserve"> 0.30% </t>
    </r>
    <r>
      <rPr>
        <sz val="11"/>
        <color rgb="FF000000"/>
        <rFont val="宋体"/>
        <charset val="134"/>
      </rPr>
      <t>的钨，或</t>
    </r>
    <r>
      <rPr>
        <sz val="11"/>
        <color rgb="FF000000"/>
        <rFont val="Calibri"/>
        <charset val="134"/>
      </rPr>
      <t xml:space="preserve"> 0.10% </t>
    </r>
    <r>
      <rPr>
        <sz val="11"/>
        <color rgb="FF000000"/>
        <rFont val="宋体"/>
        <charset val="134"/>
      </rPr>
      <t>的钼，或</t>
    </r>
    <r>
      <rPr>
        <sz val="11"/>
        <color rgb="FF000000"/>
        <rFont val="Calibri"/>
        <charset val="134"/>
      </rPr>
      <t xml:space="preserve"> 0.10% </t>
    </r>
    <r>
      <rPr>
        <sz val="11"/>
        <color rgb="FF000000"/>
        <rFont val="宋体"/>
        <charset val="134"/>
      </rPr>
      <t>的铌，或</t>
    </r>
    <r>
      <rPr>
        <sz val="11"/>
        <color rgb="FF000000"/>
        <rFont val="Calibri"/>
        <charset val="134"/>
      </rPr>
      <t xml:space="preserve"> 0.15% </t>
    </r>
    <r>
      <rPr>
        <sz val="11"/>
        <color rgb="FF000000"/>
        <rFont val="宋体"/>
        <charset val="134"/>
      </rPr>
      <t>的钒，或</t>
    </r>
    <r>
      <rPr>
        <sz val="11"/>
        <color rgb="FF000000"/>
        <rFont val="Calibri"/>
        <charset val="134"/>
      </rPr>
      <t xml:space="preserve"> 0.15% </t>
    </r>
    <r>
      <rPr>
        <sz val="11"/>
        <color rgb="FF000000"/>
        <rFont val="宋体"/>
        <charset val="134"/>
      </rPr>
      <t>的锆</t>
    </r>
    <r>
      <rPr>
        <sz val="11"/>
        <color rgb="FF000000"/>
        <rFont val="Calibri"/>
        <charset val="134"/>
      </rPr>
      <t xml:space="preserve">. </t>
    </r>
    <r>
      <rPr>
        <sz val="11"/>
        <color rgb="FF000000"/>
        <rFont val="宋体"/>
        <charset val="134"/>
      </rPr>
      <t>碳质量的描述旨在识别范围内的碳质量产品。</t>
    </r>
  </si>
  <si>
    <t>A-570-920</t>
  </si>
  <si>
    <t>Lightweight Thermal Paper</t>
  </si>
  <si>
    <t>轻质热敏纸</t>
  </si>
  <si>
    <t>4811.90.8000 , 4811.90.802,4811.90.8040, 4811.90.9000 , 4811.90.9000 ,4811.90.9010, 4811.90.9090</t>
  </si>
  <si>
    <t>涵盖的商品包括某些轻质热敏纸，即基重为每平方米 70 克 (g*m2)（公差为 ±4.0 g*m2）或以下的热敏纸；不考虑尺寸；*FN1* 一侧或两侧有或没有底漆*FN2*；在一侧或两侧具有热活性涂层*FN3*，它是染料和显影剂的混合物，当加热时它们会发生反应并形成图像；有或没有面漆；*FN4* 并且没有背胶。某些轻质热敏纸通常（但不限于）用于销售点应用，例如 ATM 收据、信用卡收据、加油站收据和零售店收据。
1 L WTP 通常以大卷的形式生产，这些卷按照加工设备的规格进行分切，然后加工成成品分切卷。大卷和转换卷（以及任何其他形式、展示或尺寸的 L WTP）都包含在订单范围内。
2 涂底漆时，通常由粘土和*或乳胶等材料制成，旨在覆盖纸张基材的粗糙表面并提供绝缘价值。
3 热活性涂层通常由敏化剂、染料和共反应物制成。
4 面漆在应用时通常由聚乙烯基丙酮、聚乙烯醇和*或类似材料制成，旨在提供环境保护、改进的印刷表面和*或热敏打印头的磨损保护。</t>
  </si>
  <si>
    <t>A-570-901</t>
  </si>
  <si>
    <t>Lined Paper Products</t>
  </si>
  <si>
    <t>横格纸制品</t>
  </si>
  <si>
    <r>
      <rPr>
        <sz val="11"/>
        <color rgb="FF000000"/>
        <rFont val="Calibri"/>
        <charset val="134"/>
      </rPr>
      <t>4810.22.5044</t>
    </r>
    <r>
      <rPr>
        <sz val="11"/>
        <color rgb="FF000000"/>
        <rFont val="宋体"/>
        <charset val="134"/>
      </rPr>
      <t>、</t>
    </r>
    <r>
      <rPr>
        <sz val="11"/>
        <color rgb="FF000000"/>
        <rFont val="Calibri"/>
        <charset val="134"/>
      </rPr>
      <t>4811.90.9090</t>
    </r>
    <r>
      <rPr>
        <sz val="11"/>
        <color rgb="FF000000"/>
        <rFont val="宋体"/>
        <charset val="134"/>
      </rPr>
      <t>、</t>
    </r>
    <r>
      <rPr>
        <sz val="11"/>
        <color rgb="FF000000"/>
        <rFont val="Calibri"/>
        <charset val="134"/>
      </rPr>
      <t>4820.10.2010</t>
    </r>
    <r>
      <rPr>
        <sz val="11"/>
        <color rgb="FF000000"/>
        <rFont val="宋体"/>
        <charset val="134"/>
      </rPr>
      <t>、</t>
    </r>
    <r>
      <rPr>
        <sz val="11"/>
        <color rgb="FF000000"/>
        <rFont val="Calibri"/>
        <charset val="134"/>
      </rPr>
      <t>4820.10.2020</t>
    </r>
    <r>
      <rPr>
        <sz val="11"/>
        <color rgb="FF000000"/>
        <rFont val="宋体"/>
        <charset val="134"/>
      </rPr>
      <t>、</t>
    </r>
    <r>
      <rPr>
        <sz val="11"/>
        <color rgb="FF000000"/>
        <rFont val="Calibri"/>
        <charset val="134"/>
      </rPr>
      <t xml:space="preserve">4820.10.2050  </t>
    </r>
    <r>
      <rPr>
        <sz val="11"/>
        <color rgb="FF000000"/>
        <rFont val="宋体"/>
        <charset val="134"/>
      </rPr>
      <t>、</t>
    </r>
    <r>
      <rPr>
        <sz val="11"/>
        <color rgb="FF000000"/>
        <rFont val="Calibri"/>
        <charset val="134"/>
      </rPr>
      <t xml:space="preserve"> 4820.10.4000</t>
    </r>
  </si>
  <si>
    <t>范围包括某些横格纸产品，通常是学校用品，1
1 出于本范围定义的目的，这些产品的实际使用或标签为学校用品或非学校用品并不是一个定义特征。由或包括在十张或更多张纸上包含水平和*或垂直直线的纸张，2
2 活页填充纸无最小页数要求。包括但不限于单科和多科笔记本、作文本、无线笔记本、活页或胶合填充纸、方格纸和实验室笔记本等产品，纸张较小尺寸为 6 英寸至 15 英寸（含）和较大尺寸的纸张尺寸为 8-3*4 英寸至 15 英寸（含）。页面尺寸是测量尺寸（非广告、声明或“撕下”尺寸），并在产品中出现时进行测量（即笔记本中缝合和折叠的页面按页面出现时的尺寸测量在笔记本页面中，而不是展开纸张的大小）。但是，出于测量目的，锥形或圆形边缘的页面应在最长和最宽处测量。标的内衬纸产品可以是散装的、包装好的或使用任何装订方法装订（通过包含活页夹板、书脊条和封面包装的情况装订除外）。标的商品可能包含也可能不包含任何组合的封面、封底和*或背衬的任何组合，无论封面、背衬或纸张上是否包含图像或图形。无论衬纸和*或封面是否打孔、钻孔、穿孔和*或加固，标的商品都在本订单的范围内。标的商品可能包含配件或信息物品，包括但不限于口袋、标签、分隔物、闭合装置、索引卡、模板、量角器、书写工具、</t>
  </si>
  <si>
    <t>A-570-954</t>
  </si>
  <si>
    <t>Magnesia Carbon Bricks</t>
  </si>
  <si>
    <t>镁碳砖</t>
  </si>
  <si>
    <r>
      <rPr>
        <sz val="11"/>
        <color rgb="FF000000"/>
        <rFont val="Calibri"/>
        <charset val="134"/>
      </rPr>
      <t>6902.10.5000</t>
    </r>
    <r>
      <rPr>
        <sz val="11"/>
        <color rgb="FF000000"/>
        <rFont val="宋体"/>
        <charset val="134"/>
      </rPr>
      <t>、</t>
    </r>
    <r>
      <rPr>
        <sz val="11"/>
        <color rgb="FF000000"/>
        <rFont val="Calibri"/>
        <charset val="134"/>
      </rPr>
      <t>6815.91.0000</t>
    </r>
    <r>
      <rPr>
        <sz val="11"/>
        <color rgb="FF000000"/>
        <rFont val="宋体"/>
        <charset val="134"/>
      </rPr>
      <t>、</t>
    </r>
    <r>
      <rPr>
        <sz val="11"/>
        <color rgb="FF000000"/>
        <rFont val="Calibri"/>
        <charset val="134"/>
      </rPr>
      <t xml:space="preserve">6815.99.2000  </t>
    </r>
    <r>
      <rPr>
        <sz val="11"/>
        <color rgb="FF000000"/>
        <rFont val="宋体"/>
        <charset val="134"/>
      </rPr>
      <t>、</t>
    </r>
    <r>
      <rPr>
        <sz val="11"/>
        <color rgb="FF000000"/>
        <rFont val="Calibri"/>
        <charset val="134"/>
      </rPr>
      <t xml:space="preserve"> 6815.99.4000</t>
    </r>
    <r>
      <rPr>
        <sz val="11"/>
        <color rgb="FF000000"/>
        <rFont val="宋体"/>
        <charset val="134"/>
      </rPr>
      <t>。</t>
    </r>
  </si>
  <si>
    <t>范围包括某些化学粘合（树脂或沥青）的镁碳砖，其氧化镁成分按重量计至少为 70%（“MgO”），无论 MgO 的原材料来源如何，与碳含量从痕量到 30%（重量）不等，无论增强效果如何（例如，镁碳砖可以通过涂层、研磨、焦油浸渍或焦化、高温热处理、防滑处理或金属外壳进行增强），也无论是否存在抗氧化剂（例如，可以在混合物中添加从痕量到 15%（重量）的各种金属、金属合金和金属碳化物的抗氧化剂）</t>
  </si>
  <si>
    <t>A-570-896</t>
  </si>
  <si>
    <t>Magnesium Metal</t>
  </si>
  <si>
    <t>金属镁</t>
  </si>
  <si>
    <r>
      <rPr>
        <sz val="11"/>
        <color rgb="FF000000"/>
        <rFont val="Calibri"/>
        <charset val="134"/>
      </rPr>
      <t xml:space="preserve">8104.19.00  </t>
    </r>
    <r>
      <rPr>
        <sz val="11"/>
        <color rgb="FF000000"/>
        <rFont val="宋体"/>
        <charset val="134"/>
      </rPr>
      <t>、</t>
    </r>
    <r>
      <rPr>
        <sz val="11"/>
        <color rgb="FF000000"/>
        <rFont val="Calibri"/>
        <charset val="134"/>
      </rPr>
      <t xml:space="preserve"> 8104.30.00</t>
    </r>
  </si>
  <si>
    <t>涵盖的商品是金属镁，包括初级和次级合金镁金属，无论其化学成分、原材料来源、形式、形状或大小如何。镁是一种按重量计主要含有元素镁的金属或合金。原镁是通过将原材料分解成金属镁来生产的。二次镁是通过将镁基废料回收成金属镁来生产的。本次调查涵盖的镁包括初级镁和次级镁的混合物。
标的商品包括以下由初级和*或次级镁制成的合金镁金属产品，包括但不限于铸成锭、板、圆、坯和其他形状的镁，磨碎、碎裂、压碎或加工成锉刀的镁，颗粒、车屑、碎屑、粉末、压块和其他形状：按重量计含 50% 或更多但低于 99.8% 的镁并且已进入美国并符合“ASTM 规范”的产品镁合金”1，因此不在中国现有镁（通常称为“合金”镁）的反倾销订单范围内。</t>
  </si>
  <si>
    <t>A-570-881</t>
  </si>
  <si>
    <t>Malleable Cast Iron Pipe Fittings</t>
  </si>
  <si>
    <t>可锻铸铁管件</t>
  </si>
  <si>
    <r>
      <rPr>
        <sz val="11"/>
        <color rgb="FF000000"/>
        <rFont val="Calibri"/>
        <charset val="134"/>
      </rPr>
      <t>7307.19.90.30</t>
    </r>
    <r>
      <rPr>
        <sz val="11"/>
        <color rgb="FF000000"/>
        <rFont val="宋体"/>
        <charset val="134"/>
      </rPr>
      <t>、</t>
    </r>
    <r>
      <rPr>
        <sz val="11"/>
        <color rgb="FF000000"/>
        <rFont val="Calibri"/>
        <charset val="134"/>
      </rPr>
      <t xml:space="preserve">7307.19.90.60  </t>
    </r>
    <r>
      <rPr>
        <sz val="11"/>
        <color rgb="FF000000"/>
        <rFont val="宋体"/>
        <charset val="134"/>
      </rPr>
      <t>、</t>
    </r>
    <r>
      <rPr>
        <sz val="11"/>
        <color rgb="FF000000"/>
        <rFont val="Calibri"/>
        <charset val="134"/>
      </rPr>
      <t xml:space="preserve"> 7307.19.90.80</t>
    </r>
  </si>
  <si>
    <t>涵盖的产品是来自中华人民共和国（“中国”）的某些铸造的可锻铸铁管件，沟槽管件除外</t>
  </si>
  <si>
    <t>A-570-092</t>
  </si>
  <si>
    <t>Mattresses</t>
  </si>
  <si>
    <t>床垫</t>
  </si>
  <si>
    <r>
      <rPr>
        <sz val="11"/>
        <color rgb="FF000000"/>
        <rFont val="Calibri"/>
        <charset val="134"/>
      </rPr>
      <t>9404.21.0010</t>
    </r>
    <r>
      <rPr>
        <sz val="11"/>
        <color rgb="FF000000"/>
        <rFont val="宋体"/>
        <charset val="134"/>
      </rPr>
      <t>、</t>
    </r>
    <r>
      <rPr>
        <sz val="11"/>
        <color rgb="FF000000"/>
        <rFont val="Calibri"/>
        <charset val="134"/>
      </rPr>
      <t>9404.21.0013</t>
    </r>
    <r>
      <rPr>
        <sz val="11"/>
        <color rgb="FF000000"/>
        <rFont val="宋体"/>
        <charset val="134"/>
      </rPr>
      <t>、</t>
    </r>
    <r>
      <rPr>
        <sz val="11"/>
        <color rgb="FF000000"/>
        <rFont val="Calibri"/>
        <charset val="134"/>
      </rPr>
      <t>9404.29.1005</t>
    </r>
    <r>
      <rPr>
        <sz val="11"/>
        <color rgb="FF000000"/>
        <rFont val="宋体"/>
        <charset val="134"/>
      </rPr>
      <t>、</t>
    </r>
    <r>
      <rPr>
        <sz val="11"/>
        <color rgb="FF000000"/>
        <rFont val="Calibri"/>
        <charset val="134"/>
      </rPr>
      <t>9404.29.1013</t>
    </r>
    <r>
      <rPr>
        <sz val="11"/>
        <color rgb="FF000000"/>
        <rFont val="宋体"/>
        <charset val="134"/>
      </rPr>
      <t>、</t>
    </r>
    <r>
      <rPr>
        <sz val="11"/>
        <color rgb="FF000000"/>
        <rFont val="Calibri"/>
        <charset val="134"/>
      </rPr>
      <t xml:space="preserve">9404.29.9085  </t>
    </r>
    <r>
      <rPr>
        <sz val="11"/>
        <color rgb="FF000000"/>
        <rFont val="宋体"/>
        <charset val="134"/>
      </rPr>
      <t>、</t>
    </r>
    <r>
      <rPr>
        <sz val="11"/>
        <color rgb="FF000000"/>
        <rFont val="Calibri"/>
        <charset val="134"/>
      </rPr>
      <t xml:space="preserve"> 9404.29.9087,9404.21.0095</t>
    </r>
    <r>
      <rPr>
        <sz val="11"/>
        <color rgb="FF000000"/>
        <rFont val="宋体"/>
        <charset val="134"/>
      </rPr>
      <t>、</t>
    </r>
    <r>
      <rPr>
        <sz val="11"/>
        <color rgb="FF000000"/>
        <rFont val="Calibri"/>
        <charset val="134"/>
      </rPr>
      <t>9404.29.1095</t>
    </r>
    <r>
      <rPr>
        <sz val="11"/>
        <color rgb="FF000000"/>
        <rFont val="宋体"/>
        <charset val="134"/>
      </rPr>
      <t>、</t>
    </r>
    <r>
      <rPr>
        <sz val="11"/>
        <color rgb="FF000000"/>
        <rFont val="Calibri"/>
        <charset val="134"/>
      </rPr>
      <t>9404.29.9095</t>
    </r>
    <r>
      <rPr>
        <sz val="11"/>
        <color rgb="FF000000"/>
        <rFont val="宋体"/>
        <charset val="134"/>
      </rPr>
      <t>、</t>
    </r>
    <r>
      <rPr>
        <sz val="11"/>
        <color rgb="FF000000"/>
        <rFont val="Calibri"/>
        <charset val="134"/>
      </rPr>
      <t xml:space="preserve">9401.40.0000  </t>
    </r>
    <r>
      <rPr>
        <sz val="11"/>
        <color rgb="FF000000"/>
        <rFont val="宋体"/>
        <charset val="134"/>
      </rPr>
      <t>、</t>
    </r>
    <r>
      <rPr>
        <sz val="11"/>
        <color rgb="FF000000"/>
        <rFont val="Calibri"/>
        <charset val="134"/>
      </rPr>
      <t xml:space="preserve"> 9401.90.5081</t>
    </r>
  </si>
  <si>
    <t>涵盖的产品是所有类型的青少年和成人床垫。术语“床垫”表示至少包括“芯”的材料组件，该“芯”提供床垫的主要支撑系统，可能由内置弹簧、泡沫、其他弹性填充物或这些材料的组合组成。床垫还可能包含 (1) “软垫”，即单面床垫的芯材和垫子顶部面板之间的材料，或双面床垫的芯子和垫子顶部和底部面板之间的材料；和*或 (2) “ticking”，即最外层的织物或其他材料（例如，乙烯基），它包围着核心和任何室内装潢，也称为覆盖物。
该命令的范围仅限于“成人床垫”和“青少年床垫”。“成人床垫”的标称宽度超过 35 英寸，长度超过 72 英寸，深度超过 3 英寸。这种床垫经常被描述为“双床”、“超长双床”、“全”、“女王”、“国王”或“加州国王”床垫。“儿童床垫”的标称宽度超过 27 英寸，长度超过 51 英寸，深度超过 1 英寸（婴儿床床垫从边到边的深度不超过 6 英寸）。这种床垫通常被描述为“婴儿床”、“幼儿”或“青少年”床垫。无论实际尺寸描述如何，都包括所有成人和青少年床垫。
范围包括所有类型的“内置弹簧床垫”、“非内置弹簧床垫”和“混合床垫”。“内置弹簧床垫”包含内置弹簧，一系列金属弹簧连接在一起的尺寸与床垫的尺寸相对应。包含内置弹簧的床垫被称为“内置弹簧床垫”或“混合床垫”。“混合床垫”包含两个或多个支撑系统作为核心，例如记忆泡沫和内置弹簧单元的层。
“非内置弹簧床垫”是指不包含任何内置弹簧单元的床垫。它们通常由泡沫（例如，聚氨酯、记忆（粘弹性）、乳胶泡沫、凝胶注入的粘弹性（凝胶泡沫）、热粘合聚酯、聚乙烯）或其他弹性填充物制成。
本命令范围内的床垫可以作为家具或家具装置的一部分单独进口（例如，可转换沙发床床垫、与沙发床装置一起进口的沙发床床垫、转角组合床垫、沙发床床垫、折叠床床垫、高脚垫、滚床床垫、婴儿床床垫），或作为组合的一部分与“床垫底座”结合使用。“床垫基础”是床垫的任何底座或支撑。床垫底座通常被称为“底座”、“弹簧弹簧”、“平台”和*或“底座”。底座可以是静态的、可折叠的或可调节的。如果作为家具的一部分、家具装置或作为与床垫底座组合的套装的一部分进口，则只有床垫在范围内</t>
  </si>
  <si>
    <t>A-570-020</t>
  </si>
  <si>
    <t>Melamine</t>
  </si>
  <si>
    <t>三聚氰胺</t>
  </si>
  <si>
    <t>2933.61.0000</t>
  </si>
  <si>
    <t>约束的商品是三聚氰胺（Chemical Abstracts Service (“CAS”) 注册号 108-78-01，分子式 C3 H6 N6）。（注 1）三聚氰胺是一种结晶粉末或颗粒，通常（但不限于）用于制造三聚氰胺甲醛树脂。无论纯度、粒度或物理形式如何，所有三聚氰胺都包含在这些订单的范围内。与其他产品混合的三聚氰胺包括在此范围内，当此类共混物包含已混合但尚未相互发生化学反应以产生不同产品的组成部分时。对于此类共混物，仅混合物中的三聚氰胺成分包含在订单范围内。当与来自不受此命令约束的来源的三聚氰胺混合时，不排除在其他方面受命令约束的三聚氰胺。订单范围仅涵盖此类混合产品的主题部</t>
  </si>
  <si>
    <t>C-570-140</t>
  </si>
  <si>
    <t>Mobile Access Equipment and Subassemblies Thereof</t>
  </si>
  <si>
    <t>移动接入设备及其子组件</t>
  </si>
  <si>
    <r>
      <rPr>
        <sz val="11"/>
        <color rgb="FF000000"/>
        <rFont val="Calibri"/>
        <charset val="134"/>
      </rPr>
      <t>8427.10.8020</t>
    </r>
    <r>
      <rPr>
        <sz val="11"/>
        <color rgb="FF000000"/>
        <rFont val="宋体"/>
        <charset val="134"/>
      </rPr>
      <t>、</t>
    </r>
    <r>
      <rPr>
        <sz val="11"/>
        <color rgb="FF000000"/>
        <rFont val="Calibri"/>
        <charset val="134"/>
      </rPr>
      <t>8427.10.8030</t>
    </r>
    <r>
      <rPr>
        <sz val="11"/>
        <color rgb="FF000000"/>
        <rFont val="宋体"/>
        <charset val="134"/>
      </rPr>
      <t>、</t>
    </r>
    <r>
      <rPr>
        <sz val="11"/>
        <color rgb="FF000000"/>
        <rFont val="Calibri"/>
        <charset val="134"/>
      </rPr>
      <t>8427.10.8070</t>
    </r>
    <r>
      <rPr>
        <sz val="11"/>
        <color rgb="FF000000"/>
        <rFont val="宋体"/>
        <charset val="134"/>
      </rPr>
      <t>、</t>
    </r>
    <r>
      <rPr>
        <sz val="11"/>
        <color rgb="FF000000"/>
        <rFont val="Calibri"/>
        <charset val="134"/>
      </rPr>
      <t>8427.10.8095</t>
    </r>
    <r>
      <rPr>
        <sz val="11"/>
        <color rgb="FF000000"/>
        <rFont val="宋体"/>
        <charset val="134"/>
      </rPr>
      <t>、</t>
    </r>
    <r>
      <rPr>
        <sz val="11"/>
        <color rgb="FF000000"/>
        <rFont val="Calibri"/>
        <charset val="134"/>
      </rPr>
      <t>8427.20.8020</t>
    </r>
    <r>
      <rPr>
        <sz val="11"/>
        <color rgb="FF000000"/>
        <rFont val="宋体"/>
        <charset val="134"/>
      </rPr>
      <t>、</t>
    </r>
    <r>
      <rPr>
        <sz val="11"/>
        <color rgb="FF000000"/>
        <rFont val="Calibri"/>
        <charset val="134"/>
      </rPr>
      <t>8427.20.8090</t>
    </r>
    <r>
      <rPr>
        <sz val="11"/>
        <color rgb="FF000000"/>
        <rFont val="宋体"/>
        <charset val="134"/>
      </rPr>
      <t>、</t>
    </r>
    <r>
      <rPr>
        <sz val="11"/>
        <color rgb="FF000000"/>
        <rFont val="Calibri"/>
        <charset val="134"/>
      </rPr>
      <t xml:space="preserve">8427.90.0020  </t>
    </r>
    <r>
      <rPr>
        <sz val="11"/>
        <color rgb="FF000000"/>
        <rFont val="宋体"/>
        <charset val="134"/>
      </rPr>
      <t>、</t>
    </r>
    <r>
      <rPr>
        <sz val="11"/>
        <color rgb="FF000000"/>
        <rFont val="Calibri"/>
        <charset val="134"/>
      </rPr>
      <t xml:space="preserve"> 8427.90.009 </t>
    </r>
    <r>
      <rPr>
        <sz val="11"/>
        <color rgb="FF000000"/>
        <rFont val="宋体"/>
        <charset val="134"/>
      </rPr>
      <t>，</t>
    </r>
    <r>
      <rPr>
        <sz val="11"/>
        <color rgb="FF000000"/>
        <rFont val="Calibri"/>
        <charset val="134"/>
      </rPr>
      <t>8431.20.0000</t>
    </r>
  </si>
  <si>
    <t>商品包括某些移动访问设备，主要包括悬臂式升降机、剪叉式升降机和材料伸缩臂叉装机及其组件。移动式访问设备将移动式（自行式或牵引式）底盘与提升装置（例如剪臂、吊臂组件）相结合，用于机械提升能够达到 10 英尺或更高工作高度的人员、工具和*或材料，除了其他组件外，还有一个耦合器，它为起重设备提供连接点。该命令的范围涵盖移动接入设备及其子组件，无论是成品还是未成品，无论是组装还是未组装，以及设备是否包含提供超出主要提升功能的任何附加功能。
标的商品包括但不限于以下子组件：
剪臂组件或剪臂部分，用于连接底盘和平台组件。这些组件包括：(1) 连接部分以形成剪刀臂组件的销组件，以及 (2) 驱动臂组件伸展和缩回的致动器。这些组件可能还包括也可能不包括允许端部相对于框架和平台、液压软管、电缆和*或其他组件滑动的块；
悬臂组件或悬臂部分，用于连接到悬臂转盘、或底盘组件、或平台组件或提升装置。动臂组件包括伸缩部分，其中最小的部分（或管）可以嵌套在下一个较大的部分（或管）中，并且可以滑出以进行延伸和*或通过销连接的铰接部分。这些组件可能包括也可能不包括销、液压缸、液压软管、电缆和*或其他组件；
底盘总成，用于连接剪臂总成、悬臂总成或悬臂转盘总成。底盘组件包括：(1) 底盘框架，和*或 (2) 框架部分。底盘总成可能包括也可能不包括车轴、轮端部件、转向油缸、发动机总成、变速器、驱动轴、轮胎和车轮、履带和车轮、油箱、液压油箱、电池总成和*或其他部件；
动臂转盘组件，用于连接底盘组件或动臂组件。动臂转盘组件包括转盘框架。动臂转盘组件可能包括也可能不包括发动机组件、回转环、燃料箱、液压油箱、电池组件、配重、罩（外壳）和*或其他部件。
进口任何这些子组件，无论是组装的还是未组装的，均构成本订单中未完成的移动接入设备。
加工完成和未完成的移动访问设备和子组件，例如修整、切割、研磨、开槽、冲孔、纵切、钻孔、焊接、连接、螺栓连接、弯曲、斜切、铆接、小型制造、镀锌、喷漆、涂层、精加工、装配，或在范围内产品的制造国或第三国进行的任何其他处理不会将产品从范围中删除。包含未确定为构成成品或未成品移动接入设备的其他组件不会将产品从范围中删除</t>
  </si>
  <si>
    <t>A-570-992</t>
  </si>
  <si>
    <t>Monosodium Glutamate</t>
  </si>
  <si>
    <t>味精</t>
  </si>
  <si>
    <r>
      <rPr>
        <sz val="11"/>
        <color rgb="FF000000"/>
        <rFont val="Calibri"/>
        <charset val="134"/>
      </rPr>
      <t>2922.42.10.00</t>
    </r>
    <r>
      <rPr>
        <sz val="11"/>
        <color rgb="FF000000"/>
        <rFont val="宋体"/>
        <charset val="134"/>
      </rPr>
      <t>。</t>
    </r>
    <r>
      <rPr>
        <sz val="11"/>
        <color rgb="FF000000"/>
        <rFont val="Calibri"/>
        <charset val="134"/>
      </rPr>
      <t>2922.42.50.00</t>
    </r>
    <r>
      <rPr>
        <sz val="11"/>
        <color rgb="FF000000"/>
        <rFont val="宋体"/>
        <charset val="134"/>
      </rPr>
      <t>、</t>
    </r>
    <r>
      <rPr>
        <sz val="11"/>
        <color rgb="FF000000"/>
        <rFont val="Calibri"/>
        <charset val="134"/>
      </rPr>
      <t>2103.90.72.00</t>
    </r>
    <r>
      <rPr>
        <sz val="11"/>
        <color rgb="FF000000"/>
        <rFont val="宋体"/>
        <charset val="134"/>
      </rPr>
      <t>、</t>
    </r>
    <r>
      <rPr>
        <sz val="11"/>
        <color rgb="FF000000"/>
        <rFont val="Calibri"/>
        <charset val="134"/>
      </rPr>
      <t>2103.90.74.00</t>
    </r>
    <r>
      <rPr>
        <sz val="11"/>
        <color rgb="FF000000"/>
        <rFont val="宋体"/>
        <charset val="134"/>
      </rPr>
      <t>、</t>
    </r>
    <r>
      <rPr>
        <sz val="11"/>
        <color rgb="FF000000"/>
        <rFont val="Calibri"/>
        <charset val="134"/>
      </rPr>
      <t>2103.90.78.00</t>
    </r>
    <r>
      <rPr>
        <sz val="11"/>
        <color rgb="FF000000"/>
        <rFont val="宋体"/>
        <charset val="134"/>
      </rPr>
      <t>、</t>
    </r>
    <r>
      <rPr>
        <sz val="11"/>
        <color rgb="FF000000"/>
        <rFont val="Calibri"/>
        <charset val="134"/>
      </rPr>
      <t xml:space="preserve">2103.90.80.00  </t>
    </r>
    <r>
      <rPr>
        <sz val="11"/>
        <color rgb="FF000000"/>
        <rFont val="宋体"/>
        <charset val="134"/>
      </rPr>
      <t>、</t>
    </r>
    <r>
      <rPr>
        <sz val="11"/>
        <color rgb="FF000000"/>
        <rFont val="Calibri"/>
        <charset val="134"/>
      </rPr>
      <t xml:space="preserve"> 2103.90.90.91</t>
    </r>
    <r>
      <rPr>
        <sz val="11"/>
        <color rgb="FF000000"/>
        <rFont val="宋体"/>
        <charset val="134"/>
      </rPr>
      <t>。</t>
    </r>
  </si>
  <si>
    <t>范围包括谷氨酸钠 (MSG)，无论是否与其他产品混合或溶解。具体而言，当所得混合物含有 15% 或更多的 MSG（按干重计）时，已与其他产品混合或溶解的 MSG 包括在此范围内。可以与味精混合的产品包括但不限于盐、糖、淀粉、麦芽糖糊精和各种调味料。此外，无论物理形式如何（包括但不限于一水合物或无水形式，或作为底物、溶液、任何粒度的干粉或未完成的形式，如 MSG 浆液），MSG 都包括在本调查中，最终使用应用程序或包装。
一水合物形式的味精的分子式为 C5H8NO4Na -H2O，化学文摘社 (CAS) 登记号为 6106-04-3，唯一成分标识符 (UNII) 号为 W81N5U6R6U。无水味精的分子式为 C5H8NO4Na，CAS 登记号为 142-47-2，UNII 号为 C3C196L9FG。</t>
  </si>
  <si>
    <t>A-570-970</t>
  </si>
  <si>
    <t>Multilayered Wood Flooring</t>
  </si>
  <si>
    <t>多层木地板</t>
  </si>
  <si>
    <r>
      <rPr>
        <sz val="11"/>
        <color rgb="FF000000"/>
        <rFont val="Calibri"/>
        <charset val="134"/>
      </rPr>
      <t>4412.31.0520</t>
    </r>
    <r>
      <rPr>
        <sz val="11"/>
        <color rgb="FF000000"/>
        <rFont val="宋体"/>
        <charset val="134"/>
      </rPr>
      <t>；</t>
    </r>
    <r>
      <rPr>
        <sz val="11"/>
        <color rgb="FF000000"/>
        <rFont val="Calibri"/>
        <charset val="134"/>
      </rPr>
      <t>4412.31.0540</t>
    </r>
    <r>
      <rPr>
        <sz val="11"/>
        <color rgb="FF000000"/>
        <rFont val="宋体"/>
        <charset val="134"/>
      </rPr>
      <t>；</t>
    </r>
    <r>
      <rPr>
        <sz val="11"/>
        <color rgb="FF000000"/>
        <rFont val="Calibri"/>
        <charset val="134"/>
      </rPr>
      <t>4412.31.0560</t>
    </r>
    <r>
      <rPr>
        <sz val="11"/>
        <color rgb="FF000000"/>
        <rFont val="宋体"/>
        <charset val="134"/>
      </rPr>
      <t>；</t>
    </r>
    <r>
      <rPr>
        <sz val="11"/>
        <color rgb="FF000000"/>
        <rFont val="Calibri"/>
        <charset val="134"/>
      </rPr>
      <t>4412.31.2510</t>
    </r>
    <r>
      <rPr>
        <sz val="11"/>
        <color rgb="FF000000"/>
        <rFont val="宋体"/>
        <charset val="134"/>
      </rPr>
      <t>；</t>
    </r>
    <r>
      <rPr>
        <sz val="11"/>
        <color rgb="FF000000"/>
        <rFont val="Calibri"/>
        <charset val="134"/>
      </rPr>
      <t>4412.31.2520</t>
    </r>
    <r>
      <rPr>
        <sz val="11"/>
        <color rgb="FF000000"/>
        <rFont val="宋体"/>
        <charset val="134"/>
      </rPr>
      <t>；</t>
    </r>
    <r>
      <rPr>
        <sz val="11"/>
        <color rgb="FF000000"/>
        <rFont val="Calibri"/>
        <charset val="134"/>
      </rPr>
      <t>4412.31.4040</t>
    </r>
    <r>
      <rPr>
        <sz val="11"/>
        <color rgb="FF000000"/>
        <rFont val="宋体"/>
        <charset val="134"/>
      </rPr>
      <t>；</t>
    </r>
    <r>
      <rPr>
        <sz val="11"/>
        <color rgb="FF000000"/>
        <rFont val="Calibri"/>
        <charset val="134"/>
      </rPr>
      <t>4412.31.4050</t>
    </r>
    <r>
      <rPr>
        <sz val="11"/>
        <color rgb="FF000000"/>
        <rFont val="宋体"/>
        <charset val="134"/>
      </rPr>
      <t>；</t>
    </r>
    <r>
      <rPr>
        <sz val="11"/>
        <color rgb="FF000000"/>
        <rFont val="Calibri"/>
        <charset val="134"/>
      </rPr>
      <t>4412.31.4060</t>
    </r>
    <r>
      <rPr>
        <sz val="11"/>
        <color rgb="FF000000"/>
        <rFont val="宋体"/>
        <charset val="134"/>
      </rPr>
      <t>；</t>
    </r>
    <r>
      <rPr>
        <sz val="11"/>
        <color rgb="FF000000"/>
        <rFont val="Calibri"/>
        <charset val="134"/>
      </rPr>
      <t>4412.31.4070</t>
    </r>
    <r>
      <rPr>
        <sz val="11"/>
        <color rgb="FF000000"/>
        <rFont val="宋体"/>
        <charset val="134"/>
      </rPr>
      <t>；</t>
    </r>
    <r>
      <rPr>
        <sz val="11"/>
        <color rgb="FF000000"/>
        <rFont val="Calibri"/>
        <charset val="134"/>
      </rPr>
      <t>4412.31.5125</t>
    </r>
    <r>
      <rPr>
        <sz val="11"/>
        <color rgb="FF000000"/>
        <rFont val="宋体"/>
        <charset val="134"/>
      </rPr>
      <t>；</t>
    </r>
    <r>
      <rPr>
        <sz val="11"/>
        <color rgb="FF000000"/>
        <rFont val="Calibri"/>
        <charset val="134"/>
      </rPr>
      <t>4412.31.5135</t>
    </r>
    <r>
      <rPr>
        <sz val="11"/>
        <color rgb="FF000000"/>
        <rFont val="宋体"/>
        <charset val="134"/>
      </rPr>
      <t>；</t>
    </r>
    <r>
      <rPr>
        <sz val="11"/>
        <color rgb="FF000000"/>
        <rFont val="Calibri"/>
        <charset val="134"/>
      </rPr>
      <t>4412.31.5155</t>
    </r>
    <r>
      <rPr>
        <sz val="11"/>
        <color rgb="FF000000"/>
        <rFont val="宋体"/>
        <charset val="134"/>
      </rPr>
      <t>；</t>
    </r>
    <r>
      <rPr>
        <sz val="11"/>
        <color rgb="FF000000"/>
        <rFont val="Calibri"/>
        <charset val="134"/>
      </rPr>
      <t>4412.31.5165</t>
    </r>
    <r>
      <rPr>
        <sz val="11"/>
        <color rgb="FF000000"/>
        <rFont val="宋体"/>
        <charset val="134"/>
      </rPr>
      <t>；</t>
    </r>
    <r>
      <rPr>
        <sz val="11"/>
        <color rgb="FF000000"/>
        <rFont val="Calibri"/>
        <charset val="134"/>
      </rPr>
      <t>4412.31.6000</t>
    </r>
    <r>
      <rPr>
        <sz val="11"/>
        <color rgb="FF000000"/>
        <rFont val="宋体"/>
        <charset val="134"/>
      </rPr>
      <t>；</t>
    </r>
    <r>
      <rPr>
        <sz val="11"/>
        <color rgb="FF000000"/>
        <rFont val="Calibri"/>
        <charset val="134"/>
      </rPr>
      <t>4412.31.9100</t>
    </r>
    <r>
      <rPr>
        <sz val="11"/>
        <color rgb="FF000000"/>
        <rFont val="宋体"/>
        <charset val="134"/>
      </rPr>
      <t>；</t>
    </r>
    <r>
      <rPr>
        <sz val="11"/>
        <color rgb="FF000000"/>
        <rFont val="Calibri"/>
        <charset val="134"/>
      </rPr>
      <t>4412.32.0520</t>
    </r>
    <r>
      <rPr>
        <sz val="11"/>
        <color rgb="FF000000"/>
        <rFont val="宋体"/>
        <charset val="134"/>
      </rPr>
      <t>；</t>
    </r>
    <r>
      <rPr>
        <sz val="11"/>
        <color rgb="FF000000"/>
        <rFont val="Calibri"/>
        <charset val="134"/>
      </rPr>
      <t>4412.32.0540</t>
    </r>
    <r>
      <rPr>
        <sz val="11"/>
        <color rgb="FF000000"/>
        <rFont val="宋体"/>
        <charset val="134"/>
      </rPr>
      <t>；</t>
    </r>
    <r>
      <rPr>
        <sz val="11"/>
        <color rgb="FF000000"/>
        <rFont val="Calibri"/>
        <charset val="134"/>
      </rPr>
      <t>4412.32.0560</t>
    </r>
    <r>
      <rPr>
        <sz val="11"/>
        <color rgb="FF000000"/>
        <rFont val="宋体"/>
        <charset val="134"/>
      </rPr>
      <t>；</t>
    </r>
    <r>
      <rPr>
        <sz val="11"/>
        <color rgb="FF000000"/>
        <rFont val="Calibri"/>
        <charset val="134"/>
      </rPr>
      <t>4412.32.2510</t>
    </r>
    <r>
      <rPr>
        <sz val="11"/>
        <color rgb="FF000000"/>
        <rFont val="宋体"/>
        <charset val="134"/>
      </rPr>
      <t>；</t>
    </r>
    <r>
      <rPr>
        <sz val="11"/>
        <color rgb="FF000000"/>
        <rFont val="Calibri"/>
        <charset val="134"/>
      </rPr>
      <t>4412.32.2520</t>
    </r>
    <r>
      <rPr>
        <sz val="11"/>
        <color rgb="FF000000"/>
        <rFont val="宋体"/>
        <charset val="134"/>
      </rPr>
      <t>；</t>
    </r>
    <r>
      <rPr>
        <sz val="11"/>
        <color rgb="FF000000"/>
        <rFont val="Calibri"/>
        <charset val="134"/>
      </rPr>
      <t>4412.32.3125</t>
    </r>
    <r>
      <rPr>
        <sz val="11"/>
        <color rgb="FF000000"/>
        <rFont val="宋体"/>
        <charset val="134"/>
      </rPr>
      <t>；</t>
    </r>
    <r>
      <rPr>
        <sz val="11"/>
        <color rgb="FF000000"/>
        <rFont val="Calibri"/>
        <charset val="134"/>
      </rPr>
      <t>4412.32.3135</t>
    </r>
    <r>
      <rPr>
        <sz val="11"/>
        <color rgb="FF000000"/>
        <rFont val="宋体"/>
        <charset val="134"/>
      </rPr>
      <t>；</t>
    </r>
    <r>
      <rPr>
        <sz val="11"/>
        <color rgb="FF000000"/>
        <rFont val="Calibri"/>
        <charset val="134"/>
      </rPr>
      <t>4412.32.3155</t>
    </r>
    <r>
      <rPr>
        <sz val="11"/>
        <color rgb="FF000000"/>
        <rFont val="宋体"/>
        <charset val="134"/>
      </rPr>
      <t>；</t>
    </r>
    <r>
      <rPr>
        <sz val="11"/>
        <color rgb="FF000000"/>
        <rFont val="Calibri"/>
        <charset val="134"/>
      </rPr>
      <t>4412.32.3165</t>
    </r>
    <r>
      <rPr>
        <sz val="11"/>
        <color rgb="FF000000"/>
        <rFont val="宋体"/>
        <charset val="134"/>
      </rPr>
      <t>；</t>
    </r>
    <r>
      <rPr>
        <sz val="11"/>
        <color rgb="FF000000"/>
        <rFont val="Calibri"/>
        <charset val="134"/>
      </rPr>
      <t>4412.32.3175</t>
    </r>
    <r>
      <rPr>
        <sz val="11"/>
        <color rgb="FF000000"/>
        <rFont val="宋体"/>
        <charset val="134"/>
      </rPr>
      <t>；</t>
    </r>
    <r>
      <rPr>
        <sz val="11"/>
        <color rgb="FF000000"/>
        <rFont val="Calibri"/>
        <charset val="134"/>
      </rPr>
      <t>4412.32.3185</t>
    </r>
    <r>
      <rPr>
        <sz val="11"/>
        <color rgb="FF000000"/>
        <rFont val="宋体"/>
        <charset val="134"/>
      </rPr>
      <t>；</t>
    </r>
    <r>
      <rPr>
        <sz val="11"/>
        <color rgb="FF000000"/>
        <rFont val="Calibri"/>
        <charset val="134"/>
      </rPr>
      <t>4412.32.5600</t>
    </r>
    <r>
      <rPr>
        <sz val="11"/>
        <color rgb="FF000000"/>
        <rFont val="宋体"/>
        <charset val="134"/>
      </rPr>
      <t>；</t>
    </r>
    <r>
      <rPr>
        <sz val="11"/>
        <color rgb="FF000000"/>
        <rFont val="Calibri"/>
        <charset val="134"/>
      </rPr>
      <t>4412.39.1000</t>
    </r>
    <r>
      <rPr>
        <sz val="11"/>
        <color rgb="FF000000"/>
        <rFont val="宋体"/>
        <charset val="134"/>
      </rPr>
      <t>；</t>
    </r>
    <r>
      <rPr>
        <sz val="11"/>
        <color rgb="FF000000"/>
        <rFont val="Calibri"/>
        <charset val="134"/>
      </rPr>
      <t>4412.39.3000</t>
    </r>
    <r>
      <rPr>
        <sz val="11"/>
        <color rgb="FF000000"/>
        <rFont val="宋体"/>
        <charset val="134"/>
      </rPr>
      <t>；</t>
    </r>
    <r>
      <rPr>
        <sz val="11"/>
        <color rgb="FF000000"/>
        <rFont val="Calibri"/>
        <charset val="134"/>
      </rPr>
      <t>4412.39.4011</t>
    </r>
    <r>
      <rPr>
        <sz val="11"/>
        <color rgb="FF000000"/>
        <rFont val="宋体"/>
        <charset val="134"/>
      </rPr>
      <t>；</t>
    </r>
    <r>
      <rPr>
        <sz val="11"/>
        <color rgb="FF000000"/>
        <rFont val="Calibri"/>
        <charset val="134"/>
      </rPr>
      <t>4412.39.4012</t>
    </r>
    <r>
      <rPr>
        <sz val="11"/>
        <color rgb="FF000000"/>
        <rFont val="宋体"/>
        <charset val="134"/>
      </rPr>
      <t>；</t>
    </r>
    <r>
      <rPr>
        <sz val="11"/>
        <color rgb="FF000000"/>
        <rFont val="Calibri"/>
        <charset val="134"/>
      </rPr>
      <t>4412.39.4019</t>
    </r>
    <r>
      <rPr>
        <sz val="11"/>
        <color rgb="FF000000"/>
        <rFont val="宋体"/>
        <charset val="134"/>
      </rPr>
      <t>；</t>
    </r>
    <r>
      <rPr>
        <sz val="11"/>
        <color rgb="FF000000"/>
        <rFont val="Calibri"/>
        <charset val="134"/>
      </rPr>
      <t>4412.39.4031</t>
    </r>
    <r>
      <rPr>
        <sz val="11"/>
        <color rgb="FF000000"/>
        <rFont val="宋体"/>
        <charset val="134"/>
      </rPr>
      <t>；</t>
    </r>
    <r>
      <rPr>
        <sz val="11"/>
        <color rgb="FF000000"/>
        <rFont val="Calibri"/>
        <charset val="134"/>
      </rPr>
      <t>4412.39.4032</t>
    </r>
    <r>
      <rPr>
        <sz val="11"/>
        <color rgb="FF000000"/>
        <rFont val="宋体"/>
        <charset val="134"/>
      </rPr>
      <t>；</t>
    </r>
    <r>
      <rPr>
        <sz val="11"/>
        <color rgb="FF000000"/>
        <rFont val="Calibri"/>
        <charset val="134"/>
      </rPr>
      <t>4412.39.4039</t>
    </r>
    <r>
      <rPr>
        <sz val="11"/>
        <color rgb="FF000000"/>
        <rFont val="宋体"/>
        <charset val="134"/>
      </rPr>
      <t>；</t>
    </r>
    <r>
      <rPr>
        <sz val="11"/>
        <color rgb="FF000000"/>
        <rFont val="Calibri"/>
        <charset val="134"/>
      </rPr>
      <t>4412.39.4051</t>
    </r>
    <r>
      <rPr>
        <sz val="11"/>
        <color rgb="FF000000"/>
        <rFont val="宋体"/>
        <charset val="134"/>
      </rPr>
      <t>；</t>
    </r>
    <r>
      <rPr>
        <sz val="11"/>
        <color rgb="FF000000"/>
        <rFont val="Calibri"/>
        <charset val="134"/>
      </rPr>
      <t>4412.39.4052</t>
    </r>
    <r>
      <rPr>
        <sz val="11"/>
        <color rgb="FF000000"/>
        <rFont val="宋体"/>
        <charset val="134"/>
      </rPr>
      <t>；</t>
    </r>
    <r>
      <rPr>
        <sz val="11"/>
        <color rgb="FF000000"/>
        <rFont val="Calibri"/>
        <charset val="134"/>
      </rPr>
      <t>4412.39.4059</t>
    </r>
    <r>
      <rPr>
        <sz val="11"/>
        <color rgb="FF000000"/>
        <rFont val="宋体"/>
        <charset val="134"/>
      </rPr>
      <t>；</t>
    </r>
    <r>
      <rPr>
        <sz val="11"/>
        <color rgb="FF000000"/>
        <rFont val="Calibri"/>
        <charset val="134"/>
      </rPr>
      <t>4412.39.4061</t>
    </r>
    <r>
      <rPr>
        <sz val="11"/>
        <color rgb="FF000000"/>
        <rFont val="宋体"/>
        <charset val="134"/>
      </rPr>
      <t>；</t>
    </r>
    <r>
      <rPr>
        <sz val="11"/>
        <color rgb="FF000000"/>
        <rFont val="Calibri"/>
        <charset val="134"/>
      </rPr>
      <t>4412.39.4062</t>
    </r>
    <r>
      <rPr>
        <sz val="11"/>
        <color rgb="FF000000"/>
        <rFont val="宋体"/>
        <charset val="134"/>
      </rPr>
      <t>；</t>
    </r>
    <r>
      <rPr>
        <sz val="11"/>
        <color rgb="FF000000"/>
        <rFont val="Calibri"/>
        <charset val="134"/>
      </rPr>
      <t>4412.39.4069</t>
    </r>
    <r>
      <rPr>
        <sz val="11"/>
        <color rgb="FF000000"/>
        <rFont val="宋体"/>
        <charset val="134"/>
      </rPr>
      <t>；</t>
    </r>
    <r>
      <rPr>
        <sz val="11"/>
        <color rgb="FF000000"/>
        <rFont val="Calibri"/>
        <charset val="134"/>
      </rPr>
      <t>4412.39.5010</t>
    </r>
    <r>
      <rPr>
        <sz val="11"/>
        <color rgb="FF000000"/>
        <rFont val="宋体"/>
        <charset val="134"/>
      </rPr>
      <t>；</t>
    </r>
    <r>
      <rPr>
        <sz val="11"/>
        <color rgb="FF000000"/>
        <rFont val="Calibri"/>
        <charset val="134"/>
      </rPr>
      <t>4412.39.5030</t>
    </r>
    <r>
      <rPr>
        <sz val="11"/>
        <color rgb="FF000000"/>
        <rFont val="宋体"/>
        <charset val="134"/>
      </rPr>
      <t>；</t>
    </r>
    <r>
      <rPr>
        <sz val="11"/>
        <color rgb="FF000000"/>
        <rFont val="Calibri"/>
        <charset val="134"/>
      </rPr>
      <t>4412.39.5050</t>
    </r>
    <r>
      <rPr>
        <sz val="11"/>
        <color rgb="FF000000"/>
        <rFont val="宋体"/>
        <charset val="134"/>
      </rPr>
      <t>；</t>
    </r>
    <r>
      <rPr>
        <sz val="11"/>
        <color rgb="FF000000"/>
        <rFont val="Calibri"/>
        <charset val="134"/>
      </rPr>
      <t>4412.94.1030</t>
    </r>
    <r>
      <rPr>
        <sz val="11"/>
        <color rgb="FF000000"/>
        <rFont val="宋体"/>
        <charset val="134"/>
      </rPr>
      <t>；</t>
    </r>
    <r>
      <rPr>
        <sz val="11"/>
        <color rgb="FF000000"/>
        <rFont val="Calibri"/>
        <charset val="134"/>
      </rPr>
      <t>4412.94.1050</t>
    </r>
    <r>
      <rPr>
        <sz val="11"/>
        <color rgb="FF000000"/>
        <rFont val="宋体"/>
        <charset val="134"/>
      </rPr>
      <t>；</t>
    </r>
    <r>
      <rPr>
        <sz val="11"/>
        <color rgb="FF000000"/>
        <rFont val="Calibri"/>
        <charset val="134"/>
      </rPr>
      <t>4412.94.3105</t>
    </r>
    <r>
      <rPr>
        <sz val="11"/>
        <color rgb="FF000000"/>
        <rFont val="宋体"/>
        <charset val="134"/>
      </rPr>
      <t>；</t>
    </r>
    <r>
      <rPr>
        <sz val="11"/>
        <color rgb="FF000000"/>
        <rFont val="Calibri"/>
        <charset val="134"/>
      </rPr>
      <t>4412.94.3111</t>
    </r>
    <r>
      <rPr>
        <sz val="11"/>
        <color rgb="FF000000"/>
        <rFont val="宋体"/>
        <charset val="134"/>
      </rPr>
      <t>；</t>
    </r>
    <r>
      <rPr>
        <sz val="11"/>
        <color rgb="FF000000"/>
        <rFont val="Calibri"/>
        <charset val="134"/>
      </rPr>
      <t>4412.94.3121</t>
    </r>
    <r>
      <rPr>
        <sz val="11"/>
        <color rgb="FF000000"/>
        <rFont val="宋体"/>
        <charset val="134"/>
      </rPr>
      <t>；</t>
    </r>
    <r>
      <rPr>
        <sz val="11"/>
        <color rgb="FF000000"/>
        <rFont val="Calibri"/>
        <charset val="134"/>
      </rPr>
      <t>4412</t>
    </r>
    <r>
      <rPr>
        <sz val="11"/>
        <color rgb="FF000000"/>
        <rFont val="宋体"/>
        <charset val="134"/>
      </rPr>
      <t>。</t>
    </r>
    <r>
      <rPr>
        <sz val="11"/>
        <color rgb="FF000000"/>
        <rFont val="Calibri"/>
        <charset val="134"/>
      </rPr>
      <t>94.3131</t>
    </r>
    <r>
      <rPr>
        <sz val="11"/>
        <color rgb="FF000000"/>
        <rFont val="宋体"/>
        <charset val="134"/>
      </rPr>
      <t>；</t>
    </r>
    <r>
      <rPr>
        <sz val="11"/>
        <color rgb="FF000000"/>
        <rFont val="Calibri"/>
        <charset val="134"/>
      </rPr>
      <t>4412.94.3141</t>
    </r>
    <r>
      <rPr>
        <sz val="11"/>
        <color rgb="FF000000"/>
        <rFont val="宋体"/>
        <charset val="134"/>
      </rPr>
      <t>；</t>
    </r>
    <r>
      <rPr>
        <sz val="11"/>
        <color rgb="FF000000"/>
        <rFont val="Calibri"/>
        <charset val="134"/>
      </rPr>
      <t>4412.94.3160</t>
    </r>
    <r>
      <rPr>
        <sz val="11"/>
        <color rgb="FF000000"/>
        <rFont val="宋体"/>
        <charset val="134"/>
      </rPr>
      <t>；</t>
    </r>
    <r>
      <rPr>
        <sz val="11"/>
        <color rgb="FF000000"/>
        <rFont val="Calibri"/>
        <charset val="134"/>
      </rPr>
      <t>4412.94.3171</t>
    </r>
    <r>
      <rPr>
        <sz val="11"/>
        <color rgb="FF000000"/>
        <rFont val="宋体"/>
        <charset val="134"/>
      </rPr>
      <t>；</t>
    </r>
    <r>
      <rPr>
        <sz val="11"/>
        <color rgb="FF000000"/>
        <rFont val="Calibri"/>
        <charset val="134"/>
      </rPr>
      <t>4412.94.4100</t>
    </r>
    <r>
      <rPr>
        <sz val="11"/>
        <color rgb="FF000000"/>
        <rFont val="宋体"/>
        <charset val="134"/>
      </rPr>
      <t>；</t>
    </r>
    <r>
      <rPr>
        <sz val="11"/>
        <color rgb="FF000000"/>
        <rFont val="Calibri"/>
        <charset val="134"/>
      </rPr>
      <t>4412.94.5100</t>
    </r>
    <r>
      <rPr>
        <sz val="11"/>
        <color rgb="FF000000"/>
        <rFont val="宋体"/>
        <charset val="134"/>
      </rPr>
      <t>；</t>
    </r>
    <r>
      <rPr>
        <sz val="11"/>
        <color rgb="FF000000"/>
        <rFont val="Calibri"/>
        <charset val="134"/>
      </rPr>
      <t>4412.94.6000</t>
    </r>
    <r>
      <rPr>
        <sz val="11"/>
        <color rgb="FF000000"/>
        <rFont val="宋体"/>
        <charset val="134"/>
      </rPr>
      <t>；</t>
    </r>
    <r>
      <rPr>
        <sz val="11"/>
        <color rgb="FF000000"/>
        <rFont val="Calibri"/>
        <charset val="134"/>
      </rPr>
      <t>4412.94.7000</t>
    </r>
    <r>
      <rPr>
        <sz val="11"/>
        <color rgb="FF000000"/>
        <rFont val="宋体"/>
        <charset val="134"/>
      </rPr>
      <t>；</t>
    </r>
    <r>
      <rPr>
        <sz val="11"/>
        <color rgb="FF000000"/>
        <rFont val="Calibri"/>
        <charset val="134"/>
      </rPr>
      <t>4412.94.8000</t>
    </r>
    <r>
      <rPr>
        <sz val="11"/>
        <color rgb="FF000000"/>
        <rFont val="宋体"/>
        <charset val="134"/>
      </rPr>
      <t>；</t>
    </r>
    <r>
      <rPr>
        <sz val="11"/>
        <color rgb="FF000000"/>
        <rFont val="Calibri"/>
        <charset val="134"/>
      </rPr>
      <t>4412.94.9000</t>
    </r>
    <r>
      <rPr>
        <sz val="11"/>
        <color rgb="FF000000"/>
        <rFont val="宋体"/>
        <charset val="134"/>
      </rPr>
      <t>；</t>
    </r>
    <r>
      <rPr>
        <sz val="11"/>
        <color rgb="FF000000"/>
        <rFont val="Calibri"/>
        <charset val="134"/>
      </rPr>
      <t>4412.94.9500</t>
    </r>
    <r>
      <rPr>
        <sz val="11"/>
        <color rgb="FF000000"/>
        <rFont val="宋体"/>
        <charset val="134"/>
      </rPr>
      <t>；</t>
    </r>
    <r>
      <rPr>
        <sz val="11"/>
        <color rgb="FF000000"/>
        <rFont val="Calibri"/>
        <charset val="134"/>
      </rPr>
      <t>4412.99.0600</t>
    </r>
    <r>
      <rPr>
        <sz val="11"/>
        <color rgb="FF000000"/>
        <rFont val="宋体"/>
        <charset val="134"/>
      </rPr>
      <t>；</t>
    </r>
    <r>
      <rPr>
        <sz val="11"/>
        <color rgb="FF000000"/>
        <rFont val="Calibri"/>
        <charset val="134"/>
      </rPr>
      <t>4412.99.1020</t>
    </r>
    <r>
      <rPr>
        <sz val="11"/>
        <color rgb="FF000000"/>
        <rFont val="宋体"/>
        <charset val="134"/>
      </rPr>
      <t>；</t>
    </r>
    <r>
      <rPr>
        <sz val="11"/>
        <color rgb="FF000000"/>
        <rFont val="Calibri"/>
        <charset val="134"/>
      </rPr>
      <t>4412.99.1030</t>
    </r>
    <r>
      <rPr>
        <sz val="11"/>
        <color rgb="FF000000"/>
        <rFont val="宋体"/>
        <charset val="134"/>
      </rPr>
      <t>；</t>
    </r>
    <r>
      <rPr>
        <sz val="11"/>
        <color rgb="FF000000"/>
        <rFont val="Calibri"/>
        <charset val="134"/>
      </rPr>
      <t>4412.99.1040</t>
    </r>
    <r>
      <rPr>
        <sz val="11"/>
        <color rgb="FF000000"/>
        <rFont val="宋体"/>
        <charset val="134"/>
      </rPr>
      <t>；</t>
    </r>
    <r>
      <rPr>
        <sz val="11"/>
        <color rgb="FF000000"/>
        <rFont val="Calibri"/>
        <charset val="134"/>
      </rPr>
      <t>4412.99.3110</t>
    </r>
    <r>
      <rPr>
        <sz val="11"/>
        <color rgb="FF000000"/>
        <rFont val="宋体"/>
        <charset val="134"/>
      </rPr>
      <t>；</t>
    </r>
    <r>
      <rPr>
        <sz val="11"/>
        <color rgb="FF000000"/>
        <rFont val="Calibri"/>
        <charset val="134"/>
      </rPr>
      <t>4412.99.3120</t>
    </r>
    <r>
      <rPr>
        <sz val="11"/>
        <color rgb="FF000000"/>
        <rFont val="宋体"/>
        <charset val="134"/>
      </rPr>
      <t>；</t>
    </r>
    <r>
      <rPr>
        <sz val="11"/>
        <color rgb="FF000000"/>
        <rFont val="Calibri"/>
        <charset val="134"/>
      </rPr>
      <t>4412.99.3130</t>
    </r>
    <r>
      <rPr>
        <sz val="11"/>
        <color rgb="FF000000"/>
        <rFont val="宋体"/>
        <charset val="134"/>
      </rPr>
      <t>；</t>
    </r>
    <r>
      <rPr>
        <sz val="11"/>
        <color rgb="FF000000"/>
        <rFont val="Calibri"/>
        <charset val="134"/>
      </rPr>
      <t>4412.99.3140</t>
    </r>
    <r>
      <rPr>
        <sz val="11"/>
        <color rgb="FF000000"/>
        <rFont val="宋体"/>
        <charset val="134"/>
      </rPr>
      <t>；</t>
    </r>
    <r>
      <rPr>
        <sz val="11"/>
        <color rgb="FF000000"/>
        <rFont val="Calibri"/>
        <charset val="134"/>
      </rPr>
      <t>4412.99.3150</t>
    </r>
    <r>
      <rPr>
        <sz val="11"/>
        <color rgb="FF000000"/>
        <rFont val="宋体"/>
        <charset val="134"/>
      </rPr>
      <t>；</t>
    </r>
    <r>
      <rPr>
        <sz val="11"/>
        <color rgb="FF000000"/>
        <rFont val="Calibri"/>
        <charset val="134"/>
      </rPr>
      <t>4412.99.3160</t>
    </r>
    <r>
      <rPr>
        <sz val="11"/>
        <color rgb="FF000000"/>
        <rFont val="宋体"/>
        <charset val="134"/>
      </rPr>
      <t>；</t>
    </r>
    <r>
      <rPr>
        <sz val="11"/>
        <color rgb="FF000000"/>
        <rFont val="Calibri"/>
        <charset val="134"/>
      </rPr>
      <t>4412.99.3170</t>
    </r>
    <r>
      <rPr>
        <sz val="11"/>
        <color rgb="FF000000"/>
        <rFont val="宋体"/>
        <charset val="134"/>
      </rPr>
      <t>；</t>
    </r>
    <r>
      <rPr>
        <sz val="11"/>
        <color rgb="FF000000"/>
        <rFont val="Calibri"/>
        <charset val="134"/>
      </rPr>
      <t>4412.99.4100</t>
    </r>
    <r>
      <rPr>
        <sz val="11"/>
        <color rgb="FF000000"/>
        <rFont val="宋体"/>
        <charset val="134"/>
      </rPr>
      <t>；</t>
    </r>
    <r>
      <rPr>
        <sz val="11"/>
        <color rgb="FF000000"/>
        <rFont val="Calibri"/>
        <charset val="134"/>
      </rPr>
      <t>4412.99.5100</t>
    </r>
    <r>
      <rPr>
        <sz val="11"/>
        <color rgb="FF000000"/>
        <rFont val="宋体"/>
        <charset val="134"/>
      </rPr>
      <t>；</t>
    </r>
    <r>
      <rPr>
        <sz val="11"/>
        <color rgb="FF000000"/>
        <rFont val="Calibri"/>
        <charset val="134"/>
      </rPr>
      <t>4412.99.5710</t>
    </r>
    <r>
      <rPr>
        <sz val="11"/>
        <color rgb="FF000000"/>
        <rFont val="宋体"/>
        <charset val="134"/>
      </rPr>
      <t>；</t>
    </r>
    <r>
      <rPr>
        <sz val="11"/>
        <color rgb="FF000000"/>
        <rFont val="Calibri"/>
        <charset val="134"/>
      </rPr>
      <t>4412.99.6000</t>
    </r>
    <r>
      <rPr>
        <sz val="11"/>
        <color rgb="FF000000"/>
        <rFont val="宋体"/>
        <charset val="134"/>
      </rPr>
      <t>；</t>
    </r>
    <r>
      <rPr>
        <sz val="11"/>
        <color rgb="FF000000"/>
        <rFont val="Calibri"/>
        <charset val="134"/>
      </rPr>
      <t>4412.99.7000</t>
    </r>
    <r>
      <rPr>
        <sz val="11"/>
        <color rgb="FF000000"/>
        <rFont val="宋体"/>
        <charset val="134"/>
      </rPr>
      <t>；</t>
    </r>
    <r>
      <rPr>
        <sz val="11"/>
        <color rgb="FF000000"/>
        <rFont val="Calibri"/>
        <charset val="134"/>
      </rPr>
      <t>4412.99.8000</t>
    </r>
    <r>
      <rPr>
        <sz val="11"/>
        <color rgb="FF000000"/>
        <rFont val="宋体"/>
        <charset val="134"/>
      </rPr>
      <t>；</t>
    </r>
    <r>
      <rPr>
        <sz val="11"/>
        <color rgb="FF000000"/>
        <rFont val="Calibri"/>
        <charset val="134"/>
      </rPr>
      <t>4412.99.9000</t>
    </r>
    <r>
      <rPr>
        <sz val="11"/>
        <color rgb="FF000000"/>
        <rFont val="宋体"/>
        <charset val="134"/>
      </rPr>
      <t>；</t>
    </r>
    <r>
      <rPr>
        <sz val="11"/>
        <color rgb="FF000000"/>
        <rFont val="Calibri"/>
        <charset val="134"/>
      </rPr>
      <t>4412.99.9500</t>
    </r>
    <r>
      <rPr>
        <sz val="11"/>
        <color rgb="FF000000"/>
        <rFont val="宋体"/>
        <charset val="134"/>
      </rPr>
      <t>；</t>
    </r>
    <r>
      <rPr>
        <sz val="11"/>
        <color rgb="FF000000"/>
        <rFont val="Calibri"/>
        <charset val="134"/>
      </rPr>
      <t>4418.71.2000</t>
    </r>
    <r>
      <rPr>
        <sz val="11"/>
        <color rgb="FF000000"/>
        <rFont val="宋体"/>
        <charset val="134"/>
      </rPr>
      <t>；</t>
    </r>
    <r>
      <rPr>
        <sz val="11"/>
        <color rgb="FF000000"/>
        <rFont val="Calibri"/>
        <charset val="134"/>
      </rPr>
      <t>4418.71.9000</t>
    </r>
    <r>
      <rPr>
        <sz val="11"/>
        <color rgb="FF000000"/>
        <rFont val="宋体"/>
        <charset val="134"/>
      </rPr>
      <t>；</t>
    </r>
    <r>
      <rPr>
        <sz val="11"/>
        <color rgb="FF000000"/>
        <rFont val="Calibri"/>
        <charset val="134"/>
      </rPr>
      <t>4418.72.2000</t>
    </r>
    <r>
      <rPr>
        <sz val="11"/>
        <color rgb="FF000000"/>
        <rFont val="宋体"/>
        <charset val="134"/>
      </rPr>
      <t>；</t>
    </r>
    <r>
      <rPr>
        <sz val="11"/>
        <color rgb="FF000000"/>
        <rFont val="Calibri"/>
        <charset val="134"/>
      </rPr>
      <t>4418.72.9500</t>
    </r>
    <r>
      <rPr>
        <sz val="11"/>
        <color rgb="FF000000"/>
        <rFont val="宋体"/>
        <charset val="134"/>
      </rPr>
      <t>；</t>
    </r>
    <r>
      <rPr>
        <sz val="11"/>
        <color rgb="FF000000"/>
        <rFont val="Calibri"/>
        <charset val="134"/>
      </rPr>
      <t xml:space="preserve"> </t>
    </r>
    <r>
      <rPr>
        <sz val="11"/>
        <color rgb="FF000000"/>
        <rFont val="宋体"/>
        <charset val="134"/>
      </rPr>
      <t>、</t>
    </r>
    <r>
      <rPr>
        <sz val="11"/>
        <color rgb="FF000000"/>
        <rFont val="Calibri"/>
        <charset val="134"/>
      </rPr>
      <t xml:space="preserve"> 9801.00.2500</t>
    </r>
    <r>
      <rPr>
        <sz val="11"/>
        <color rgb="FF000000"/>
        <rFont val="宋体"/>
        <charset val="134"/>
      </rPr>
      <t>。</t>
    </r>
    <r>
      <rPr>
        <sz val="11"/>
        <color rgb="FF000000"/>
        <rFont val="Calibri"/>
        <charset val="134"/>
      </rPr>
      <t>4412.99.7000</t>
    </r>
    <r>
      <rPr>
        <sz val="11"/>
        <color rgb="FF000000"/>
        <rFont val="宋体"/>
        <charset val="134"/>
      </rPr>
      <t>；</t>
    </r>
    <r>
      <rPr>
        <sz val="11"/>
        <color rgb="FF000000"/>
        <rFont val="Calibri"/>
        <charset val="134"/>
      </rPr>
      <t>4412.99.8000</t>
    </r>
    <r>
      <rPr>
        <sz val="11"/>
        <color rgb="FF000000"/>
        <rFont val="宋体"/>
        <charset val="134"/>
      </rPr>
      <t>；</t>
    </r>
    <r>
      <rPr>
        <sz val="11"/>
        <color rgb="FF000000"/>
        <rFont val="Calibri"/>
        <charset val="134"/>
      </rPr>
      <t>4412.99.9000</t>
    </r>
    <r>
      <rPr>
        <sz val="11"/>
        <color rgb="FF000000"/>
        <rFont val="宋体"/>
        <charset val="134"/>
      </rPr>
      <t>；</t>
    </r>
    <r>
      <rPr>
        <sz val="11"/>
        <color rgb="FF000000"/>
        <rFont val="Calibri"/>
        <charset val="134"/>
      </rPr>
      <t>4412.99.9500</t>
    </r>
    <r>
      <rPr>
        <sz val="11"/>
        <color rgb="FF000000"/>
        <rFont val="宋体"/>
        <charset val="134"/>
      </rPr>
      <t>；</t>
    </r>
    <r>
      <rPr>
        <sz val="11"/>
        <color rgb="FF000000"/>
        <rFont val="Calibri"/>
        <charset val="134"/>
      </rPr>
      <t>4418.71.2000</t>
    </r>
    <r>
      <rPr>
        <sz val="11"/>
        <color rgb="FF000000"/>
        <rFont val="宋体"/>
        <charset val="134"/>
      </rPr>
      <t>；</t>
    </r>
    <r>
      <rPr>
        <sz val="11"/>
        <color rgb="FF000000"/>
        <rFont val="Calibri"/>
        <charset val="134"/>
      </rPr>
      <t>4418.71.9000</t>
    </r>
    <r>
      <rPr>
        <sz val="11"/>
        <color rgb="FF000000"/>
        <rFont val="宋体"/>
        <charset val="134"/>
      </rPr>
      <t>；</t>
    </r>
    <r>
      <rPr>
        <sz val="11"/>
        <color rgb="FF000000"/>
        <rFont val="Calibri"/>
        <charset val="134"/>
      </rPr>
      <t>4418.72.2000</t>
    </r>
    <r>
      <rPr>
        <sz val="11"/>
        <color rgb="FF000000"/>
        <rFont val="宋体"/>
        <charset val="134"/>
      </rPr>
      <t>；</t>
    </r>
    <r>
      <rPr>
        <sz val="11"/>
        <color rgb="FF000000"/>
        <rFont val="Calibri"/>
        <charset val="134"/>
      </rPr>
      <t>4418.72.9500</t>
    </r>
    <r>
      <rPr>
        <sz val="11"/>
        <color rgb="FF000000"/>
        <rFont val="宋体"/>
        <charset val="134"/>
      </rPr>
      <t>；</t>
    </r>
    <r>
      <rPr>
        <sz val="11"/>
        <color rgb="FF000000"/>
        <rFont val="Calibri"/>
        <charset val="134"/>
      </rPr>
      <t xml:space="preserve"> </t>
    </r>
    <r>
      <rPr>
        <sz val="11"/>
        <color rgb="FF000000"/>
        <rFont val="宋体"/>
        <charset val="134"/>
      </rPr>
      <t>、</t>
    </r>
    <r>
      <rPr>
        <sz val="11"/>
        <color rgb="FF000000"/>
        <rFont val="Calibri"/>
        <charset val="134"/>
      </rPr>
      <t xml:space="preserve"> 9801.00.2500</t>
    </r>
    <r>
      <rPr>
        <sz val="11"/>
        <color rgb="FF000000"/>
        <rFont val="宋体"/>
        <charset val="134"/>
      </rPr>
      <t>。</t>
    </r>
    <r>
      <rPr>
        <sz val="11"/>
        <color rgb="FF000000"/>
        <rFont val="Calibri"/>
        <charset val="134"/>
      </rPr>
      <t>4412.99.7000</t>
    </r>
    <r>
      <rPr>
        <sz val="11"/>
        <color rgb="FF000000"/>
        <rFont val="宋体"/>
        <charset val="134"/>
      </rPr>
      <t>；</t>
    </r>
    <r>
      <rPr>
        <sz val="11"/>
        <color rgb="FF000000"/>
        <rFont val="Calibri"/>
        <charset val="134"/>
      </rPr>
      <t>4412.99.8000</t>
    </r>
    <r>
      <rPr>
        <sz val="11"/>
        <color rgb="FF000000"/>
        <rFont val="宋体"/>
        <charset val="134"/>
      </rPr>
      <t>；</t>
    </r>
    <r>
      <rPr>
        <sz val="11"/>
        <color rgb="FF000000"/>
        <rFont val="Calibri"/>
        <charset val="134"/>
      </rPr>
      <t>4412.99.9000</t>
    </r>
    <r>
      <rPr>
        <sz val="11"/>
        <color rgb="FF000000"/>
        <rFont val="宋体"/>
        <charset val="134"/>
      </rPr>
      <t>；</t>
    </r>
    <r>
      <rPr>
        <sz val="11"/>
        <color rgb="FF000000"/>
        <rFont val="Calibri"/>
        <charset val="134"/>
      </rPr>
      <t>4412.99.9500</t>
    </r>
    <r>
      <rPr>
        <sz val="11"/>
        <color rgb="FF000000"/>
        <rFont val="宋体"/>
        <charset val="134"/>
      </rPr>
      <t>；</t>
    </r>
    <r>
      <rPr>
        <sz val="11"/>
        <color rgb="FF000000"/>
        <rFont val="Calibri"/>
        <charset val="134"/>
      </rPr>
      <t>4418.71.2000</t>
    </r>
    <r>
      <rPr>
        <sz val="11"/>
        <color rgb="FF000000"/>
        <rFont val="宋体"/>
        <charset val="134"/>
      </rPr>
      <t>；</t>
    </r>
    <r>
      <rPr>
        <sz val="11"/>
        <color rgb="FF000000"/>
        <rFont val="Calibri"/>
        <charset val="134"/>
      </rPr>
      <t>4418.71.9000</t>
    </r>
    <r>
      <rPr>
        <sz val="11"/>
        <color rgb="FF000000"/>
        <rFont val="宋体"/>
        <charset val="134"/>
      </rPr>
      <t>；</t>
    </r>
    <r>
      <rPr>
        <sz val="11"/>
        <color rgb="FF000000"/>
        <rFont val="Calibri"/>
        <charset val="134"/>
      </rPr>
      <t>4418.72.2000</t>
    </r>
    <r>
      <rPr>
        <sz val="11"/>
        <color rgb="FF000000"/>
        <rFont val="宋体"/>
        <charset val="134"/>
      </rPr>
      <t>；</t>
    </r>
    <r>
      <rPr>
        <sz val="11"/>
        <color rgb="FF000000"/>
        <rFont val="Calibri"/>
        <charset val="134"/>
      </rPr>
      <t>4418.72.9500</t>
    </r>
    <r>
      <rPr>
        <sz val="11"/>
        <color rgb="FF000000"/>
        <rFont val="宋体"/>
        <charset val="134"/>
      </rPr>
      <t>；</t>
    </r>
    <r>
      <rPr>
        <sz val="11"/>
        <color rgb="FF000000"/>
        <rFont val="Calibri"/>
        <charset val="134"/>
      </rPr>
      <t xml:space="preserve"> </t>
    </r>
    <r>
      <rPr>
        <sz val="11"/>
        <color rgb="FF000000"/>
        <rFont val="宋体"/>
        <charset val="134"/>
      </rPr>
      <t>、</t>
    </r>
    <r>
      <rPr>
        <sz val="11"/>
        <color rgb="FF000000"/>
        <rFont val="Calibri"/>
        <charset val="134"/>
      </rPr>
      <t xml:space="preserve"> 9801.00.2500</t>
    </r>
    <r>
      <rPr>
        <sz val="11"/>
        <color rgb="FF000000"/>
        <rFont val="宋体"/>
        <charset val="134"/>
      </rPr>
      <t>。</t>
    </r>
  </si>
  <si>
    <t xml:space="preserve">
多层木地板由两层或多层木饰面*FN1* 的组装而成。当与芯材组合组装时，单板被称为层板。几层连同芯一起被胶合或以其他方式结合在一起以形成最终组装的产品。多层木地板通常用其他术语来指代，例如“工程木地板”或“胶合板地板”。无论使用何种特定术语，所有符合本文所述描述的产品都旨在包含在主题商品的定义中。
所有多层木地板都包括在标的商品的定义内，不考虑：尺寸（总厚度、面层厚度、背层厚度、芯层厚度和内层厚度；宽度和长度）；用于正面、背面和内贴面的木材种类；核心组成；和面子等级。包含在主题商品定义中的多层木地板可能是未完成的（即，没有最终完成的表面以保护饰面免受磨损）或“预饰面”（即，施加到饰面的涂层，包括但不包括油或油改性或水性聚氨酯、紫外光固化聚氨酯、蜡、环氧酯面漆、湿固化聚氨酯和酸固化甲醛面漆）。单板也可以浸泡在丙烯酸浸渍饰面中。所有多层木地板都包含在标的商品的定义内，无论产品的正面（或背面）是否光滑、钢丝刷过、通过任何方法或多种方法做旧或手工刮擦。此外，所有多层木地板都包含在标的商品的定义内，无论其制造是否具有任何互锁或连接机制（例如，榫槽结构或锁定接头）。无论产品是否符合特定行业或类似标准，所有多层木地板都包含在主题商品的定义内。所有多层木地板都包含在标的商品的定义内，无论产品的正面（或背面）是否光滑、钢丝刷过、通过任何方法或多种方法做旧或手工刮擦。此外，所有多层木地板都包含在标的商品的定义内，无论其制造是否具有任何互锁或连接机制（例如，榫槽结构或锁定接头）。无论产品是否符合特定行业或类似标准，所有多层木地板都包含在主题商品的定义内。所有多层木地板都包含在标的商品的定义内，无论产品的正面（或背面）是否光滑、钢丝刷过、通过任何方法或多种方法做旧或手工刮擦。此外，所有多层木地板都包含在标的商品的定义内，无论其制造是否具有任何互锁或连接机制（例如，榫槽结构或锁定接头）。无论产品是否符合特定行业或类似标准，所有多层木地板都包含在主题商品的定义内。所有多层木地板都包含在标的商品的定义中，无论其制造是否具有任何互锁或连接机制（例如，榫槽结构或锁定接头）。无论产品是否符合特定行业或类似标准，所有多层木地板都包含在主题商品的定义内。所有多层木地板都包含在标的商品的定义中，无论其制造是否具有任何互锁或连接机制（例如，榫槽结构或锁定接头）。无论产品是否符合特定行业或类似标准，所有多层木地板都包含在主题商品的定义内。
多层木地板的芯材可由多种材料组成，包括但不限于硬木或软木单板、刨花板、中密度纤维板、高密度纤维板 (“HDF”)、石材和*或塑料复合材料，或边对边放置的木条。
多层木地板产品通常但不排他地可以是条状、板状或其他几何图案（例如，圆形、六边形）的形式。无论产品的实际或标称尺寸或形式如何，所有多层木地板产品都包含在此定义中。</t>
  </si>
  <si>
    <t>A-570-952</t>
  </si>
  <si>
    <t>Narrow Woven Ribbons With Woven Selvedge</t>
  </si>
  <si>
    <t>织边窄织带</t>
  </si>
  <si>
    <r>
      <rPr>
        <sz val="11"/>
        <color rgb="FF000000"/>
        <rFont val="Calibri"/>
        <charset val="134"/>
      </rPr>
      <t>5806.32.1020</t>
    </r>
    <r>
      <rPr>
        <sz val="11"/>
        <color rgb="FF000000"/>
        <rFont val="宋体"/>
        <charset val="134"/>
      </rPr>
      <t>；</t>
    </r>
    <r>
      <rPr>
        <sz val="11"/>
        <color rgb="FF000000"/>
        <rFont val="Calibri"/>
        <charset val="134"/>
      </rPr>
      <t>5806.32.1030</t>
    </r>
    <r>
      <rPr>
        <sz val="11"/>
        <color rgb="FF000000"/>
        <rFont val="宋体"/>
        <charset val="134"/>
      </rPr>
      <t>；</t>
    </r>
    <r>
      <rPr>
        <sz val="11"/>
        <color rgb="FF000000"/>
        <rFont val="Calibri"/>
        <charset val="134"/>
      </rPr>
      <t xml:space="preserve">5806.32.1050  </t>
    </r>
    <r>
      <rPr>
        <sz val="11"/>
        <color rgb="FF000000"/>
        <rFont val="宋体"/>
        <charset val="134"/>
      </rPr>
      <t>、</t>
    </r>
    <r>
      <rPr>
        <sz val="11"/>
        <color rgb="FF000000"/>
        <rFont val="Calibri"/>
        <charset val="134"/>
      </rPr>
      <t xml:space="preserve"> 5806.32.1060</t>
    </r>
    <r>
      <rPr>
        <sz val="11"/>
        <color rgb="FF000000"/>
        <rFont val="宋体"/>
        <charset val="134"/>
      </rPr>
      <t>，</t>
    </r>
    <r>
      <rPr>
        <sz val="11"/>
        <color rgb="FF000000"/>
        <rFont val="Calibri"/>
        <charset val="134"/>
      </rPr>
      <t>5806.31.00</t>
    </r>
    <r>
      <rPr>
        <sz val="11"/>
        <color rgb="FF000000"/>
        <rFont val="宋体"/>
        <charset val="134"/>
      </rPr>
      <t>；</t>
    </r>
    <r>
      <rPr>
        <sz val="11"/>
        <color rgb="FF000000"/>
        <rFont val="Calibri"/>
        <charset val="134"/>
      </rPr>
      <t>5806.32.20</t>
    </r>
    <r>
      <rPr>
        <sz val="11"/>
        <color rgb="FF000000"/>
        <rFont val="宋体"/>
        <charset val="134"/>
      </rPr>
      <t>；</t>
    </r>
    <r>
      <rPr>
        <sz val="11"/>
        <color rgb="FF000000"/>
        <rFont val="Calibri"/>
        <charset val="134"/>
      </rPr>
      <t>5806.39.20</t>
    </r>
    <r>
      <rPr>
        <sz val="11"/>
        <color rgb="FF000000"/>
        <rFont val="宋体"/>
        <charset val="134"/>
      </rPr>
      <t>；</t>
    </r>
    <r>
      <rPr>
        <sz val="11"/>
        <color rgb="FF000000"/>
        <rFont val="Calibri"/>
        <charset val="134"/>
      </rPr>
      <t>5806.39.30</t>
    </r>
    <r>
      <rPr>
        <sz val="11"/>
        <color rgb="FF000000"/>
        <rFont val="宋体"/>
        <charset val="134"/>
      </rPr>
      <t>；</t>
    </r>
    <r>
      <rPr>
        <sz val="11"/>
        <color rgb="FF000000"/>
        <rFont val="Calibri"/>
        <charset val="134"/>
      </rPr>
      <t>5808.90.00</t>
    </r>
    <r>
      <rPr>
        <sz val="11"/>
        <color rgb="FF000000"/>
        <rFont val="宋体"/>
        <charset val="134"/>
      </rPr>
      <t>；</t>
    </r>
    <r>
      <rPr>
        <sz val="11"/>
        <color rgb="FF000000"/>
        <rFont val="Calibri"/>
        <charset val="134"/>
      </rPr>
      <t>5810.91.00</t>
    </r>
    <r>
      <rPr>
        <sz val="11"/>
        <color rgb="FF000000"/>
        <rFont val="宋体"/>
        <charset val="134"/>
      </rPr>
      <t>；</t>
    </r>
    <r>
      <rPr>
        <sz val="11"/>
        <color rgb="FF000000"/>
        <rFont val="Calibri"/>
        <charset val="134"/>
      </rPr>
      <t>5810.99.90</t>
    </r>
    <r>
      <rPr>
        <sz val="11"/>
        <color rgb="FF000000"/>
        <rFont val="宋体"/>
        <charset val="134"/>
      </rPr>
      <t>；</t>
    </r>
    <r>
      <rPr>
        <sz val="11"/>
        <color rgb="FF000000"/>
        <rFont val="Calibri"/>
        <charset val="134"/>
      </rPr>
      <t>5903.90.10</t>
    </r>
    <r>
      <rPr>
        <sz val="11"/>
        <color rgb="FF000000"/>
        <rFont val="宋体"/>
        <charset val="134"/>
      </rPr>
      <t>；</t>
    </r>
    <r>
      <rPr>
        <sz val="11"/>
        <color rgb="FF000000"/>
        <rFont val="Calibri"/>
        <charset val="134"/>
      </rPr>
      <t>5903.90.25</t>
    </r>
    <r>
      <rPr>
        <sz val="11"/>
        <color rgb="FF000000"/>
        <rFont val="宋体"/>
        <charset val="134"/>
      </rPr>
      <t>；</t>
    </r>
    <r>
      <rPr>
        <sz val="11"/>
        <color rgb="FF000000"/>
        <rFont val="Calibri"/>
        <charset val="134"/>
      </rPr>
      <t>5907.00.60</t>
    </r>
    <r>
      <rPr>
        <sz val="11"/>
        <color rgb="FF000000"/>
        <rFont val="宋体"/>
        <charset val="134"/>
      </rPr>
      <t>；</t>
    </r>
    <r>
      <rPr>
        <sz val="11"/>
        <color rgb="FF000000"/>
        <rFont val="Calibri"/>
        <charset val="134"/>
      </rPr>
      <t xml:space="preserve"> </t>
    </r>
    <r>
      <rPr>
        <sz val="11"/>
        <color rgb="FF000000"/>
        <rFont val="宋体"/>
        <charset val="134"/>
      </rPr>
      <t>、</t>
    </r>
    <r>
      <rPr>
        <sz val="11"/>
        <color rgb="FF000000"/>
        <rFont val="Calibri"/>
        <charset val="134"/>
      </rPr>
      <t xml:space="preserve"> 5907.00.80  </t>
    </r>
    <r>
      <rPr>
        <sz val="11"/>
        <color rgb="FF000000"/>
        <rFont val="宋体"/>
        <charset val="134"/>
      </rPr>
      <t>、</t>
    </r>
    <r>
      <rPr>
        <sz val="11"/>
        <color rgb="FF000000"/>
        <rFont val="Calibri"/>
        <charset val="134"/>
      </rPr>
      <t xml:space="preserve">5806.32.1080 </t>
    </r>
    <r>
      <rPr>
        <sz val="11"/>
        <color rgb="FF000000"/>
        <rFont val="宋体"/>
        <charset val="134"/>
      </rPr>
      <t>；</t>
    </r>
    <r>
      <rPr>
        <sz val="11"/>
        <color rgb="FF000000"/>
        <rFont val="Calibri"/>
        <charset val="134"/>
      </rPr>
      <t>5810.92.9080</t>
    </r>
    <r>
      <rPr>
        <sz val="11"/>
        <color rgb="FF000000"/>
        <rFont val="宋体"/>
        <charset val="134"/>
      </rPr>
      <t>；</t>
    </r>
    <r>
      <rPr>
        <sz val="11"/>
        <color rgb="FF000000"/>
        <rFont val="Calibri"/>
        <charset val="134"/>
      </rPr>
      <t>5903.90.3090</t>
    </r>
    <r>
      <rPr>
        <sz val="11"/>
        <color rgb="FF000000"/>
        <rFont val="宋体"/>
        <charset val="134"/>
      </rPr>
      <t>；</t>
    </r>
    <r>
      <rPr>
        <sz val="11"/>
        <color rgb="FF000000"/>
        <rFont val="Calibri"/>
        <charset val="134"/>
      </rPr>
      <t xml:space="preserve"> </t>
    </r>
    <r>
      <rPr>
        <sz val="11"/>
        <color rgb="FF000000"/>
        <rFont val="宋体"/>
        <charset val="134"/>
      </rPr>
      <t>、</t>
    </r>
    <r>
      <rPr>
        <sz val="11"/>
        <color rgb="FF000000"/>
        <rFont val="Calibri"/>
        <charset val="134"/>
      </rPr>
      <t xml:space="preserve"> 6307.90.9889</t>
    </r>
  </si>
  <si>
    <t xml:space="preserve">订单的范围包括任何长度但宽度（在织带的最窄跨度处测量）小于或等于 12 厘米的带织边的窄织带，全部或部分由人工组成制成的纤维（无论是人造的还是合成的，包括但不限于尼龙、聚酯、人造丝、聚丙烯和聚对苯二甲酸乙二醇酯）、金属线和*或金属化纱线，或它们的任何组合。受订单约束的窄织带可以：
还包括天然或其他非人造纤维；
具有任何颜色、款式、图案或编织结构，包括但不限于单面缎面、双面缎面、罗缎、透明纱、塔夫绸、斜纹布、提花或两种或多种颜色、款式、图案的组合和*或编织结构；
已经经过各种处理，或由经过各种处理的材料组成，包括但不限于染色、印花、烫金、压花、植绒、涂层和*或上浆；
有装饰，包括但不限于贴花、流苏、刺绣、纽扣、闪光、亮片、层压板和*或背胶；
在带的纵向边缘中、之上或沿带的纵向边缘具有线和*或单丝；
具有任何形状或尺寸的端部，包括但不限于垂直于条带纵向边缘的直端、锥形端部、喇叭形端部或成形端部，并且此类编织条带的端部可以或可以不卷边；
具有直的或任何形状的纵向边缘，并且这种编织带的纵向边缘可以或可以不彼此平行；
由固定在类似丝带和*或切边编织丝带上的丝带组成，这种结构也称为“装饰性装饰”；
绕在卷轴上；附在卡片上；绞缠（即盘绕或捆扎）；包装在盒子、托盘或袋子中；或配置为绞线、球、小船或折叠；和*或
包含在套件或套装中，例如与其他产品包装时，包括但不限于礼品袋、礼品盒和*或其他类型的丝带。
受该命令约束的窄织带包括所有属于反倾销税命令范围的书面描述范围内的窄织布、胶带和标签。
下列产品不包括在订单范围内：
(1) 由带有织边的窄织带组成的蝴蝶结；
(2) “拉弓”（即相互连接、折叠平整并配备有装置通过拉动固定在该组合上的一段材料将此类带形成弓形的装置）组成的“拉弓”窄织带；
(3) 窄织带包含至少 20% 重量的弹性纱（即长丝纱，包括单丝，由合成纺织材料制成，变形纱除外，在拉伸到其原始长度的三倍时不会断裂，并且在延长到原来长度的两倍后，在五分钟内恢复到不大于（HTSUS，第 XI 节，注 13）或橡皮线定义的原来长度的一倍半的长度；
（ 4) 用于制造打字机或打印机色带的窄织带；
(5) 窄织标签和服装胶带，定长或定形，具有一定长度（沿最长边测量时） - 到边缘跨度）不超过 8 厘米；
(6) 带有编织边的窄编织带连接并形成礼品袋的提手；
(7) 切边窄织带 将宽幅机织织物切割成条带，经过或不经过处理以防止织带的纵向边缘磨损（例如通过缝合、层压、声波粘合、熔合、上胶或打蜡），并且有或没有沿着带子的纵向边缘纵向延伸的金属丝；
(8) 窄织带包含至少 85%（按重量计）具有 225 旦或更高旦尼尔的线；
(9) 由起绒织物构成的窄织带（即，具有由从织物主体竖起的纱线簇或毛圈形成的表面效果的织物）；
(10) 窄织带作为装饰细节附在非标的商品上，如礼品袋、礼盒、礼品罐、贺卡或毛绒玩具，或作为装饰附在（包括打结）包含非标的商品的包装细节；
(11) 窄织带，它 (a) 作为此类非标的商品的工作组件固定在非标的商品上，例如窄织带包括服装饰边、书签、包束带或身份的一部分持卡人，或 (b) 作为工作部件固定（包括捆绑）到非主题商品上，用于保存或包装此类非主题商品，或将包装或标签附在此类非主题商品上，例如“腹带”围绕着睡衣、袜子或毯子；
(12) 窄织带，包括附在服装上并与服装一起进口的腰带，无论该腰带是否可从该服装上取下；(
13) 包含在非主题商品套件中的窄织带，例如节日装饰品工艺套件或剪贴簿套件，其中套件中包含的单个窄织带长度均不大于 8 英寸，套件中包含的窄织带总长度不超过 48 线性英寸，套件中包含的窄织带均不在卷轴上，并且窄织带（ s) 只是套件中包含的多个项目之一。
</t>
  </si>
  <si>
    <t>A-570-912</t>
  </si>
  <si>
    <t>New Pneumatic Off-The-Road Tires</t>
  </si>
  <si>
    <t>新型气动越野轮胎</t>
  </si>
  <si>
    <r>
      <rPr>
        <sz val="11"/>
        <color rgb="FF000000"/>
        <rFont val="Calibri"/>
        <charset val="134"/>
      </rPr>
      <t>4011.20.10.25</t>
    </r>
    <r>
      <rPr>
        <sz val="11"/>
        <color rgb="FF000000"/>
        <rFont val="宋体"/>
        <charset val="134"/>
      </rPr>
      <t>、</t>
    </r>
    <r>
      <rPr>
        <sz val="11"/>
        <color rgb="FF000000"/>
        <rFont val="Calibri"/>
        <charset val="134"/>
      </rPr>
      <t>4011.20.10.35</t>
    </r>
    <r>
      <rPr>
        <sz val="11"/>
        <color rgb="FF000000"/>
        <rFont val="宋体"/>
        <charset val="134"/>
      </rPr>
      <t>、</t>
    </r>
    <r>
      <rPr>
        <sz val="11"/>
        <color rgb="FF000000"/>
        <rFont val="Calibri"/>
        <charset val="134"/>
      </rPr>
      <t>4011.20.50.30</t>
    </r>
    <r>
      <rPr>
        <sz val="11"/>
        <color rgb="FF000000"/>
        <rFont val="宋体"/>
        <charset val="134"/>
      </rPr>
      <t>、</t>
    </r>
    <r>
      <rPr>
        <sz val="11"/>
        <color rgb="FF000000"/>
        <rFont val="Calibri"/>
        <charset val="134"/>
      </rPr>
      <t>4011.20.50.50</t>
    </r>
    <r>
      <rPr>
        <sz val="11"/>
        <color rgb="FF000000"/>
        <rFont val="宋体"/>
        <charset val="134"/>
      </rPr>
      <t>、</t>
    </r>
    <r>
      <rPr>
        <sz val="11"/>
        <color rgb="FF000000"/>
        <rFont val="Calibri"/>
        <charset val="134"/>
      </rPr>
      <t>4011.61.00.00</t>
    </r>
    <r>
      <rPr>
        <sz val="11"/>
        <color rgb="FF000000"/>
        <rFont val="宋体"/>
        <charset val="134"/>
      </rPr>
      <t>、</t>
    </r>
    <r>
      <rPr>
        <sz val="11"/>
        <color rgb="FF000000"/>
        <rFont val="Calibri"/>
        <charset val="134"/>
      </rPr>
      <t>4011.62.00.00</t>
    </r>
    <r>
      <rPr>
        <sz val="11"/>
        <color rgb="FF000000"/>
        <rFont val="宋体"/>
        <charset val="134"/>
      </rPr>
      <t>、</t>
    </r>
    <r>
      <rPr>
        <sz val="11"/>
        <color rgb="FF000000"/>
        <rFont val="Calibri"/>
        <charset val="134"/>
      </rPr>
      <t>40141.63</t>
    </r>
    <r>
      <rPr>
        <sz val="11"/>
        <color rgb="FF000000"/>
        <rFont val="宋体"/>
        <charset val="134"/>
      </rPr>
      <t>。</t>
    </r>
    <r>
      <rPr>
        <sz val="11"/>
        <color rgb="FF000000"/>
        <rFont val="Calibri"/>
        <charset val="134"/>
      </rPr>
      <t xml:space="preserve"> .00.00</t>
    </r>
    <r>
      <rPr>
        <sz val="11"/>
        <color rgb="FF000000"/>
        <rFont val="宋体"/>
        <charset val="134"/>
      </rPr>
      <t>、</t>
    </r>
    <r>
      <rPr>
        <sz val="11"/>
        <color rgb="FF000000"/>
        <rFont val="Calibri"/>
        <charset val="134"/>
      </rPr>
      <t>4011.92.00.00</t>
    </r>
    <r>
      <rPr>
        <sz val="11"/>
        <color rgb="FF000000"/>
        <rFont val="宋体"/>
        <charset val="134"/>
      </rPr>
      <t>、</t>
    </r>
    <r>
      <rPr>
        <sz val="11"/>
        <color rgb="FF000000"/>
        <rFont val="Calibri"/>
        <charset val="134"/>
      </rPr>
      <t>4011.93.40.00</t>
    </r>
    <r>
      <rPr>
        <sz val="11"/>
        <color rgb="FF000000"/>
        <rFont val="宋体"/>
        <charset val="134"/>
      </rPr>
      <t>、</t>
    </r>
    <r>
      <rPr>
        <sz val="11"/>
        <color rgb="FF000000"/>
        <rFont val="Calibri"/>
        <charset val="134"/>
      </rPr>
      <t>4011.93.80.00</t>
    </r>
    <r>
      <rPr>
        <sz val="11"/>
        <color rgb="FF000000"/>
        <rFont val="宋体"/>
        <charset val="134"/>
      </rPr>
      <t>、</t>
    </r>
    <r>
      <rPr>
        <sz val="11"/>
        <color rgb="FF000000"/>
        <rFont val="Calibri"/>
        <charset val="134"/>
      </rPr>
      <t xml:space="preserve">4011.94.40.00  </t>
    </r>
    <r>
      <rPr>
        <sz val="11"/>
        <color rgb="FF000000"/>
        <rFont val="宋体"/>
        <charset val="134"/>
      </rPr>
      <t>、</t>
    </r>
    <r>
      <rPr>
        <sz val="11"/>
        <color rgb="FF000000"/>
        <rFont val="Calibri"/>
        <charset val="134"/>
      </rPr>
      <t xml:space="preserve"> 4011.94.80.00</t>
    </r>
    <r>
      <rPr>
        <sz val="11"/>
        <color rgb="FF000000"/>
        <rFont val="宋体"/>
        <charset val="134"/>
      </rPr>
      <t>。</t>
    </r>
    <r>
      <rPr>
        <sz val="11"/>
        <color rgb="FF000000"/>
        <rFont val="Calibri"/>
        <charset val="134"/>
      </rPr>
      <t xml:space="preserve">(“HTSUS”) </t>
    </r>
    <r>
      <rPr>
        <sz val="11"/>
        <color rgb="FF000000"/>
        <rFont val="宋体"/>
        <charset val="134"/>
      </rPr>
      <t>子标题：</t>
    </r>
    <r>
      <rPr>
        <sz val="11"/>
        <color rgb="FF000000"/>
        <rFont val="Calibri"/>
        <charset val="134"/>
      </rPr>
      <t>4011.20.10.25</t>
    </r>
    <r>
      <rPr>
        <sz val="11"/>
        <color rgb="FF000000"/>
        <rFont val="宋体"/>
        <charset val="134"/>
      </rPr>
      <t>、</t>
    </r>
    <r>
      <rPr>
        <sz val="11"/>
        <color rgb="FF000000"/>
        <rFont val="Calibri"/>
        <charset val="134"/>
      </rPr>
      <t>4011.20.10.35</t>
    </r>
    <r>
      <rPr>
        <sz val="11"/>
        <color rgb="FF000000"/>
        <rFont val="宋体"/>
        <charset val="134"/>
      </rPr>
      <t>、</t>
    </r>
    <r>
      <rPr>
        <sz val="11"/>
        <color rgb="FF000000"/>
        <rFont val="Calibri"/>
        <charset val="134"/>
      </rPr>
      <t>4011.20.50.30</t>
    </r>
    <r>
      <rPr>
        <sz val="11"/>
        <color rgb="FF000000"/>
        <rFont val="宋体"/>
        <charset val="134"/>
      </rPr>
      <t>、</t>
    </r>
    <r>
      <rPr>
        <sz val="11"/>
        <color rgb="FF000000"/>
        <rFont val="Calibri"/>
        <charset val="134"/>
      </rPr>
      <t>4011.20.50.50</t>
    </r>
    <r>
      <rPr>
        <sz val="11"/>
        <color rgb="FF000000"/>
        <rFont val="宋体"/>
        <charset val="134"/>
      </rPr>
      <t>、</t>
    </r>
    <r>
      <rPr>
        <sz val="11"/>
        <color rgb="FF000000"/>
        <rFont val="Calibri"/>
        <charset val="134"/>
      </rPr>
      <t>4011.61.00.00</t>
    </r>
    <r>
      <rPr>
        <sz val="11"/>
        <color rgb="FF000000"/>
        <rFont val="宋体"/>
        <charset val="134"/>
      </rPr>
      <t>、</t>
    </r>
    <r>
      <rPr>
        <sz val="11"/>
        <color rgb="FF000000"/>
        <rFont val="Calibri"/>
        <charset val="134"/>
      </rPr>
      <t>4011.62.00.00</t>
    </r>
    <r>
      <rPr>
        <sz val="11"/>
        <color rgb="FF000000"/>
        <rFont val="宋体"/>
        <charset val="134"/>
      </rPr>
      <t>、</t>
    </r>
    <r>
      <rPr>
        <sz val="11"/>
        <color rgb="FF000000"/>
        <rFont val="Calibri"/>
        <charset val="134"/>
      </rPr>
      <t>40141.63</t>
    </r>
    <r>
      <rPr>
        <sz val="11"/>
        <color rgb="FF000000"/>
        <rFont val="宋体"/>
        <charset val="134"/>
      </rPr>
      <t>。</t>
    </r>
    <r>
      <rPr>
        <sz val="11"/>
        <color rgb="FF000000"/>
        <rFont val="Calibri"/>
        <charset val="134"/>
      </rPr>
      <t xml:space="preserve"> .00.00</t>
    </r>
    <r>
      <rPr>
        <sz val="11"/>
        <color rgb="FF000000"/>
        <rFont val="宋体"/>
        <charset val="134"/>
      </rPr>
      <t>、</t>
    </r>
    <r>
      <rPr>
        <sz val="11"/>
        <color rgb="FF000000"/>
        <rFont val="Calibri"/>
        <charset val="134"/>
      </rPr>
      <t>4011.92.00.00</t>
    </r>
    <r>
      <rPr>
        <sz val="11"/>
        <color rgb="FF000000"/>
        <rFont val="宋体"/>
        <charset val="134"/>
      </rPr>
      <t>、</t>
    </r>
    <r>
      <rPr>
        <sz val="11"/>
        <color rgb="FF000000"/>
        <rFont val="Calibri"/>
        <charset val="134"/>
      </rPr>
      <t>4011.93.40.00</t>
    </r>
    <r>
      <rPr>
        <sz val="11"/>
        <color rgb="FF000000"/>
        <rFont val="宋体"/>
        <charset val="134"/>
      </rPr>
      <t>、</t>
    </r>
    <r>
      <rPr>
        <sz val="11"/>
        <color rgb="FF000000"/>
        <rFont val="Calibri"/>
        <charset val="134"/>
      </rPr>
      <t>4011.93.80.00</t>
    </r>
    <r>
      <rPr>
        <sz val="11"/>
        <color rgb="FF000000"/>
        <rFont val="宋体"/>
        <charset val="134"/>
      </rPr>
      <t>、</t>
    </r>
    <r>
      <rPr>
        <sz val="11"/>
        <color rgb="FF000000"/>
        <rFont val="Calibri"/>
        <charset val="134"/>
      </rPr>
      <t xml:space="preserve">4011.94.40.00  </t>
    </r>
    <r>
      <rPr>
        <sz val="11"/>
        <color rgb="FF000000"/>
        <rFont val="宋体"/>
        <charset val="134"/>
      </rPr>
      <t>、</t>
    </r>
    <r>
      <rPr>
        <sz val="11"/>
        <color rgb="FF000000"/>
        <rFont val="Calibri"/>
        <charset val="134"/>
      </rPr>
      <t xml:space="preserve"> 4011.94.80.00</t>
    </r>
    <r>
      <rPr>
        <sz val="11"/>
        <color rgb="FF000000"/>
        <rFont val="宋体"/>
        <charset val="134"/>
      </rPr>
      <t>。</t>
    </r>
    <r>
      <rPr>
        <sz val="11"/>
        <color rgb="FF000000"/>
        <rFont val="Calibri"/>
        <charset val="134"/>
      </rPr>
      <t xml:space="preserve"> (“HTSUS”) </t>
    </r>
    <r>
      <rPr>
        <sz val="11"/>
        <color rgb="FF000000"/>
        <rFont val="宋体"/>
        <charset val="134"/>
      </rPr>
      <t>子标题：</t>
    </r>
    <r>
      <rPr>
        <sz val="11"/>
        <color rgb="FF000000"/>
        <rFont val="Calibri"/>
        <charset val="134"/>
      </rPr>
      <t>4011.20.10.25</t>
    </r>
    <r>
      <rPr>
        <sz val="11"/>
        <color rgb="FF000000"/>
        <rFont val="宋体"/>
        <charset val="134"/>
      </rPr>
      <t>、</t>
    </r>
    <r>
      <rPr>
        <sz val="11"/>
        <color rgb="FF000000"/>
        <rFont val="Calibri"/>
        <charset val="134"/>
      </rPr>
      <t>4011.20.10.35</t>
    </r>
    <r>
      <rPr>
        <sz val="11"/>
        <color rgb="FF000000"/>
        <rFont val="宋体"/>
        <charset val="134"/>
      </rPr>
      <t>、</t>
    </r>
    <r>
      <rPr>
        <sz val="11"/>
        <color rgb="FF000000"/>
        <rFont val="Calibri"/>
        <charset val="134"/>
      </rPr>
      <t>4011.20.50.30</t>
    </r>
    <r>
      <rPr>
        <sz val="11"/>
        <color rgb="FF000000"/>
        <rFont val="宋体"/>
        <charset val="134"/>
      </rPr>
      <t>、</t>
    </r>
    <r>
      <rPr>
        <sz val="11"/>
        <color rgb="FF000000"/>
        <rFont val="Calibri"/>
        <charset val="134"/>
      </rPr>
      <t>4011.20.50.50</t>
    </r>
    <r>
      <rPr>
        <sz val="11"/>
        <color rgb="FF000000"/>
        <rFont val="宋体"/>
        <charset val="134"/>
      </rPr>
      <t>、</t>
    </r>
    <r>
      <rPr>
        <sz val="11"/>
        <color rgb="FF000000"/>
        <rFont val="Calibri"/>
        <charset val="134"/>
      </rPr>
      <t>4011.61.00.00</t>
    </r>
    <r>
      <rPr>
        <sz val="11"/>
        <color rgb="FF000000"/>
        <rFont val="宋体"/>
        <charset val="134"/>
      </rPr>
      <t>、</t>
    </r>
    <r>
      <rPr>
        <sz val="11"/>
        <color rgb="FF000000"/>
        <rFont val="Calibri"/>
        <charset val="134"/>
      </rPr>
      <t>4011.62.00.00</t>
    </r>
    <r>
      <rPr>
        <sz val="11"/>
        <color rgb="FF000000"/>
        <rFont val="宋体"/>
        <charset val="134"/>
      </rPr>
      <t>、</t>
    </r>
    <r>
      <rPr>
        <sz val="11"/>
        <color rgb="FF000000"/>
        <rFont val="Calibri"/>
        <charset val="134"/>
      </rPr>
      <t>40141.63</t>
    </r>
    <r>
      <rPr>
        <sz val="11"/>
        <color rgb="FF000000"/>
        <rFont val="宋体"/>
        <charset val="134"/>
      </rPr>
      <t>。</t>
    </r>
    <r>
      <rPr>
        <sz val="11"/>
        <color rgb="FF000000"/>
        <rFont val="Calibri"/>
        <charset val="134"/>
      </rPr>
      <t xml:space="preserve"> .00.00</t>
    </r>
    <r>
      <rPr>
        <sz val="11"/>
        <color rgb="FF000000"/>
        <rFont val="宋体"/>
        <charset val="134"/>
      </rPr>
      <t>、</t>
    </r>
    <r>
      <rPr>
        <sz val="11"/>
        <color rgb="FF000000"/>
        <rFont val="Calibri"/>
        <charset val="134"/>
      </rPr>
      <t>4011.92.00.00</t>
    </r>
    <r>
      <rPr>
        <sz val="11"/>
        <color rgb="FF000000"/>
        <rFont val="宋体"/>
        <charset val="134"/>
      </rPr>
      <t>、</t>
    </r>
    <r>
      <rPr>
        <sz val="11"/>
        <color rgb="FF000000"/>
        <rFont val="Calibri"/>
        <charset val="134"/>
      </rPr>
      <t>4011.93.40.00</t>
    </r>
    <r>
      <rPr>
        <sz val="11"/>
        <color rgb="FF000000"/>
        <rFont val="宋体"/>
        <charset val="134"/>
      </rPr>
      <t>、</t>
    </r>
    <r>
      <rPr>
        <sz val="11"/>
        <color rgb="FF000000"/>
        <rFont val="Calibri"/>
        <charset val="134"/>
      </rPr>
      <t>4011.93.80.00</t>
    </r>
    <r>
      <rPr>
        <sz val="11"/>
        <color rgb="FF000000"/>
        <rFont val="宋体"/>
        <charset val="134"/>
      </rPr>
      <t>、</t>
    </r>
    <r>
      <rPr>
        <sz val="11"/>
        <color rgb="FF000000"/>
        <rFont val="Calibri"/>
        <charset val="134"/>
      </rPr>
      <t xml:space="preserve">4011.94.40.00  </t>
    </r>
    <r>
      <rPr>
        <sz val="11"/>
        <color rgb="FF000000"/>
        <rFont val="宋体"/>
        <charset val="134"/>
      </rPr>
      <t>、</t>
    </r>
    <r>
      <rPr>
        <sz val="11"/>
        <color rgb="FF000000"/>
        <rFont val="Calibri"/>
        <charset val="134"/>
      </rPr>
      <t xml:space="preserve"> 4011.94.80.00</t>
    </r>
    <r>
      <rPr>
        <sz val="11"/>
        <color rgb="FF000000"/>
        <rFont val="宋体"/>
        <charset val="134"/>
      </rPr>
      <t>。。</t>
    </r>
    <r>
      <rPr>
        <sz val="11"/>
        <color rgb="FF000000"/>
        <rFont val="Calibri"/>
        <charset val="134"/>
      </rPr>
      <t xml:space="preserve">4011.20.10.35, 4011.20.50.30, 4011.20.50.50, 4011.61.00.00, 4011.62.00.00, 4011.63.00.00, 4011.69.00.00, 4011.92.00.00, 4011.93.40.00, 4011.93.80.00, 4011.94.40.00, and 4011.94.80.00. </t>
    </r>
    <r>
      <rPr>
        <sz val="11"/>
        <color rgb="FF000000"/>
        <rFont val="宋体"/>
        <charset val="134"/>
      </rPr>
      <t>述是决定性的。</t>
    </r>
    <r>
      <rPr>
        <sz val="11"/>
        <color rgb="FF000000"/>
        <rFont val="Calibri"/>
        <charset val="134"/>
      </rPr>
      <t>4011.20.10.35, 4011.20.50.30, 4011.20.50.50, 4011.61.00.00, 4011.62.00.00, 4011.63.00.00, 4011.69.00.00, 4011.92.00.00, 4011.93.40.00, 4011.93.80.00, 4011.94.40.00, and 4011.94.80.00.</t>
    </r>
  </si>
  <si>
    <t>产品是专为越野 (OTR) 和非公路使用而设计的新型充气轮胎，但下面列出的例外情况除外。某些 OTR 轮胎通常设计、制造和销售用于越野或非公路路面，包括但不限于农田、森林、建筑工地、工厂和仓库内部、机场停机坪、港口和港口，矿山、采石场、砾石场和钢铁厂。某些 OTR 轮胎设计使用的车辆和设备包括但不限于： (1) 农业和林业车辆和设备，包括农用拖拉机，农用拖拉机是双轴车辆，通常设计用于在田间牵引农业设备，并且前轮胎的尺寸可能与后轮胎的尺寸不同。联合收割机，联合收割机用于收割玉米或小麦等农作物。农业高间隙喷雾器，农业喷雾器用于灌溉农田工业拖拉机，工业拖拉机是双轴车辆，通常设计用于牵引工业设备，并且前轮胎的尺寸可能与后轮胎不同。原木集材机，原木集材机有一个抓斗提升臂，用于抓取、提升和移动被砍伐的树木到卡车或拖车上，以便运输到工厂或其他目的地。农机具、公路牵引机具、农业伐木、和农业、工业、滑移转向*小型装载机；滑移装载机是四轮驱动车辆，左侧驱动轮独立于右侧驱动轮，提升臂位于驾驶员旁边，主要枢轴点位于驾驶员肩部后面。滑移装载机用于农业、建筑和工业环境。(2) 建筑车辆和设备，包括推土机铰接式自卸产品、刚性框架运输卡车、运输卡车，可以是刚性框架或铰接式（即能够在中间弯曲），通常用于矿山、采石场和建筑工地拖运土壤、骨料、开采的矿石或碎片。前端装载机，前端装载机在车辆前方有提升臂。他们可以将材料从一个位置刮到另一个位置，将材料装入桶中，或将材料装载到卡车或拖车中。推土机，推土机是一种带有推土铲的大型四轮车辆，通常用于在建筑工地周围推入大量土壤、沙子、碎石等。它们还可用于在道路建设中进行“粗分级”。起重卡车，跨运车，跨运车是一种刚性框架，发动机驱动的机器，用于从集装箱船装载和卸载集装箱，并将它们装载到（或从）拖拉机拖车上。平地机，平地机是一种带有大刀片的车辆，用于产生平坦的表面。分级机通常用于执行“完成分级”。平地机通常用于维护未铺砌的道路和道路建设，以准备将铺设沥青或其他铺路材料的基层。移动式起重机，即
压实机；(3) 工业车辆和设备，包括光面、工业、采矿、平衡重式叉车、光面以外的工矿车辆、滑移转向*小型装载机和光面越野平衡重式叉车。平衡重式叉车是一种刚性框架、发动机驱动的机器，带有提升臂，在机器后部装有额外的重量，以抵消或平衡其提升的负载的重量，从而防止车辆倾覆。平衡重式叉车的一个例子是平衡重式叉车。平衡重式叉车可设计用于光滑的地板表面，例如工厂或仓库，或其他表面，例如建筑工地、矿山等。上述车辆和设备列表通常具有共同点，即它们用于在农业、建筑和工业环境中牵引、牵引、提升和*或装载各种设备和材料。此类车辆和设备以及脚注中包含的说明说明了使用某些 OTR 轮胎的车辆和设备的类型，但不一定包罗万象。虽然某些 OTR 轮胎的物理特性会根据轮胎设计的特定应用和条件（例如胎面花纹和深度）而有所不同，但该范围内的所有轮胎都有一个共同点，即它们都是为越野而设计的和非公路使用。除下文讨论外，OTR 轮胎的尺寸（轮辋直径）范围一般包括但不限于 8 英寸至 54 英寸。轮胎可以是内胎式的。或无内胎，径向或非径向，并打算出售给原始设备制造商或更换市场</t>
  </si>
  <si>
    <t>A-570-875</t>
  </si>
  <si>
    <t>Non-Malleable Cast Iron Pipe Fittings</t>
  </si>
  <si>
    <t>不可锻铸铁管件</t>
  </si>
  <si>
    <r>
      <rPr>
        <sz val="11"/>
        <color rgb="FF000000"/>
        <rFont val="Calibri"/>
        <charset val="134"/>
      </rPr>
      <t xml:space="preserve">
7307.11.00.30</t>
    </r>
    <r>
      <rPr>
        <sz val="11"/>
        <color rgb="FF000000"/>
        <rFont val="宋体"/>
        <charset val="134"/>
      </rPr>
      <t>、</t>
    </r>
    <r>
      <rPr>
        <sz val="11"/>
        <color rgb="FF000000"/>
        <rFont val="Calibri"/>
        <charset val="134"/>
      </rPr>
      <t>7307.11.00.60</t>
    </r>
    <r>
      <rPr>
        <sz val="11"/>
        <color rgb="FF000000"/>
        <rFont val="宋体"/>
        <charset val="134"/>
      </rPr>
      <t>、</t>
    </r>
    <r>
      <rPr>
        <sz val="11"/>
        <color rgb="FF000000"/>
        <rFont val="Calibri"/>
        <charset val="134"/>
      </rPr>
      <t xml:space="preserve">7307.19.30.60  </t>
    </r>
    <r>
      <rPr>
        <sz val="11"/>
        <color rgb="FF000000"/>
        <rFont val="宋体"/>
        <charset val="134"/>
      </rPr>
      <t>、</t>
    </r>
    <r>
      <rPr>
        <sz val="11"/>
        <color rgb="FF000000"/>
        <rFont val="Calibri"/>
        <charset val="134"/>
      </rPr>
      <t xml:space="preserve"> 7307.19.30.85</t>
    </r>
    <r>
      <rPr>
        <sz val="11"/>
        <color rgb="FF000000"/>
        <rFont val="宋体"/>
        <charset val="134"/>
      </rPr>
      <t>。</t>
    </r>
  </si>
  <si>
    <t>涵盖的产品是成品和未完成的不可锻铸铁管件，内径从 1*4 英寸到 6 英寸不等，无论是螺纹还是非螺纹，无论行业或专有规格如何。主题配件包括弯头、弯头、三通、四通和异径管以及法兰配件。这些管件也被称为“铸铁管件”或“灰铁管件”。这些铸铁管件通常按照 ASTM A-126 和 ASME B.l6.4 规格生产，并通过螺纹连接到ASME B1.20.1 规范。大多数建筑规范要求这些产品通过美国保险商实验室 (UL) 认证。范围不包括铸铁土壤管件或带槽的管件或带槽的接头。
由球墨铸铁制成的管件，与上述范围内的灰口或铸铁管件具有相同的物理特性，或者具有相同的物理特性并按照 ASME B.16.3、ASME B.16.4 或 ASTM A 生产-395 规格，螺纹符合 ASME B1.20.1 规格和 UL 认证，无论灰铸铁和球墨铸铁之间的冶金差异如何，也包括在本申请的范围内。这些延性管件不包括带槽的管件或带槽的联轴器。不包括具有机械接头端 (MJ) 或推入端 (PO) 或法兰端的球墨铸铁管件，并按照美国自来水厂协会 (AWWA) 规范 AWWA C110 或 AWWA C153 生产</t>
  </si>
  <si>
    <t>A-570-996</t>
  </si>
  <si>
    <t>Non-Oriented Electrical Steel</t>
  </si>
  <si>
    <t>无取向电工钢</t>
  </si>
  <si>
    <r>
      <rPr>
        <sz val="11"/>
        <color rgb="FF000000"/>
        <rFont val="Calibri"/>
        <charset val="134"/>
      </rPr>
      <t>7225.19.0000</t>
    </r>
    <r>
      <rPr>
        <sz val="11"/>
        <color rgb="FF000000"/>
        <rFont val="宋体"/>
        <charset val="134"/>
      </rPr>
      <t>、</t>
    </r>
    <r>
      <rPr>
        <sz val="11"/>
        <color rgb="FF000000"/>
        <rFont val="Calibri"/>
        <charset val="134"/>
      </rPr>
      <t xml:space="preserve">7226.19.1000  </t>
    </r>
    <r>
      <rPr>
        <sz val="11"/>
        <color rgb="FF000000"/>
        <rFont val="宋体"/>
        <charset val="134"/>
      </rPr>
      <t>、</t>
    </r>
    <r>
      <rPr>
        <sz val="11"/>
        <color rgb="FF000000"/>
        <rFont val="Calibri"/>
        <charset val="134"/>
      </rPr>
      <t xml:space="preserve"> 7226.19.9000 </t>
    </r>
    <r>
      <rPr>
        <sz val="11"/>
        <color rgb="FF000000"/>
        <rFont val="宋体"/>
        <charset val="134"/>
      </rPr>
      <t>标题</t>
    </r>
    <r>
      <rPr>
        <sz val="11"/>
        <color rgb="FF000000"/>
        <rFont val="Calibri"/>
        <charset val="134"/>
      </rPr>
      <t xml:space="preserve"> 7225.50.8085</t>
    </r>
    <r>
      <rPr>
        <sz val="11"/>
        <color rgb="FF000000"/>
        <rFont val="宋体"/>
        <charset val="134"/>
      </rPr>
      <t>、</t>
    </r>
    <r>
      <rPr>
        <sz val="11"/>
        <color rgb="FF000000"/>
        <rFont val="Calibri"/>
        <charset val="134"/>
      </rPr>
      <t>7225.99.0090</t>
    </r>
    <r>
      <rPr>
        <sz val="11"/>
        <color rgb="FF000000"/>
        <rFont val="宋体"/>
        <charset val="134"/>
      </rPr>
      <t>、</t>
    </r>
    <r>
      <rPr>
        <sz val="11"/>
        <color rgb="FF000000"/>
        <rFont val="Calibri"/>
        <charset val="134"/>
      </rPr>
      <t>7226.92.5000</t>
    </r>
    <r>
      <rPr>
        <sz val="11"/>
        <color rgb="FF000000"/>
        <rFont val="宋体"/>
        <charset val="134"/>
      </rPr>
      <t>、</t>
    </r>
    <r>
      <rPr>
        <sz val="11"/>
        <color rgb="FF000000"/>
        <rFont val="Calibri"/>
        <charset val="134"/>
      </rPr>
      <t>7226.92.7050</t>
    </r>
    <r>
      <rPr>
        <sz val="11"/>
        <color rgb="FF000000"/>
        <rFont val="宋体"/>
        <charset val="134"/>
      </rPr>
      <t>、</t>
    </r>
    <r>
      <rPr>
        <sz val="11"/>
        <color rgb="FF000000"/>
        <rFont val="Calibri"/>
        <charset val="134"/>
      </rPr>
      <t>7226.92.8050</t>
    </r>
    <r>
      <rPr>
        <sz val="11"/>
        <color rgb="FF000000"/>
        <rFont val="宋体"/>
        <charset val="134"/>
      </rPr>
      <t>、</t>
    </r>
    <r>
      <rPr>
        <sz val="11"/>
        <color rgb="FF000000"/>
        <rFont val="Calibri"/>
        <charset val="134"/>
      </rPr>
      <t>7226.99.0180</t>
    </r>
  </si>
  <si>
    <t>订单约束的商品包括无取向电工钢（NOES），包括冷轧、平轧、合金钢产品，无论是否成卷，无论宽度如何，实际厚度为 0.20 毫米或以上，其中铁损在材料平面内的任何磁化方向上基本相等。所谓“大致相等”是指铁损的横晶方向为铁损的直晶方向（即轧制方向）的1.5倍以下。当沿（即平行于）薄板的轧制方向（即 B800 值）在 800 A*m（相当于 10 奥斯特）的磁场中进行测试时，NOES 的磁导率不超过 1.65 特斯拉。NOES 按重量计含有超过 1.00% 的硅但低于 3.5% 的硅，碳含量不超过 0.08%，铝含量不超过 1.5%。NOES 具有表面氧化物涂层，可在其上施加绝缘涂层。
无论是完全加工（即完全退火以产生最终磁性）还是半加工（即完成最终厚度和物理形状但未完全退火以产生最终磁性），NOES 都受此订单的约束。完全处理的 NOES 通常符合 ASTM 规范 A 677、日本工业标准 (JIS) 规范 C 2552 和*或国际电工委员会 (IEC) 规范 60404-8-4 的要求。半加工 NOES 通常按照 ASTM 规范 A 683 的要求制造。但是，此订单的范围不限于符合上述 ASTM、JIS 和 IEC 规范的商品。
NOES 有时被称为冷轧无取向 (CRNO)、无取向 (NGO)、无取向 (NO) 或冷轧无取向 (CRNGO) 电工钢。这些术语可以互换。</t>
  </si>
  <si>
    <t>A-570-126</t>
  </si>
  <si>
    <t>Non-Refillable Steel Cylinders</t>
  </si>
  <si>
    <t>不可再填充钢瓶</t>
  </si>
  <si>
    <r>
      <rPr>
        <sz val="11"/>
        <color rgb="FF000000"/>
        <rFont val="Calibri"/>
        <charset val="134"/>
      </rPr>
      <t xml:space="preserve">7311.00.0060  </t>
    </r>
    <r>
      <rPr>
        <sz val="11"/>
        <color rgb="FF000000"/>
        <rFont val="宋体"/>
        <charset val="134"/>
      </rPr>
      <t>、</t>
    </r>
    <r>
      <rPr>
        <sz val="11"/>
        <color rgb="FF000000"/>
        <rFont val="Calibri"/>
        <charset val="134"/>
      </rPr>
      <t xml:space="preserve"> 7311.00.0090 </t>
    </r>
    <r>
      <rPr>
        <sz val="11"/>
        <color rgb="FF000000"/>
        <rFont val="宋体"/>
        <charset val="134"/>
      </rPr>
      <t>，</t>
    </r>
    <r>
      <rPr>
        <sz val="11"/>
        <color rgb="FF000000"/>
        <rFont val="Calibri"/>
        <charset val="134"/>
      </rPr>
      <t xml:space="preserve"> 7310.29.0025 </t>
    </r>
    <r>
      <rPr>
        <sz val="11"/>
        <color rgb="FF000000"/>
        <rFont val="宋体"/>
        <charset val="134"/>
      </rPr>
      <t>，</t>
    </r>
    <r>
      <rPr>
        <sz val="11"/>
        <color rgb="FF000000"/>
        <rFont val="Calibri"/>
        <charset val="134"/>
      </rPr>
      <t>7310.29.0050</t>
    </r>
  </si>
  <si>
    <t>涵盖的商品是符合美国交通部 (USDOT) 规范 39、TransportCanada 规范 39M 或联合国要求或为满足这些要求而生产的某些有缝（焊接或钎焊）、不可再填充的钢瓶压力容器标准 ISO 11118 和其他满足以下提供的描述（不可再填充钢瓶）。主题不可再填充钢瓶是便携式的，水容量从 300 立方英寸（4.9 升）到 1,526 立方英寸（25 升）不等。主题的不可再填充钢瓶可以带或不带阀门和*或压力释放装置进口，并且在进口时未填充。</t>
  </si>
  <si>
    <t>A-570-943</t>
  </si>
  <si>
    <t>Oil Country Tubular Goods</t>
  </si>
  <si>
    <t>石油国家管材</t>
  </si>
  <si>
    <r>
      <rPr>
        <sz val="11"/>
        <color rgb="FF000000"/>
        <rFont val="Calibri"/>
        <charset val="134"/>
      </rPr>
      <t>7304.29.10.10</t>
    </r>
    <r>
      <rPr>
        <sz val="11"/>
        <color rgb="FF000000"/>
        <rFont val="宋体"/>
        <charset val="134"/>
      </rPr>
      <t>、</t>
    </r>
    <r>
      <rPr>
        <sz val="11"/>
        <color rgb="FF000000"/>
        <rFont val="Calibri"/>
        <charset val="134"/>
      </rPr>
      <t>7304.29.10.20</t>
    </r>
    <r>
      <rPr>
        <sz val="11"/>
        <color rgb="FF000000"/>
        <rFont val="宋体"/>
        <charset val="134"/>
      </rPr>
      <t>、</t>
    </r>
    <r>
      <rPr>
        <sz val="11"/>
        <color rgb="FF000000"/>
        <rFont val="Calibri"/>
        <charset val="134"/>
      </rPr>
      <t>7304.29.10.30</t>
    </r>
    <r>
      <rPr>
        <sz val="11"/>
        <color rgb="FF000000"/>
        <rFont val="宋体"/>
        <charset val="134"/>
      </rPr>
      <t>、</t>
    </r>
    <r>
      <rPr>
        <sz val="11"/>
        <color rgb="FF000000"/>
        <rFont val="Calibri"/>
        <charset val="134"/>
      </rPr>
      <t>7304.29.10.40</t>
    </r>
    <r>
      <rPr>
        <sz val="11"/>
        <color rgb="FF000000"/>
        <rFont val="宋体"/>
        <charset val="134"/>
      </rPr>
      <t>、</t>
    </r>
    <r>
      <rPr>
        <sz val="11"/>
        <color rgb="FF000000"/>
        <rFont val="Calibri"/>
        <charset val="134"/>
      </rPr>
      <t>7304.29.10.50</t>
    </r>
    <r>
      <rPr>
        <sz val="11"/>
        <color rgb="FF000000"/>
        <rFont val="宋体"/>
        <charset val="134"/>
      </rPr>
      <t>、</t>
    </r>
    <r>
      <rPr>
        <sz val="11"/>
        <color rgb="FF000000"/>
        <rFont val="Calibri"/>
        <charset val="134"/>
      </rPr>
      <t>7304.29.10.60 , 7304.29.10.80, 7304.29.20.10, 7304.29.20.20, 7304.29.20.30, 7304.29.20.40, 7304.29.20.50, 7304.29.20.60, 7304.29.20.80, 7304.29.31.10, 7304.29.31.20, 7304.29.31.30, 7304.29.31.40, 7304.29 .31.50</t>
    </r>
    <r>
      <rPr>
        <sz val="11"/>
        <color rgb="FF000000"/>
        <rFont val="宋体"/>
        <charset val="134"/>
      </rPr>
      <t>，</t>
    </r>
    <r>
      <rPr>
        <sz val="11"/>
        <color rgb="FF000000"/>
        <rFont val="Calibri"/>
        <charset val="134"/>
      </rPr>
      <t>7304.29.31.60</t>
    </r>
    <r>
      <rPr>
        <sz val="11"/>
        <color rgb="FF000000"/>
        <rFont val="宋体"/>
        <charset val="134"/>
      </rPr>
      <t>，</t>
    </r>
    <r>
      <rPr>
        <sz val="11"/>
        <color rgb="FF000000"/>
        <rFont val="Calibri"/>
        <charset val="134"/>
      </rPr>
      <t>7304.29.31.80</t>
    </r>
    <r>
      <rPr>
        <sz val="11"/>
        <color rgb="FF000000"/>
        <rFont val="宋体"/>
        <charset val="134"/>
      </rPr>
      <t>，</t>
    </r>
    <r>
      <rPr>
        <sz val="11"/>
        <color rgb="FF000000"/>
        <rFont val="Calibri"/>
        <charset val="134"/>
      </rPr>
      <t>7304.29.41.10</t>
    </r>
    <r>
      <rPr>
        <sz val="11"/>
        <color rgb="FF000000"/>
        <rFont val="宋体"/>
        <charset val="134"/>
      </rPr>
      <t>，</t>
    </r>
    <r>
      <rPr>
        <sz val="11"/>
        <color rgb="FF000000"/>
        <rFont val="Calibri"/>
        <charset val="134"/>
      </rPr>
      <t>7304.29.41.20</t>
    </r>
    <r>
      <rPr>
        <sz val="11"/>
        <color rgb="FF000000"/>
        <rFont val="宋体"/>
        <charset val="134"/>
      </rPr>
      <t>，</t>
    </r>
    <r>
      <rPr>
        <sz val="11"/>
        <color rgb="FF000000"/>
        <rFont val="Calibri"/>
        <charset val="134"/>
      </rPr>
      <t>7304.29.41.30</t>
    </r>
    <r>
      <rPr>
        <sz val="11"/>
        <color rgb="FF000000"/>
        <rFont val="宋体"/>
        <charset val="134"/>
      </rPr>
      <t>，</t>
    </r>
    <r>
      <rPr>
        <sz val="11"/>
        <color rgb="FF000000"/>
        <rFont val="Calibri"/>
        <charset val="134"/>
      </rPr>
      <t>7304.29.41.41.40</t>
    </r>
    <r>
      <rPr>
        <sz val="11"/>
        <color rgb="FF000000"/>
        <rFont val="宋体"/>
        <charset val="134"/>
      </rPr>
      <t>，</t>
    </r>
    <r>
      <rPr>
        <sz val="11"/>
        <color rgb="FF000000"/>
        <rFont val="Calibri"/>
        <charset val="134"/>
      </rPr>
      <t>7304.29.41.41.50 , 7304.29.50.60, 7304.29.50.75, 7304.29.61.15, 7304.29.61.30, 7304.29.61.45, 7304.29.61.60, 7304.29.61.75, 7305.20.20.00, 7305.20.40.00, 7305.20.60.00, 7305.20.80.00, 7306.29.10.30, 7306.29 .10.90</t>
    </r>
    <r>
      <rPr>
        <sz val="11"/>
        <color rgb="FF000000"/>
        <rFont val="宋体"/>
        <charset val="134"/>
      </rPr>
      <t>、</t>
    </r>
    <r>
      <rPr>
        <sz val="11"/>
        <color rgb="FF000000"/>
        <rFont val="Calibri"/>
        <charset val="134"/>
      </rPr>
      <t>7306.29.20.00</t>
    </r>
    <r>
      <rPr>
        <sz val="11"/>
        <color rgb="FF000000"/>
        <rFont val="宋体"/>
        <charset val="134"/>
      </rPr>
      <t>、</t>
    </r>
    <r>
      <rPr>
        <sz val="11"/>
        <color rgb="FF000000"/>
        <rFont val="Calibri"/>
        <charset val="134"/>
      </rPr>
      <t>7306.29.31.00</t>
    </r>
    <r>
      <rPr>
        <sz val="11"/>
        <color rgb="FF000000"/>
        <rFont val="宋体"/>
        <charset val="134"/>
      </rPr>
      <t>、</t>
    </r>
    <r>
      <rPr>
        <sz val="11"/>
        <color rgb="FF000000"/>
        <rFont val="Calibri"/>
        <charset val="134"/>
      </rPr>
      <t>7306.29</t>
    </r>
    <r>
      <rPr>
        <sz val="11"/>
        <color rgb="FF000000"/>
        <rFont val="宋体"/>
        <charset val="134"/>
      </rPr>
      <t>。</t>
    </r>
    <r>
      <rPr>
        <sz val="11"/>
        <color rgb="FF000000"/>
        <rFont val="Calibri"/>
        <charset val="134"/>
      </rPr>
      <t>41.00</t>
    </r>
    <r>
      <rPr>
        <sz val="11"/>
        <color rgb="FF000000"/>
        <rFont val="宋体"/>
        <charset val="134"/>
      </rPr>
      <t>、</t>
    </r>
    <r>
      <rPr>
        <sz val="11"/>
        <color rgb="FF000000"/>
        <rFont val="Calibri"/>
        <charset val="134"/>
      </rPr>
      <t>7306.29.60.10</t>
    </r>
    <r>
      <rPr>
        <sz val="11"/>
        <color rgb="FF000000"/>
        <rFont val="宋体"/>
        <charset val="134"/>
      </rPr>
      <t>、</t>
    </r>
    <r>
      <rPr>
        <sz val="11"/>
        <color rgb="FF000000"/>
        <rFont val="Calibri"/>
        <charset val="134"/>
      </rPr>
      <t>7306.29.60.50</t>
    </r>
    <r>
      <rPr>
        <sz val="11"/>
        <color rgb="FF000000"/>
        <rFont val="宋体"/>
        <charset val="134"/>
      </rPr>
      <t>、</t>
    </r>
    <r>
      <rPr>
        <sz val="11"/>
        <color rgb="FF000000"/>
        <rFont val="Calibri"/>
        <charset val="134"/>
      </rPr>
      <t xml:space="preserve">7306.29.81.10  </t>
    </r>
    <r>
      <rPr>
        <sz val="11"/>
        <color rgb="FF000000"/>
        <rFont val="宋体"/>
        <charset val="134"/>
      </rPr>
      <t>、</t>
    </r>
    <r>
      <rPr>
        <sz val="11"/>
        <color rgb="FF000000"/>
        <rFont val="Calibri"/>
        <charset val="134"/>
      </rPr>
      <t xml:space="preserve"> 7306.29.81.50</t>
    </r>
    <r>
      <rPr>
        <sz val="11"/>
        <color rgb="FF000000"/>
        <rFont val="宋体"/>
        <charset val="134"/>
      </rPr>
      <t>。</t>
    </r>
    <r>
      <rPr>
        <sz val="11"/>
        <color rgb="FF000000"/>
        <rFont val="Calibri"/>
        <charset val="134"/>
      </rPr>
      <t xml:space="preserve">
7304.39.00.24</t>
    </r>
    <r>
      <rPr>
        <sz val="11"/>
        <color rgb="FF000000"/>
        <rFont val="宋体"/>
        <charset val="134"/>
      </rPr>
      <t>、</t>
    </r>
    <r>
      <rPr>
        <sz val="11"/>
        <color rgb="FF000000"/>
        <rFont val="Calibri"/>
        <charset val="134"/>
      </rPr>
      <t>7304.39.00.28</t>
    </r>
    <r>
      <rPr>
        <sz val="11"/>
        <color rgb="FF000000"/>
        <rFont val="宋体"/>
        <charset val="134"/>
      </rPr>
      <t>、</t>
    </r>
    <r>
      <rPr>
        <sz val="11"/>
        <color rgb="FF000000"/>
        <rFont val="Calibri"/>
        <charset val="134"/>
      </rPr>
      <t>7304.39.00.32</t>
    </r>
    <r>
      <rPr>
        <sz val="11"/>
        <color rgb="FF000000"/>
        <rFont val="宋体"/>
        <charset val="134"/>
      </rPr>
      <t>、</t>
    </r>
    <r>
      <rPr>
        <sz val="11"/>
        <color rgb="FF000000"/>
        <rFont val="Calibri"/>
        <charset val="134"/>
      </rPr>
      <t>7304.39.00.36</t>
    </r>
    <r>
      <rPr>
        <sz val="11"/>
        <color rgb="FF000000"/>
        <rFont val="宋体"/>
        <charset val="134"/>
      </rPr>
      <t>、</t>
    </r>
    <r>
      <rPr>
        <sz val="11"/>
        <color rgb="FF000000"/>
        <rFont val="Calibri"/>
        <charset val="134"/>
      </rPr>
      <t>7304.39.00.40</t>
    </r>
    <r>
      <rPr>
        <sz val="11"/>
        <color rgb="FF000000"/>
        <rFont val="宋体"/>
        <charset val="134"/>
      </rPr>
      <t>、</t>
    </r>
    <r>
      <rPr>
        <sz val="11"/>
        <color rgb="FF000000"/>
        <rFont val="Calibri"/>
        <charset val="134"/>
      </rPr>
      <t>7304.39.00.44</t>
    </r>
    <r>
      <rPr>
        <sz val="11"/>
        <color rgb="FF000000"/>
        <rFont val="宋体"/>
        <charset val="134"/>
      </rPr>
      <t>、</t>
    </r>
    <r>
      <rPr>
        <sz val="11"/>
        <color rgb="FF000000"/>
        <rFont val="Calibri"/>
        <charset val="134"/>
      </rPr>
      <t>7304.39.09.04.5</t>
    </r>
    <r>
      <rPr>
        <sz val="11"/>
        <color rgb="FF000000"/>
        <rFont val="宋体"/>
        <charset val="134"/>
      </rPr>
      <t>、</t>
    </r>
    <r>
      <rPr>
        <sz val="11"/>
        <color rgb="FF000000"/>
        <rFont val="Calibri"/>
        <charset val="134"/>
      </rPr>
      <t>7304.39.09.04.5. 7304.39.00.56, 7304.39.00.62, 7304.39.00.68, 7304.39.00.72, 7304.39.00.76, 7304.39.00.80, 7304.59.60.00,, 7304.59.80.15, 7304.59.80.20, 7304.59.80.25, 7304.59.80.30, 7304.59.80.35, 7304.59 .80.40</t>
    </r>
    <r>
      <rPr>
        <sz val="11"/>
        <color rgb="FF000000"/>
        <rFont val="宋体"/>
        <charset val="134"/>
      </rPr>
      <t>、</t>
    </r>
    <r>
      <rPr>
        <sz val="11"/>
        <color rgb="FF000000"/>
        <rFont val="Calibri"/>
        <charset val="134"/>
      </rPr>
      <t>7304.59.80.45</t>
    </r>
    <r>
      <rPr>
        <sz val="11"/>
        <color rgb="FF000000"/>
        <rFont val="宋体"/>
        <charset val="134"/>
      </rPr>
      <t>、</t>
    </r>
    <r>
      <rPr>
        <sz val="11"/>
        <color rgb="FF000000"/>
        <rFont val="Calibri"/>
        <charset val="134"/>
      </rPr>
      <t>7304.59.80.50</t>
    </r>
    <r>
      <rPr>
        <sz val="11"/>
        <color rgb="FF000000"/>
        <rFont val="宋体"/>
        <charset val="134"/>
      </rPr>
      <t>、</t>
    </r>
    <r>
      <rPr>
        <sz val="11"/>
        <color rgb="FF000000"/>
        <rFont val="Calibri"/>
        <charset val="134"/>
      </rPr>
      <t>7304.59.80.55</t>
    </r>
    <r>
      <rPr>
        <sz val="11"/>
        <color rgb="FF000000"/>
        <rFont val="宋体"/>
        <charset val="134"/>
      </rPr>
      <t>、</t>
    </r>
    <r>
      <rPr>
        <sz val="11"/>
        <color rgb="FF000000"/>
        <rFont val="Calibri"/>
        <charset val="134"/>
      </rPr>
      <t>7304.59.80.60</t>
    </r>
    <r>
      <rPr>
        <sz val="11"/>
        <color rgb="FF000000"/>
        <rFont val="宋体"/>
        <charset val="134"/>
      </rPr>
      <t>、</t>
    </r>
    <r>
      <rPr>
        <sz val="11"/>
        <color rgb="FF000000"/>
        <rFont val="Calibri"/>
        <charset val="134"/>
      </rPr>
      <t>7304.59.80.65</t>
    </r>
    <r>
      <rPr>
        <sz val="11"/>
        <color rgb="FF000000"/>
        <rFont val="宋体"/>
        <charset val="134"/>
      </rPr>
      <t>、</t>
    </r>
    <r>
      <rPr>
        <sz val="11"/>
        <color rgb="FF000000"/>
        <rFont val="Calibri"/>
        <charset val="134"/>
      </rPr>
      <t xml:space="preserve">7304.59.80.70 </t>
    </r>
    <r>
      <rPr>
        <sz val="11"/>
        <color rgb="FF000000"/>
        <rFont val="宋体"/>
        <charset val="134"/>
      </rPr>
      <t>、</t>
    </r>
  </si>
  <si>
    <t>范围包括某些 OCTG，它们是圆形横截面的空心钢产品，包括油井套管和油管，由铁（铸铁除外）或钢（碳和合金）制成，无论是无缝的还是焊接的，无论端面处理（例如，是否平端、螺纹或螺纹连接）是否符合美国石油协会（“API”）或非 API 规范，无论是成品（包括有限服务的 OCTG 产品）还是未成品（包括绿色管和有限服务的 OCTG 产品），无论是否附有螺纹保护器。订单范围还包括 OCTG 联轴器库存。不包括在订单范围内的是含 10.5% 或更多铬的套管或油管；钻杆；未连接的联轴器；和未连接的线程保护器</t>
  </si>
  <si>
    <t>A-570-826</t>
  </si>
  <si>
    <t>Paper Clips</t>
  </si>
  <si>
    <t>曲别针</t>
  </si>
  <si>
    <t>8305.90.3010</t>
  </si>
  <si>
    <t>涵盖的产品是某些回形针，完全由贱金属线材制成，无论是否镀锌，是否镀镍或其他贱金属（例如铜），线径在 0.025 英寸和 0.075 英寸之间（ 0.64 至 1.91 毫米），无论物理配置如何，除非特别排除。受此订单约束的产品可能具有矩形或环状形状，包括但不限于商业上称为 1 号夹、3 号夹、Jumbo 或 Giant 夹、Gem 夹、摩擦夹、Perfect 的夹子Gems、Marcel Gems、Univeral 夹、Nifty 夹、Peerless 夹、Ring 夹和 Glide-On 夹</t>
  </si>
  <si>
    <t>A-570-847</t>
  </si>
  <si>
    <t>Persulfates</t>
  </si>
  <si>
    <t>过硫酸盐</t>
  </si>
  <si>
    <t>2833.40.20</t>
  </si>
  <si>
    <t>涵盖的产品是过硫酸盐，包括过硫酸铵、过硫酸钾和过硫酸钠。这些过硫酸盐的化学式分别为 (NH sub4 ) sub2 S sub2 O sub8 、K sub2 S sub2 O sub8 和 Na sub2 S sub2 O sub8</t>
  </si>
  <si>
    <t>A-570-504</t>
  </si>
  <si>
    <t>Petroleum Wax Candles</t>
  </si>
  <si>
    <t>石油蜡蜡烛</t>
  </si>
  <si>
    <r>
      <rPr>
        <sz val="11"/>
        <color rgb="FF000000"/>
        <rFont val="Calibri"/>
        <charset val="134"/>
      </rPr>
      <t>3406.00.00</t>
    </r>
    <r>
      <rPr>
        <sz val="11"/>
        <color rgb="FF000000"/>
        <rFont val="宋体"/>
        <charset val="134"/>
      </rPr>
      <t>。</t>
    </r>
  </si>
  <si>
    <t>涉及的产品是某些香味或无香味的石油蜡蜡烛，由石油蜡制成，并具有纤维或纸芯灯芯。它们以以下形状出售：锥形、螺旋形和直边晚餐蜡烛；圆形，柱子，柱子，奉献物；和各种装蜡的容器</t>
  </si>
  <si>
    <t>A-570-075</t>
  </si>
  <si>
    <t>Certain Plastic Decorative Ribbon</t>
  </si>
  <si>
    <t>某些塑料装饰丝带</t>
  </si>
  <si>
    <r>
      <rPr>
        <sz val="11"/>
        <color rgb="FF000000"/>
        <rFont val="Calibri"/>
        <charset val="134"/>
      </rPr>
      <t xml:space="preserve">3920.20.0015  </t>
    </r>
    <r>
      <rPr>
        <sz val="11"/>
        <color rgb="FF000000"/>
        <rFont val="宋体"/>
        <charset val="134"/>
      </rPr>
      <t>、</t>
    </r>
    <r>
      <rPr>
        <sz val="11"/>
        <color rgb="FF000000"/>
        <rFont val="Calibri"/>
        <charset val="134"/>
      </rPr>
      <t xml:space="preserve"> 3926.40.0010 </t>
    </r>
    <r>
      <rPr>
        <sz val="11"/>
        <color rgb="FF000000"/>
        <rFont val="宋体"/>
        <charset val="134"/>
      </rPr>
      <t>，</t>
    </r>
    <r>
      <rPr>
        <sz val="11"/>
        <color rgb="FF000000"/>
        <rFont val="Calibri"/>
        <charset val="134"/>
      </rPr>
      <t>3920.10.0000 ,3920.20.0055</t>
    </r>
    <r>
      <rPr>
        <sz val="11"/>
        <color rgb="FF000000"/>
        <rFont val="宋体"/>
        <charset val="134"/>
      </rPr>
      <t>；</t>
    </r>
    <r>
      <rPr>
        <sz val="11"/>
        <color rgb="FF000000"/>
        <rFont val="Calibri"/>
        <charset val="134"/>
      </rPr>
      <t>3920.30.0000; 3920.43.5000</t>
    </r>
    <r>
      <rPr>
        <sz val="11"/>
        <color rgb="FF000000"/>
        <rFont val="宋体"/>
        <charset val="134"/>
      </rPr>
      <t>；</t>
    </r>
    <r>
      <rPr>
        <sz val="11"/>
        <color rgb="FF000000"/>
        <rFont val="Calibri"/>
        <charset val="134"/>
      </rPr>
      <t>3920.49.0000</t>
    </r>
    <r>
      <rPr>
        <sz val="11"/>
        <color rgb="FF000000"/>
        <rFont val="宋体"/>
        <charset val="134"/>
      </rPr>
      <t>；</t>
    </r>
    <r>
      <rPr>
        <sz val="11"/>
        <color rgb="FF000000"/>
        <rFont val="Calibri"/>
        <charset val="134"/>
      </rPr>
      <t>3920.62.0050</t>
    </r>
    <r>
      <rPr>
        <sz val="11"/>
        <color rgb="FF000000"/>
        <rFont val="宋体"/>
        <charset val="134"/>
      </rPr>
      <t>；</t>
    </r>
    <r>
      <rPr>
        <sz val="11"/>
        <color rgb="FF000000"/>
        <rFont val="Calibri"/>
        <charset val="134"/>
      </rPr>
      <t>3920.62.0090</t>
    </r>
    <r>
      <rPr>
        <sz val="11"/>
        <color rgb="FF000000"/>
        <rFont val="宋体"/>
        <charset val="134"/>
      </rPr>
      <t>；</t>
    </r>
    <r>
      <rPr>
        <sz val="11"/>
        <color rgb="FF000000"/>
        <rFont val="Calibri"/>
        <charset val="134"/>
      </rPr>
      <t>3920.69.0000</t>
    </r>
    <r>
      <rPr>
        <sz val="11"/>
        <color rgb="FF000000"/>
        <rFont val="宋体"/>
        <charset val="134"/>
      </rPr>
      <t>；</t>
    </r>
    <r>
      <rPr>
        <sz val="11"/>
        <color rgb="FF000000"/>
        <rFont val="Calibri"/>
        <charset val="134"/>
      </rPr>
      <t>3921.90.1100</t>
    </r>
    <r>
      <rPr>
        <sz val="11"/>
        <color rgb="FF000000"/>
        <rFont val="宋体"/>
        <charset val="134"/>
      </rPr>
      <t>；</t>
    </r>
    <r>
      <rPr>
        <sz val="11"/>
        <color rgb="FF000000"/>
        <rFont val="Calibri"/>
        <charset val="134"/>
      </rPr>
      <t>3921.90.1500</t>
    </r>
    <r>
      <rPr>
        <sz val="11"/>
        <color rgb="FF000000"/>
        <rFont val="宋体"/>
        <charset val="134"/>
      </rPr>
      <t>；</t>
    </r>
    <r>
      <rPr>
        <sz val="11"/>
        <color rgb="FF000000"/>
        <rFont val="Calibri"/>
        <charset val="134"/>
      </rPr>
      <t>3921.90.1910</t>
    </r>
    <r>
      <rPr>
        <sz val="11"/>
        <color rgb="FF000000"/>
        <rFont val="宋体"/>
        <charset val="134"/>
      </rPr>
      <t>；</t>
    </r>
    <r>
      <rPr>
        <sz val="11"/>
        <color rgb="FF000000"/>
        <rFont val="Calibri"/>
        <charset val="134"/>
      </rPr>
      <t>3921.90.1950</t>
    </r>
    <r>
      <rPr>
        <sz val="11"/>
        <color rgb="FF000000"/>
        <rFont val="宋体"/>
        <charset val="134"/>
      </rPr>
      <t>；</t>
    </r>
    <r>
      <rPr>
        <sz val="11"/>
        <color rgb="FF000000"/>
        <rFont val="Calibri"/>
        <charset val="134"/>
      </rPr>
      <t>3921.90.4010</t>
    </r>
    <r>
      <rPr>
        <sz val="11"/>
        <color rgb="FF000000"/>
        <rFont val="宋体"/>
        <charset val="134"/>
      </rPr>
      <t>；</t>
    </r>
    <r>
      <rPr>
        <sz val="11"/>
        <color rgb="FF000000"/>
        <rFont val="Calibri"/>
        <charset val="134"/>
      </rPr>
      <t>3921.90.4090</t>
    </r>
    <r>
      <rPr>
        <sz val="11"/>
        <color rgb="FF000000"/>
        <rFont val="宋体"/>
        <charset val="134"/>
      </rPr>
      <t>；</t>
    </r>
    <r>
      <rPr>
        <sz val="11"/>
        <color rgb="FF000000"/>
        <rFont val="Calibri"/>
        <charset val="134"/>
      </rPr>
      <t>3926.90.9996</t>
    </r>
    <r>
      <rPr>
        <sz val="11"/>
        <color rgb="FF000000"/>
        <rFont val="宋体"/>
        <charset val="134"/>
      </rPr>
      <t>；</t>
    </r>
    <r>
      <rPr>
        <sz val="11"/>
        <color rgb="FF000000"/>
        <rFont val="Calibri"/>
        <charset val="134"/>
      </rPr>
      <t>5404.90.0000</t>
    </r>
    <r>
      <rPr>
        <sz val="11"/>
        <color rgb="FF000000"/>
        <rFont val="宋体"/>
        <charset val="134"/>
      </rPr>
      <t>；</t>
    </r>
    <r>
      <rPr>
        <sz val="11"/>
        <color rgb="FF000000"/>
        <rFont val="Calibri"/>
        <charset val="134"/>
      </rPr>
      <t>9505.90.4000</t>
    </r>
    <r>
      <rPr>
        <sz val="11"/>
        <color rgb="FF000000"/>
        <rFont val="宋体"/>
        <charset val="134"/>
      </rPr>
      <t>；</t>
    </r>
    <r>
      <rPr>
        <sz val="11"/>
        <color rgb="FF000000"/>
        <rFont val="Calibri"/>
        <charset val="134"/>
      </rPr>
      <t>4601.99.9000</t>
    </r>
    <r>
      <rPr>
        <sz val="11"/>
        <color rgb="FF000000"/>
        <rFont val="宋体"/>
        <charset val="134"/>
      </rPr>
      <t>；</t>
    </r>
    <r>
      <rPr>
        <sz val="11"/>
        <color rgb="FF000000"/>
        <rFont val="Calibri"/>
        <charset val="134"/>
      </rPr>
      <t>4602.90.0000</t>
    </r>
    <r>
      <rPr>
        <sz val="11"/>
        <color rgb="FF000000"/>
        <rFont val="宋体"/>
        <charset val="134"/>
      </rPr>
      <t>；</t>
    </r>
    <r>
      <rPr>
        <sz val="11"/>
        <color rgb="FF000000"/>
        <rFont val="Calibri"/>
        <charset val="134"/>
      </rPr>
      <t>5609.00.3000</t>
    </r>
    <r>
      <rPr>
        <sz val="11"/>
        <color rgb="FF000000"/>
        <rFont val="宋体"/>
        <charset val="134"/>
      </rPr>
      <t>；</t>
    </r>
    <r>
      <rPr>
        <sz val="11"/>
        <color rgb="FF000000"/>
        <rFont val="Calibri"/>
        <charset val="134"/>
      </rPr>
      <t>5609.00.4000</t>
    </r>
    <r>
      <rPr>
        <sz val="11"/>
        <color rgb="FF000000"/>
        <rFont val="宋体"/>
        <charset val="134"/>
      </rPr>
      <t>；</t>
    </r>
    <r>
      <rPr>
        <sz val="11"/>
        <color rgb="FF000000"/>
        <rFont val="Calibri"/>
        <charset val="134"/>
      </rPr>
      <t>6307.90.9889</t>
    </r>
    <r>
      <rPr>
        <sz val="11"/>
        <color rgb="FF000000"/>
        <rFont val="宋体"/>
        <charset val="134"/>
      </rPr>
      <t>。</t>
    </r>
  </si>
  <si>
    <t>塑料装饰丝带，其宽度（在丝带的最窄跨度处测量）小于或等于四 (4) 英寸，但不考虑宽度为 4 英寸或更小的任何特征，例如在末端逐渐变细或切割成弓形结，前提是这些特征的总长度不超过丝带长度的 20%。标的商品包括但不限于自身缠绕的丝带；线轴、芯或管（带或不带法兰）；附在卡片或条带上；缠绕成桶形或蛋形结构；制成弓、弓状物品或其他形状或构造；以及是否包装或贴有零售标签。主题商品通常由聚丙烯基材制成，但可以全部或部分由任何类型的塑料制成，包括但不限于源自石油产品的塑料和源自纤维素产品的塑料。除非上下文另有明确说明，单数使用的“丝带”一词包括复数，复数“丝带”包括单数。
主题商品包括由一层或多层基材组成的条带，该基材全部或部分由彼此粘合的塑料制成，无论用于将这些层粘合在一起的方法如何，包括但不限于由粘合的基材层组成的条带通过层压工艺相互连接。标的商品还包括由 (a) 一层或多层全部或部分由塑料制成的基材粘合到 (b) 一层或多层全部或部分由非塑料材料制成的基材上的条带，包括但不限于全部或部分由织物制成的基材。
受这些订单约束的丝带可以是任何颜色或颜色组合（包括但不限于透明、半透明或不透明的丝带），并且可能带有或不带有文字或图像，包括但不限于带有节日主题的文字或图像。标的商品包括带有装饰和*或处理的丝带，包括但不限于印刷、热印、涂层、层压、植绒、卷曲、模切、压花（或以其他方式具有印记设计、图像、文字的丝带）或图案），以及具有全息、金属、闪光或虹彩饰面的丝带。
主题商品包括“拉弓”，一种相互连接的丝带组合，折叠平整，并配备有一种装置，可通过拉动固定在该组合上的一段材料将此类丝带形成弓形，以及“预“缺口”弓，一组缺口带环排列成一个内另一个，缺口对齐并在缺口处相互固定，最终用户通过在缺口周围圆形分离和展开环形成弓，形成弓的​​中心。主题商品包括与非主题商品包装在一起的丝带，包括包含丝带和其他产品（例如礼品包装、礼品袋、礼品标签和*或其他礼品包装产品）的套装。丝带包含在这些订单的范围内；</t>
  </si>
  <si>
    <t>A-570-905</t>
  </si>
  <si>
    <t>Polyester Staple Fiber</t>
  </si>
  <si>
    <t>涤纶短纤维</t>
  </si>
  <si>
    <r>
      <rPr>
        <sz val="11"/>
        <color rgb="FF000000"/>
        <rFont val="Calibri"/>
        <charset val="134"/>
      </rPr>
      <t xml:space="preserve">5503.20.0045  </t>
    </r>
    <r>
      <rPr>
        <sz val="11"/>
        <color rgb="FF000000"/>
        <rFont val="宋体"/>
        <charset val="134"/>
      </rPr>
      <t>、</t>
    </r>
    <r>
      <rPr>
        <sz val="11"/>
        <color rgb="FF000000"/>
        <rFont val="Calibri"/>
        <charset val="134"/>
      </rPr>
      <t xml:space="preserve"> 5503.20.0065</t>
    </r>
  </si>
  <si>
    <t>所涵盖的商品是直径为 3.3 分特（3 旦，含）或更大的聚酯合成短纤维，未经梳理、精梳或其他纺纱加工。该商品被切割成从一英寸（25 毫米）到五英寸（127 毫米）不等的长度。标的商品可以涂有涂层，通常涂有硅或其他饰面，或者没有涂层。PSF 通常用作睡袋、床垫、滑雪夹克、被子、靠垫、枕头和家具的填充物。</t>
  </si>
  <si>
    <t>A-570-097</t>
  </si>
  <si>
    <t>Polyester Textured Yarn</t>
  </si>
  <si>
    <t>涤纶变形纱</t>
  </si>
  <si>
    <r>
      <rPr>
        <sz val="11"/>
        <color rgb="FF000000"/>
        <rFont val="Calibri"/>
        <charset val="134"/>
      </rPr>
      <t xml:space="preserve">5402.52.10.00  </t>
    </r>
    <r>
      <rPr>
        <sz val="11"/>
        <color rgb="FF000000"/>
        <rFont val="宋体"/>
        <charset val="134"/>
      </rPr>
      <t>、</t>
    </r>
    <r>
      <rPr>
        <sz val="11"/>
        <color rgb="FF000000"/>
        <rFont val="Calibri"/>
        <charset val="134"/>
      </rPr>
      <t xml:space="preserve"> 5402.52.90.00</t>
    </r>
    <r>
      <rPr>
        <sz val="11"/>
        <color rgb="FF000000"/>
        <rFont val="宋体"/>
        <charset val="134"/>
      </rPr>
      <t>。</t>
    </r>
  </si>
  <si>
    <t>涵盖的商品聚酯变形纱是由聚酯（聚对苯二甲酸乙二醇酯）制成的合成复丝纱。涤纶变形纱是通过变形工艺生产的，该工艺赋予纱线长丝特殊的性能，包括弹性、膨松度、强度、吸湿性、绝缘性和天然纤维的外观。此范围包括所有形式的聚酯变形纱，无论表面纹理或外观、纱线密度和厚度（以旦尼尔为单位）、长丝数、层数、整理（光泽）、横截面、颜色、染色方法、变形方法或包装方法（例如锭子、管子或梁）</t>
  </si>
  <si>
    <t>A-570-886</t>
  </si>
  <si>
    <t>Polyethylene Retail Carrier Bags</t>
  </si>
  <si>
    <t>聚乙烯零售手提袋</t>
  </si>
  <si>
    <t>3923.21.0085</t>
  </si>
  <si>
    <t>倾销税令约束的商品是聚乙烯零售手提袋 (PRCB)，也可称为 T 恤袋、商品袋、杂货袋或结帐袋。标的商品被定义为厚度不超过 0.035 英寸（0.889 毫米）的聚乙烯薄膜制成的不可密封的袋子和袋子，带有提手（包括拉绳）、没有拉链或整体挤压封口、有或没有角撑板、有或没有印刷) 且不小于 0.00035 英寸（0.00889 毫米），且长度或宽度不得短于 6 英寸（15.24 厘米）或长于 40 英寸（101.6 厘米）。袋子的深度可以短于 6 英寸（15.24 厘米），但不超过 40 英寸（101.6 厘米）。
PRCB 通常由零售机构（例如杂货店、药品店、便利店、百货商店、专业零售店、折扣店和餐馆）免费提供给他们的客户，以包装和携带他们购买的产品
商务部于 2014 年 3 月 25 日确定，自 2013 年 5 月 14 日起，从中国进口的未成品聚乙烯零售手提袋将受到对来自中国的聚乙烯零售手提袋的反倾销税令的约束。具体来说，来自中国的商品似乎是一个未完成的聚乙烯零售手提袋，四面都密封，切割成一定长度，似乎准备好接受生产过程的最后一步，即使用模压机对聚乙烯零售手提袋成品的开口和提手进行冲压加工，适用于来自中国的聚乙烯零售手提袋的反倾销税令。未完成的聚乙烯零售手提袋可能有印刷也可能没有印刷，并且可以具有不同的尺寸，只要它们符合订单范围的描述即可。</t>
  </si>
  <si>
    <t>A-570-924</t>
  </si>
  <si>
    <t>Polyethylene Terephthalate (Pet) Film</t>
  </si>
  <si>
    <r>
      <rPr>
        <sz val="11"/>
        <color rgb="FF000000"/>
        <rFont val="宋体"/>
        <charset val="134"/>
      </rPr>
      <t>聚对苯二甲酸乙二醇酯（</t>
    </r>
    <r>
      <rPr>
        <sz val="11"/>
        <color rgb="FF000000"/>
        <rFont val="Calibri"/>
        <charset val="134"/>
      </rPr>
      <t>PET</t>
    </r>
    <r>
      <rPr>
        <sz val="11"/>
        <color rgb="FF000000"/>
        <rFont val="宋体"/>
        <charset val="134"/>
      </rPr>
      <t>）薄膜</t>
    </r>
  </si>
  <si>
    <t>3920.62.00.90</t>
  </si>
  <si>
    <t>涵盖的产品都是规格为未加工、预处理或涂底漆的 PET 薄膜，无论是挤出的还是共挤出的。不包括金属化薄膜和其他成品薄膜，这些薄膜的至少一个表面通过施加超过 0.00001 英寸厚的性能增强树脂或无机层进行了改性。</t>
  </si>
  <si>
    <t>A-570-879</t>
  </si>
  <si>
    <t>Polyvinyl Alcohol</t>
  </si>
  <si>
    <t>聚乙烯醇</t>
  </si>
  <si>
    <t>3905.30.00</t>
  </si>
  <si>
    <r>
      <rPr>
        <sz val="11"/>
        <color rgb="FF000000"/>
        <rFont val="宋体"/>
        <charset val="134"/>
      </rPr>
      <t>聚乙烯醇（PVA）。该产品由水解超过 80% 的所有 PVA 组成，无论是否与商业水平的消泡剂或硼酸混合或稀释，除非如下所述。
以下产品明确排除在本次调查范围之外：
1) 纤维形式的 PVA。
2) PVA 水解低于 83 摩尔%，经证明不能用于纺织品生产。
3) 水解度大于 85% 且粘度大于或等于 90 cps 的 PVA。
4) 水解度大于 85%、粘度大于或等于 80 cps 但小于 90 cps 的 PVA，经认证可用于喷墨应用。
5) PVA 用于制造辅料或作为制造薄膜包衣系统的辅料，薄膜包衣系统是药物或膳食补充剂的组成部分，并附有最终用途证明。
6) 与阳离子单体共价键合的 PVA 以等于或大于 1 摩尔百分比的浓度均匀地存在于所有聚合物链上。
7) 与羧酸共</t>
    </r>
    <r>
      <rPr>
        <sz val="11"/>
        <color rgb="FF000000"/>
        <rFont val="Times New Roman"/>
        <charset val="134"/>
      </rPr>
      <t>​​</t>
    </r>
    <r>
      <rPr>
        <sz val="11"/>
        <color rgb="FF000000"/>
        <rFont val="宋体"/>
        <charset val="134"/>
      </rPr>
      <t>价键合的 PVA 以等于或大于 2 摩尔百分比的浓度均匀存在于所有聚合物链上，经认证可用于纸张应用。
8) PVA 与硫醇共价键合，均匀存在于所有聚合物链上，经认证可用于非醋酸乙烯酯材料的乳液聚合。
9) 与石</t>
    </r>
    <r>
      <rPr>
        <sz val="11"/>
        <color rgb="FF000000"/>
        <rFont val="Times New Roman"/>
        <charset val="134"/>
      </rPr>
      <t>​​</t>
    </r>
    <r>
      <rPr>
        <sz val="11"/>
        <color rgb="FF000000"/>
        <rFont val="宋体"/>
        <charset val="134"/>
      </rPr>
      <t>蜡共价键合的 PVA 以等于或大于 1 摩尔百分比的浓度均匀地存在于所有聚合物链上。
10) PVA 与硅烷共价键合，均匀地存在于经认证可用于纸张涂层应用的所有聚合物链上。
11) 与磺酸共价键合的 PVA 以等于或大于 1 摩尔百分比的浓度水平均匀地存在于所有聚合物链上。
12) 与乙酰乙酰化物共价键合的 PVA 以等于或大于 1 摩尔百分比的浓度水平均匀地存在于所有聚合物链上。
13)与聚环氧乙烷共价键合的PVA以等于或大于1摩尔百分比的浓度水平均匀地存在于所有聚合物链上。
14)与季胺共价键合的PVA以等于或大于1摩尔百分比的浓度水平均匀地存在于所有聚合物链上。
15) 与双丙酮丙烯酰胺共价键合的 PVA 以大于 3 摩尔% 的浓度均匀存在于所有聚合物链上，经认证可用于纸张应用。</t>
    </r>
  </si>
  <si>
    <t>A-570-506</t>
  </si>
  <si>
    <t>Porcelain-On-Steel Cooking Ware</t>
  </si>
  <si>
    <t>钢上瓷炊具</t>
  </si>
  <si>
    <t>7323.94.00</t>
  </si>
  <si>
    <t>涵盖的进口货物是钢上瓷器 (POS) 炊具，包括茶壶，它们没有独立的电加热元件。所有上述均由钢制成，并用玻璃质玻璃上釉或上釉  
此外，砂锅、12 杯咖啡壶、6 杯咖啡壶、烤盘、椭圆形烘焙机和黄油加热器也在订单范围内。</t>
  </si>
  <si>
    <t>A-570-001</t>
  </si>
  <si>
    <t>Potassium Permanganate</t>
  </si>
  <si>
    <t>高锰酸钾</t>
  </si>
  <si>
    <t>2841.61.00</t>
  </si>
  <si>
    <t>涵盖的进口货物是高锰酸钾，这是一种以自由流动、技术和医药级生产的无机化学品。</t>
  </si>
  <si>
    <t>A-570-962</t>
  </si>
  <si>
    <t>Potassium Phosphate Salts</t>
  </si>
  <si>
    <t>磷酸钾盐</t>
  </si>
  <si>
    <t>2835.24.0000</t>
  </si>
  <si>
    <t>磷酸盐包括无水磷酸二钾 (“DKP”) 和焦磷酸四钾 (“TKPP”)，无论是无水的还是溶液中的（统称为“磷酸盐”）。
TKPP，也称为普通焦磷酸钾、二磷酸或四钾盐，是一种钾盐，分子式为 K4P2O7。TKPP 的 CAS 注册号是 7320-34-5。TKPP 通常是 18.7% 的磷和 47.3% 的钾。P2O5含量一般大于等于43.0%。TKPP 归入标题 2835.39.1000，美国统一关税表（“HTSUS”）。
DKP，也称为二钾盐、正磷酸氢二钾或磷酸氢二钾，化学式为K2HPO4。DKP 的 CAS 登记号是 7758-11-4。DKP 通常是 17.8% 的磷、44.8% 的钾和 40% 的 P2O5 含量。DKP 归类于 HTSUS 标题 。
该订单涵盖的产品包括上述所有等级的磷酸盐，无论是食品级还是工业级。本订单涵盖的产品包括无水 DKP，无论其物理形态是粉碎、颗粒、粉末还是细粉。还包括所有形式的 TKPP，无论是粉碎、颗粒、粉末、细粉还是溶液。</t>
  </si>
  <si>
    <t>A-570-990</t>
  </si>
  <si>
    <t>Prestressed Concrete Steel Rail Tie Wire</t>
  </si>
  <si>
    <t>预应力混凝土钢轨系线</t>
  </si>
  <si>
    <r>
      <rPr>
        <sz val="11"/>
        <color rgb="FF000000"/>
        <rFont val="Calibri"/>
        <charset val="134"/>
      </rPr>
      <t>7217.10.7000</t>
    </r>
    <r>
      <rPr>
        <sz val="11"/>
        <color rgb="FF000000"/>
        <rFont val="宋体"/>
        <charset val="134"/>
      </rPr>
      <t>、</t>
    </r>
    <r>
      <rPr>
        <sz val="11"/>
        <color rgb="FF000000"/>
        <rFont val="Calibri"/>
        <charset val="134"/>
      </rPr>
      <t>7217.10.8025</t>
    </r>
    <r>
      <rPr>
        <sz val="11"/>
        <color rgb="FF000000"/>
        <rFont val="宋体"/>
        <charset val="134"/>
      </rPr>
      <t>、</t>
    </r>
    <r>
      <rPr>
        <sz val="11"/>
        <color rgb="FF000000"/>
        <rFont val="Calibri"/>
        <charset val="134"/>
      </rPr>
      <t>7217.10.8030</t>
    </r>
    <r>
      <rPr>
        <sz val="11"/>
        <color rgb="FF000000"/>
        <rFont val="宋体"/>
        <charset val="134"/>
      </rPr>
      <t>、</t>
    </r>
    <r>
      <rPr>
        <sz val="11"/>
        <color rgb="FF000000"/>
        <rFont val="Calibri"/>
        <charset val="134"/>
      </rPr>
      <t>7217.10.8090</t>
    </r>
    <r>
      <rPr>
        <sz val="11"/>
        <color rgb="FF000000"/>
        <rFont val="宋体"/>
        <charset val="134"/>
      </rPr>
      <t>、</t>
    </r>
    <r>
      <rPr>
        <sz val="11"/>
        <color rgb="FF000000"/>
        <rFont val="Calibri"/>
        <charset val="134"/>
      </rPr>
      <t>7217.10.9000</t>
    </r>
    <r>
      <rPr>
        <sz val="11"/>
        <color rgb="FF000000"/>
        <rFont val="宋体"/>
        <charset val="134"/>
      </rPr>
      <t>、</t>
    </r>
    <r>
      <rPr>
        <sz val="11"/>
        <color rgb="FF000000"/>
        <rFont val="Calibri"/>
        <charset val="134"/>
      </rPr>
      <t>7229.90 .1000</t>
    </r>
    <r>
      <rPr>
        <sz val="11"/>
        <color rgb="FF000000"/>
        <rFont val="宋体"/>
        <charset val="134"/>
      </rPr>
      <t>、</t>
    </r>
    <r>
      <rPr>
        <sz val="11"/>
        <color rgb="FF000000"/>
        <rFont val="Calibri"/>
        <charset val="134"/>
      </rPr>
      <t>7229.90.5016</t>
    </r>
    <r>
      <rPr>
        <sz val="11"/>
        <color rgb="FF000000"/>
        <rFont val="宋体"/>
        <charset val="134"/>
      </rPr>
      <t>、</t>
    </r>
    <r>
      <rPr>
        <sz val="11"/>
        <color rgb="FF000000"/>
        <rFont val="Calibri"/>
        <charset val="134"/>
      </rPr>
      <t>7229.90.5031</t>
    </r>
    <r>
      <rPr>
        <sz val="11"/>
        <color rgb="FF000000"/>
        <rFont val="宋体"/>
        <charset val="134"/>
      </rPr>
      <t>、</t>
    </r>
    <r>
      <rPr>
        <sz val="11"/>
        <color rgb="FF000000"/>
        <rFont val="Calibri"/>
        <charset val="134"/>
      </rPr>
      <t>7229.90.5051</t>
    </r>
    <r>
      <rPr>
        <sz val="11"/>
        <color rgb="FF000000"/>
        <rFont val="宋体"/>
        <charset val="134"/>
      </rPr>
      <t>、</t>
    </r>
    <r>
      <rPr>
        <sz val="11"/>
        <color rgb="FF000000"/>
        <rFont val="Calibri"/>
        <charset val="134"/>
      </rPr>
      <t xml:space="preserve">7229.90.9000  </t>
    </r>
    <r>
      <rPr>
        <sz val="11"/>
        <color rgb="FF000000"/>
        <rFont val="宋体"/>
        <charset val="134"/>
      </rPr>
      <t>、</t>
    </r>
    <r>
      <rPr>
        <sz val="11"/>
        <color rgb="FF000000"/>
        <rFont val="Calibri"/>
        <charset val="134"/>
      </rPr>
      <t xml:space="preserve"> 7312.10.3012</t>
    </r>
    <r>
      <rPr>
        <sz val="11"/>
        <color rgb="FF000000"/>
        <rFont val="宋体"/>
        <charset val="134"/>
      </rPr>
      <t>。</t>
    </r>
  </si>
  <si>
    <t>产品为高碳钢丝；压力减轻或低放松；缩进或以其他方式变形；至少满足美国材料试验协会 (ASTM) A881*A881M 规范的物理、机械和化学要求；无论形状、大小或合金元素水平如何；适合用作混凝土铁路枕木（PC 枕木）中的预应力筋。高碳钢被定义为含有 0.6% 或更多重量碳的钢。</t>
  </si>
  <si>
    <t>A-570-945</t>
  </si>
  <si>
    <t>Prestressed Concrete Steel Wire Strand</t>
  </si>
  <si>
    <t>预应力混凝土钢绞线</t>
  </si>
  <si>
    <r>
      <rPr>
        <sz val="11"/>
        <color rgb="FF000000"/>
        <rFont val="Calibri"/>
        <charset val="134"/>
      </rPr>
      <t xml:space="preserve">7312.10.3010  </t>
    </r>
    <r>
      <rPr>
        <sz val="11"/>
        <color rgb="FF000000"/>
        <rFont val="宋体"/>
        <charset val="134"/>
      </rPr>
      <t>、</t>
    </r>
    <r>
      <rPr>
        <sz val="11"/>
        <color rgb="FF000000"/>
        <rFont val="Calibri"/>
        <charset val="134"/>
      </rPr>
      <t xml:space="preserve"> 7312.10.3012</t>
    </r>
    <r>
      <rPr>
        <sz val="11"/>
        <color rgb="FF000000"/>
        <rFont val="宋体"/>
        <charset val="134"/>
      </rPr>
      <t>。</t>
    </r>
  </si>
  <si>
    <t>订单的范围包括 PC 钢绞线，由非不锈钢、非镀锌钢线材制成，适用于预应力混凝土（预张拉和后张拉）应用。产品定义包括覆盖和未覆盖的钢绞线以及所有类型、等级和直径的 PC 钢绞线。PC 钢绞线通常在美国销售，尺寸范围为直径 0.25 英寸至 0.70 英寸。</t>
  </si>
  <si>
    <t>A-570-832</t>
  </si>
  <si>
    <t>Pure Magnesium</t>
  </si>
  <si>
    <t>纯镁</t>
  </si>
  <si>
    <r>
      <rPr>
        <sz val="11"/>
        <color rgb="FF000000"/>
        <rFont val="Calibri"/>
        <charset val="134"/>
      </rPr>
      <t>8104.11.00</t>
    </r>
    <r>
      <rPr>
        <sz val="11"/>
        <color rgb="FF000000"/>
        <rFont val="宋体"/>
        <charset val="134"/>
      </rPr>
      <t>、</t>
    </r>
    <r>
      <rPr>
        <sz val="11"/>
        <color rgb="FF000000"/>
        <rFont val="Calibri"/>
        <charset val="134"/>
      </rPr>
      <t>8104.19.00</t>
    </r>
    <r>
      <rPr>
        <sz val="11"/>
        <color rgb="FF000000"/>
        <rFont val="宋体"/>
        <charset val="134"/>
      </rPr>
      <t>、</t>
    </r>
    <r>
      <rPr>
        <sz val="11"/>
        <color rgb="FF000000"/>
        <rFont val="Calibri"/>
        <charset val="134"/>
      </rPr>
      <t>8104.20.00</t>
    </r>
    <r>
      <rPr>
        <sz val="11"/>
        <color rgb="FF000000"/>
        <rFont val="宋体"/>
        <charset val="134"/>
      </rPr>
      <t>、</t>
    </r>
    <r>
      <rPr>
        <sz val="11"/>
        <color rgb="FF000000"/>
        <rFont val="Calibri"/>
        <charset val="134"/>
      </rPr>
      <t>8104.30.00</t>
    </r>
    <r>
      <rPr>
        <sz val="11"/>
        <color rgb="FF000000"/>
        <rFont val="宋体"/>
        <charset val="134"/>
      </rPr>
      <t>、</t>
    </r>
    <r>
      <rPr>
        <sz val="11"/>
        <color rgb="FF000000"/>
        <rFont val="Calibri"/>
        <charset val="134"/>
      </rPr>
      <t>8104.90.00</t>
    </r>
    <r>
      <rPr>
        <sz val="11"/>
        <color rgb="FF000000"/>
        <rFont val="宋体"/>
        <charset val="134"/>
      </rPr>
      <t>、</t>
    </r>
    <r>
      <rPr>
        <sz val="11"/>
        <color rgb="FF000000"/>
        <rFont val="Calibri"/>
        <charset val="134"/>
      </rPr>
      <t>3824.90.11</t>
    </r>
    <r>
      <rPr>
        <sz val="11"/>
        <color rgb="FF000000"/>
        <rFont val="宋体"/>
        <charset val="134"/>
      </rPr>
      <t>、</t>
    </r>
    <r>
      <rPr>
        <sz val="11"/>
        <color rgb="FF000000"/>
        <rFont val="Calibri"/>
        <charset val="134"/>
      </rPr>
      <t xml:space="preserve">3824.90.19  </t>
    </r>
    <r>
      <rPr>
        <sz val="11"/>
        <color rgb="FF000000"/>
        <rFont val="宋体"/>
        <charset val="134"/>
      </rPr>
      <t>、</t>
    </r>
    <r>
      <rPr>
        <sz val="11"/>
        <color rgb="FF000000"/>
        <rFont val="Calibri"/>
        <charset val="134"/>
      </rPr>
      <t>9817.00.90</t>
    </r>
  </si>
  <si>
    <t>纯原镁主要用作铝合金、脱硫和化学还原工业中的化学品。此外，纯原镁用作生产镁合金的原料。纯原镁包括具有以下原镁含量
的产品（包括但不限于对接端、残端、冠部和晶体）2
： -------- -------------------------------------------------- -----
\2\自反倾销税令发布以来，我们已明确原订单的范围包括但不限于对接端、存根、冠和水晶。参见 1997 年 5 月 22 日，美国海关的指示和 1997 年 11 月 14 日，中国纯镁反倾销税令的最终范围规则。
-------------------------------------------------- -------------------------
(1) 原镁含量至少为 99.95%（按重量计）的产品[[第 3086 页]]（一般指作为“超纯”镁）；
(2) 按重量计，原镁含量低于 99.95% 但不低于 99.8% 的产品（通常称为“纯”镁）；和
(3) 按重量计含 50% 或更多但低于 99.8% 的原镁且不符合 ASTM 合金镁规范的产品（通常称为“不合格纯”镁）。
“不合格纯”镁是指纯原镁，其中含有镁废料、二次镁、氧化镁或杂质（无论是否有意添加），这些杂质会导致原镁含量低于 99.8%（重量）。它通常不单独或组合地包含按重量计 1.5% 或更多的以下合金元素：铝、锰、锌、硅、钍、锆和稀土。</t>
  </si>
  <si>
    <t>A-570-864</t>
  </si>
  <si>
    <t>Pure Magnesium In Granular Form</t>
  </si>
  <si>
    <t>粒状纯镁</t>
  </si>
  <si>
    <t>8104.30.00</t>
  </si>
  <si>
    <t>纯镁包括：
(1) 按重量计含有至少 99.95% 原镁的产品（通常称为“超纯”镁）；
(2) 按重量计，原镁含量低于 99.95% 但不低于 99.8% 的产品（通常称为“纯”镁）；
(3) 纯镁和其他材料的化学组合，其中纯镁含量按重量计为 50% 或更高但低于 99.8%，不符合“ASTM 镁合金规范” 含义该术语的名称与美国材料与试验协会在其 ASTM 标准年鉴：第 01.02 卷铝和镁合金中使用的名称相同。（通常称为“不合规格纯”镁）；和
(4) 纯镁和其他材料的物理混合物，其中纯镁含量按重量计为 50% 或更高但低于 99.8%。此订单不包括按重量计含有 90% 或更少纯镁和一种或多种特定非镁颗粒材料的混合物，以制备镁基试剂混合物。
该部门知道用于制造此类排除试剂的非镁颗粒材料有：石灰、金属钙、硅钙、电石、碳酸钙、碳、矿渣混凝剂、萤石、霞石正长岩、长石、铝、氧化铝（ Al2O3)、铝酸钙、纯碱、碳氢化合物、石墨、焦炭、硅、稀土金属*混合金属、冰晶石、二氧化硅*粉煤灰、氧化镁、方镁石、铁合金、白云石灰和硬钙石。进口包含一种或多种不在此清单中的材料的镁基试剂的当事方，在进口此类混合物免征反倾销税之前，必须向美国商务部寻求范围澄清。</t>
  </si>
  <si>
    <t>A-570-084</t>
  </si>
  <si>
    <t>Quartz Surface Products</t>
  </si>
  <si>
    <t>石英表面产品</t>
  </si>
  <si>
    <r>
      <rPr>
        <sz val="11"/>
        <color rgb="FF000000"/>
        <rFont val="Calibri"/>
        <charset val="134"/>
      </rPr>
      <t>6810.99.0010</t>
    </r>
    <r>
      <rPr>
        <sz val="11"/>
        <color rgb="FF000000"/>
        <rFont val="宋体"/>
        <charset val="134"/>
      </rPr>
      <t>，</t>
    </r>
    <r>
      <rPr>
        <sz val="11"/>
        <color rgb="FF000000"/>
        <rFont val="Calibri"/>
        <charset val="134"/>
      </rPr>
      <t xml:space="preserve">6810.11.0010, 6810.11.0070, 6810.19.1200, 6810.19.1400, 6810.19.5000, 6810.91.0000, 6810.99.0080, 6815.99.4070, 2506.10.0010, 2506.10.0050, 2506.20.0010 </t>
    </r>
    <r>
      <rPr>
        <sz val="11"/>
        <color rgb="FF000000"/>
        <rFont val="宋体"/>
        <charset val="134"/>
      </rPr>
      <t>、</t>
    </r>
    <r>
      <rPr>
        <sz val="11"/>
        <color rgb="FF000000"/>
        <rFont val="Calibri"/>
        <charset val="134"/>
      </rPr>
      <t xml:space="preserve">2506.20.0080  </t>
    </r>
    <r>
      <rPr>
        <sz val="11"/>
        <color rgb="FF000000"/>
        <rFont val="宋体"/>
        <charset val="134"/>
      </rPr>
      <t>、</t>
    </r>
    <r>
      <rPr>
        <sz val="11"/>
        <color rgb="FF000000"/>
        <rFont val="Calibri"/>
        <charset val="134"/>
      </rPr>
      <t xml:space="preserve"> 7016.90.10</t>
    </r>
    <r>
      <rPr>
        <sz val="11"/>
        <color rgb="FF000000"/>
        <rFont val="宋体"/>
        <charset val="134"/>
      </rPr>
      <t>。</t>
    </r>
  </si>
  <si>
    <t>范围涵盖某些石英表面产品。 [15] 石英表面产品包括由主要包括二氧化硅（例如石英、石英粉、方石英）和树脂粘合剂（例如不饱和聚酯）的材料混合物制成的板和其他表面。加入其他材料，包括但不限于颜料、水泥或其他添加剂，不会将商品从订单范围中删除。但是，订单范围仅包括按实际重量计二氧化硅含量高于任何其他单一材料的产品。石英表面产品通常以矩形板的形式出售，总表面积约为 45 至 60 平方英尺，标称厚度为 1、2 或 3 厘米。然而，订单范围包括所有其他尺寸、厚度和形状的表面产品。除平板外，订单范围包括但不限于其他表面，例如台面、后挡板、梳妆台、吧台台面、工作台面、桌面、地板、墙面、淋浴间、壁炉、壁炉架，和瓷砖。某些石英表面产品包含在订单中，无论是抛光或未抛光、切割或未切割、加工或未加工、固化或未固化、磨边或未磨边、成品或未加工、热成型或未热成型、包装或未包装，无论类型如何的表面光洁度。梳妆台台面、吧台台面、工作台面、桌面、地板、墙面、淋浴间、壁炉边、壁炉架和瓷砖。某些石英表面产品包含在订单中，无论是抛光或未抛光、切割或未切割、加工或未加工、固化或未固化、磨边或未磨边、成品或未加工、热成型或未热成型、包装或未包装，无论类型如何的表面光洁度。梳妆台台面、吧台台面、工作台面、桌面、地板、墙面、淋浴间、壁炉边、壁炉架和瓷砖。某些石英表面产品包含在订单中，无论是抛光或未抛光、切割或未切割、加工或未加工、固化或未固化、磨边或未磨边、成品或未加工、热成型或未热成型、包装或未包装，无论类型如何的表面光洁度。
此外，订单涵盖石英表面产品，无论它们是否与非标的商品（例如水槽、水槽碗、梳妆台、橱柜和家具）一起进口或与之结合。如果进口石英面制品是附在或与非标的商品一起进口的，范围内只包括石英面制品。
标的商品包括在第三国完成、包装或以其他方式制造的与上述描述相匹配的材料，包括通过切割、抛光、固化、磨边、热成型、附着或与另一产品包装，或任何其他精加工、包装，或者如果在石英表面产品的制造国进行，则不会将商品从订单范围中删除的制造。</t>
  </si>
  <si>
    <t>A-570-922</t>
  </si>
  <si>
    <t>Raw Flexible Magnets</t>
  </si>
  <si>
    <t>未加工的柔性磁铁</t>
  </si>
  <si>
    <r>
      <rPr>
        <sz val="11"/>
        <color rgb="FF000000"/>
        <rFont val="Calibri"/>
        <charset val="134"/>
      </rPr>
      <t xml:space="preserve">8505.19.10  </t>
    </r>
    <r>
      <rPr>
        <sz val="11"/>
        <color rgb="FF000000"/>
        <rFont val="宋体"/>
        <charset val="134"/>
      </rPr>
      <t>、</t>
    </r>
    <r>
      <rPr>
        <sz val="11"/>
        <color rgb="FF000000"/>
        <rFont val="Calibri"/>
        <charset val="134"/>
      </rPr>
      <t xml:space="preserve"> 8505.19.20</t>
    </r>
  </si>
  <si>
    <t>涵盖的产品是某些柔性磁铁，无论其形状（见脚注 1）、颜色或包装（见脚注 2）如何。主题柔性磁体是粘结磁体，由 (i) 各种柔性粘合剂（如聚合物或共聚物，或橡胶）中的任何一种或组合和 (ii) 磁性元件组成（不一定排他性），该磁性元件可能由铁氧体组成永磁材料（通常是锶或钡铁氧体，或两者的组合）、金属合金（如钕铁硼或铝镍钴合金）、上述两者的任意组合或任何其他材料，或任何其他能够永久磁化。
主题柔性磁体可以处于磁化或未磁化（包括去磁）状态，并且可以或可以不完全或部分层压或完全或部分与任何成分和*或颜色的纸、塑料或其他材料粘合。主题的柔性磁体可以是未涂覆的或者可以涂覆有粘合剂或任何其他涂层或涂层的组合。</t>
  </si>
  <si>
    <t>A-570-093</t>
  </si>
  <si>
    <t>Refillable Stainless Steel Kegs</t>
  </si>
  <si>
    <t>可再填充的不锈钢桶</t>
  </si>
  <si>
    <r>
      <rPr>
        <sz val="11"/>
        <color rgb="FF000000"/>
        <rFont val="Calibri"/>
        <charset val="134"/>
      </rPr>
      <t>7310.10.0010</t>
    </r>
    <r>
      <rPr>
        <sz val="11"/>
        <color rgb="FF000000"/>
        <rFont val="宋体"/>
        <charset val="134"/>
      </rPr>
      <t>、</t>
    </r>
    <r>
      <rPr>
        <sz val="11"/>
        <color rgb="FF000000"/>
        <rFont val="Calibri"/>
        <charset val="134"/>
      </rPr>
      <t>7310.10.0050</t>
    </r>
    <r>
      <rPr>
        <sz val="11"/>
        <color rgb="FF000000"/>
        <rFont val="宋体"/>
        <charset val="134"/>
      </rPr>
      <t>、</t>
    </r>
    <r>
      <rPr>
        <sz val="11"/>
        <color rgb="FF000000"/>
        <rFont val="Calibri"/>
        <charset val="134"/>
      </rPr>
      <t xml:space="preserve">7310.29.0025  </t>
    </r>
    <r>
      <rPr>
        <sz val="11"/>
        <color rgb="FF000000"/>
        <rFont val="宋体"/>
        <charset val="134"/>
      </rPr>
      <t>、</t>
    </r>
    <r>
      <rPr>
        <sz val="11"/>
        <color rgb="FF000000"/>
        <rFont val="Calibri"/>
        <charset val="134"/>
      </rPr>
      <t xml:space="preserve"> 7310.29.0050</t>
    </r>
  </si>
  <si>
    <t>涵盖的产品是桶、器皿或容器，其主体大致呈圆柱形，由不锈钢（即按重量计含铬至少 10.5% 和按重量计碳含量低于 1.2% 的钢，含或不含其他元素），并且与标称液体容量为 10 升或更多的“D Sankey”提取器（可再填充的不锈钢小桶）兼容，无论不锈钢的表面处理类型、规格、厚度或等级如何，以及是否被其他材料覆盖或包裹。可再灌装的不锈钢桶可以是组装的或非组装的进口，有或没有所有组件（包括矛、连接器或龙头、颈部、套环和阀门），可以填充或不填充。
“未组装”或“未完成”的可再装不锈钢桶包括拉制的不锈钢圆筒，这些圆筒已被焊接以形成桶的主体并连接到上（顶部）边沿和*或下（底部）边沿。未组装的可再灌装不锈钢小桶可能会或可能不会焊接到颈部，可能会或可能不会连接阀门组件，并且除了测试、认证和*或标记外，可能是完整的。
标的商品还包括已在第三国进一步加工的可再灌装不锈钢桶，包括但不限于颈部、颈圈、矛或阀门的连接、热处理、酸洗、钝化、喷漆、测试、认证或任何其他加工如果在范围内可再灌装不锈钢酒桶的制造国进行，则不会将商品从调查范围中删除</t>
  </si>
  <si>
    <t>A-570-882</t>
  </si>
  <si>
    <t>Refined Brown Aluminum Oxide</t>
  </si>
  <si>
    <t>精制棕色氧化铝</t>
  </si>
  <si>
    <r>
      <rPr>
        <sz val="11"/>
        <color rgb="FF000000"/>
        <rFont val="Calibri"/>
        <charset val="134"/>
      </rPr>
      <t xml:space="preserve">2818.10.20.00  </t>
    </r>
    <r>
      <rPr>
        <sz val="11"/>
        <color rgb="FF000000"/>
        <rFont val="宋体"/>
        <charset val="134"/>
      </rPr>
      <t>、</t>
    </r>
    <r>
      <rPr>
        <sz val="11"/>
        <color rgb="FF000000"/>
        <rFont val="Calibri"/>
        <charset val="134"/>
      </rPr>
      <t xml:space="preserve"> 2818.10.20.90</t>
    </r>
  </si>
  <si>
    <t>涵盖的商品是磨碎、粉碎或精制的棕色人造刚玉，也称为棕色氧化铝或棕色刚玉，粒度为 3*8 英寸或更小</t>
  </si>
  <si>
    <t>A-570-069</t>
  </si>
  <si>
    <t>Rubber Bands</t>
  </si>
  <si>
    <t>橡皮筋</t>
  </si>
  <si>
    <t>4016.99.3510   4016.99.6050</t>
  </si>
  <si>
    <t>涵盖的商品是硫化橡胶制成的带子，其长度为平放的带子端对端实际测量的长度，不小于 1*2 英寸且不大于 10 英寸；具有宽度，测量垂直于长度的尺寸，实际上至少为 3*64 英寸且不大于 2 英寸；壁厚实际上从 0.020 英寸到 0.125 英寸。通过添加硫或其他等效固化剂或促进剂，硫化橡胶已被化学加工成更耐用的材料。无论颜色或橡皮筋表面是否包含印刷材料，包括但不限于带有印刷品的橡皮筋，例如产品名称、广告或标语，以及印刷材料（例如，标签）通过粘合剂或其他临时类型的连接固定在橡皮筋上。该范围包括以各种形式和包装包含或以其他方式存在的硫化橡皮筋，例如但不限于包括在桌面配件套装或其他类型的套装或包装内的硫化橡皮筋，以及硫化橡皮筋球。</t>
  </si>
  <si>
    <t>A-570-878</t>
  </si>
  <si>
    <t>Saccharin</t>
  </si>
  <si>
    <t>糖精</t>
  </si>
  <si>
    <t>2925.11.00</t>
  </si>
  <si>
    <t>糖精被定义为一种非营养性甜味剂，用于饮料和食品、牙膏等个人护理产品、桌面甜味剂和动物饲料。它也用于金属加工液。糖精有四种主要化学成分： (1) 糖精钠（美国化学学会化学文摘社 (“CAS”) 注册号 128-44-9）；(2) 糖精钙 (CAS Registry 6485-34-3)；(3) 酸性（或不溶性）糖精（CAS 登记号 81-07-2）；(4)研究级糖精。美国生产和从中国进口的大多数糖精是钠和钙糖精，有颗粒、粉末、喷雾干燥粉末和液体形式。受此订单约束的商品目前可归入美国协调关税表（“HTSUS”）子目 2925.11.00 下，包括根据该 HTSUS 子目进口的所有类型的糖精，包括研究级和专业级。尽管 HTSUS 子标题是为方便和海关目的而提供的，但该部门对该命令范围的书面描述仍然具有决定性。</t>
  </si>
  <si>
    <t>A-570-956</t>
  </si>
  <si>
    <t>Seamless Carbon And Alloy Steel Standard, Line, And Pressure Pipe</t>
  </si>
  <si>
    <t>无缝碳钢和合金钢标准、管线和压力管</t>
  </si>
  <si>
    <r>
      <rPr>
        <sz val="11"/>
        <color rgb="FF000000"/>
        <rFont val="Calibri"/>
        <charset val="134"/>
      </rPr>
      <t>7304.19.1020</t>
    </r>
    <r>
      <rPr>
        <sz val="11"/>
        <color rgb="FF000000"/>
        <rFont val="宋体"/>
        <charset val="134"/>
      </rPr>
      <t>、</t>
    </r>
    <r>
      <rPr>
        <sz val="11"/>
        <color rgb="FF000000"/>
        <rFont val="Calibri"/>
        <charset val="134"/>
      </rPr>
      <t>7304.19.1030</t>
    </r>
    <r>
      <rPr>
        <sz val="11"/>
        <color rgb="FF000000"/>
        <rFont val="宋体"/>
        <charset val="134"/>
      </rPr>
      <t>、</t>
    </r>
    <r>
      <rPr>
        <sz val="11"/>
        <color rgb="FF000000"/>
        <rFont val="Calibri"/>
        <charset val="134"/>
      </rPr>
      <t>7304.19.1045</t>
    </r>
    <r>
      <rPr>
        <sz val="11"/>
        <color rgb="FF000000"/>
        <rFont val="宋体"/>
        <charset val="134"/>
      </rPr>
      <t>、</t>
    </r>
    <r>
      <rPr>
        <sz val="11"/>
        <color rgb="FF000000"/>
        <rFont val="Calibri"/>
        <charset val="134"/>
      </rPr>
      <t>7304.19.1060</t>
    </r>
    <r>
      <rPr>
        <sz val="11"/>
        <color rgb="FF000000"/>
        <rFont val="宋体"/>
        <charset val="134"/>
      </rPr>
      <t>、</t>
    </r>
    <r>
      <rPr>
        <sz val="11"/>
        <color rgb="FF000000"/>
        <rFont val="Calibri"/>
        <charset val="134"/>
      </rPr>
      <t>7304.19.5020</t>
    </r>
    <r>
      <rPr>
        <sz val="11"/>
        <color rgb="FF000000"/>
        <rFont val="宋体"/>
        <charset val="134"/>
      </rPr>
      <t>、</t>
    </r>
    <r>
      <rPr>
        <sz val="11"/>
        <color rgb="FF000000"/>
        <rFont val="Calibri"/>
        <charset val="134"/>
      </rPr>
      <t>7304.19.5050 , 7304.31.6050, 7304.39.0016, 7304.39.0020, 7304.39.0024, 7304.39.0028, 7304.39.0032, 7304.39.0036, 7304.39.0040, 7304.39.0044, 7304.39.0048, 7304.39.0052, 7304.39.0056, 7304.39 .0062</t>
    </r>
    <r>
      <rPr>
        <sz val="11"/>
        <color rgb="FF000000"/>
        <rFont val="宋体"/>
        <charset val="134"/>
      </rPr>
      <t>，</t>
    </r>
    <r>
      <rPr>
        <sz val="11"/>
        <color rgb="FF000000"/>
        <rFont val="Calibri"/>
        <charset val="134"/>
      </rPr>
      <t>7304.39.0068</t>
    </r>
    <r>
      <rPr>
        <sz val="11"/>
        <color rgb="FF000000"/>
        <rFont val="宋体"/>
        <charset val="134"/>
      </rPr>
      <t>，</t>
    </r>
    <r>
      <rPr>
        <sz val="11"/>
        <color rgb="FF000000"/>
        <rFont val="Calibri"/>
        <charset val="134"/>
      </rPr>
      <t>7304.39.0072</t>
    </r>
    <r>
      <rPr>
        <sz val="11"/>
        <color rgb="FF000000"/>
        <rFont val="宋体"/>
        <charset val="134"/>
      </rPr>
      <t>，</t>
    </r>
    <r>
      <rPr>
        <sz val="11"/>
        <color rgb="FF000000"/>
        <rFont val="Calibri"/>
        <charset val="134"/>
      </rPr>
      <t>7304.51.5005</t>
    </r>
    <r>
      <rPr>
        <sz val="11"/>
        <color rgb="FF000000"/>
        <rFont val="宋体"/>
        <charset val="134"/>
      </rPr>
      <t>，</t>
    </r>
    <r>
      <rPr>
        <sz val="11"/>
        <color rgb="FF000000"/>
        <rFont val="Calibri"/>
        <charset val="134"/>
      </rPr>
      <t>7304.51.5060</t>
    </r>
    <r>
      <rPr>
        <sz val="11"/>
        <color rgb="FF000000"/>
        <rFont val="宋体"/>
        <charset val="134"/>
      </rPr>
      <t>，</t>
    </r>
    <r>
      <rPr>
        <sz val="11"/>
        <color rgb="FF000000"/>
        <rFont val="Calibri"/>
        <charset val="134"/>
      </rPr>
      <t>7304.59.6000</t>
    </r>
    <r>
      <rPr>
        <sz val="11"/>
        <color rgb="FF000000"/>
        <rFont val="宋体"/>
        <charset val="134"/>
      </rPr>
      <t>，</t>
    </r>
    <r>
      <rPr>
        <sz val="11"/>
        <color rgb="FF000000"/>
        <rFont val="Calibri"/>
        <charset val="134"/>
      </rPr>
      <t>7304.59.8010</t>
    </r>
    <r>
      <rPr>
        <sz val="11"/>
        <color rgb="FF000000"/>
        <rFont val="宋体"/>
        <charset val="134"/>
      </rPr>
      <t>，</t>
    </r>
    <r>
      <rPr>
        <sz val="11"/>
        <color rgb="FF000000"/>
        <rFont val="Calibri"/>
        <charset val="134"/>
      </rPr>
      <t>7304.59.8015</t>
    </r>
    <r>
      <rPr>
        <sz val="11"/>
        <color rgb="FF000000"/>
        <rFont val="宋体"/>
        <charset val="134"/>
      </rPr>
      <t>，</t>
    </r>
    <r>
      <rPr>
        <sz val="11"/>
        <color rgb="FF000000"/>
        <rFont val="Calibri"/>
        <charset val="134"/>
      </rPr>
      <t xml:space="preserve">7304.59.8020 </t>
    </r>
    <r>
      <rPr>
        <sz val="11"/>
        <color rgb="FF000000"/>
        <rFont val="宋体"/>
        <charset val="134"/>
      </rPr>
      <t>、</t>
    </r>
    <r>
      <rPr>
        <sz val="11"/>
        <color rgb="FF000000"/>
        <rFont val="Calibri"/>
        <charset val="134"/>
      </rPr>
      <t>7304.59.8045</t>
    </r>
    <r>
      <rPr>
        <sz val="11"/>
        <color rgb="FF000000"/>
        <rFont val="宋体"/>
        <charset val="134"/>
      </rPr>
      <t>、</t>
    </r>
    <r>
      <rPr>
        <sz val="11"/>
        <color rgb="FF000000"/>
        <rFont val="Calibri"/>
        <charset val="134"/>
      </rPr>
      <t>7304.59.8050</t>
    </r>
    <r>
      <rPr>
        <sz val="11"/>
        <color rgb="FF000000"/>
        <rFont val="宋体"/>
        <charset val="134"/>
      </rPr>
      <t>、</t>
    </r>
    <r>
      <rPr>
        <sz val="11"/>
        <color rgb="FF000000"/>
        <rFont val="Calibri"/>
        <charset val="134"/>
      </rPr>
      <t>7304.59.8055</t>
    </r>
    <r>
      <rPr>
        <sz val="11"/>
        <color rgb="FF000000"/>
        <rFont val="宋体"/>
        <charset val="134"/>
      </rPr>
      <t>、</t>
    </r>
    <r>
      <rPr>
        <sz val="11"/>
        <color rgb="FF000000"/>
        <rFont val="Calibri"/>
        <charset val="134"/>
      </rPr>
      <t>7304.59.8060</t>
    </r>
    <r>
      <rPr>
        <sz val="11"/>
        <color rgb="FF000000"/>
        <rFont val="宋体"/>
        <charset val="134"/>
      </rPr>
      <t>、</t>
    </r>
    <r>
      <rPr>
        <sz val="11"/>
        <color rgb="FF000000"/>
        <rFont val="Calibri"/>
        <charset val="134"/>
      </rPr>
      <t xml:space="preserve">7304.59.8065  </t>
    </r>
    <r>
      <rPr>
        <sz val="11"/>
        <color rgb="FF000000"/>
        <rFont val="宋体"/>
        <charset val="134"/>
      </rPr>
      <t>、</t>
    </r>
    <r>
      <rPr>
        <sz val="11"/>
        <color rgb="FF000000"/>
        <rFont val="Calibri"/>
        <charset val="134"/>
      </rPr>
      <t xml:space="preserve"> 7304.59.8070</t>
    </r>
    <r>
      <rPr>
        <sz val="11"/>
        <color rgb="FF000000"/>
        <rFont val="宋体"/>
        <charset val="134"/>
      </rPr>
      <t>。</t>
    </r>
  </si>
  <si>
    <t>涵盖的商品是某些无缝碳钢和合金钢（不锈钢除外）管和重拔空心，外径小于或等于 16 英寸（406.4 毫米），不考虑壁厚、制造工艺（例如，热加工或冷拉）、端面加工（例如，平端、斜面端、镦粗端、螺纹或螺纹连接）或表面加工（例如，裸露、涂漆或涂层）。重拔空心是任何未完成的碳钢或合金钢（不锈钢除外）管道或“空心型材”，适用于冷拉等冷加工操作，以满足美国材料试验协会 (“ASTM”) 或美国石油学会的要求以下引用的（“API”）规范或类似规范</t>
  </si>
  <si>
    <t>A-570-964</t>
  </si>
  <si>
    <t>Seamless Refined Copper Pipe And Tube</t>
  </si>
  <si>
    <t>无缝精炼铜管</t>
  </si>
  <si>
    <r>
      <rPr>
        <sz val="11"/>
        <color rgb="FF000000"/>
        <rFont val="Calibri"/>
        <charset val="134"/>
      </rPr>
      <t xml:space="preserve">7411.10.1030  </t>
    </r>
    <r>
      <rPr>
        <sz val="11"/>
        <color rgb="FF000000"/>
        <rFont val="宋体"/>
        <charset val="134"/>
      </rPr>
      <t>、</t>
    </r>
    <r>
      <rPr>
        <sz val="11"/>
        <color rgb="FF000000"/>
        <rFont val="Calibri"/>
        <charset val="134"/>
      </rPr>
      <t xml:space="preserve"> 7411.10.1090,7407.10.1500</t>
    </r>
    <r>
      <rPr>
        <sz val="11"/>
        <color rgb="FF000000"/>
        <rFont val="宋体"/>
        <charset val="134"/>
      </rPr>
      <t>、</t>
    </r>
    <r>
      <rPr>
        <sz val="11"/>
        <color rgb="FF000000"/>
        <rFont val="Calibri"/>
        <charset val="134"/>
      </rPr>
      <t>7419.99.5050</t>
    </r>
    <r>
      <rPr>
        <sz val="11"/>
        <color rgb="FF000000"/>
        <rFont val="宋体"/>
        <charset val="134"/>
      </rPr>
      <t>、</t>
    </r>
    <r>
      <rPr>
        <sz val="11"/>
        <color rgb="FF000000"/>
        <rFont val="Calibri"/>
        <charset val="134"/>
      </rPr>
      <t xml:space="preserve">8415.90.8065  </t>
    </r>
    <r>
      <rPr>
        <sz val="11"/>
        <color rgb="FF000000"/>
        <rFont val="宋体"/>
        <charset val="134"/>
      </rPr>
      <t>、</t>
    </r>
    <r>
      <rPr>
        <sz val="11"/>
        <color rgb="FF000000"/>
        <rFont val="Calibri"/>
        <charset val="134"/>
      </rPr>
      <t xml:space="preserve"> 8415.90.8085</t>
    </r>
  </si>
  <si>
    <t>涵盖的产品均为无缝圆形精炼铜管，包括重拉空心，长度大于或等于 6 英寸（152.4 毫米）且尺寸小于 12.130 英寸（308.102 毫米）（实际）在外径 (“OD”) 方面，无论壁厚、孔（例如，光滑、内槽或脊增强）、制造工艺（例如，热精加工、冷拉、退火）、外表面（例如，平面或用凹槽、脊、翅片或鳃增强）、端面处理（例如，平端、型锻端、扩口端、扩展端、卷边端、螺纹）、涂层（例如，塑料、油漆）、绝缘、附件（例如，平的、加盖的、塞住的、带有压缩或其他配件的）或物理配置（例如，直的、盘绕的、弯曲的、缠绕在线轴上）。
这些订单的范围包括但不限于生产的或与美国材料试验协会 (“ASTM”) ASTM-B42、ASTM-B68、ASTM-B75、ASTM-B88 相当的无缝精炼铜管和管材, ASTM-B88M, ASTM-B188, ASTM-B251, ASTM-B251M, ASTM-B280, ASTM-B302, ASTM-B306, ASTM-359, ASTM-B743, ASTM-B819, 和 ASTM-B903 规格并满足物理其中描述的参数。这些订单范围内还包括所有配套产品，包括适用于将室外空调或热泵连接到室内蒸发器单元的无缝精炼铜管“线组”（带或不带配件或绝缘）。短语“所有涵盖的产品”是指由受该范围约束的商品组成的待售项目的任何组合。
“精炼铜”定义为： (1) 铜含量至少为 99.85% 的金属；(2) 铜含量至少为 97.5% 的金属，但任何其他元素的重量含量不得超过以下限制：
元素限制含量 重量百分比
银 - 银 0.25
As - 砷 0.5
镉 - 镉 1.3
铬 - 铬 1.4
镁 - 镁 0.8
铅 - 铅 1.5
S - 硫 0.7
锡 - 锡 0.8
Te - 钨 0.8
锌 - 锌 1.0
Zr - 锆 0.3
其他元素（每个） 0.3</t>
  </si>
  <si>
    <t>A-570-828</t>
  </si>
  <si>
    <t>Silicomanganese</t>
  </si>
  <si>
    <t>硅锰</t>
  </si>
  <si>
    <t>7202.30.0000     7202.99.5040</t>
  </si>
  <si>
    <t>涵盖的商品为硅锰。硅锰，有时也称为硅锰铁，是一种主要由锰、硅和铁组成的铁合金，通常含有更少量的微量元素，如碳、磷和硫。硅锰通常含有按重量计不少于 4% 的铁、超过 30% 的锰、超过 8% 的硅和不超过 3% 的磷。硅锰的所有成分、形式和尺寸都包括在本次调查的范围内，包括硅锰渣、细粉和煤球。硅锰主要用于钢铁生产，作为硅和锰的来源。该调查涵盖所有硅锰，无论其关税分类如何。大多数硅锰目前可归入美国协调关税表 (HTSUS) 子目 7202.30.0000 下。一些硅锰目前也可归入 HTSUS 子目 7202.99.5040。尽管 HTSUS 子标题是为了方便和海关目的而提供的，</t>
  </si>
  <si>
    <t>A-570-806</t>
  </si>
  <si>
    <t>Silicon Metal</t>
  </si>
  <si>
    <t>金属硅</t>
  </si>
  <si>
    <r>
      <rPr>
        <sz val="11"/>
        <color rgb="FF000000"/>
        <rFont val="Calibri"/>
        <charset val="134"/>
      </rPr>
      <t xml:space="preserve">2804.69.10  </t>
    </r>
    <r>
      <rPr>
        <sz val="11"/>
        <color rgb="FF000000"/>
        <rFont val="宋体"/>
        <charset val="134"/>
      </rPr>
      <t>、</t>
    </r>
    <r>
      <rPr>
        <sz val="11"/>
        <color rgb="FF000000"/>
        <rFont val="Calibri"/>
        <charset val="134"/>
      </rPr>
      <t xml:space="preserve"> 2804.69.50</t>
    </r>
  </si>
  <si>
    <t>涵盖的进口是按重量计含硅至少 96.00% 但低于 99.99% 的金属硅货物。本次审查还涵盖了来自中国的金属硅，其硅含量在 89.00% 至 96.00% 之间，但其铝含量高于硅含量至少为 96.00% 但低于 99.99% 的金属硅。金属硅目前在协调关税表 (HTS) 的子标题 2804.69.10 和 2804.69.50 下作为化学产品提供，但通常被称为金属。半导体级硅（按重量计含有不少于 99.99% 的硅并在 HTS 子目 2804.61.00 中规定的金属硅）</t>
  </si>
  <si>
    <t>A-570-929</t>
  </si>
  <si>
    <t>Small Diameter Graphite Electrodes</t>
  </si>
  <si>
    <t>小直径石墨电极</t>
  </si>
  <si>
    <t>8545.11.0020     8545.11.0010</t>
  </si>
  <si>
    <t xml:space="preserve">商品包括任何长度的所有小直径石墨电极，无论是否成品，用于熔炉的那种，标称或实际直径为 400 毫米（16 英寸）或更小，无论是否连接到石墨销连接系统或任何其他类型的连接系统或硬件。订单所涵盖的商品还包括用于小直径石墨电极的石墨销连接系统，无论是否完成，用于熔炉的任何长度，以及石墨销连接系统是否与以下产品一起销售，或与小直径石墨电极分开出售。小直径石墨电极和小直径石墨电极的石墨销连接系统最常用于初熔、钢包冶金、在铸造厂、冶炼厂和炼钢厂等行业中的特种炉应用。受订单约束的小直径石墨电极和用于小直径石墨电极的石墨销连接系统目前归类在美国协调关税表 (HTSUS) 子标题 8545.11.0010（见脚注 1）、3801.10（见脚注 2）下和 8545.11.0020（见脚注 3）。HTSUS 编号是为了方便和海关目的而提供的，但范围的书面描述是决定性的。受订单约束的小直径石墨电极和用于小直径石墨电极的石墨销连接系统目前归类在美国协调关税表 (HTSUS) 子标题 8545.11.0010（见脚注 1）、3801.10（见脚注 2）下和 8545.11.0020（见脚注 3）。HTSUS 编号是为了方便和海关目的而提供的，但范围的书面描述是决定性的。受订单约束的小直径石墨电极和用于小直径石墨电极的石墨销连接系统目前归类在美国协调关税表 (HTSUS) 子标题 8545.11.0010（见脚注 1）、3801.10（见脚注 2）下和 8545.11.0020（见脚注 3）。HTSUS 编号是为了方便和海关目的而提供的，但范围的书面描述是决定性的。
脚注 1：订单中描述的范围是指 HTSUS 子标题 8545.11.0000。我们注意到，从 2010 年开始，小直径石墨电极的进口被归入 HTSUS 子目 8545.11.0010 下，大直径石墨电极的进口被归类在子目 8545.11.0020 下。
脚注 2：HTSUS 子标题 3801.10 被添加到 SDGE 令的范围，基于来自中华人民共和国的小直径石墨电极：规避反倾销税令的肯定最终确定，77 FR 47596（2012 年 8 月 29 日） )（第一次规避判定）。第一次规避判定所涵盖的产品是 SDGE（或石墨销连接系统），它们是 1) 由 UK Carbon and Graphite Co., Ltd. (UKCG) 从中国制造的人造*合成石墨形式生产的，尺寸和形状（例如，坯料、棒材、圆柱体、钢坯、块等），2) 需要 UKCG 在英国 (UK) 执行的额外加工工艺（即工具和成型），以及 3) 再出口到美国作为英国原产商品。
脚注 3：HTSUS 子标题 8545.11.0020 被添加到 SDGE 令的范围，基于对中华人民共和国小直径石墨电极的确定：规避反倾销税令和撤销后期开发商品的肯定性最终确定反规避调查，78 FR 56864（2013 年 9 月 16 日）（第二次规避确定）。第二次规避认定的产品为吉林碳素进出口公司生产和*或出口的SDGE，实际或标称直径为17英寸。
</t>
  </si>
  <si>
    <t>A-570-071</t>
  </si>
  <si>
    <t>Sodium Gluconate, Gluconic Acid, and Derivative Products</t>
  </si>
  <si>
    <t>葡萄糖酸钠、葡萄糖酸和衍生物</t>
  </si>
  <si>
    <r>
      <rPr>
        <sz val="11"/>
        <color rgb="FF000000"/>
        <rFont val="Calibri"/>
        <charset val="134"/>
      </rPr>
      <t>2918.16.1000</t>
    </r>
    <r>
      <rPr>
        <sz val="11"/>
        <color rgb="FF000000"/>
        <rFont val="宋体"/>
        <charset val="134"/>
      </rPr>
      <t>、</t>
    </r>
    <r>
      <rPr>
        <sz val="11"/>
        <color rgb="FF000000"/>
        <rFont val="Calibri"/>
        <charset val="134"/>
      </rPr>
      <t xml:space="preserve">2918.16.5010  </t>
    </r>
    <r>
      <rPr>
        <sz val="11"/>
        <color rgb="FF000000"/>
        <rFont val="宋体"/>
        <charset val="134"/>
      </rPr>
      <t>、</t>
    </r>
    <r>
      <rPr>
        <sz val="11"/>
        <color rgb="FF000000"/>
        <rFont val="Calibri"/>
        <charset val="134"/>
      </rPr>
      <t xml:space="preserve"> 2932.20.5020HTSUS 2918.16.5050</t>
    </r>
    <r>
      <rPr>
        <sz val="11"/>
        <color rgb="FF000000"/>
        <rFont val="宋体"/>
        <charset val="134"/>
      </rPr>
      <t>，</t>
    </r>
    <r>
      <rPr>
        <sz val="11"/>
        <color rgb="FF000000"/>
        <rFont val="Calibri"/>
        <charset val="134"/>
      </rPr>
      <t xml:space="preserve">3824.99.2890  </t>
    </r>
    <r>
      <rPr>
        <sz val="11"/>
        <color rgb="FF000000"/>
        <rFont val="宋体"/>
        <charset val="134"/>
      </rPr>
      <t>、</t>
    </r>
    <r>
      <rPr>
        <sz val="11"/>
        <color rgb="FF000000"/>
        <rFont val="Calibri"/>
        <charset val="134"/>
      </rPr>
      <t xml:space="preserve"> 3824.99.9295</t>
    </r>
    <r>
      <rPr>
        <sz val="11"/>
        <color rgb="FF000000"/>
        <rFont val="宋体"/>
        <charset val="134"/>
      </rPr>
      <t>。</t>
    </r>
  </si>
  <si>
    <t>涵盖所有等级的葡萄糖酸钠、葡萄糖酸、液体葡萄糖酸盐和葡萄糖酸 δ 内酯 (GDL)（统称为 GNA 产品），无论其物理形态如何（包括但不限于底物、溶液、干颗粒形式）或粉末，无论粒度如何；或作为浆料）。该范围还包括已与其他产品混合或溶解在溶液中的 GNA 产品，其中所得混合物含有 35% 或更多的葡萄糖酸钠、葡萄糖酸、液体葡萄糖酸盐和*或 GDL（按干重计）。葡萄糖酸钠的分子式为 NaC6H11O7。葡萄糖酸钠的化学文摘社 (CAS) 注册号为 527-07-1，也可称为“葡萄糖酸钠盐”和*或 2、3、4、5、6 五羟基己酸钠。葡萄糖酸的分子式为 C6H12O7。葡萄糖酸的CAS登记号为526-95-4，也可称为2、3、4、5、6五羟基己酸。液体葡萄糖酸盐是仅由葡萄糖酸和葡萄糖酸钠在水溶液中组成的混合物。液体葡萄糖酸盐的 CAS 登记号为 527-07-1、526-95-4 和 7732-18-5，也可称为 2、3、4、5、6-五羟基己酸己酸酯。GDL 的分子式为 C6H10O6。GDL 的 CAS 注册号为 90-80-2，也可称为 d-glucono-1,5-lactone</t>
  </si>
  <si>
    <t>A-570-908</t>
  </si>
  <si>
    <t>Sodium Hexametaphosphate</t>
  </si>
  <si>
    <t>六偏磷酸钠</t>
  </si>
  <si>
    <t>2835.39.5000    3824.90.3900</t>
  </si>
  <si>
    <t>六偏磷酸钠。六偏磷酸钠是一种水溶性多磷酸盐玻璃，由多磷酸盐链长分布组成。它是建立在重复的 NaPO3 单元上的聚磷酸钠聚合物的集合。六偏磷酸钠的 P2O5 含量为 60% 至 71%。六偏磷酸钠的替代名称包括：卡尔冈 S; 玻璃状磷酸钠；聚磷酸钠，玻璃状；偏磷酸；钠盐；酸式偏磷酸钠；格雷厄姆盐；十六进制钠；多聚磷酸钠盐；玻璃 H；六磷；苏打磷；维特拉福斯；和 BAC-N-FOS。六偏磷酸钠通常以白色粉末或颗粒（粉碎）的形式出售，也可以以片状（玻璃）或液体溶液的形式出售。它在 HTSUS 标题 2835.39.5000 下进口。它也可以作为混合物或混合物在 HTSUS 标题 3824.90.3900 下进口。美国化学学会化学文摘社 (“CAS”) 已将名称“聚磷酸钠盐”指定给六偏磷酸钠。CAS 注册号是 68915-31-1。然而，六偏磷酸钠在市场上通常由 CAS No. 10124-56-8 识别。就本命令而言，叙述性描述是决定性的，而不是关税标题、CAS 登记号或 CAS 名称。CAS 注册号是 68915-31-1。然而，六偏磷酸钠在市场上通常由 CAS No. 10124-56-8 识别。就本命令而言，叙述性描述是决定性的，而不是关税标题、CAS 登记号或 CAS 名称。CAS 注册号是 68915-31-1。然而，六偏磷酸钠在市场上通常由 CAS No. 10124-56-8 识别。就本命令而言，叙述性描述是决定性的，而不是关税标题、CAS 登记号或 CAS 名称。
该订单涵盖的产品包括所有等级的六偏磷酸钠，无论是食品级还是工业级。该订单涵盖的产品包括六偏磷酸钠，不考虑链长，即，无论是规则链还是长链。本订单涵盖的产品包括六偏磷酸钠，不考虑物理形态，无论是玻璃、片材、粉碎、颗粒、粉末、细粉或其他形式，也不论是否为溶液。
但是，当六偏磷酸钠与其他材料混合进口时，该命令涵盖的产品不包括六偏磷酸钠，其中六偏磷酸钠占成品体积的比例低于 50%。</t>
  </si>
  <si>
    <t>A-570-925</t>
  </si>
  <si>
    <t>Sodium Nitrite</t>
  </si>
  <si>
    <t>亚硝酸钠</t>
  </si>
  <si>
    <t>2834.10.1000</t>
  </si>
  <si>
    <t>订单涵盖的商品是任何形式、任何纯度水平的亚硝酸钠。此外，本订单涵盖的亚硝酸钠可能含有或不含抗结块剂。通常用于提及亚硝酸钠的名称示例是亚硝酸、钠盐、防锈剂、重氮化盐、erinitrit 和 filmerine。亚硝酸钠的化学成分是 NaNO [bdi2]，CAS 注册号是 7632-00-0。就本命令的范围而言，叙述性描述是决定性的，而不是关税标题、CAS 登记号或 CAS 名称，</t>
  </si>
  <si>
    <t>A-570-064</t>
  </si>
  <si>
    <t>Stainless Steel Flanges</t>
  </si>
  <si>
    <t>不锈钢法兰</t>
  </si>
  <si>
    <r>
      <rPr>
        <sz val="11"/>
        <color rgb="FF000000"/>
        <rFont val="Calibri"/>
        <charset val="134"/>
      </rPr>
      <t xml:space="preserve">7307.21.1000  </t>
    </r>
    <r>
      <rPr>
        <sz val="11"/>
        <color rgb="FF000000"/>
        <rFont val="宋体"/>
        <charset val="134"/>
      </rPr>
      <t>、</t>
    </r>
    <r>
      <rPr>
        <sz val="11"/>
        <color rgb="FF000000"/>
        <rFont val="Calibri"/>
        <charset val="134"/>
      </rPr>
      <t xml:space="preserve"> 7307.21.5000</t>
    </r>
  </si>
  <si>
    <t>订单涵盖的商品是某些锻造不锈钢法兰，无论是未完成的、半成品的还是成品（某些锻造不锈钢法兰）。某些锻造不锈钢法兰通常按照但不限于 ASTM*ASME A*SA182 的材料规格或类似的国内或国外规格制造。某些锻造不锈钢法兰制成各种等级，例如但不限于 304、304L、316 和 316L（或它们的组合）。在本范围内使用的术语“不锈钢”是指按实际重量计，含有或不含有其他元素的碳含量为 1.2% 或更少，铬含量为 10.5% 或更多的合金钢。
未完成的不锈钢法兰具有成品不锈钢法兰的大致形状，并且在初始锻造或类似操作后尚未加工成最终规格。这些机加工过程可以包括但不限于钻孔、端面、锪孔、钻孔、锥形、螺纹、斜切、加热或压缩。半成品不锈钢法兰是经过一些机械加工工艺的未完成的不锈钢法兰。
范围包括六种通用类型的法兰。它们是： (1) 焊颈，一般用于对焊线连接；(2)螺纹，一般用于螺纹线连接；(3) 滑套式，一般用于滑过管道；(4) 搭接接头，一般与短端*对焊线连接一起使用；(5) 承插焊，一般用于将管道装入机器凹处；(6) 盲板，一般用于封断线路。范围内法兰的尺寸和描述包括 ASME B16.5 的所有压力等级，范围从二分之一英寸到二十四英寸公称管道尺寸。特别排除在这些订单范围之外的是铸造不锈钢法兰。铸造不锈钢法兰通常按照 ASTM A351 规范制造。
某些锻造不锈钢法兰的原产国，无论是未成品、半成品还是成品，都是锻造法兰的国家。标的商品包括已在第三国进一步加工的上述不锈钢法兰。处理包括但不限于钻孔、表面处理、锪孔处理、钻孔、锥化、螺纹加工、斜切、加热或压缩，和*或任何其他不会将商品从调查范围中删除的处理，如果在不锈钢法兰的制造国进行。</t>
  </si>
  <si>
    <t>A-570-042</t>
  </si>
  <si>
    <t>Stainless Steel Sheet and Strip</t>
  </si>
  <si>
    <t>不锈钢板带材</t>
  </si>
  <si>
    <r>
      <rPr>
        <sz val="11"/>
        <color rgb="FF000000"/>
        <rFont val="Calibri"/>
        <charset val="134"/>
      </rPr>
      <t>7220.20.1060</t>
    </r>
    <r>
      <rPr>
        <sz val="11"/>
        <color rgb="FF000000"/>
        <rFont val="宋体"/>
        <charset val="134"/>
      </rPr>
      <t>，</t>
    </r>
    <r>
      <rPr>
        <sz val="11"/>
        <color rgb="FF000000"/>
        <rFont val="Calibri"/>
        <charset val="134"/>
      </rPr>
      <t>7220.20.1080</t>
    </r>
    <r>
      <rPr>
        <sz val="11"/>
        <color rgb="FF000000"/>
        <rFont val="宋体"/>
        <charset val="134"/>
      </rPr>
      <t>，</t>
    </r>
    <r>
      <rPr>
        <sz val="11"/>
        <color rgb="FF000000"/>
        <rFont val="Calibri"/>
        <charset val="134"/>
      </rPr>
      <t>7220.20.6005</t>
    </r>
    <r>
      <rPr>
        <sz val="11"/>
        <color rgb="FF000000"/>
        <rFont val="宋体"/>
        <charset val="134"/>
      </rPr>
      <t>，</t>
    </r>
    <r>
      <rPr>
        <sz val="11"/>
        <color rgb="FF000000"/>
        <rFont val="Calibri"/>
        <charset val="134"/>
      </rPr>
      <t>7220.20.6010</t>
    </r>
    <r>
      <rPr>
        <sz val="11"/>
        <color rgb="FF000000"/>
        <rFont val="宋体"/>
        <charset val="134"/>
      </rPr>
      <t>，</t>
    </r>
    <r>
      <rPr>
        <sz val="11"/>
        <color rgb="FF000000"/>
        <rFont val="Calibri"/>
        <charset val="134"/>
      </rPr>
      <t>7220.20.6015</t>
    </r>
    <r>
      <rPr>
        <sz val="11"/>
        <color rgb="FF000000"/>
        <rFont val="宋体"/>
        <charset val="134"/>
      </rPr>
      <t>，</t>
    </r>
    <r>
      <rPr>
        <sz val="11"/>
        <color rgb="FF000000"/>
        <rFont val="Calibri"/>
        <charset val="134"/>
      </rPr>
      <t>7220.20.6060</t>
    </r>
    <r>
      <rPr>
        <sz val="11"/>
        <color rgb="FF000000"/>
        <rFont val="宋体"/>
        <charset val="134"/>
      </rPr>
      <t>，</t>
    </r>
    <r>
      <rPr>
        <sz val="11"/>
        <color rgb="FF000000"/>
        <rFont val="Calibri"/>
        <charset val="134"/>
      </rPr>
      <t>7220.20.20.6080</t>
    </r>
    <r>
      <rPr>
        <sz val="11"/>
        <color rgb="FF000000"/>
        <rFont val="宋体"/>
        <charset val="134"/>
      </rPr>
      <t>，</t>
    </r>
    <r>
      <rPr>
        <sz val="11"/>
        <color rgb="FF000000"/>
        <rFont val="Calibri"/>
        <charset val="134"/>
      </rPr>
      <t>7220.20.20.20.20.7005 0010</t>
    </r>
    <r>
      <rPr>
        <sz val="11"/>
        <color rgb="FF000000"/>
        <rFont val="宋体"/>
        <charset val="134"/>
      </rPr>
      <t>、</t>
    </r>
    <r>
      <rPr>
        <sz val="11"/>
        <color rgb="FF000000"/>
        <rFont val="Calibri"/>
        <charset val="134"/>
      </rPr>
      <t>7220.90.0015</t>
    </r>
    <r>
      <rPr>
        <sz val="11"/>
        <color rgb="FF000000"/>
        <rFont val="宋体"/>
        <charset val="134"/>
      </rPr>
      <t>、</t>
    </r>
    <r>
      <rPr>
        <sz val="11"/>
        <color rgb="FF000000"/>
        <rFont val="Calibri"/>
        <charset val="134"/>
      </rPr>
      <t xml:space="preserve">7220.90.0060  </t>
    </r>
    <r>
      <rPr>
        <sz val="11"/>
        <color rgb="FF000000"/>
        <rFont val="宋体"/>
        <charset val="134"/>
      </rPr>
      <t>、</t>
    </r>
    <r>
      <rPr>
        <sz val="11"/>
        <color rgb="FF000000"/>
        <rFont val="Calibri"/>
        <charset val="134"/>
      </rPr>
      <t xml:space="preserve"> 7220.90.0080</t>
    </r>
  </si>
  <si>
    <t>订单涵盖的商品是不锈钢板和钢带，无论是成卷的还是直条的。不锈钢是一种合金钢，按重量计算，碳含量为 1.2% 或更少，铬含量为 10.5% 或更多，有或没有其他元素。主题薄板和带材是宽度大于 9.5 毫米、厚度大于 0.3048 毫米但小于 4.75 毫米的平轧产品，经过退火或其他热处理，酸洗或除氧化皮。只要保持特定的尺寸，还可以对主题板材和带材进行进一步加工（例如，冷轧、退火、回火、抛光、镀铝、涂层、涂漆、清漆、修整、切割、冲孔或切缝等）上述处理后的片材和带材。
就上述宽度和厚度要求而言： (1) 如果标称尺寸和实际尺寸有所不同，如果应用标称或实际尺寸将其置于基于上述定义的范围内，则该产品在范围内; (2) 宽度和厚度因特定产品而异（例如，某些非矩形横截面产品的厚度、某些非矩形形状产品的宽度等），其最大测量值宽度或厚度适用。
除非明确排除，所有符合书面物理描述且化学量不超过任何一种上述元素水平的产品都在本订单的范围内。
标的商品包括在第三国进一步加工的不锈钢​​薄板和钢带，包括但不限于冷轧、退火、回火、抛光、镀铝、涂层、喷漆、清漆、修边、切割、冲压和*或如果在不锈钢薄板和钢带的制造国进行分切或任何其他不会将商品从订单范围中删除的加工。</t>
  </si>
  <si>
    <t>A-570-860</t>
  </si>
  <si>
    <t>Steel Concrete Reinforcing Bars</t>
  </si>
  <si>
    <t>钢筋混凝土钢筋</t>
  </si>
  <si>
    <r>
      <rPr>
        <sz val="11"/>
        <color rgb="FF000000"/>
        <rFont val="Calibri"/>
        <charset val="134"/>
      </rPr>
      <t>7214.20.00</t>
    </r>
    <r>
      <rPr>
        <sz val="11"/>
        <color rgb="FF000000"/>
        <rFont val="宋体"/>
        <charset val="134"/>
      </rPr>
      <t>、</t>
    </r>
    <r>
      <rPr>
        <sz val="11"/>
        <color rgb="FF000000"/>
        <rFont val="Calibri"/>
        <charset val="134"/>
      </rPr>
      <t>7228.30.8050</t>
    </r>
    <r>
      <rPr>
        <sz val="11"/>
        <color rgb="FF000000"/>
        <rFont val="宋体"/>
        <charset val="134"/>
      </rPr>
      <t>、</t>
    </r>
    <r>
      <rPr>
        <sz val="11"/>
        <color rgb="FF000000"/>
        <rFont val="Calibri"/>
        <charset val="134"/>
      </rPr>
      <t>7222.11.0050</t>
    </r>
    <r>
      <rPr>
        <sz val="11"/>
        <color rgb="FF000000"/>
        <rFont val="宋体"/>
        <charset val="134"/>
      </rPr>
      <t>、</t>
    </r>
    <r>
      <rPr>
        <sz val="11"/>
        <color rgb="FF000000"/>
        <rFont val="Calibri"/>
        <charset val="134"/>
      </rPr>
      <t>7222.30.0000</t>
    </r>
    <r>
      <rPr>
        <sz val="11"/>
        <color rgb="FF000000"/>
        <rFont val="宋体"/>
        <charset val="134"/>
      </rPr>
      <t>、</t>
    </r>
    <r>
      <rPr>
        <sz val="11"/>
        <color rgb="FF000000"/>
        <rFont val="Calibri"/>
        <charset val="134"/>
      </rPr>
      <t>7228.60.6000</t>
    </r>
    <r>
      <rPr>
        <sz val="11"/>
        <color rgb="FF000000"/>
        <rFont val="宋体"/>
        <charset val="134"/>
      </rPr>
      <t>、</t>
    </r>
    <r>
      <rPr>
        <sz val="11"/>
        <color rgb="FF000000"/>
        <rFont val="Calibri"/>
        <charset val="134"/>
      </rPr>
      <t xml:space="preserve"> 7228.20.1000</t>
    </r>
    <r>
      <rPr>
        <sz val="11"/>
        <color rgb="FF000000"/>
        <rFont val="宋体"/>
        <charset val="134"/>
      </rPr>
      <t>、</t>
    </r>
    <r>
      <rPr>
        <sz val="11"/>
        <color rgb="FF000000"/>
        <rFont val="Calibri"/>
        <charset val="134"/>
      </rPr>
      <t>7228.30.8010</t>
    </r>
    <r>
      <rPr>
        <sz val="11"/>
        <color rgb="FF000000"/>
        <rFont val="宋体"/>
        <charset val="134"/>
      </rPr>
      <t>、</t>
    </r>
    <r>
      <rPr>
        <sz val="11"/>
        <color rgb="FF000000"/>
        <rFont val="Calibri"/>
        <charset val="134"/>
      </rPr>
      <t>7222.11.0056</t>
    </r>
    <r>
      <rPr>
        <sz val="11"/>
        <color rgb="FF000000"/>
        <rFont val="宋体"/>
        <charset val="134"/>
      </rPr>
      <t>、</t>
    </r>
    <r>
      <rPr>
        <sz val="11"/>
        <color rgb="FF000000"/>
        <rFont val="Calibri"/>
        <charset val="134"/>
      </rPr>
      <t>7222.30.0011</t>
    </r>
    <r>
      <rPr>
        <sz val="11"/>
        <color rgb="FF000000"/>
        <rFont val="宋体"/>
        <charset val="134"/>
      </rPr>
      <t>、</t>
    </r>
    <r>
      <rPr>
        <sz val="11"/>
        <color rgb="FF000000"/>
        <rFont val="Calibri"/>
        <charset val="134"/>
      </rPr>
      <t>7222.11.0057</t>
    </r>
    <r>
      <rPr>
        <sz val="11"/>
        <color rgb="FF000000"/>
        <rFont val="宋体"/>
        <charset val="134"/>
      </rPr>
      <t>、</t>
    </r>
    <r>
      <rPr>
        <sz val="11"/>
        <color rgb="FF000000"/>
        <rFont val="Calibri"/>
        <charset val="134"/>
      </rPr>
      <t>7222.11.0059</t>
    </r>
    <r>
      <rPr>
        <sz val="11"/>
        <color rgb="FF000000"/>
        <rFont val="宋体"/>
        <charset val="134"/>
      </rPr>
      <t>、</t>
    </r>
    <r>
      <rPr>
        <sz val="11"/>
        <color rgb="FF000000"/>
        <rFont val="Calibri"/>
        <charset val="134"/>
      </rPr>
      <t>7222.30.0022</t>
    </r>
    <r>
      <rPr>
        <sz val="11"/>
        <color rgb="FF000000"/>
        <rFont val="宋体"/>
        <charset val="134"/>
      </rPr>
      <t>、</t>
    </r>
    <r>
      <rPr>
        <sz val="11"/>
        <color rgb="FF000000"/>
        <rFont val="Calibri"/>
        <charset val="134"/>
      </rPr>
      <t>7222.30.0024</t>
    </r>
  </si>
  <si>
    <t>产品覆盖。. . 是所有直尺销售的钢筋混凝土钢筋</t>
  </si>
  <si>
    <t>A-570-947</t>
  </si>
  <si>
    <t>Steel Grating</t>
  </si>
  <si>
    <t>钢格板</t>
  </si>
  <si>
    <t>7308.90.7000</t>
  </si>
  <si>
    <t>订单所涵盖的产品为一定的钢格板，由两片或多片钢组成，包括承重片和横梁，通过任何组装工艺连接，不分： (1) 尺寸或形状；(2) 制造方法；(3) 冶金学（碳、合金或不锈钢）；(4) 钢筋的轮廓；(5) 是否镀锌、涂漆、涂层、包覆或电镀。钢格板通常也称为“条形格子”，尽管部件可能由钢而不是条组成，例如热轧板、板或线材。</t>
  </si>
  <si>
    <t>A-570-909</t>
  </si>
  <si>
    <t>Steel Nails</t>
  </si>
  <si>
    <t>钢钉</t>
  </si>
  <si>
    <r>
      <rPr>
        <sz val="11"/>
        <color rgb="FF000000"/>
        <rFont val="Calibri"/>
        <charset val="134"/>
      </rPr>
      <t>7317.00.55</t>
    </r>
    <r>
      <rPr>
        <sz val="11"/>
        <color rgb="FF000000"/>
        <rFont val="宋体"/>
        <charset val="134"/>
      </rPr>
      <t>、</t>
    </r>
    <r>
      <rPr>
        <sz val="11"/>
        <color rgb="FF000000"/>
        <rFont val="Calibri"/>
        <charset val="134"/>
      </rPr>
      <t>7317.00.65</t>
    </r>
    <r>
      <rPr>
        <sz val="11"/>
        <color rgb="FF000000"/>
        <rFont val="宋体"/>
        <charset val="134"/>
      </rPr>
      <t>、</t>
    </r>
    <r>
      <rPr>
        <sz val="11"/>
        <color rgb="FF000000"/>
        <rFont val="Calibri"/>
        <charset val="134"/>
      </rPr>
      <t xml:space="preserve">7317.00.75  </t>
    </r>
    <r>
      <rPr>
        <sz val="11"/>
        <color rgb="FF000000"/>
        <rFont val="宋体"/>
        <charset val="134"/>
      </rPr>
      <t>、</t>
    </r>
    <r>
      <rPr>
        <sz val="11"/>
        <color rgb="FF000000"/>
        <rFont val="Calibri"/>
        <charset val="134"/>
      </rPr>
      <t xml:space="preserve"> 7907.00.6000</t>
    </r>
  </si>
  <si>
    <t>该订单涵盖的商品包括某些轴长不超过 12 英寸的钢钉。某些钢钉包括但不限于由圆线制成的钉子和切割的钉子。某些钢钉可以是一件式结构或由两件或多件制成。某些钢钉可以由任何类型的钢制成，并具有各种饰面、头部、柄、尖类型、轴长度和轴直径。饰面包括但不限于乙烯基涂层、锌涂层（镀锌，无论是通过电镀还是热浸一次或多次）、磷酸盐水泥和油漆。头部样式包括但不限于扁平、突出、杯形、椭圆形、布拉德、无头、双头、沉头和沉头。刀柄样式包括但不限于光滑、倒刺、螺纹、环柄和凹槽柄样式。受此程序影响的螺纹钉是使用直接力驱动的，而不是通过使用与头部接合的工具转动紧固件来驱动的。尖头样式包括但不限于菱形、钝头、针尖、凿子和无尖头。成品指甲可以批量出售，也可以使用塑料、纸或金属丝等材料整理成条带或线圈。</t>
  </si>
  <si>
    <t>A-570-086</t>
  </si>
  <si>
    <t>Steel Propane Cylinders</t>
  </si>
  <si>
    <t>钢丙烷气瓶</t>
  </si>
  <si>
    <r>
      <rPr>
        <sz val="11"/>
        <color rgb="FF000000"/>
        <rFont val="Calibri"/>
        <charset val="134"/>
      </rPr>
      <t xml:space="preserve">7311.00.0060  </t>
    </r>
    <r>
      <rPr>
        <sz val="11"/>
        <color rgb="FF000000"/>
        <rFont val="宋体"/>
        <charset val="134"/>
      </rPr>
      <t>、</t>
    </r>
    <r>
      <rPr>
        <sz val="11"/>
        <color rgb="FF000000"/>
        <rFont val="Calibri"/>
        <charset val="134"/>
      </rPr>
      <t xml:space="preserve"> 7311.00.0090</t>
    </r>
  </si>
  <si>
    <t>所涵盖的商品是用于压缩或液化丙烷或其他气体的钢瓶（丙烷钢瓶），符合美国交通部 (USDOT) 规范 4B、4BA 或 4BW 的要求，或为满足美国运输部 (USDOT) 规范的要求而生产，或加拿大运输部规范 4BM、4BAM 或 4BWM，或联合国压力贮器标准 ISO 4706，并以其他方式满足下面提供的描述。范围包括钢制丙烷气瓶，无论它们在进口前是否已获得这些规格的认证。钢制丙烷气瓶的标称气体容量为 2.5 磅（约 6 磅水容量和约 4-6 磅皮重）到 42 磅标称气体容量（约 100 磅水容量和约 28-32 磅皮重）。钢制丙烷气瓶有两个或更少的端口，可以组装或未组装（即在进口之前或之后焊接或钎焊）进口，带或不带所有组件（包括套环、阀门、仪表、罐、脚环和防溢出装置） , 和涂层或未涂层。范围内还包括用于钢制丙烷气瓶的半拉制气瓶、未完成的丙烷气瓶、轴环和底环。
“未完成”或“未组装”的丙烷气瓶包括未焊接到气瓶中的拉制气瓶半部、未将法兰焊接到端口孔中的气瓶、其他完整但没有套环或底脚的气瓶焊接到它们上的环，没有连接阀门组件的完整气瓶，以及除测试、认证和*或标记之外的其他完整气瓶。
这些订单还包括满足、生产以满足或经认证符合其他美国或加拿大政府、国际或行业标准（例如，包括美国机械工程师协会 (ASME) 或美国国家标准）的钢制丙烷气瓶标准协会 (ANSI)），如果它们也符合、生产符合或经认证符合 USDOT 规范 4B、4BA 或 4BW，或加拿大运输部规范 4BM、4BAM 或 4BWM，或联合国压力容器标准 ISO 4706。
标的商品还包括已在第三国进一步加工的钢制丙烷气瓶，包括但不限于通过焊接或铜焊、热处理、喷漆、测试、认证或任何其他加工方式连接套环、脚环或把手如果在范围内的钢制丙烷气瓶的制造国执行，则不会将商品从这些订单的范围中删除。
特别排除的是无缝钢丙烷气瓶和由不锈钢（即，按重量计含有至少 10.5% 铬和低于 1.2% 碳的钢）、铝或复合纤维材料制成的丙烷气瓶。复合纤维材料是由两种成分的机械组合组成的材料：纤维（通常是玻璃、碳或芳纶（合成聚合物））和基体材料（通常是聚合物树脂、陶瓷或金属）。</t>
  </si>
  <si>
    <t>A-570-088</t>
  </si>
  <si>
    <t>Steel Racks</t>
  </si>
  <si>
    <t>钢架</t>
  </si>
  <si>
    <r>
      <rPr>
        <sz val="11"/>
        <color rgb="FF000000"/>
        <rFont val="Calibri"/>
        <charset val="134"/>
      </rPr>
      <t>7326.90.8688</t>
    </r>
    <r>
      <rPr>
        <sz val="11"/>
        <color rgb="FF000000"/>
        <rFont val="宋体"/>
        <charset val="134"/>
      </rPr>
      <t>、</t>
    </r>
    <r>
      <rPr>
        <sz val="11"/>
        <color rgb="FF000000"/>
        <rFont val="Calibri"/>
        <charset val="134"/>
      </rPr>
      <t xml:space="preserve">9403.20.0081  </t>
    </r>
    <r>
      <rPr>
        <sz val="11"/>
        <color rgb="FF000000"/>
        <rFont val="宋体"/>
        <charset val="134"/>
      </rPr>
      <t>、</t>
    </r>
    <r>
      <rPr>
        <sz val="11"/>
        <color rgb="FF000000"/>
        <rFont val="Calibri"/>
        <charset val="134"/>
      </rPr>
      <t xml:space="preserve"> 9403.90.8041</t>
    </r>
    <r>
      <rPr>
        <sz val="11"/>
        <color rgb="FF000000"/>
        <rFont val="宋体"/>
        <charset val="134"/>
      </rPr>
      <t>，</t>
    </r>
    <r>
      <rPr>
        <sz val="11"/>
        <color rgb="FF000000"/>
        <rFont val="Calibri"/>
        <charset val="134"/>
      </rPr>
      <t>7308.90.3000</t>
    </r>
    <r>
      <rPr>
        <sz val="11"/>
        <color rgb="FF000000"/>
        <rFont val="宋体"/>
        <charset val="134"/>
      </rPr>
      <t>、</t>
    </r>
    <r>
      <rPr>
        <sz val="11"/>
        <color rgb="FF000000"/>
        <rFont val="Calibri"/>
        <charset val="134"/>
      </rPr>
      <t>7308.90.6000</t>
    </r>
    <r>
      <rPr>
        <sz val="11"/>
        <color rgb="FF000000"/>
        <rFont val="宋体"/>
        <charset val="134"/>
      </rPr>
      <t>、</t>
    </r>
    <r>
      <rPr>
        <sz val="11"/>
        <color rgb="FF000000"/>
        <rFont val="Calibri"/>
        <charset val="134"/>
      </rPr>
      <t xml:space="preserve">7308.90.9590  </t>
    </r>
    <r>
      <rPr>
        <sz val="11"/>
        <color rgb="FF000000"/>
        <rFont val="宋体"/>
        <charset val="134"/>
      </rPr>
      <t>、</t>
    </r>
    <r>
      <rPr>
        <sz val="11"/>
        <color rgb="FF000000"/>
        <rFont val="Calibri"/>
        <charset val="134"/>
      </rPr>
      <t xml:space="preserve"> 9403.20.0090</t>
    </r>
  </si>
  <si>
    <t>本订单所涵盖的商品是钢架及其零件，在任何程度上组装或未组装，包括但不限于垂直组件（例如，立柱、柱子或立柱）、水平或对角线组件（例如，臂或梁）、支架、框架、锁定装置（例如，端板和梁连接器）和附件（包括但不限于导轨、滑道、滑轨、滚筒*线圈床、叉形间隙杆、托盘支架、排垫片和墙连接）。
主题钢架及其零件由钢制成，包括但不限于冷和*或热成型钢，无论用于生产部件的钢类型如何，并且可能包括或可能不包括锁定片、槽，或螺栓连接、夹紧连接或焊接连接。</t>
  </si>
  <si>
    <t>A-570-932</t>
  </si>
  <si>
    <t>Steel Threaded Rod</t>
  </si>
  <si>
    <t>钢螺纹杆</t>
  </si>
  <si>
    <r>
      <rPr>
        <sz val="11"/>
        <color rgb="FF000000"/>
        <rFont val="Calibri"/>
        <charset val="134"/>
      </rPr>
      <t>7318.15.5051</t>
    </r>
    <r>
      <rPr>
        <sz val="11"/>
        <color rgb="FF000000"/>
        <rFont val="宋体"/>
        <charset val="134"/>
      </rPr>
      <t>、</t>
    </r>
    <r>
      <rPr>
        <sz val="11"/>
        <color rgb="FF000000"/>
        <rFont val="Calibri"/>
        <charset val="134"/>
      </rPr>
      <t>7318.15.5056</t>
    </r>
    <r>
      <rPr>
        <sz val="11"/>
        <color rgb="FF000000"/>
        <rFont val="宋体"/>
        <charset val="134"/>
      </rPr>
      <t>、</t>
    </r>
    <r>
      <rPr>
        <sz val="11"/>
        <color rgb="FF000000"/>
        <rFont val="Calibri"/>
        <charset val="134"/>
      </rPr>
      <t xml:space="preserve">7318.15.5090  </t>
    </r>
    <r>
      <rPr>
        <sz val="11"/>
        <color rgb="FF000000"/>
        <rFont val="宋体"/>
        <charset val="134"/>
      </rPr>
      <t>、</t>
    </r>
    <r>
      <rPr>
        <sz val="11"/>
        <color rgb="FF000000"/>
        <rFont val="Calibri"/>
        <charset val="134"/>
      </rPr>
      <t xml:space="preserve"> 7318.15.2095</t>
    </r>
  </si>
  <si>
    <t>订单涵盖的商品为钢制螺纹杆。钢螺纹杆是由碳素钢制成的某些螺纹杆、棒或螺柱，具有实心圆形横截面，任何直径，任何直长，经过锻造、车削、冷拉、冷轧、机器拉直，或以其他方式冷加工，并在其中应用了螺纹凹槽。此外，受订单约束的钢螺纹杆、杆或螺柱是无头的，并且螺纹长度超过其总长度的 25%。各种饰面或涂层，例如作为临时防锈剂的普通油饰面、锌涂层（即镀锌，无论是通过电镀还是热浸）、油漆和其他类似的饰面和涂层，都可以应用于商品。
订单范围内包括钢制螺杆、钢筋或螺柱，其中： (1) 按重量计，铁比其他包含的元素占优势；(2) 碳含量为 2% 或更少（按重量计）；(3) 下列元素均不超过分别标明的重量：</t>
  </si>
  <si>
    <t>Steel Wheels</t>
  </si>
  <si>
    <t>钢轮</t>
  </si>
  <si>
    <r>
      <rPr>
        <sz val="11"/>
        <color rgb="FF000000"/>
        <rFont val="Calibri"/>
        <charset val="134"/>
      </rPr>
      <t>8708.70.4530</t>
    </r>
    <r>
      <rPr>
        <sz val="11"/>
        <color rgb="FF000000"/>
        <rFont val="宋体"/>
        <charset val="134"/>
      </rPr>
      <t>、</t>
    </r>
    <r>
      <rPr>
        <sz val="11"/>
        <color rgb="FF000000"/>
        <rFont val="Calibri"/>
        <charset val="134"/>
      </rPr>
      <t>8708.70.4560</t>
    </r>
    <r>
      <rPr>
        <sz val="11"/>
        <color rgb="FF000000"/>
        <rFont val="宋体"/>
        <charset val="134"/>
      </rPr>
      <t>、</t>
    </r>
    <r>
      <rPr>
        <sz val="11"/>
        <color rgb="FF000000"/>
        <rFont val="Calibri"/>
        <charset val="134"/>
      </rPr>
      <t>8708.70.6030</t>
    </r>
    <r>
      <rPr>
        <sz val="11"/>
        <color rgb="FF000000"/>
        <rFont val="宋体"/>
        <charset val="134"/>
      </rPr>
      <t>、</t>
    </r>
    <r>
      <rPr>
        <sz val="11"/>
        <color rgb="FF000000"/>
        <rFont val="Calibri"/>
        <charset val="134"/>
      </rPr>
      <t>8708.70.6060</t>
    </r>
    <r>
      <rPr>
        <sz val="11"/>
        <color rgb="FF000000"/>
        <rFont val="宋体"/>
        <charset val="134"/>
      </rPr>
      <t>、</t>
    </r>
    <r>
      <rPr>
        <sz val="11"/>
        <color rgb="FF000000"/>
        <rFont val="Calibri"/>
        <charset val="134"/>
      </rPr>
      <t xml:space="preserve">8716.90.5045  </t>
    </r>
    <r>
      <rPr>
        <sz val="11"/>
        <color rgb="FF000000"/>
        <rFont val="宋体"/>
        <charset val="134"/>
      </rPr>
      <t>、</t>
    </r>
    <r>
      <rPr>
        <sz val="11"/>
        <color rgb="FF000000"/>
        <rFont val="Calibri"/>
        <charset val="134"/>
      </rPr>
      <t xml:space="preserve"> 8716.90.5059</t>
    </r>
    <r>
      <rPr>
        <sz val="11"/>
        <color rgb="FF000000"/>
        <rFont val="宋体"/>
        <charset val="134"/>
      </rPr>
      <t>。。</t>
    </r>
    <r>
      <rPr>
        <sz val="11"/>
        <color rgb="FF000000"/>
        <rFont val="Calibri"/>
        <charset val="134"/>
      </rPr>
      <t>4011.20.1015</t>
    </r>
    <r>
      <rPr>
        <sz val="11"/>
        <color rgb="FF000000"/>
        <rFont val="宋体"/>
        <charset val="134"/>
      </rPr>
      <t>、</t>
    </r>
    <r>
      <rPr>
        <sz val="11"/>
        <color rgb="FF000000"/>
        <rFont val="Calibri"/>
        <charset val="134"/>
      </rPr>
      <t xml:space="preserve">4011.20.5020  </t>
    </r>
    <r>
      <rPr>
        <sz val="11"/>
        <color rgb="FF000000"/>
        <rFont val="宋体"/>
        <charset val="134"/>
      </rPr>
      <t>、</t>
    </r>
    <r>
      <rPr>
        <sz val="11"/>
        <color rgb="FF000000"/>
        <rFont val="Calibri"/>
        <charset val="134"/>
      </rPr>
      <t xml:space="preserve"> 8708.99.4850</t>
    </r>
  </si>
  <si>
    <t>范围包括用于无内胎轮胎的某些公路钢轮、盘和轮辋，标称轮辋直径为 22.5 英寸和 24.5 英寸，不考虑宽度。某些标称车轮直径为 22.5 英寸和 24.5 英寸的公路钢轮通常用于 6、7 和 8 类商用车辆（由联邦公路管理局车辆总重评级系统分类），包括拖拉机、半- 拖车、自卸车、垃圾车、混凝土搅拌车和公共汽车，是此类应用的当前标准车轮直径。某些公路用钢轮的标准宽度为7.5英寸、8.25英寸和9.0英寸，但所有某些公路用钢轮，无论宽度如何，都在范围内。而 22.5 英寸和 24。
范围包括具有“轮毂引导”或“螺柱引导”安装配置的某些公路钢轮，包括用于此类车轮的轮辋和盘，无论是作为组件进口还是单独进口。该范围包括某些由碳钢和*或合金钢组成的公路用钢轮、盘和轮辋，无论是否包覆，是否已完成，以及是否有涂层。在美国销售的所有公路车轮均符合美国国家公路交通安全管理局的要求，并带有标记，例如“DOT”符号，表明符合适用的机动车辆标准。参见 49 美国联邦法规 571.120。范围包括某些带有或不带有所需标记的进口钢轮。包括作为组件进口的某些公路钢轮，轮胎安装在车轮上和*或附有阀杆。</t>
  </si>
  <si>
    <t>A-570-918</t>
  </si>
  <si>
    <t>Steel Wire Garment Hangers</t>
  </si>
  <si>
    <t>钢丝衣架</t>
  </si>
  <si>
    <r>
      <rPr>
        <sz val="11"/>
        <color rgb="FF000000"/>
        <rFont val="Calibri"/>
        <charset val="134"/>
      </rPr>
      <t>7326.20.0020</t>
    </r>
    <r>
      <rPr>
        <sz val="11"/>
        <color rgb="FF000000"/>
        <rFont val="宋体"/>
        <charset val="134"/>
      </rPr>
      <t>、</t>
    </r>
    <r>
      <rPr>
        <sz val="11"/>
        <color rgb="FF000000"/>
        <rFont val="Calibri"/>
        <charset val="134"/>
      </rPr>
      <t xml:space="preserve">7323.99.9060 </t>
    </r>
    <r>
      <rPr>
        <sz val="11"/>
        <color rgb="FF000000"/>
        <rFont val="宋体"/>
        <charset val="134"/>
      </rPr>
      <t>、</t>
    </r>
    <r>
      <rPr>
        <sz val="11"/>
        <color rgb="FF000000"/>
        <rFont val="Calibri"/>
        <charset val="134"/>
      </rPr>
      <t>7323.99.9080</t>
    </r>
    <r>
      <rPr>
        <sz val="11"/>
        <color rgb="FF000000"/>
        <rFont val="宋体"/>
        <charset val="134"/>
      </rPr>
      <t>。</t>
    </r>
  </si>
  <si>
    <t>受订单约束的商品是钢丝衣架，由碳钢丝制成，无论是否镀锌或涂漆，是否涂有乳胶或环氧树脂或类似的抓握材料，和*或是否用纸罩制成或斗篷（带或不带印刷）和*或防滑功能，例如鞍座或管子。这些产品也可以通过商业名称来指代，例如衬衫、西装、支柱、斗篷或乳胶（工业）衣架</t>
  </si>
  <si>
    <t>A-570-972</t>
  </si>
  <si>
    <t>Stilbenic Optical Brightening Agents</t>
  </si>
  <si>
    <t>芪类荧光增白剂</t>
  </si>
  <si>
    <r>
      <rPr>
        <sz val="11"/>
        <color rgb="FF000000"/>
        <rFont val="Calibri"/>
        <charset val="134"/>
      </rPr>
      <t>3204.20.8000   2933.69.6050</t>
    </r>
    <r>
      <rPr>
        <sz val="11"/>
        <color rgb="FF000000"/>
        <rFont val="宋体"/>
        <charset val="134"/>
      </rPr>
      <t>、</t>
    </r>
    <r>
      <rPr>
        <sz val="11"/>
        <color rgb="FF000000"/>
        <rFont val="Calibri"/>
        <charset val="134"/>
      </rPr>
      <t xml:space="preserve">2921.59.4000  </t>
    </r>
    <r>
      <rPr>
        <sz val="11"/>
        <color rgb="FF000000"/>
        <rFont val="宋体"/>
        <charset val="134"/>
      </rPr>
      <t>、</t>
    </r>
    <r>
      <rPr>
        <sz val="11"/>
        <color rgb="FF000000"/>
        <rFont val="Calibri"/>
        <charset val="134"/>
      </rPr>
      <t xml:space="preserve"> 2921.59.8090</t>
    </r>
  </si>
  <si>
    <t>此命令涵盖的芪 OBA 是称为三嗪基氨基芪的化合物的所有形式（无论是游离酸还是盐）（即 4,4'-双 [1,3,5-triazin-2-yl] 的所有衍生物）
这句话是化学式的一部分：氨基-2,2'-二苯乙烯二磺酸），但以下段落中列出的化合物除外。本订单涵盖的茋 OBA 包括最终的茋 OBA 产品
，以及在合成茋 OBA 产品过程中产生的本身为三嗪基氨基芪的中间产品。
此订单不包括所有形式的 4,4'-bis[4-anilino-6-morpholino-1,3,5-triazin-2-yl] Id。氨基-2,2'-二苯乙烯二磺酸，C40H40N12O8S2（“荧光增白剂 71”）
。此订单涵盖上述化合物的任何状态（包括但不限于粉末、浆料或溶液）、任何浓度的活性芪 OBA 成分，以及任何组合物（无论添加剂）（即混合物或共混物，
无论是茋 OBA 彼此之间，或茋 OBA 与不是茋 OBA 的添加剂），以及任何类型的包装。</t>
  </si>
  <si>
    <t>A-570-815</t>
  </si>
  <si>
    <t>Sulfanilic Acid</t>
  </si>
  <si>
    <t>磺胺酸</t>
  </si>
  <si>
    <r>
      <rPr>
        <sz val="11"/>
        <color rgb="FF000000"/>
        <rFont val="Calibri"/>
        <charset val="134"/>
      </rPr>
      <t xml:space="preserve">2921.42.22  </t>
    </r>
    <r>
      <rPr>
        <sz val="11"/>
        <color rgb="FF000000"/>
        <rFont val="宋体"/>
        <charset val="134"/>
      </rPr>
      <t>、</t>
    </r>
    <r>
      <rPr>
        <sz val="11"/>
        <color rgb="FF000000"/>
        <rFont val="Calibri"/>
        <charset val="134"/>
      </rPr>
      <t xml:space="preserve"> 2921.42.90</t>
    </r>
  </si>
  <si>
    <t>涉及的产品为所有等级的对氨基苯磺酸，包括工业（或粗）对氨基苯甲酸、精制（或纯化）对氨基苯磺酸和对氨基苯磺酸钠盐（对氨基苯磺酸钠）。
磺胺酸是一种合成有机化学品，由苯胺与硫酸直接磺化而成。磺胺酸用作生产荧光增白剂、食用色素、特种染料和混凝土添加剂的原料。等级之间的主要区别是存在于对氨基苯磺酸中的不希望有的残留苯胺和碱不溶性物质的量。所有等级均以干燥的自由流动粉末形式提供。
工业磺胺酸含有最少 96% 的磺胺酸、最多 1.0% 的苯胺和最多 1.0% 的碱不溶性物质。精制对氨基苯磺酸含有最少 98% 的对氨基苯磺酸、最多 0.5% 的苯胺和最多 0.25% 的碱不溶性物质。
钠盐是一种粉末、颗粒或结晶材料，其含有 75% 最低当量的对氨基苯磺酸、0.5% 最高苯胺（基于当量对氨基苯磺酸含量）和 0.25% 最高碱不溶性材料（基于当量对氨基苯磺酸含量）。</t>
  </si>
  <si>
    <t>A-570-601</t>
  </si>
  <si>
    <t>Tapered Roller Bearings</t>
  </si>
  <si>
    <t>圆锥滚子轴承</t>
  </si>
  <si>
    <r>
      <rPr>
        <sz val="11"/>
        <color rgb="FF000000"/>
        <rFont val="Calibri"/>
        <charset val="134"/>
      </rPr>
      <t>8482.20.00</t>
    </r>
    <r>
      <rPr>
        <sz val="11"/>
        <color rgb="FF000000"/>
        <rFont val="宋体"/>
        <charset val="134"/>
      </rPr>
      <t>、</t>
    </r>
    <r>
      <rPr>
        <sz val="11"/>
        <color rgb="FF000000"/>
        <rFont val="Calibri"/>
        <charset val="134"/>
      </rPr>
      <t>8482.91.00.50</t>
    </r>
    <r>
      <rPr>
        <sz val="11"/>
        <color rgb="FF000000"/>
        <rFont val="宋体"/>
        <charset val="134"/>
      </rPr>
      <t>、</t>
    </r>
    <r>
      <rPr>
        <sz val="11"/>
        <color rgb="FF000000"/>
        <rFont val="Calibri"/>
        <charset val="134"/>
      </rPr>
      <t>8482.99.15</t>
    </r>
    <r>
      <rPr>
        <sz val="11"/>
        <color rgb="FF000000"/>
        <rFont val="宋体"/>
        <charset val="134"/>
      </rPr>
      <t>、</t>
    </r>
    <r>
      <rPr>
        <sz val="11"/>
        <color rgb="FF000000"/>
        <rFont val="Calibri"/>
        <charset val="134"/>
      </rPr>
      <t>8482.99.45</t>
    </r>
    <r>
      <rPr>
        <sz val="11"/>
        <color rgb="FF000000"/>
        <rFont val="宋体"/>
        <charset val="134"/>
      </rPr>
      <t>、</t>
    </r>
    <r>
      <rPr>
        <sz val="11"/>
        <color rgb="FF000000"/>
        <rFont val="Calibri"/>
        <charset val="134"/>
      </rPr>
      <t>8483.20.40</t>
    </r>
    <r>
      <rPr>
        <sz val="11"/>
        <color rgb="FF000000"/>
        <rFont val="宋体"/>
        <charset val="134"/>
      </rPr>
      <t>、</t>
    </r>
    <r>
      <rPr>
        <sz val="11"/>
        <color rgb="FF000000"/>
        <rFont val="Calibri"/>
        <charset val="134"/>
      </rPr>
      <t>8483.20.80</t>
    </r>
    <r>
      <rPr>
        <sz val="11"/>
        <color rgb="FF000000"/>
        <rFont val="宋体"/>
        <charset val="134"/>
      </rPr>
      <t>、</t>
    </r>
    <r>
      <rPr>
        <sz val="11"/>
        <color rgb="FF000000"/>
        <rFont val="Calibri"/>
        <charset val="134"/>
      </rPr>
      <t>8483.30.80</t>
    </r>
    <r>
      <rPr>
        <sz val="11"/>
        <color rgb="FF000000"/>
        <rFont val="宋体"/>
        <charset val="134"/>
      </rPr>
      <t>、</t>
    </r>
    <r>
      <rPr>
        <sz val="11"/>
        <color rgb="FF000000"/>
        <rFont val="Calibri"/>
        <charset val="134"/>
      </rPr>
      <t>8483.90.20</t>
    </r>
    <r>
      <rPr>
        <sz val="11"/>
        <color rgb="FF000000"/>
        <rFont val="宋体"/>
        <charset val="134"/>
      </rPr>
      <t>、</t>
    </r>
    <r>
      <rPr>
        <sz val="11"/>
        <color rgb="FF000000"/>
        <rFont val="Calibri"/>
        <charset val="134"/>
      </rPr>
      <t xml:space="preserve"> 8483.90.30</t>
    </r>
    <r>
      <rPr>
        <sz val="11"/>
        <color rgb="FF000000"/>
        <rFont val="宋体"/>
        <charset val="134"/>
      </rPr>
      <t>、</t>
    </r>
    <r>
      <rPr>
        <sz val="11"/>
        <color rgb="FF000000"/>
        <rFont val="Calibri"/>
        <charset val="134"/>
      </rPr>
      <t>8483.90.80</t>
    </r>
    <r>
      <rPr>
        <sz val="11"/>
        <color rgb="FF000000"/>
        <rFont val="宋体"/>
        <charset val="134"/>
      </rPr>
      <t>、</t>
    </r>
    <r>
      <rPr>
        <sz val="11"/>
        <color rgb="FF000000"/>
        <rFont val="Calibri"/>
        <charset val="134"/>
      </rPr>
      <t>8708.70.6060</t>
    </r>
    <r>
      <rPr>
        <sz val="11"/>
        <color rgb="FF000000"/>
        <rFont val="宋体"/>
        <charset val="134"/>
      </rPr>
      <t>、</t>
    </r>
    <r>
      <rPr>
        <sz val="11"/>
        <color rgb="FF000000"/>
        <rFont val="Calibri"/>
        <charset val="134"/>
      </rPr>
      <t>8708.99.2300</t>
    </r>
    <r>
      <rPr>
        <sz val="11"/>
        <color rgb="FF000000"/>
        <rFont val="宋体"/>
        <charset val="134"/>
      </rPr>
      <t>、</t>
    </r>
    <r>
      <rPr>
        <sz val="11"/>
        <color rgb="FF000000"/>
        <rFont val="Calibri"/>
        <charset val="134"/>
      </rPr>
      <t>8708.99.4850</t>
    </r>
    <r>
      <rPr>
        <sz val="11"/>
        <color rgb="FF000000"/>
        <rFont val="宋体"/>
        <charset val="134"/>
      </rPr>
      <t>、</t>
    </r>
    <r>
      <rPr>
        <sz val="11"/>
        <color rgb="FF000000"/>
        <rFont val="Calibri"/>
        <charset val="134"/>
      </rPr>
      <t>8708.99.6890</t>
    </r>
    <r>
      <rPr>
        <sz val="11"/>
        <color rgb="FF000000"/>
        <rFont val="宋体"/>
        <charset val="134"/>
      </rPr>
      <t>、</t>
    </r>
    <r>
      <rPr>
        <sz val="11"/>
        <color rgb="FF000000"/>
        <rFont val="Calibri"/>
        <charset val="134"/>
      </rPr>
      <t xml:space="preserve">8708.99.8115 </t>
    </r>
    <r>
      <rPr>
        <sz val="11"/>
        <color rgb="FF000000"/>
        <rFont val="宋体"/>
        <charset val="134"/>
      </rPr>
      <t>、</t>
    </r>
    <r>
      <rPr>
        <sz val="11"/>
        <color rgb="FF000000"/>
        <rFont val="Calibri"/>
        <charset val="134"/>
      </rPr>
      <t>8708.99.8180</t>
    </r>
    <r>
      <rPr>
        <sz val="11"/>
        <color rgb="FF000000"/>
        <rFont val="宋体"/>
        <charset val="134"/>
      </rPr>
      <t>。</t>
    </r>
  </si>
  <si>
    <t>涵盖的进口是从中国进口的圆锥滚子轴承及其零件，成品和未成品；
装有圆锥滚子轴承的法兰、卷筒和吊架单元；圆锥滚子轴承座（轴台除外），包括带或不带主轴的圆锥滚子，无论是否用于汽车。</t>
  </si>
  <si>
    <t>A-570-044</t>
  </si>
  <si>
    <t>1,1,1,2-Tetrafluoroethane (R-134A)</t>
  </si>
  <si>
    <r>
      <rPr>
        <sz val="11"/>
        <color rgb="FF000000"/>
        <rFont val="Calibri"/>
        <charset val="134"/>
      </rPr>
      <t>1,1,1,2-</t>
    </r>
    <r>
      <rPr>
        <sz val="11"/>
        <color rgb="FF000000"/>
        <rFont val="宋体"/>
        <charset val="134"/>
      </rPr>
      <t>四氟乙烷</t>
    </r>
    <r>
      <rPr>
        <sz val="11"/>
        <color rgb="FF000000"/>
        <rFont val="Calibri"/>
        <charset val="134"/>
      </rPr>
      <t xml:space="preserve"> (R-134A)</t>
    </r>
  </si>
  <si>
    <t>2903.39.2020</t>
  </si>
  <si>
    <t>产品是 1,1,1,2-四氟乙烷、R-134a 或其化学等效物，无论其形式、类型或纯度水平如何。1,1,1,2-四氟乙烷的化学式为 CF[3] -CH[2] F，化学文摘社登记号为 CAS 811-97-2。（注 1）</t>
  </si>
  <si>
    <t>A-570-887</t>
  </si>
  <si>
    <t>Tetrahydrofurfuryl Alcohol</t>
  </si>
  <si>
    <t>四氢糠醇</t>
  </si>
  <si>
    <t>产品是四氢糠醇 (C5H10O2)（“THFA”）。THFA 是一种伯醇，是一种清澈的水白色至淡黄色液体。THFA 是一种称为呋喃的杂环化合物，可与水混溶，可溶于许多常见的有机溶剂</t>
  </si>
  <si>
    <t>A-570-894</t>
  </si>
  <si>
    <t>Tissue Paper Products</t>
  </si>
  <si>
    <t>卫生纸产品</t>
  </si>
  <si>
    <r>
      <rPr>
        <sz val="11"/>
        <color rgb="FF000000"/>
        <rFont val="Calibri"/>
        <charset val="134"/>
      </rPr>
      <t>4802.30</t>
    </r>
    <r>
      <rPr>
        <sz val="11"/>
        <color rgb="FF000000"/>
        <rFont val="宋体"/>
        <charset val="134"/>
      </rPr>
      <t>；</t>
    </r>
    <r>
      <rPr>
        <sz val="11"/>
        <color rgb="FF000000"/>
        <rFont val="Calibri"/>
        <charset val="134"/>
      </rPr>
      <t>4802.54</t>
    </r>
    <r>
      <rPr>
        <sz val="11"/>
        <color rgb="FF000000"/>
        <rFont val="宋体"/>
        <charset val="134"/>
      </rPr>
      <t>；</t>
    </r>
    <r>
      <rPr>
        <sz val="11"/>
        <color rgb="FF000000"/>
        <rFont val="Calibri"/>
        <charset val="134"/>
      </rPr>
      <t>4802.61</t>
    </r>
    <r>
      <rPr>
        <sz val="11"/>
        <color rgb="FF000000"/>
        <rFont val="宋体"/>
        <charset val="134"/>
      </rPr>
      <t>；</t>
    </r>
    <r>
      <rPr>
        <sz val="11"/>
        <color rgb="FF000000"/>
        <rFont val="Calibri"/>
        <charset val="134"/>
      </rPr>
      <t>4802.62</t>
    </r>
    <r>
      <rPr>
        <sz val="11"/>
        <color rgb="FF000000"/>
        <rFont val="宋体"/>
        <charset val="134"/>
      </rPr>
      <t>；</t>
    </r>
    <r>
      <rPr>
        <sz val="11"/>
        <color rgb="FF000000"/>
        <rFont val="Calibri"/>
        <charset val="134"/>
      </rPr>
      <t>4802.69</t>
    </r>
    <r>
      <rPr>
        <sz val="11"/>
        <color rgb="FF000000"/>
        <rFont val="宋体"/>
        <charset val="134"/>
      </rPr>
      <t>；</t>
    </r>
    <r>
      <rPr>
        <sz val="11"/>
        <color rgb="FF000000"/>
        <rFont val="Calibri"/>
        <charset val="134"/>
      </rPr>
      <t>4804.31.1000</t>
    </r>
    <r>
      <rPr>
        <sz val="11"/>
        <color rgb="FF000000"/>
        <rFont val="宋体"/>
        <charset val="134"/>
      </rPr>
      <t>；</t>
    </r>
    <r>
      <rPr>
        <sz val="11"/>
        <color rgb="FF000000"/>
        <rFont val="Calibri"/>
        <charset val="134"/>
      </rPr>
      <t>4804.31.2000</t>
    </r>
    <r>
      <rPr>
        <sz val="11"/>
        <color rgb="FF000000"/>
        <rFont val="宋体"/>
        <charset val="134"/>
      </rPr>
      <t>；</t>
    </r>
    <r>
      <rPr>
        <sz val="11"/>
        <color rgb="FF000000"/>
        <rFont val="Calibri"/>
        <charset val="134"/>
      </rPr>
      <t>4804.31.4020</t>
    </r>
    <r>
      <rPr>
        <sz val="11"/>
        <color rgb="FF000000"/>
        <rFont val="宋体"/>
        <charset val="134"/>
      </rPr>
      <t>；</t>
    </r>
    <r>
      <rPr>
        <sz val="11"/>
        <color rgb="FF000000"/>
        <rFont val="Calibri"/>
        <charset val="134"/>
      </rPr>
      <t>4804.31.4040</t>
    </r>
    <r>
      <rPr>
        <sz val="11"/>
        <color rgb="FF000000"/>
        <rFont val="宋体"/>
        <charset val="134"/>
      </rPr>
      <t>；</t>
    </r>
    <r>
      <rPr>
        <sz val="11"/>
        <color rgb="FF000000"/>
        <rFont val="Calibri"/>
        <charset val="134"/>
      </rPr>
      <t>4804.31.6000</t>
    </r>
    <r>
      <rPr>
        <sz val="11"/>
        <color rgb="FF000000"/>
        <rFont val="宋体"/>
        <charset val="134"/>
      </rPr>
      <t>；</t>
    </r>
    <r>
      <rPr>
        <sz val="11"/>
        <color rgb="FF000000"/>
        <rFont val="Calibri"/>
        <charset val="134"/>
      </rPr>
      <t>4804.39</t>
    </r>
    <r>
      <rPr>
        <sz val="11"/>
        <color rgb="FF000000"/>
        <rFont val="宋体"/>
        <charset val="134"/>
      </rPr>
      <t>；</t>
    </r>
    <r>
      <rPr>
        <sz val="11"/>
        <color rgb="FF000000"/>
        <rFont val="Calibri"/>
        <charset val="134"/>
      </rPr>
      <t>4805.91.1090</t>
    </r>
    <r>
      <rPr>
        <sz val="11"/>
        <color rgb="FF000000"/>
        <rFont val="宋体"/>
        <charset val="134"/>
      </rPr>
      <t>；</t>
    </r>
    <r>
      <rPr>
        <sz val="11"/>
        <color rgb="FF000000"/>
        <rFont val="Calibri"/>
        <charset val="134"/>
      </rPr>
      <t>4805.91.5000</t>
    </r>
    <r>
      <rPr>
        <sz val="11"/>
        <color rgb="FF000000"/>
        <rFont val="宋体"/>
        <charset val="134"/>
      </rPr>
      <t>；</t>
    </r>
    <r>
      <rPr>
        <sz val="11"/>
        <color rgb="FF000000"/>
        <rFont val="Calibri"/>
        <charset val="134"/>
      </rPr>
      <t>4805.91.7000</t>
    </r>
    <r>
      <rPr>
        <sz val="11"/>
        <color rgb="FF000000"/>
        <rFont val="宋体"/>
        <charset val="134"/>
      </rPr>
      <t>；</t>
    </r>
    <r>
      <rPr>
        <sz val="11"/>
        <color rgb="FF000000"/>
        <rFont val="Calibri"/>
        <charset val="134"/>
      </rPr>
      <t>4806.40</t>
    </r>
    <r>
      <rPr>
        <sz val="11"/>
        <color rgb="FF000000"/>
        <rFont val="宋体"/>
        <charset val="134"/>
      </rPr>
      <t>；</t>
    </r>
    <r>
      <rPr>
        <sz val="11"/>
        <color rgb="FF000000"/>
        <rFont val="Calibri"/>
        <charset val="134"/>
      </rPr>
      <t>4808.30</t>
    </r>
    <r>
      <rPr>
        <sz val="11"/>
        <color rgb="FF000000"/>
        <rFont val="宋体"/>
        <charset val="134"/>
      </rPr>
      <t>；</t>
    </r>
    <r>
      <rPr>
        <sz val="11"/>
        <color rgb="FF000000"/>
        <rFont val="Calibri"/>
        <charset val="134"/>
      </rPr>
      <t>4808.90</t>
    </r>
    <r>
      <rPr>
        <sz val="11"/>
        <color rgb="FF000000"/>
        <rFont val="宋体"/>
        <charset val="134"/>
      </rPr>
      <t>；</t>
    </r>
    <r>
      <rPr>
        <sz val="11"/>
        <color rgb="FF000000"/>
        <rFont val="Calibri"/>
        <charset val="134"/>
      </rPr>
      <t>4811.90</t>
    </r>
    <r>
      <rPr>
        <sz val="11"/>
        <color rgb="FF000000"/>
        <rFont val="宋体"/>
        <charset val="134"/>
      </rPr>
      <t>；</t>
    </r>
    <r>
      <rPr>
        <sz val="11"/>
        <color rgb="FF000000"/>
        <rFont val="Calibri"/>
        <charset val="134"/>
      </rPr>
      <t>4823.90</t>
    </r>
    <r>
      <rPr>
        <sz val="11"/>
        <color rgb="FF000000"/>
        <rFont val="宋体"/>
        <charset val="134"/>
      </rPr>
      <t>；</t>
    </r>
    <r>
      <rPr>
        <sz val="11"/>
        <color rgb="FF000000"/>
        <rFont val="Calibri"/>
        <charset val="134"/>
      </rPr>
      <t>4820.50.00</t>
    </r>
    <r>
      <rPr>
        <sz val="11"/>
        <color rgb="FF000000"/>
        <rFont val="宋体"/>
        <charset val="134"/>
      </rPr>
      <t>；</t>
    </r>
    <r>
      <rPr>
        <sz val="11"/>
        <color rgb="FF000000"/>
        <rFont val="Calibri"/>
        <charset val="134"/>
      </rPr>
      <t>4802.90.00</t>
    </r>
    <r>
      <rPr>
        <sz val="11"/>
        <color rgb="FF000000"/>
        <rFont val="宋体"/>
        <charset val="134"/>
      </rPr>
      <t>；</t>
    </r>
    <r>
      <rPr>
        <sz val="11"/>
        <color rgb="FF000000"/>
        <rFont val="Calibri"/>
        <charset val="134"/>
      </rPr>
      <t>4805.91.90</t>
    </r>
    <r>
      <rPr>
        <sz val="11"/>
        <color rgb="FF000000"/>
        <rFont val="宋体"/>
        <charset val="134"/>
      </rPr>
      <t>；</t>
    </r>
    <r>
      <rPr>
        <sz val="11"/>
        <color rgb="FF000000"/>
        <rFont val="Calibri"/>
        <charset val="134"/>
      </rPr>
      <t>9505.90.40</t>
    </r>
    <r>
      <rPr>
        <sz val="11"/>
        <color rgb="FF000000"/>
        <rFont val="宋体"/>
        <charset val="134"/>
      </rPr>
      <t>。</t>
    </r>
  </si>
  <si>
    <t>约束的薄纸产品是定长的薄纸，其基重不超过每平方米 29 克。受此订单约束的薄纸产品可能会或可能不会被漂白、染色、表面着色、上光、表面装饰或印刷、亮片、起皱、压花和*或模切。受此订单约束的薄纸是定长的薄纸形式，宽度等于或大于二分之一 (0.5) 英寸。主题薄纸可以是平的或折叠的，并且可以通过用纸或薄膜捆扎或包裹、放置在塑料袋或薄膜袋中和*或放置在盒子中以供最终消费者分发和使用来包装。受本订单约束的薄纸包装可能仅包含一种颜色和*或样式的薄纸</t>
  </si>
  <si>
    <t>A-570-056</t>
  </si>
  <si>
    <r>
      <rPr>
        <sz val="11"/>
        <color rgb="FF000000"/>
        <rFont val="Calibri"/>
        <charset val="134"/>
      </rPr>
      <t>9403.20.0021</t>
    </r>
    <r>
      <rPr>
        <sz val="11"/>
        <color rgb="FF000000"/>
        <rFont val="宋体"/>
        <charset val="134"/>
      </rPr>
      <t>、</t>
    </r>
    <r>
      <rPr>
        <sz val="11"/>
        <color rgb="FF000000"/>
        <rFont val="Calibri"/>
        <charset val="134"/>
      </rPr>
      <t>9403.20.0026</t>
    </r>
    <r>
      <rPr>
        <sz val="11"/>
        <color rgb="FF000000"/>
        <rFont val="宋体"/>
        <charset val="134"/>
      </rPr>
      <t>、</t>
    </r>
    <r>
      <rPr>
        <sz val="11"/>
        <color rgb="FF000000"/>
        <rFont val="Calibri"/>
        <charset val="134"/>
      </rPr>
      <t xml:space="preserve">9403.20.0030  </t>
    </r>
    <r>
      <rPr>
        <sz val="11"/>
        <color rgb="FF000000"/>
        <rFont val="宋体"/>
        <charset val="134"/>
      </rPr>
      <t>、</t>
    </r>
    <r>
      <rPr>
        <sz val="11"/>
        <color rgb="FF000000"/>
        <rFont val="Calibri"/>
        <charset val="134"/>
      </rPr>
      <t xml:space="preserve"> 7326.90.8688</t>
    </r>
    <r>
      <rPr>
        <sz val="11"/>
        <color rgb="FF000000"/>
        <rFont val="宋体"/>
        <charset val="134"/>
      </rPr>
      <t>，</t>
    </r>
    <r>
      <rPr>
        <sz val="11"/>
        <color rgb="FF000000"/>
        <rFont val="Calibri"/>
        <charset val="134"/>
      </rPr>
      <t>7326.90.3500</t>
    </r>
  </si>
  <si>
    <t>就本范围而言，宽度参数适用于每个单独的单元，即每个单独的顶部柜子、中间顶部柜子、工具柜、边柜、存储单元、移动工作台和工作站。
预包装用于零售意味着这些商品可以包装在纸板箱、其他类型的容器或包装中，并且可能带有通用产品代码以及照片、图片、图像、特征、艺术品和*或产品规格。无论是组装还是未组装形式进口，都涵盖了主题工具箱和橱柜。标的商品包括在中国或越南生产但为零售而组装、预包装或在进口到美国之前在第三国进行其他小型加工的工具箱和橱柜。同样，它包括在中国或越南生产的工具箱和橱柜，这些工具箱和橱柜在进口到美国后经过组装、预包装以供零售或进行其他小加工。
主题工具箱和柜子除了抽屉之外还可能有门和架子，可能有把手（通常安装在侧面），并且可能在顶部有一个工作台面。主题工具箱和柜子可以是无涂层的（例如不锈钢）、涂漆的、粉末涂层的、镀锌的或以其他方式涂层以用于防腐蚀或美观。
主题工具箱和柜子可以单独包装或成套包装。当成套包装时，它们通常包括一个柜子，柜子顶部有一个或多个箱子。工具柜用作基本工具存储单元，通常具有滚轮、脚轮或轮子，以便在装载工具时更容易移动它们。工作站和移动工作台是顶部有工作台面的工具柜，可以由橡胶、塑料、金属、木材或其他材料制成。
顶部箱子设计用于与工具柜一起使用以形成工具存储单元。顶部箱子可以安装在基础工具柜的顶部或中间箱子上。它们通常与工具柜或中间箱一起包装成一套，但也可以单独包装。它们可以与安装硬件（例如螺栓）和将它们组装到基础工具柜或放置在基础工具柜上的中间工具箱上的说明一起包装。较小的顶部胸部通常在侧面有把手，而较大的顶部胸部通常没有把手。中间工具箱设计用于安装在落地式工具柜顶部，并在顶部工具箱下方使用。尽管它们可能与工具柜分开包装或使用，中间箱设计用于与工具柜结合使用。中间的箱子通常没有把手。中间和顶部的箱子可以用螺栓固定在一起。
边柜设计为用螺栓固定或以其他方式连接到基础存储柜的侧面，以扩大基础工具柜的存储容量。
主题工具箱和柜子也可以与包含的工具套件一起包装。用工具组包装主题工具箱和机柜不会从范围中移除以其他方式覆盖的主题工具箱和机柜。发生这种情况时，工具不属于标的商品。</t>
  </si>
  <si>
    <t>A-570-939</t>
  </si>
  <si>
    <t>Tow-Behind Lawn Groomers And Parts Thereof</t>
  </si>
  <si>
    <t>拖曳式草坪修饰器及其零件</t>
  </si>
  <si>
    <r>
      <rPr>
        <sz val="11"/>
        <color rgb="FF000000"/>
        <rFont val="Calibri"/>
        <charset val="134"/>
      </rPr>
      <t>8432.40.0000</t>
    </r>
    <r>
      <rPr>
        <sz val="11"/>
        <color rgb="FF000000"/>
        <rFont val="宋体"/>
        <charset val="134"/>
      </rPr>
      <t>、</t>
    </r>
    <r>
      <rPr>
        <sz val="11"/>
        <color rgb="FF000000"/>
        <rFont val="Calibri"/>
        <charset val="134"/>
      </rPr>
      <t>8432.80.0000</t>
    </r>
    <r>
      <rPr>
        <sz val="11"/>
        <color rgb="FF000000"/>
        <rFont val="宋体"/>
        <charset val="134"/>
      </rPr>
      <t>、</t>
    </r>
    <r>
      <rPr>
        <sz val="11"/>
        <color rgb="FF000000"/>
        <rFont val="Calibri"/>
        <charset val="134"/>
      </rPr>
      <t>8432.80.0010</t>
    </r>
    <r>
      <rPr>
        <sz val="11"/>
        <color rgb="FF000000"/>
        <rFont val="宋体"/>
        <charset val="134"/>
      </rPr>
      <t>、</t>
    </r>
    <r>
      <rPr>
        <sz val="11"/>
        <color rgb="FF000000"/>
        <rFont val="Calibri"/>
        <charset val="134"/>
      </rPr>
      <t>8432.90.0030</t>
    </r>
    <r>
      <rPr>
        <sz val="11"/>
        <color rgb="FF000000"/>
        <rFont val="宋体"/>
        <charset val="134"/>
      </rPr>
      <t>、</t>
    </r>
    <r>
      <rPr>
        <sz val="11"/>
        <color rgb="FF000000"/>
        <rFont val="Calibri"/>
        <charset val="134"/>
      </rPr>
      <t>8432.90.0080</t>
    </r>
    <r>
      <rPr>
        <sz val="11"/>
        <color rgb="FF000000"/>
        <rFont val="宋体"/>
        <charset val="134"/>
      </rPr>
      <t>、</t>
    </r>
    <r>
      <rPr>
        <sz val="11"/>
        <color rgb="FF000000"/>
        <rFont val="Calibri"/>
        <charset val="134"/>
      </rPr>
      <t xml:space="preserve"> 8479.89.9896</t>
    </r>
    <r>
      <rPr>
        <sz val="11"/>
        <color rgb="FF000000"/>
        <rFont val="宋体"/>
        <charset val="134"/>
      </rPr>
      <t>、</t>
    </r>
    <r>
      <rPr>
        <sz val="11"/>
        <color rgb="FF000000"/>
        <rFont val="Calibri"/>
        <charset val="134"/>
      </rPr>
      <t>8479.89.9897</t>
    </r>
    <r>
      <rPr>
        <sz val="11"/>
        <color rgb="FF000000"/>
        <rFont val="宋体"/>
        <charset val="134"/>
      </rPr>
      <t>、</t>
    </r>
    <r>
      <rPr>
        <sz val="11"/>
        <color rgb="FF000000"/>
        <rFont val="Calibri"/>
        <charset val="134"/>
      </rPr>
      <t>8479.90.9496`9603.50.0000</t>
    </r>
  </si>
  <si>
    <t xml:space="preserve">草坪清扫机由一个框架以及一系列连接在轴或轴上的刷子组成，这些刷子允许刷子组件旋转。草坪清扫机还包括由框架支撑的容器（该容器是存放从草坪或草皮扫出的碎屑的容器）。曝气器由一个框架和一个曝气组件组成，该组件连接到允许曝气组件旋转的轴或轴上。曝气组件由一组固定在板上的刀具（称为“塞式曝气器”）、一系列带有突出钉的圆盘（“钉式曝气器”）或任何其他配置组成，旨在创建草坪或草皮表面上的洞或洞。Dethatchers 由一个框架和一系列用于去除材料的尖齿组成（例如，死草或树叶）或草坪或草皮上的其他碎片。dethatcher 尖齿连接到框架上并悬挂在框架上。草坪撒布机由一个框架和一个料斗（即，任何尺寸、形状或材料的容器）组成，该料斗容纳要在草坪或草皮上撒播的介质。可以通过广播媒体的旋转分布器板（“广播分布器”）、允许以一致速率释放媒体的旋转搅拌器（“滴分布器”）或任何其他配置来分布媒体。订单范围内还包括模块化单元，该单元由一个设计用于包含挂钩的底盘组成，其中可能包括或可能不包括挂钩，它允许执行清扫、
充气、除草或撒播操作的模块互换。模块化单元——当与一个或多个草坪修饰模块一起进口时——在包含单个模块时，完全组装的净重
（即，不包括包装、附加重量或附件）为 200 磅或更小，包含在订单范围内. 模块化单元底盘，
进口时不带草坪修饰模块，并且完全组装后的净重（即不带包装、附加重量或附件）为 125 磅或更少，也包含在订单范围内。单独导入时，
</t>
  </si>
  <si>
    <t>A-570-040</t>
  </si>
  <si>
    <t>Truck and Bus Tires</t>
  </si>
  <si>
    <t>卡车和公共汽车轮胎</t>
  </si>
  <si>
    <r>
      <rPr>
        <sz val="11"/>
        <color rgb="FF000000"/>
        <rFont val="Calibri"/>
        <charset val="134"/>
      </rPr>
      <t xml:space="preserve">4011.20.1015  </t>
    </r>
    <r>
      <rPr>
        <sz val="11"/>
        <color rgb="FF000000"/>
        <rFont val="宋体"/>
        <charset val="134"/>
      </rPr>
      <t>、</t>
    </r>
    <r>
      <rPr>
        <sz val="11"/>
        <color rgb="FF000000"/>
        <rFont val="Calibri"/>
        <charset val="134"/>
      </rPr>
      <t xml:space="preserve"> 4011.20.5020,4011.69.0020</t>
    </r>
    <r>
      <rPr>
        <sz val="11"/>
        <color rgb="FF000000"/>
        <rFont val="宋体"/>
        <charset val="134"/>
      </rPr>
      <t>、</t>
    </r>
    <r>
      <rPr>
        <sz val="11"/>
        <color rgb="FF000000"/>
        <rFont val="Calibri"/>
        <charset val="134"/>
      </rPr>
      <t>4011.69.0090</t>
    </r>
    <r>
      <rPr>
        <sz val="11"/>
        <color rgb="FF000000"/>
        <rFont val="宋体"/>
        <charset val="134"/>
      </rPr>
      <t>、</t>
    </r>
    <r>
      <rPr>
        <sz val="11"/>
        <color rgb="FF000000"/>
        <rFont val="Calibri"/>
        <charset val="134"/>
      </rPr>
      <t>4011.70.00</t>
    </r>
    <r>
      <rPr>
        <sz val="11"/>
        <color rgb="FF000000"/>
        <rFont val="宋体"/>
        <charset val="134"/>
      </rPr>
      <t>、</t>
    </r>
    <r>
      <rPr>
        <sz val="11"/>
        <color rgb="FF000000"/>
        <rFont val="Calibri"/>
        <charset val="134"/>
      </rPr>
      <t>4011.90.80</t>
    </r>
    <r>
      <rPr>
        <sz val="11"/>
        <color rgb="FF000000"/>
        <rFont val="宋体"/>
        <charset val="134"/>
      </rPr>
      <t>、</t>
    </r>
    <r>
      <rPr>
        <sz val="11"/>
        <color rgb="FF000000"/>
        <rFont val="Calibri"/>
        <charset val="134"/>
      </rPr>
      <t>4011.99.4520</t>
    </r>
    <r>
      <rPr>
        <sz val="11"/>
        <color rgb="FF000000"/>
        <rFont val="宋体"/>
        <charset val="134"/>
      </rPr>
      <t>、</t>
    </r>
    <r>
      <rPr>
        <sz val="11"/>
        <color rgb="FF000000"/>
        <rFont val="Calibri"/>
        <charset val="134"/>
      </rPr>
      <t>4011.99.4590</t>
    </r>
    <r>
      <rPr>
        <sz val="11"/>
        <color rgb="FF000000"/>
        <rFont val="宋体"/>
        <charset val="134"/>
      </rPr>
      <t>、</t>
    </r>
    <r>
      <rPr>
        <sz val="11"/>
        <color rgb="FF000000"/>
        <rFont val="Calibri"/>
        <charset val="134"/>
      </rPr>
      <t>4011.99.8520</t>
    </r>
    <r>
      <rPr>
        <sz val="11"/>
        <color rgb="FF000000"/>
        <rFont val="宋体"/>
        <charset val="134"/>
      </rPr>
      <t>、</t>
    </r>
    <r>
      <rPr>
        <sz val="11"/>
        <color rgb="FF000000"/>
        <rFont val="Calibri"/>
        <charset val="134"/>
      </rPr>
      <t>4011.99</t>
    </r>
    <r>
      <rPr>
        <sz val="11"/>
        <color rgb="FF000000"/>
        <rFont val="宋体"/>
        <charset val="134"/>
      </rPr>
      <t>、</t>
    </r>
    <r>
      <rPr>
        <sz val="11"/>
        <color rgb="FF000000"/>
        <rFont val="Calibri"/>
        <charset val="134"/>
      </rPr>
      <t>7.859038</t>
    </r>
    <r>
      <rPr>
        <sz val="11"/>
        <color rgb="FF000000"/>
        <rFont val="宋体"/>
        <charset val="134"/>
      </rPr>
      <t>。</t>
    </r>
    <r>
      <rPr>
        <sz val="11"/>
        <color rgb="FF000000"/>
        <rFont val="Calibri"/>
        <charset val="134"/>
      </rPr>
      <t xml:space="preserve"> 8708.70.6030</t>
    </r>
    <r>
      <rPr>
        <sz val="11"/>
        <color rgb="FF000000"/>
        <rFont val="宋体"/>
        <charset val="134"/>
      </rPr>
      <t>、</t>
    </r>
    <r>
      <rPr>
        <sz val="11"/>
        <color rgb="FF000000"/>
        <rFont val="Calibri"/>
        <charset val="134"/>
      </rPr>
      <t xml:space="preserve">8708.70.6060  </t>
    </r>
    <r>
      <rPr>
        <sz val="11"/>
        <color rgb="FF000000"/>
        <rFont val="宋体"/>
        <charset val="134"/>
      </rPr>
      <t>、</t>
    </r>
    <r>
      <rPr>
        <sz val="11"/>
        <color rgb="FF000000"/>
        <rFont val="Calibri"/>
        <charset val="134"/>
      </rPr>
      <t xml:space="preserve"> 8716.90.5059</t>
    </r>
  </si>
  <si>
    <t>订单范围涵盖卡车和公共汽车轮胎。卡车和公共汽车轮胎是新的橡胶充气轮胎，带有卡车或公共汽车尺寸名称。此订单涵盖的卡车和公共汽车轮胎可能是有内胎的、无内胎的、子午线的或非子午线的。
标的轮胎在进口时在胎侧带有“DOT”符号，证明该轮胎符合适用的机动车辆安全标准。主题轮胎的轮胎尺寸名称中也可能有以下后缀之一，这些后缀也出现在轮胎的侧壁上：
TR – 识别用于卡车或公共汽车服务的轮胎，以将它们与类似尺寸的乘用车和轻型卡车轮胎区分开来；和
HC – 标识用于低平台拖车的 17.5 英寸轮辋直径代码。
本订单涵盖所有尺寸名称中带有“TR”或“HC”后缀的轮胎，无论其预期用途如何。
此外，所有缺少上述后缀标记之一的轮胎都包括在范围内，无论其预期用途如何，只要轮胎的尺寸在“卡车-巴士”部分中列出的数字尺寸指定中轮胎和轮辋协会年鉴，每年更新一次，除非轮胎属于下面列出的特定例外情况之一。
卡车和公共汽车轮胎，无论是否安装在车轮或轮辋上，都包括在范围内。但是，如果对象轮胎是安装在车轮或轮辋上的，则仅该轮胎在范围内。标的商品包括在标的国家生产的卡车和公共汽车轮胎，无论是安装在标的国家或第三国的车轮或轮辋上。卡车和公共汽车轮胎无论是否附有其他部件，例如车轮、轮辋、车轴零件、螺栓、螺母等，都包括在范围内。附着在车辆上的卡车和公共汽车轮胎不包括在范围内。</t>
  </si>
  <si>
    <t>A-570-131</t>
  </si>
  <si>
    <t>Twist Ties</t>
  </si>
  <si>
    <t>麻花领带</t>
  </si>
  <si>
    <r>
      <rPr>
        <sz val="11"/>
        <color rgb="FF000000"/>
        <rFont val="Calibri"/>
        <charset val="134"/>
      </rPr>
      <t xml:space="preserve">8309.90.0000  </t>
    </r>
    <r>
      <rPr>
        <sz val="11"/>
        <color rgb="FF000000"/>
        <rFont val="宋体"/>
        <charset val="134"/>
      </rPr>
      <t>、</t>
    </r>
    <r>
      <rPr>
        <sz val="11"/>
        <color rgb="FF000000"/>
        <rFont val="Calibri"/>
        <charset val="134"/>
      </rPr>
      <t xml:space="preserve"> 5609.00.3000 3920.51.5000</t>
    </r>
    <r>
      <rPr>
        <sz val="11"/>
        <color rgb="FF000000"/>
        <rFont val="宋体"/>
        <charset val="134"/>
      </rPr>
      <t>、</t>
    </r>
    <r>
      <rPr>
        <sz val="11"/>
        <color rgb="FF000000"/>
        <rFont val="Calibri"/>
        <charset val="134"/>
      </rPr>
      <t>3923.90.0080</t>
    </r>
    <r>
      <rPr>
        <sz val="11"/>
        <color rgb="FF000000"/>
        <rFont val="宋体"/>
        <charset val="134"/>
      </rPr>
      <t>、</t>
    </r>
    <r>
      <rPr>
        <sz val="11"/>
        <color rgb="FF000000"/>
        <rFont val="Calibri"/>
        <charset val="134"/>
      </rPr>
      <t>3926.90.9990</t>
    </r>
    <r>
      <rPr>
        <sz val="11"/>
        <color rgb="FF000000"/>
        <rFont val="宋体"/>
        <charset val="134"/>
      </rPr>
      <t>、</t>
    </r>
    <r>
      <rPr>
        <sz val="11"/>
        <color rgb="FF000000"/>
        <rFont val="Calibri"/>
        <charset val="134"/>
      </rPr>
      <t>4811.59.6000</t>
    </r>
    <r>
      <rPr>
        <sz val="11"/>
        <color rgb="FF000000"/>
        <rFont val="宋体"/>
        <charset val="134"/>
      </rPr>
      <t>、</t>
    </r>
    <r>
      <rPr>
        <sz val="11"/>
        <color rgb="FF000000"/>
        <rFont val="Calibri"/>
        <charset val="134"/>
      </rPr>
      <t>4821.10.2000</t>
    </r>
    <r>
      <rPr>
        <sz val="11"/>
        <color rgb="FF000000"/>
        <rFont val="宋体"/>
        <charset val="134"/>
      </rPr>
      <t>、</t>
    </r>
    <r>
      <rPr>
        <sz val="11"/>
        <color rgb="FF000000"/>
        <rFont val="Calibri"/>
        <charset val="134"/>
      </rPr>
      <t>4821.10.4000</t>
    </r>
    <r>
      <rPr>
        <sz val="11"/>
        <color rgb="FF000000"/>
        <rFont val="宋体"/>
        <charset val="134"/>
      </rPr>
      <t>、</t>
    </r>
    <r>
      <rPr>
        <sz val="11"/>
        <color rgb="FF000000"/>
        <rFont val="Calibri"/>
        <charset val="134"/>
      </rPr>
      <t>4821.90.2000</t>
    </r>
    <r>
      <rPr>
        <sz val="11"/>
        <color rgb="FF000000"/>
        <rFont val="宋体"/>
        <charset val="134"/>
      </rPr>
      <t>、</t>
    </r>
    <r>
      <rPr>
        <sz val="11"/>
        <color rgb="FF000000"/>
        <rFont val="Calibri"/>
        <charset val="134"/>
      </rPr>
      <t xml:space="preserve">4821.90.40.800  </t>
    </r>
    <r>
      <rPr>
        <sz val="11"/>
        <color rgb="FF000000"/>
        <rFont val="宋体"/>
        <charset val="134"/>
      </rPr>
      <t>、</t>
    </r>
    <r>
      <rPr>
        <sz val="11"/>
        <color rgb="FF000000"/>
        <rFont val="Calibri"/>
        <charset val="134"/>
      </rPr>
      <t xml:space="preserve"> 4821.90.40.80</t>
    </r>
  </si>
  <si>
    <t xml:space="preserve">订单涵盖的商品包括扎带，这是一种细的、可弯曲的扎带，用于封闭容器，例如袋子、捆绑物品或识别物品。在大多数情况下，扭结由包裹在覆盖材料中的一根或多根金属线组成，这允许扎带保持其形状并与自身结合。但是，可以用塑料而不用金属线制作扭结。扎带中通常使用的金属线是不锈钢或镀锌钢，通常在 19（0.0410 英寸直径）和 31（0.0132 英寸）（美国标准线规）之间测量。捻线带在机器横向上的宽度通常在 0.075 英寸到 1 英寸之间（系带的宽度——垂直于线材的测量值）；电线上的厚度在 0.015 英寸和 0.045 英寸之间；和之间的厚度。002â€³ 和 .020â€³ 在没有电线的区域。该范围包括一个全塑料扭结，其中包含一个塑料芯以及芯上的塑料覆盖物（机翼），就像金属扎带中的纸和*或塑料一样。全塑料扎带（不含金属线）与包含一根或多根金属线的扎带具有相同的尺寸。麻花带通常以预先切割的长度（“单根”）单独提供，缠绕在大线轴上，稍后用机器或手工切割，或者成带孔的成卷或单根麻花带，然后用机器或手工切割（ “帮派”）。全塑料扎带（不含金属线）与包含一根或多根金属线的扎带具有相同的尺寸。麻花带通常以预先切割的长度（“单根”）单独提供，缠绕在大线轴上，稍后用机器或手工切割，或者以带孔的线轴或单根麻花带的形式，然后用机器或手工切割（ “帮派”）。全塑料扎带（不含金属线）与包含一根或多根金属线的扎带具有相同的尺寸。麻花带通常以预先切割的长度（“单根”）单独提供，缠绕在大线轴上，稍后用机器或手工切割，或者以带孔的线轴或单根麻花带的形式，然后用机器或手工切割（ “帮派”）。
扎带的覆盖材料可以是纸（金属或素色）或塑料，并且可以染成各种颜色，带或不带印刷。扎带可以在两面或在纸的一侧和塑料的一侧具有相同的覆盖材料。当由纸的两个面组成时，纸材料用粘合剂或塑料粘合在一起。扎带也可能附有标签或标签，或附有预先涂抹的粘合剂。
</t>
  </si>
  <si>
    <t>A-570-928</t>
  </si>
  <si>
    <t>Uncovered Innerspring Units</t>
  </si>
  <si>
    <t>未覆盖的内置弹簧单元</t>
  </si>
  <si>
    <r>
      <rPr>
        <sz val="11"/>
        <color rgb="FF000000"/>
        <rFont val="Calibri"/>
        <charset val="134"/>
      </rPr>
      <t>9404.10.0000</t>
    </r>
    <r>
      <rPr>
        <sz val="11"/>
        <color rgb="FF000000"/>
        <rFont val="宋体"/>
        <charset val="134"/>
      </rPr>
      <t>、</t>
    </r>
    <r>
      <rPr>
        <sz val="11"/>
        <color rgb="FF000000"/>
        <rFont val="Calibri"/>
        <charset val="134"/>
      </rPr>
      <t>7326.20.0070</t>
    </r>
    <r>
      <rPr>
        <sz val="11"/>
        <color rgb="FF000000"/>
        <rFont val="宋体"/>
        <charset val="134"/>
      </rPr>
      <t>、</t>
    </r>
    <r>
      <rPr>
        <sz val="11"/>
        <color rgb="FF000000"/>
        <rFont val="Calibri"/>
        <charset val="134"/>
      </rPr>
      <t xml:space="preserve">7320.20.5010 </t>
    </r>
    <r>
      <rPr>
        <sz val="11"/>
        <color rgb="FF000000"/>
        <rFont val="宋体"/>
        <charset val="134"/>
      </rPr>
      <t>或</t>
    </r>
    <r>
      <rPr>
        <sz val="11"/>
        <color rgb="FF000000"/>
        <rFont val="Calibri"/>
        <charset val="134"/>
      </rPr>
      <t xml:space="preserve"> 7320.90.5010</t>
    </r>
  </si>
  <si>
    <t>受此订单约束的商品是由一系列单独的金属弹簧组成的未覆盖的内置弹簧单元，这些金属弹簧的尺寸与成人床垫的尺寸相对应（例如，双床、双床长、全长、全长、女王、加利福尼亚国王和国王）以及用于较小结构的单元，例如婴儿床和青少年床垫。无论宽度和长度如何，所有未覆盖的内置弹簧单元都包含在此范围内。此定义中包括通常宽度为 30.5 英寸至 76 英寸、长度为 68 英寸至 84 英寸的内置弹簧。用于婴儿床床垫的内弹簧的宽度通常为 25 英寸至 27 英寸，长度为 50 英寸至 52 英寸。
未覆盖的内置弹簧单元适合用作内置弹簧床垫制造中的内置弹簧组件，包括在内置弹簧周围包含泡沫外壳的床垫。
此定义包括袋装和非袋装内置弹簧单元。无袋内置弹簧通常用螺旋线和边框杆连接在一起。无袋内置弹簧包括在此定义中，无论它们是否有连接到内置弹簧周边的边界杆。袋装内置弹簧是由非织造合成材料或编织材料的“袋”或“套”覆盖的单独线圈，然后以线性方式粘合在一起。</t>
  </si>
  <si>
    <t>A-570-981</t>
  </si>
  <si>
    <t>Utility Scale Wind Towers</t>
  </si>
  <si>
    <t>实用规模风塔</t>
  </si>
  <si>
    <r>
      <rPr>
        <sz val="11"/>
        <color rgb="FF000000"/>
        <rFont val="Calibri"/>
        <charset val="134"/>
      </rPr>
      <t>7308.20.0020 7308.20.0020</t>
    </r>
    <r>
      <rPr>
        <sz val="11"/>
        <color rgb="FF000000"/>
        <rFont val="宋体"/>
        <charset val="134"/>
      </rPr>
      <t>。</t>
    </r>
    <r>
      <rPr>
        <sz val="11"/>
        <color rgb="FF000000"/>
        <rFont val="Calibri"/>
        <charset val="134"/>
      </rPr>
      <t xml:space="preserve"> 8502.31.0000</t>
    </r>
    <r>
      <rPr>
        <sz val="11"/>
        <color rgb="FF000000"/>
        <rFont val="宋体"/>
        <charset val="134"/>
      </rPr>
      <t>。</t>
    </r>
    <r>
      <rPr>
        <sz val="11"/>
        <color rgb="FF000000"/>
        <rFont val="Calibri"/>
        <charset val="134"/>
      </rPr>
      <t xml:space="preserve"> 8502.31.00007308.20.0000</t>
    </r>
  </si>
  <si>
    <t>订单涵盖的商品是某些风塔，无论是否锥形，及其部分。某些风塔设计用于支撑风力涡轮机中的机舱和转子叶片，其最小额定发电能力超过 100 千瓦，从塔底到机舱底部测量的最小高度为 50 米（即，塔顶和机舱连接处）完全组装时。
风塔部分至少由多块钢板组成，这些钢板卷成圆柱形或圆锥形并焊接在一起（或以其他方式连接）以形成钢壳，无论涂层、端面处理、涂漆、处理或制造方法如何，以及是否有法兰、门或内部或外部组件（例如，地板*甲板、梯子、升降机、电气总线盒、电缆、导管、机舱发电机电缆线束、内部照明、工具和储物柜）风塔部分。通常需要几个风塔部分来形成一个完整的风塔。
风塔及其部分包括在范围内，无论它们是否与非主题商品（例如机舱或转子叶片）连接，以及它们是否具有附在主题商品上的内部或外部组件。</t>
  </si>
  <si>
    <t>A-570-110</t>
  </si>
  <si>
    <t>Vertical Metal File Cabinets</t>
  </si>
  <si>
    <t>立式金属文件柜</t>
  </si>
  <si>
    <r>
      <rPr>
        <sz val="11"/>
        <color rgb="FF000000"/>
        <rFont val="Calibri"/>
        <charset val="134"/>
      </rPr>
      <t>9403.10.0020</t>
    </r>
    <r>
      <rPr>
        <sz val="11"/>
        <color rgb="FF000000"/>
        <rFont val="宋体"/>
        <charset val="134"/>
      </rPr>
      <t>，</t>
    </r>
    <r>
      <rPr>
        <sz val="11"/>
        <color rgb="FF000000"/>
        <rFont val="Calibri"/>
        <charset val="134"/>
      </rPr>
      <t>9403.10.0040</t>
    </r>
    <r>
      <rPr>
        <sz val="11"/>
        <color rgb="FF000000"/>
        <rFont val="宋体"/>
        <charset val="134"/>
      </rPr>
      <t>、</t>
    </r>
    <r>
      <rPr>
        <sz val="11"/>
        <color rgb="FF000000"/>
        <rFont val="Calibri"/>
        <charset val="134"/>
      </rPr>
      <t xml:space="preserve">9403.20.0080  </t>
    </r>
    <r>
      <rPr>
        <sz val="11"/>
        <color rgb="FF000000"/>
        <rFont val="宋体"/>
        <charset val="134"/>
      </rPr>
      <t>、</t>
    </r>
    <r>
      <rPr>
        <sz val="11"/>
        <color rgb="FF000000"/>
        <rFont val="Calibri"/>
        <charset val="134"/>
      </rPr>
      <t xml:space="preserve"> 9403.20.0090</t>
    </r>
  </si>
  <si>
    <t>独立的垂直金属文件柜，包含两个或更多可扩展的文件存储元件，实际宽度为 25 英寸或更小。主题垂直金属文件柜具有由碳钢和*或合金钢和*或其他金属制成的主体，无论是否涂漆、粉末涂层或镀锌或以其他方式涂层以用于防腐蚀或美观。</t>
  </si>
  <si>
    <t>A-570-890</t>
  </si>
  <si>
    <t>Wooden Bedroom Furniture</t>
  </si>
  <si>
    <t>木制卧室家具</t>
  </si>
  <si>
    <r>
      <rPr>
        <sz val="11"/>
        <color rgb="FF000000"/>
        <rFont val="Calibri"/>
        <charset val="134"/>
      </rPr>
      <t xml:space="preserve">9403.50.9040 </t>
    </r>
    <r>
      <rPr>
        <sz val="11"/>
        <color rgb="FF000000"/>
        <rFont val="宋体"/>
        <charset val="134"/>
      </rPr>
      <t>，</t>
    </r>
    <r>
      <rPr>
        <sz val="11"/>
        <color rgb="FF000000"/>
        <rFont val="Calibri"/>
        <charset val="134"/>
      </rPr>
      <t>7009.92.5000</t>
    </r>
  </si>
  <si>
    <t>订单涵盖的产品是木制卧室家具。木制卧室家具通常（但不限于）以协调的组或卧室的形式设计、制造和出售，其中所有单件具有大致相同的风格和大致相同的材料和*或饰面。标的商品主要由木制品制成，包括实木和由木材颗粒、纤维或其他木质材料制成的工程木制品，例如胶合板、定向刨花板、刨花板和纤维板，有或没有木饰面，木质覆盖层或层压板，带有或不带有非木质部件或饰边，例如金属、大理石、皮革、玻璃、塑料或其他树脂，无论是否组装、完成或完成。标的商品包括以下项目： （一）高架床、双层床等木床；（二）床用木制床头板（无论是独立式还是附在护栏上的）、床用木制脚踏板、床用木制护栏、床用木制檐篷；（三）床头柜、床头柜、梳妆台、马桶、书柜、骡子柜、绅士柜、学士柜、内衣柜、衣柜、梳妆台、棋盘、衣橱、衣柜式橱柜；(4) 带框玻璃镜的梳妆台，附在、纳入、坐在或悬挂在梳妆台上；(5) 胸前的杂物
\1\, highboys \2\, lowboys \3\, 五斗柜 \4\, 柜子 \5\, 门柜 \6\, 橱柜 \7\, 小厨房 \8\, 和衣橱 \9\; （六）附在标的商品上的桌子、电脑架、文件柜、书柜、写字台；（七）与上表相符的其他卧室家具。</t>
  </si>
  <si>
    <t>A-570-106</t>
  </si>
  <si>
    <t>Wooden Cabinets and Vanities and Components Thereof</t>
  </si>
  <si>
    <t>木制橱柜及其梳妆台及其部件</t>
  </si>
  <si>
    <r>
      <rPr>
        <sz val="11"/>
        <color rgb="FF000000"/>
        <rFont val="Calibri"/>
        <charset val="134"/>
      </rPr>
      <t xml:space="preserve">9403.40.9060  </t>
    </r>
    <r>
      <rPr>
        <sz val="11"/>
        <color rgb="FF000000"/>
        <rFont val="宋体"/>
        <charset val="134"/>
      </rPr>
      <t>、</t>
    </r>
    <r>
      <rPr>
        <sz val="11"/>
        <color rgb="FF000000"/>
        <rFont val="Calibri"/>
        <charset val="134"/>
      </rPr>
      <t xml:space="preserve"> 9403.60.8081</t>
    </r>
    <r>
      <rPr>
        <sz val="11"/>
        <color rgb="FF000000"/>
        <rFont val="宋体"/>
        <charset val="134"/>
      </rPr>
      <t>，</t>
    </r>
    <r>
      <rPr>
        <sz val="11"/>
        <color rgb="FF000000"/>
        <rFont val="Calibri"/>
        <charset val="134"/>
      </rPr>
      <t xml:space="preserve"> 9403.90.7080</t>
    </r>
  </si>
  <si>
    <t>包括用于永久安装（包括落地式、壁挂式、吊顶式或通过管道连接）的木制橱柜和梳妆台及其木制部件。木制橱柜和梳妆台以及木制部件主要由木制品制成，包括实木和工程木制品（包括由木颗粒、纤维或其他木质材料制成的产品，如胶合板、刨花板、细木工板、刨花板或纤维板) 或竹子。木制橱柜和梳妆台由橱柜盒（通常包括顶部、底部、侧面、背部、底座挡板、端部*端板、担架栏杆、踢脚板和*或架子）组成，可能包括也可能不包括框架，门、抽屉和*或架子。
本命令涵盖木制橱柜和梳妆台，无论它们是否与水龙头、金属管道、水槽和*或水槽碗或台面连接或结合进口。如果进口的木制橱柜或梳妆台附在此类商品上或与此类商品一起进口，则范围仅涵盖木制橱柜或梳妆台。
标的商品包括橱柜和梳妆台的以下木制部件：(1) 木制橱柜和梳妆台框架 (2) 木制橱柜和梳妆台盒（通常包括顶部、底部、侧面、背面、底座挡板、端部*端板、 (3) 木制橱柜或梳妆台门，(4) 木制橱柜或梳妆台抽屉和抽屉组件（通常包括侧面、背面、底部和面），(5) 背面面板和端板，(6) 以及附在或包含在标的商品中的桌子、架子和桌子。</t>
  </si>
  <si>
    <t>A-570-117</t>
  </si>
  <si>
    <t>Wood Mouldings and Millwork Products</t>
  </si>
  <si>
    <t>木模和木制品</t>
  </si>
  <si>
    <r>
      <rPr>
        <sz val="11"/>
        <color rgb="FF000000"/>
        <rFont val="Calibri"/>
        <charset val="134"/>
      </rPr>
      <t>4409.10.4010</t>
    </r>
    <r>
      <rPr>
        <sz val="11"/>
        <color rgb="FF000000"/>
        <rFont val="宋体"/>
        <charset val="134"/>
      </rPr>
      <t>、</t>
    </r>
    <r>
      <rPr>
        <sz val="11"/>
        <color rgb="FF000000"/>
        <rFont val="Calibri"/>
        <charset val="134"/>
      </rPr>
      <t>4409.10.4090</t>
    </r>
    <r>
      <rPr>
        <sz val="11"/>
        <color rgb="FF000000"/>
        <rFont val="宋体"/>
        <charset val="134"/>
      </rPr>
      <t>、</t>
    </r>
    <r>
      <rPr>
        <sz val="11"/>
        <color rgb="FF000000"/>
        <rFont val="Calibri"/>
        <charset val="134"/>
      </rPr>
      <t>4409.10.4500</t>
    </r>
    <r>
      <rPr>
        <sz val="11"/>
        <color rgb="FF000000"/>
        <rFont val="宋体"/>
        <charset val="134"/>
      </rPr>
      <t>、</t>
    </r>
    <r>
      <rPr>
        <sz val="11"/>
        <color rgb="FF000000"/>
        <rFont val="Calibri"/>
        <charset val="134"/>
      </rPr>
      <t>4409.10.5000</t>
    </r>
    <r>
      <rPr>
        <sz val="11"/>
        <color rgb="FF000000"/>
        <rFont val="宋体"/>
        <charset val="134"/>
      </rPr>
      <t>、</t>
    </r>
    <r>
      <rPr>
        <sz val="11"/>
        <color rgb="FF000000"/>
        <rFont val="Calibri"/>
        <charset val="134"/>
      </rPr>
      <t>4409.22.4000</t>
    </r>
    <r>
      <rPr>
        <sz val="11"/>
        <color rgb="FF000000"/>
        <rFont val="宋体"/>
        <charset val="134"/>
      </rPr>
      <t>、</t>
    </r>
    <r>
      <rPr>
        <sz val="11"/>
        <color rgb="FF000000"/>
        <rFont val="Calibri"/>
        <charset val="134"/>
      </rPr>
      <t>4409.22.5000</t>
    </r>
    <r>
      <rPr>
        <sz val="11"/>
        <color rgb="FF000000"/>
        <rFont val="宋体"/>
        <charset val="134"/>
      </rPr>
      <t>、</t>
    </r>
    <r>
      <rPr>
        <sz val="11"/>
        <color rgb="FF000000"/>
        <rFont val="Calibri"/>
        <charset val="134"/>
      </rPr>
      <t xml:space="preserve">4409.29 .4100  </t>
    </r>
    <r>
      <rPr>
        <sz val="11"/>
        <color rgb="FF000000"/>
        <rFont val="宋体"/>
        <charset val="134"/>
      </rPr>
      <t>、</t>
    </r>
    <r>
      <rPr>
        <sz val="11"/>
        <color rgb="FF000000"/>
        <rFont val="Calibri"/>
        <charset val="134"/>
      </rPr>
      <t xml:space="preserve"> 4409.29.5100</t>
    </r>
    <r>
      <rPr>
        <sz val="11"/>
        <color rgb="FF000000"/>
        <rFont val="宋体"/>
        <charset val="134"/>
      </rPr>
      <t>，</t>
    </r>
    <r>
      <rPr>
        <sz val="11"/>
        <color rgb="FF000000"/>
        <rFont val="Calibri"/>
        <charset val="134"/>
      </rPr>
      <t xml:space="preserve">4409.10.6000,4409.10.6500, 4409.22.6000, 4409.22.6500, 4409.29.6100, 4409.29.6600, 4418.20.4000, 4418.20.4000, 4409.10.6000,4409.10.6500, 4409.22.6000, 4409.22.6500, 4409.29.6100, 4409.29.6600, 4418.20.4000, 4006,418.20.8 8 4418.99.9095  </t>
    </r>
    <r>
      <rPr>
        <sz val="11"/>
        <color rgb="FF000000"/>
        <rFont val="宋体"/>
        <charset val="134"/>
      </rPr>
      <t>、</t>
    </r>
    <r>
      <rPr>
        <sz val="11"/>
        <color rgb="FF000000"/>
        <rFont val="Calibri"/>
        <charset val="134"/>
      </rPr>
      <t xml:space="preserve"> 4421.99.9780</t>
    </r>
  </si>
  <si>
    <t>受此订单约束的商品包括由木材（不论木材种类）、竹子、层压单板木材 (LVL) 或木材和复合材料（复合材料组成少于 50占总商品的百分比），并且是连续成型的木材或指接或边缘粘合成型或木制品坯料（无论是否重新锯切）。受此订单约束的商品可以沿其任何边缘、端部或面连续成形。
木材模制品或木制品产品中所含复合材料的百分比以长度测量，复合材料为涂层或覆层时除外。木材模制品和木制品，即使在整个长度上都涂有复合材料，但由木材、LVL 或木材和复合材料组成（其中非涂层复合材料占 50% 或总商品的较少）包含在范围内。所有木制品和木制品都包括在范围内，即使它们被修剪过；按尺寸裁剪；缺口; 打孔；钻孔；或经过其他形式的小加工。</t>
  </si>
  <si>
    <t>A-570-951</t>
  </si>
  <si>
    <t>Woven Electric Blankets</t>
  </si>
  <si>
    <t>机织电热毯</t>
  </si>
  <si>
    <t>6301.10.0000</t>
  </si>
  <si>
    <t>该订单的范围包括成品、半成品和未组装的机织电热毯，包括通常称为毯子的机织电热毯，各种尺寸和织物类型，无论是由人造纤维、天然纤维还是两者的混合物制成. 半成品机织电热毯和毯子由含有金属丝的机织织物外壳组成。未组装的机织电热毯和毯子由机织织物外壳和包装在一起或成套件的一种或多种以下组件组成： (1) 电线；(2) 控制器。机织织物的外壳由两片织物连接在一起形成一个“外壳”。编织织物的外壳被制造成容纳电热毯的布线或包含电热毯的布线的子组件（例如，安装在基板上的布线）。
即使机织织物外壳可能专门用作材料在编织电热毯的生产中。</t>
  </si>
  <si>
    <t>A-570-985</t>
  </si>
  <si>
    <t>Xanthan Gum</t>
  </si>
  <si>
    <t>黄原胶</t>
  </si>
  <si>
    <t>3913.90.20</t>
  </si>
  <si>
    <t>当所得混合物含有 15% 或更多干重的黄原胶时，已与其他产品混合的黄原胶包含在此范围内。可以与黄原胶混合的其他产品包括但不限于糖、矿物质和盐。黄原胶是一种由油菜黄单胞菌有氧发酵产生的多糖。重复五糖单体单元的化学结构由两个 P-1,4-D-葡萄糖单糖单元的主链组成，第二个具有由 PD-甘露糖-(1,4)-P-D-葡萄糖醛酸组成的三糖侧链-(1,2) - aD-甘露糖单糖单元。末端甘露糖可以被丙酮酸化并且内部甘露糖单元可以被乙酰化。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</si>
</sst>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h:mm\ AM/PM;@"/>
    <numFmt numFmtId="177" formatCode="_-* #,##0.00_-;\-* #,##0.00_-;_-* &quot;-&quot;??_-;_-@_-"/>
    <numFmt numFmtId="178" formatCode="[$USD]\ #,##0.00_);\([$USD]\ #,##0.00\)"/>
    <numFmt numFmtId="179" formatCode="_-[$£-809]* #,##0.00_-;\-[$£-809]* #,##0.00_-;_-[$£-809]* &quot;-&quot;??_-;_-@_-"/>
    <numFmt numFmtId="180" formatCode="_([$€-2]* #,##0.00_);_([$€-2]* \(#,##0.00\);_([$€-2]* &quot;-&quot;??_)"/>
    <numFmt numFmtId="181" formatCode="[$-F800]dddd\,\ mmmm\ dd\,\ yyyy"/>
    <numFmt numFmtId="182" formatCode="[$-409]mmmm\ d\,\ yyyy;@"/>
    <numFmt numFmtId="183" formatCode="0.0_);[Red]\(0.0\)"/>
    <numFmt numFmtId="184" formatCode="0.00_ "/>
    <numFmt numFmtId="185" formatCode="0.0_ "/>
    <numFmt numFmtId="186" formatCode="0;[Red]0"/>
    <numFmt numFmtId="187" formatCode="0.0;[Red]0.0"/>
    <numFmt numFmtId="188" formatCode="[$-1010804]General"/>
    <numFmt numFmtId="189" formatCode="m&quot;月&quot;d&quot;日&quot;;@"/>
  </numFmts>
  <fonts count="123">
    <font>
      <sz val="11"/>
      <color indexed="8"/>
      <name val="宋体"/>
      <charset val="134"/>
    </font>
    <font>
      <b/>
      <sz val="12"/>
      <color indexed="8"/>
      <name val="微软雅黑"/>
      <charset val="134"/>
    </font>
    <font>
      <sz val="10"/>
      <color theme="1"/>
      <name val="Calibri"/>
      <charset val="134"/>
    </font>
    <font>
      <sz val="11"/>
      <color theme="1"/>
      <name val="Calibri"/>
      <charset val="134"/>
    </font>
    <font>
      <b/>
      <sz val="18"/>
      <color theme="4"/>
      <name val="微软雅黑"/>
      <charset val="134"/>
    </font>
    <font>
      <b/>
      <sz val="11"/>
      <color rgb="FFFFFFFF"/>
      <name val="微软雅黑"/>
      <charset val="134"/>
    </font>
    <font>
      <b/>
      <sz val="11"/>
      <color rgb="FFFFFFFF"/>
      <name val="Calibri"/>
      <charset val="134"/>
    </font>
    <font>
      <sz val="11"/>
      <color rgb="FF000000"/>
      <name val="Calibri"/>
      <charset val="134"/>
    </font>
    <font>
      <sz val="11"/>
      <color rgb="FF000000"/>
      <name val="宋体"/>
      <charset val="134"/>
    </font>
    <font>
      <sz val="10"/>
      <color theme="1"/>
      <name val="宋体"/>
      <charset val="134"/>
    </font>
    <font>
      <sz val="24"/>
      <color indexed="8"/>
      <name val="宋体"/>
      <charset val="134"/>
    </font>
    <font>
      <b/>
      <sz val="22"/>
      <color theme="4"/>
      <name val="微软雅黑"/>
      <charset val="134"/>
    </font>
    <font>
      <b/>
      <sz val="22"/>
      <color rgb="FFFF0000"/>
      <name val="微软雅黑"/>
      <charset val="134"/>
    </font>
    <font>
      <b/>
      <sz val="11"/>
      <color rgb="FFC00000"/>
      <name val="微软雅黑"/>
      <charset val="134"/>
    </font>
    <font>
      <sz val="11"/>
      <color indexed="8"/>
      <name val="微软雅黑"/>
      <charset val="134"/>
    </font>
    <font>
      <sz val="11"/>
      <color rgb="FF000000"/>
      <name val="微软雅黑"/>
      <charset val="134"/>
    </font>
    <font>
      <sz val="11"/>
      <color indexed="8"/>
      <name val="黑体"/>
      <charset val="134"/>
    </font>
    <font>
      <sz val="11"/>
      <color rgb="FF000000"/>
      <name val="黑体"/>
      <charset val="134"/>
    </font>
    <font>
      <sz val="11"/>
      <color theme="1"/>
      <name val="微软雅黑"/>
      <charset val="134"/>
    </font>
    <font>
      <b/>
      <sz val="11"/>
      <color theme="0"/>
      <name val="微软雅黑"/>
      <charset val="134"/>
    </font>
    <font>
      <sz val="11"/>
      <name val="微软雅黑"/>
      <charset val="134"/>
    </font>
    <font>
      <b/>
      <sz val="10"/>
      <color theme="0"/>
      <name val="微软雅黑"/>
      <charset val="134"/>
    </font>
    <font>
      <sz val="10.5"/>
      <color theme="4" tint="-0.5"/>
      <name val="微软雅黑"/>
      <charset val="134"/>
    </font>
    <font>
      <sz val="11"/>
      <name val="黑体"/>
      <charset val="134"/>
    </font>
    <font>
      <sz val="10"/>
      <name val="微软雅黑"/>
      <charset val="134"/>
    </font>
    <font>
      <b/>
      <sz val="10.5"/>
      <color rgb="FFC00000"/>
      <name val="微软雅黑"/>
      <charset val="134"/>
    </font>
    <font>
      <sz val="11"/>
      <name val="宋体"/>
      <charset val="134"/>
      <scheme val="minor"/>
    </font>
    <font>
      <sz val="11"/>
      <name val="微软雅黑"/>
      <charset val="161"/>
    </font>
    <font>
      <b/>
      <sz val="24"/>
      <color rgb="FFFF0000"/>
      <name val="微软雅黑"/>
      <charset val="134"/>
    </font>
    <font>
      <b/>
      <sz val="11"/>
      <color rgb="FFFF0000"/>
      <name val="微软雅黑"/>
      <charset val="134"/>
    </font>
    <font>
      <sz val="10.5"/>
      <name val="微软雅黑"/>
      <charset val="134"/>
    </font>
    <font>
      <sz val="11"/>
      <name val="宋体"/>
      <charset val="134"/>
    </font>
    <font>
      <b/>
      <sz val="11"/>
      <name val="微软雅黑"/>
      <charset val="134"/>
    </font>
    <font>
      <b/>
      <sz val="10"/>
      <name val="微软雅黑"/>
      <charset val="134"/>
    </font>
    <font>
      <b/>
      <sz val="11"/>
      <color rgb="FFFFFF00"/>
      <name val="微软雅黑"/>
      <charset val="134"/>
    </font>
    <font>
      <b/>
      <sz val="24"/>
      <color theme="4"/>
      <name val="微软雅黑"/>
      <charset val="134"/>
    </font>
    <font>
      <b/>
      <sz val="18"/>
      <color rgb="FFFF0000"/>
      <name val="微软雅黑"/>
      <charset val="134"/>
    </font>
    <font>
      <b/>
      <sz val="18"/>
      <color rgb="FFFFFFFF"/>
      <name val="微软雅黑"/>
      <charset val="134"/>
    </font>
    <font>
      <b/>
      <sz val="16"/>
      <color theme="0"/>
      <name val="微软雅黑"/>
      <charset val="134"/>
    </font>
    <font>
      <sz val="10"/>
      <color indexed="8"/>
      <name val="微软雅黑"/>
      <charset val="161"/>
    </font>
    <font>
      <b/>
      <sz val="16"/>
      <color theme="0"/>
      <name val="微软雅黑"/>
      <charset val="161"/>
    </font>
    <font>
      <sz val="11"/>
      <color indexed="8"/>
      <name val="微软雅黑"/>
      <charset val="161"/>
    </font>
    <font>
      <sz val="10"/>
      <color indexed="8"/>
      <name val="微软雅黑"/>
      <charset val="134"/>
    </font>
    <font>
      <b/>
      <sz val="14"/>
      <color theme="4"/>
      <name val="微软雅黑"/>
      <charset val="134"/>
    </font>
    <font>
      <sz val="12"/>
      <color rgb="FF000000"/>
      <name val="微软雅黑"/>
      <charset val="134"/>
    </font>
    <font>
      <b/>
      <sz val="11"/>
      <color rgb="FFFF0000"/>
      <name val="宋体"/>
      <charset val="134"/>
    </font>
    <font>
      <b/>
      <sz val="14"/>
      <color theme="1"/>
      <name val="宋体"/>
      <charset val="134"/>
    </font>
    <font>
      <sz val="12"/>
      <color indexed="8"/>
      <name val="微软雅黑"/>
      <charset val="134"/>
    </font>
    <font>
      <sz val="13"/>
      <color indexed="8"/>
      <name val="微软雅黑"/>
      <charset val="134"/>
    </font>
    <font>
      <sz val="9"/>
      <color indexed="8"/>
      <name val="微软雅黑"/>
      <charset val="134"/>
    </font>
    <font>
      <b/>
      <sz val="20"/>
      <name val="宋体"/>
      <charset val="134"/>
      <scheme val="minor"/>
    </font>
    <font>
      <b/>
      <sz val="20"/>
      <color indexed="8"/>
      <name val="微软雅黑"/>
      <charset val="134"/>
    </font>
    <font>
      <b/>
      <sz val="12"/>
      <color theme="0"/>
      <name val="微软雅黑"/>
      <charset val="134"/>
    </font>
    <font>
      <sz val="9"/>
      <name val="微软雅黑"/>
      <charset val="134"/>
    </font>
    <font>
      <sz val="9"/>
      <color theme="1"/>
      <name val="微软雅黑"/>
      <charset val="134"/>
    </font>
    <font>
      <u/>
      <sz val="9"/>
      <color indexed="12"/>
      <name val="微软雅黑"/>
      <charset val="134"/>
    </font>
    <font>
      <b/>
      <sz val="9"/>
      <color rgb="FFDD0806"/>
      <name val="微软雅黑"/>
      <charset val="134"/>
    </font>
    <font>
      <b/>
      <sz val="12"/>
      <name val="微软雅黑"/>
      <charset val="134"/>
    </font>
    <font>
      <sz val="10"/>
      <color theme="1"/>
      <name val="微软雅黑"/>
      <charset val="134"/>
    </font>
    <font>
      <sz val="16"/>
      <color indexed="8"/>
      <name val="微软雅黑"/>
      <charset val="134"/>
    </font>
    <font>
      <sz val="16"/>
      <color indexed="8"/>
      <name val="宋体"/>
      <charset val="134"/>
    </font>
    <font>
      <b/>
      <sz val="12"/>
      <color theme="4"/>
      <name val="微软雅黑"/>
      <charset val="134"/>
    </font>
    <font>
      <b/>
      <sz val="11"/>
      <color theme="4"/>
      <name val="微软雅黑"/>
      <charset val="134"/>
    </font>
    <font>
      <b/>
      <sz val="11"/>
      <color indexed="8"/>
      <name val="微软雅黑"/>
      <charset val="161"/>
    </font>
    <font>
      <b/>
      <sz val="11"/>
      <color rgb="FF000000"/>
      <name val="微软雅黑"/>
      <charset val="134"/>
    </font>
    <font>
      <b/>
      <sz val="11"/>
      <color theme="1"/>
      <name val="微软雅黑"/>
      <charset val="134"/>
    </font>
    <font>
      <sz val="11"/>
      <color rgb="FFFF0000"/>
      <name val="微软雅黑"/>
      <charset val="134"/>
    </font>
    <font>
      <b/>
      <sz val="10"/>
      <color theme="1"/>
      <name val="微软雅黑"/>
      <charset val="134"/>
    </font>
    <font>
      <sz val="18"/>
      <color indexed="8"/>
      <name val="宋体"/>
      <charset val="134"/>
    </font>
    <font>
      <b/>
      <sz val="16"/>
      <color theme="4"/>
      <name val="Microsoft YaHei"/>
      <charset val="134"/>
    </font>
    <font>
      <b/>
      <sz val="36"/>
      <color rgb="FFFF0000"/>
      <name val="微软雅黑"/>
      <charset val="134"/>
    </font>
    <font>
      <strike/>
      <sz val="11"/>
      <color indexed="8"/>
      <name val="宋体"/>
      <charset val="134"/>
    </font>
    <font>
      <b/>
      <sz val="20"/>
      <color rgb="FFFF0000"/>
      <name val="微软雅黑"/>
      <charset val="134"/>
    </font>
    <font>
      <b/>
      <sz val="16"/>
      <color theme="1"/>
      <name val="微软雅黑"/>
      <charset val="134"/>
    </font>
    <font>
      <b/>
      <sz val="11"/>
      <color indexed="8"/>
      <name val="宋体"/>
      <charset val="134"/>
    </font>
    <font>
      <b/>
      <sz val="11"/>
      <color rgb="FFFFFFFF"/>
      <name val="Microsoft YaHei"/>
      <charset val="134"/>
    </font>
    <font>
      <sz val="11"/>
      <color rgb="FF08090C"/>
      <name val="微软雅黑"/>
      <charset val="134"/>
    </font>
    <font>
      <sz val="10"/>
      <color rgb="FF000000"/>
      <name val="Microsoft YaHei"/>
      <charset val="134"/>
    </font>
    <font>
      <sz val="11"/>
      <color theme="1"/>
      <name val="宋体"/>
      <charset val="134"/>
      <scheme val="minor"/>
    </font>
    <font>
      <sz val="9.5"/>
      <color indexed="8"/>
      <name val="微软雅黑"/>
      <charset val="134"/>
    </font>
    <font>
      <sz val="9.5"/>
      <color rgb="FFFF0000"/>
      <name val="微软雅黑"/>
      <charset val="134"/>
    </font>
    <font>
      <sz val="14"/>
      <color rgb="FF000000"/>
      <name val="Microsoft YaHei"/>
      <charset val="134"/>
    </font>
    <font>
      <u val="double"/>
      <sz val="11"/>
      <color theme="4"/>
      <name val="微软雅黑"/>
      <charset val="134"/>
    </font>
    <font>
      <u/>
      <sz val="11"/>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2"/>
      <name val="宋体"/>
      <charset val="134"/>
    </font>
    <font>
      <sz val="11"/>
      <color indexed="8"/>
      <name val="宋体"/>
      <charset val="134"/>
      <scheme val="minor"/>
    </font>
    <font>
      <u/>
      <sz val="12"/>
      <color indexed="12"/>
      <name val="宋体"/>
      <charset val="134"/>
    </font>
    <font>
      <sz val="11"/>
      <name val=""/>
      <charset val="134"/>
    </font>
    <font>
      <sz val="10"/>
      <name val="Helv"/>
      <charset val="134"/>
    </font>
    <font>
      <sz val="12"/>
      <color theme="1"/>
      <name val="宋体"/>
      <charset val="134"/>
      <scheme val="minor"/>
    </font>
    <font>
      <sz val="12"/>
      <name val="新細明體"/>
      <charset val="134"/>
    </font>
    <font>
      <b/>
      <sz val="12"/>
      <color indexed="10"/>
      <name val="宋体"/>
      <charset val="134"/>
    </font>
    <font>
      <sz val="12"/>
      <color indexed="12"/>
      <name val="Impact"/>
      <charset val="134"/>
    </font>
    <font>
      <sz val="10"/>
      <name val="Verdana"/>
      <charset val="134"/>
    </font>
    <font>
      <b/>
      <sz val="10"/>
      <color rgb="FFFF0000"/>
      <name val="Microsoft YaHei"/>
      <charset val="134"/>
    </font>
    <font>
      <b/>
      <sz val="10"/>
      <color rgb="FFFF0000"/>
      <name val="微软雅黑"/>
      <charset val="134"/>
    </font>
    <font>
      <b/>
      <sz val="10"/>
      <name val="Microsoft YaHei"/>
      <charset val="134"/>
    </font>
    <font>
      <sz val="11"/>
      <color rgb="FF000000"/>
      <name val="Times New Roman"/>
      <charset val="134"/>
    </font>
    <font>
      <b/>
      <sz val="9"/>
      <color rgb="FFFF0000"/>
      <name val="Microsoft YaHei"/>
      <charset val="134"/>
    </font>
    <font>
      <sz val="9"/>
      <color indexed="10"/>
      <name val="微软雅黑"/>
      <charset val="134"/>
    </font>
    <font>
      <sz val="12"/>
      <name val="微软雅黑"/>
      <charset val="134"/>
    </font>
    <font>
      <b/>
      <sz val="9"/>
      <name val="宋体"/>
      <charset val="134"/>
    </font>
    <font>
      <sz val="10"/>
      <name val="宋体"/>
      <charset val="134"/>
    </font>
    <font>
      <sz val="9"/>
      <name val="宋体"/>
      <charset val="134"/>
    </font>
  </fonts>
  <fills count="55">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FFFFFF"/>
        <bgColor indexed="64"/>
      </patternFill>
    </fill>
    <fill>
      <patternFill patternType="solid">
        <fgColor theme="0"/>
        <bgColor theme="4" tint="0.799951170384838"/>
      </patternFill>
    </fill>
    <fill>
      <patternFill patternType="solid">
        <fgColor theme="3" tint="0.4"/>
        <bgColor theme="4"/>
      </patternFill>
    </fill>
    <fill>
      <patternFill patternType="solid">
        <fgColor theme="3" tint="0.4"/>
        <bgColor indexed="64"/>
      </patternFill>
    </fill>
    <fill>
      <patternFill patternType="solid">
        <fgColor theme="0"/>
        <bgColor theme="4"/>
      </patternFill>
    </fill>
    <fill>
      <patternFill patternType="solid">
        <fgColor theme="4" tint="0.9"/>
        <bgColor indexed="64"/>
      </patternFill>
    </fill>
    <fill>
      <patternFill patternType="solid">
        <fgColor theme="5" tint="0.799951170384838"/>
        <bgColor indexed="64"/>
      </patternFill>
    </fill>
    <fill>
      <patternFill patternType="solid">
        <fgColor theme="7" tint="0.799951170384838"/>
        <bgColor indexed="64"/>
      </patternFill>
    </fill>
    <fill>
      <patternFill patternType="solid">
        <fgColor theme="9" tint="0.799951170384838"/>
        <bgColor indexed="64"/>
      </patternFill>
    </fill>
    <fill>
      <patternFill patternType="solid">
        <fgColor theme="6" tint="0.799951170384838"/>
        <bgColor indexed="64"/>
      </patternFill>
    </fill>
    <fill>
      <patternFill patternType="solid">
        <fgColor theme="2"/>
        <bgColor indexed="64"/>
      </patternFill>
    </fill>
    <fill>
      <patternFill patternType="solid">
        <fgColor indexed="9"/>
        <bgColor indexed="64"/>
      </patternFill>
    </fill>
    <fill>
      <patternFill patternType="solid">
        <fgColor rgb="FF4D94DC"/>
        <bgColor indexed="64"/>
      </patternFill>
    </fill>
    <fill>
      <patternFill patternType="solid">
        <fgColor theme="2" tint="-0.249977111117893"/>
        <bgColor indexed="64"/>
      </patternFill>
    </fill>
    <fill>
      <patternFill patternType="solid">
        <fgColor theme="9" tint="0.599993896298105"/>
        <bgColor indexed="64"/>
      </patternFill>
    </fill>
    <fill>
      <patternFill patternType="solid">
        <fgColor theme="5" tint="0.399945066682943"/>
        <bgColor indexed="64"/>
      </patternFill>
    </fill>
    <fill>
      <patternFill patternType="solid">
        <fgColor theme="9" tint="0.399945066682943"/>
        <bgColor indexed="64"/>
      </patternFill>
    </fill>
    <fill>
      <patternFill patternType="solid">
        <fgColor theme="6" tint="0.399945066682943"/>
        <bgColor indexed="64"/>
      </patternFill>
    </fill>
    <fill>
      <patternFill patternType="solid">
        <fgColor theme="0"/>
        <bgColor rgb="FF000000"/>
      </patternFill>
    </fill>
    <fill>
      <patternFill patternType="solid">
        <fgColor theme="4" tint="0.899960325937681"/>
        <bgColor indexed="64"/>
      </patternFill>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indexed="9"/>
        <bgColor indexed="9"/>
      </patternFill>
    </fill>
  </fills>
  <borders count="262">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right>
      <top/>
      <bottom style="thin">
        <color theme="4" tint="0.6"/>
      </bottom>
      <diagonal/>
    </border>
    <border>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right>
      <top style="thin">
        <color theme="4" tint="0.6"/>
      </top>
      <bottom style="thin">
        <color theme="4" tint="0.6"/>
      </bottom>
      <diagonal/>
    </border>
    <border>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right>
      <top style="thin">
        <color theme="4" tint="0.6"/>
      </top>
      <bottom style="thin">
        <color theme="4"/>
      </bottom>
      <diagonal/>
    </border>
    <border>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bottom/>
      <diagonal/>
    </border>
    <border>
      <left/>
      <right style="thin">
        <color auto="1"/>
      </right>
      <top/>
      <bottom/>
      <diagonal/>
    </border>
    <border>
      <left style="thin">
        <color auto="1"/>
      </left>
      <right style="thin">
        <color theme="3" tint="0.8"/>
      </right>
      <top/>
      <bottom/>
      <diagonal/>
    </border>
    <border>
      <left style="thin">
        <color theme="3" tint="0.8"/>
      </left>
      <right style="thin">
        <color theme="3" tint="0.8"/>
      </right>
      <top/>
      <bottom/>
      <diagonal/>
    </border>
    <border>
      <left style="thin">
        <color theme="3" tint="0.8"/>
      </left>
      <right style="thin">
        <color auto="1"/>
      </right>
      <top/>
      <bottom/>
      <diagonal/>
    </border>
    <border>
      <left style="thin">
        <color auto="1"/>
      </left>
      <right style="thin">
        <color auto="1"/>
      </right>
      <top style="thin">
        <color auto="1"/>
      </top>
      <bottom style="thin">
        <color auto="1"/>
      </bottom>
      <diagonal/>
    </border>
    <border>
      <left style="thin">
        <color theme="4" tint="0.4"/>
      </left>
      <right/>
      <top/>
      <bottom style="thin">
        <color theme="4" tint="0.4"/>
      </bottom>
      <diagonal/>
    </border>
    <border>
      <left style="thin">
        <color theme="3" tint="0.6"/>
      </left>
      <right style="thin">
        <color theme="3" tint="0.6"/>
      </right>
      <top style="thin">
        <color theme="3" tint="0.6"/>
      </top>
      <bottom style="thin">
        <color theme="3" tint="0.6"/>
      </bottom>
      <diagonal/>
    </border>
    <border>
      <left/>
      <right style="thin">
        <color theme="3" tint="0.8"/>
      </right>
      <top/>
      <bottom style="thin">
        <color theme="3" tint="0.8"/>
      </bottom>
      <diagonal/>
    </border>
    <border>
      <left style="thin">
        <color theme="4" tint="0.4"/>
      </left>
      <right/>
      <top style="thin">
        <color theme="4" tint="0.4"/>
      </top>
      <bottom style="thin">
        <color theme="4" tint="0.4"/>
      </bottom>
      <diagonal/>
    </border>
    <border>
      <left/>
      <right style="thin">
        <color theme="3" tint="0.8"/>
      </right>
      <top style="thin">
        <color theme="3" tint="0.8"/>
      </top>
      <bottom style="thin">
        <color theme="3" tint="0.8"/>
      </bottom>
      <diagonal/>
    </border>
    <border>
      <left style="medium">
        <color theme="4" tint="-0.5"/>
      </left>
      <right style="thin">
        <color theme="4" tint="0.399945066682943"/>
      </right>
      <top/>
      <bottom/>
      <diagonal/>
    </border>
    <border>
      <left style="thin">
        <color theme="4" tint="0.399945066682943"/>
      </left>
      <right style="thin">
        <color theme="4" tint="0.399945066682943"/>
      </right>
      <top/>
      <bottom/>
      <diagonal/>
    </border>
    <border>
      <left/>
      <right style="medium">
        <color theme="4" tint="-0.5"/>
      </right>
      <top/>
      <bottom/>
      <diagonal/>
    </border>
    <border>
      <left/>
      <right style="medium">
        <color rgb="FF002060"/>
      </right>
      <top/>
      <bottom/>
      <diagonal/>
    </border>
    <border>
      <left style="thin">
        <color auto="1"/>
      </left>
      <right style="thin">
        <color auto="1"/>
      </right>
      <top style="thin">
        <color auto="1"/>
      </top>
      <bottom/>
      <diagonal/>
    </border>
    <border>
      <left style="medium">
        <color theme="4" tint="-0.5"/>
      </left>
      <right style="thin">
        <color theme="4" tint="0.4"/>
      </right>
      <top style="thin">
        <color theme="4" tint="0.4"/>
      </top>
      <bottom style="thin">
        <color theme="4" tint="0.4"/>
      </bottom>
      <diagonal/>
    </border>
    <border>
      <left style="thin">
        <color theme="4" tint="0.4"/>
      </left>
      <right/>
      <top style="thin">
        <color auto="1"/>
      </top>
      <bottom style="thin">
        <color auto="1"/>
      </bottom>
      <diagonal/>
    </border>
    <border>
      <left style="medium">
        <color theme="4" tint="-0.5"/>
      </left>
      <right style="thin">
        <color theme="4" tint="0.4"/>
      </right>
      <top style="thin">
        <color theme="4" tint="0.4"/>
      </top>
      <bottom/>
      <diagonal/>
    </border>
    <border>
      <left style="thin">
        <color theme="4" tint="0.4"/>
      </left>
      <right/>
      <top/>
      <bottom/>
      <diagonal/>
    </border>
    <border>
      <left style="thin">
        <color auto="1"/>
      </left>
      <right style="thin">
        <color auto="1"/>
      </right>
      <top/>
      <bottom/>
      <diagonal/>
    </border>
    <border>
      <left/>
      <right style="thin">
        <color auto="1"/>
      </right>
      <top style="thin">
        <color auto="1"/>
      </top>
      <bottom style="thin">
        <color auto="1"/>
      </bottom>
      <diagonal/>
    </border>
    <border>
      <left style="medium">
        <color theme="4" tint="-0.5"/>
      </left>
      <right style="thin">
        <color theme="4" tint="0.4"/>
      </right>
      <top/>
      <bottom style="thin">
        <color theme="4" tint="0.4"/>
      </bottom>
      <diagonal/>
    </border>
    <border>
      <left style="medium">
        <color theme="4" tint="-0.5"/>
      </left>
      <right style="thin">
        <color theme="4" tint="0.4"/>
      </right>
      <top/>
      <bottom/>
      <diagonal/>
    </border>
    <border>
      <left style="thin">
        <color theme="4" tint="0.4"/>
      </left>
      <right style="thin">
        <color theme="4" tint="0.4"/>
      </right>
      <top/>
      <bottom/>
      <diagonal/>
    </border>
    <border>
      <left style="thin">
        <color theme="4" tint="0.4"/>
      </left>
      <right style="medium">
        <color theme="4" tint="-0.5"/>
      </right>
      <top/>
      <bottom/>
      <diagonal/>
    </border>
    <border>
      <left style="medium">
        <color theme="4" tint="-0.5"/>
      </left>
      <right style="thin">
        <color theme="4" tint="0.4"/>
      </right>
      <top style="thin">
        <color theme="4" tint="0.4"/>
      </top>
      <bottom style="medium">
        <color theme="4" tint="-0.5"/>
      </bottom>
      <diagonal/>
    </border>
    <border>
      <left style="thin">
        <color theme="4" tint="0.4"/>
      </left>
      <right/>
      <top/>
      <bottom style="medium">
        <color theme="4" tint="-0.5"/>
      </bottom>
      <diagonal/>
    </border>
    <border>
      <left style="medium">
        <color theme="4" tint="-0.5"/>
      </left>
      <right style="thin">
        <color theme="4" tint="0.4"/>
      </right>
      <top/>
      <bottom style="medium">
        <color theme="4" tint="-0.5"/>
      </bottom>
      <diagonal/>
    </border>
    <border>
      <left style="thin">
        <color theme="4" tint="0.4"/>
      </left>
      <right style="thin">
        <color theme="4" tint="0.4"/>
      </right>
      <top/>
      <bottom style="medium">
        <color theme="4" tint="-0.5"/>
      </bottom>
      <diagonal/>
    </border>
    <border>
      <left style="thin">
        <color theme="4" tint="0.4"/>
      </left>
      <right style="medium">
        <color theme="4" tint="-0.5"/>
      </right>
      <top/>
      <bottom style="medium">
        <color theme="4" tint="-0.5"/>
      </bottom>
      <diagonal/>
    </border>
    <border>
      <left/>
      <right/>
      <top/>
      <bottom style="medium">
        <color theme="4" tint="-0.5"/>
      </bottom>
      <diagonal/>
    </border>
    <border>
      <left/>
      <right style="medium">
        <color theme="4" tint="-0.5"/>
      </right>
      <top/>
      <bottom style="medium">
        <color theme="4" tint="-0.5"/>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3" tint="0.8"/>
      </left>
      <right/>
      <top style="thin">
        <color theme="3" tint="0.8"/>
      </top>
      <bottom/>
      <diagonal/>
    </border>
    <border>
      <left style="thin">
        <color theme="3"/>
      </left>
      <right style="thin">
        <color auto="1"/>
      </right>
      <top style="thin">
        <color auto="1"/>
      </top>
      <bottom style="thin">
        <color auto="1"/>
      </bottom>
      <diagonal/>
    </border>
    <border>
      <left style="thin">
        <color auto="1"/>
      </left>
      <right style="thin">
        <color auto="1"/>
      </right>
      <top style="thin">
        <color theme="4"/>
      </top>
      <bottom/>
      <diagonal/>
    </border>
    <border>
      <left/>
      <right style="thin">
        <color theme="4" tint="0.399945066682943"/>
      </right>
      <top/>
      <bottom/>
      <diagonal/>
    </border>
    <border>
      <left style="thin">
        <color auto="1"/>
      </left>
      <right style="thin">
        <color auto="1"/>
      </right>
      <top/>
      <bottom style="thin">
        <color auto="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3" tint="0.8"/>
      </left>
      <right style="thin">
        <color theme="3" tint="0.8"/>
      </right>
      <top style="thin">
        <color theme="3" tint="0.8"/>
      </top>
      <bottom/>
      <diagonal/>
    </border>
    <border>
      <left style="thin">
        <color theme="4" tint="0.4"/>
      </left>
      <right/>
      <top style="thin">
        <color theme="4" tint="0.4"/>
      </top>
      <bottom/>
      <diagonal/>
    </border>
    <border>
      <left style="thin">
        <color auto="1"/>
      </left>
      <right style="thin">
        <color theme="0"/>
      </right>
      <top style="thin">
        <color theme="0"/>
      </top>
      <bottom style="thin">
        <color theme="0"/>
      </bottom>
      <diagonal/>
    </border>
    <border>
      <left style="thin">
        <color auto="1"/>
      </left>
      <right/>
      <top style="thin">
        <color auto="1"/>
      </top>
      <bottom style="thin">
        <color auto="1"/>
      </bottom>
      <diagonal/>
    </border>
    <border>
      <left style="thin">
        <color auto="1"/>
      </left>
      <right style="thin">
        <color theme="4"/>
      </right>
      <top/>
      <bottom style="thin">
        <color auto="1"/>
      </bottom>
      <diagonal/>
    </border>
    <border>
      <left style="thin">
        <color theme="4"/>
      </left>
      <right style="thin">
        <color auto="1"/>
      </right>
      <top/>
      <bottom style="thin">
        <color auto="1"/>
      </bottom>
      <diagonal/>
    </border>
    <border>
      <left style="thin">
        <color auto="1"/>
      </left>
      <right style="thin">
        <color theme="4"/>
      </right>
      <top style="thin">
        <color auto="1"/>
      </top>
      <bottom style="thin">
        <color auto="1"/>
      </bottom>
      <diagonal/>
    </border>
    <border>
      <left style="thin">
        <color theme="4"/>
      </left>
      <right style="thin">
        <color auto="1"/>
      </right>
      <top style="thin">
        <color auto="1"/>
      </top>
      <bottom style="thin">
        <color auto="1"/>
      </bottom>
      <diagonal/>
    </border>
    <border>
      <left style="thin">
        <color auto="1"/>
      </left>
      <right style="thin">
        <color theme="4"/>
      </right>
      <top style="thin">
        <color auto="1"/>
      </top>
      <bottom/>
      <diagonal/>
    </border>
    <border>
      <left style="thin">
        <color theme="4"/>
      </left>
      <right style="thin">
        <color auto="1"/>
      </right>
      <top style="thin">
        <color auto="1"/>
      </top>
      <bottom/>
      <diagonal/>
    </border>
    <border>
      <left style="thin">
        <color auto="1"/>
      </left>
      <right style="thin">
        <color theme="4" tint="0.8"/>
      </right>
      <top style="thin">
        <color auto="1"/>
      </top>
      <bottom style="thin">
        <color theme="4" tint="0.8"/>
      </bottom>
      <diagonal/>
    </border>
    <border>
      <left style="thin">
        <color theme="4" tint="0.8"/>
      </left>
      <right style="thin">
        <color theme="4" tint="0.8"/>
      </right>
      <top style="thin">
        <color auto="1"/>
      </top>
      <bottom style="thin">
        <color theme="4" tint="0.8"/>
      </bottom>
      <diagonal/>
    </border>
    <border>
      <left style="thin">
        <color theme="4" tint="0.8"/>
      </left>
      <right style="thin">
        <color auto="1"/>
      </right>
      <top style="thin">
        <color auto="1"/>
      </top>
      <bottom style="thin">
        <color theme="4" tint="0.8"/>
      </bottom>
      <diagonal/>
    </border>
    <border>
      <left style="thin">
        <color auto="1"/>
      </left>
      <right style="thin">
        <color theme="4" tint="0.8"/>
      </right>
      <top style="thin">
        <color theme="4" tint="0.8"/>
      </top>
      <bottom style="thin">
        <color theme="4" tint="0.8"/>
      </bottom>
      <diagonal/>
    </border>
    <border>
      <left style="thin">
        <color theme="4" tint="0.8"/>
      </left>
      <right style="thin">
        <color theme="4" tint="0.8"/>
      </right>
      <top style="thin">
        <color theme="4" tint="0.8"/>
      </top>
      <bottom style="thin">
        <color theme="4" tint="0.8"/>
      </bottom>
      <diagonal/>
    </border>
    <border>
      <left style="thin">
        <color theme="4" tint="0.8"/>
      </left>
      <right style="thin">
        <color auto="1"/>
      </right>
      <top style="thin">
        <color theme="4" tint="0.8"/>
      </top>
      <bottom style="thin">
        <color theme="4" tint="0.8"/>
      </bottom>
      <diagonal/>
    </border>
    <border>
      <left style="thin">
        <color theme="4" tint="0.8"/>
      </left>
      <right style="thin">
        <color theme="4" tint="0.8"/>
      </right>
      <top style="thin">
        <color theme="4" tint="0.8"/>
      </top>
      <bottom/>
      <diagonal/>
    </border>
    <border>
      <left style="thin">
        <color theme="4" tint="0.8"/>
      </left>
      <right style="thin">
        <color auto="1"/>
      </right>
      <top style="thin">
        <color theme="4" tint="0.8"/>
      </top>
      <bottom/>
      <diagonal/>
    </border>
    <border>
      <left style="thin">
        <color auto="1"/>
      </left>
      <right/>
      <top style="thin">
        <color theme="4" tint="0.8"/>
      </top>
      <bottom style="thin">
        <color theme="4" tint="0.8"/>
      </bottom>
      <diagonal/>
    </border>
    <border>
      <left style="thin">
        <color auto="1"/>
      </left>
      <right/>
      <top style="thin">
        <color theme="4" tint="0.8"/>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theme="3" tint="0.8"/>
      </top>
      <bottom/>
      <diagonal/>
    </border>
    <border>
      <left/>
      <right/>
      <top style="thin">
        <color theme="3" tint="0.8"/>
      </top>
      <bottom/>
      <diagonal/>
    </border>
    <border>
      <left/>
      <right style="thin">
        <color auto="1"/>
      </right>
      <top style="thin">
        <color theme="3" tint="0.8"/>
      </top>
      <bottom/>
      <diagonal/>
    </border>
    <border>
      <left style="thin">
        <color theme="0"/>
      </left>
      <right style="thin">
        <color auto="1"/>
      </right>
      <top style="thin">
        <color theme="0"/>
      </top>
      <bottom style="thin">
        <color theme="0"/>
      </bottom>
      <diagonal/>
    </border>
    <border>
      <left style="thin">
        <color theme="4" tint="0.6"/>
      </left>
      <right style="thin">
        <color auto="1"/>
      </right>
      <top/>
      <bottom style="thin">
        <color theme="4" tint="0.6"/>
      </bottom>
      <diagonal/>
    </border>
    <border>
      <left style="thin">
        <color theme="4" tint="0.6"/>
      </left>
      <right style="thin">
        <color auto="1"/>
      </right>
      <top style="thin">
        <color theme="4" tint="0.6"/>
      </top>
      <bottom style="thin">
        <color theme="4" tint="0.6"/>
      </bottom>
      <diagonal/>
    </border>
    <border>
      <left style="thin">
        <color theme="4" tint="0.6"/>
      </left>
      <right style="thin">
        <color auto="1"/>
      </right>
      <top style="thin">
        <color theme="4" tint="0.6"/>
      </top>
      <bottom style="thin">
        <color theme="3" tint="0.8"/>
      </bottom>
      <diagonal/>
    </border>
    <border>
      <left style="thin">
        <color theme="4" tint="0.6"/>
      </left>
      <right style="thin">
        <color theme="4" tint="0.6"/>
      </right>
      <top style="thin">
        <color theme="4" tint="0.6"/>
      </top>
      <bottom/>
      <diagonal/>
    </border>
    <border>
      <left style="thin">
        <color theme="4" tint="0.6"/>
      </left>
      <right style="thin">
        <color auto="1"/>
      </right>
      <top style="thin">
        <color theme="4" tint="0.6"/>
      </top>
      <bottom/>
      <diagonal/>
    </border>
    <border>
      <left/>
      <right style="thin">
        <color auto="1"/>
      </right>
      <top/>
      <bottom style="thin">
        <color auto="1"/>
      </bottom>
      <diagonal/>
    </border>
    <border>
      <left style="thin">
        <color theme="4" tint="0.6"/>
      </left>
      <right style="thin">
        <color theme="4" tint="0.6"/>
      </right>
      <top/>
      <bottom style="thin">
        <color auto="1"/>
      </bottom>
      <diagonal/>
    </border>
    <border>
      <left style="thin">
        <color theme="4" tint="0.6"/>
      </left>
      <right style="thin">
        <color auto="1"/>
      </right>
      <top/>
      <bottom style="thin">
        <color auto="1"/>
      </bottom>
      <diagonal/>
    </border>
    <border>
      <left style="thin">
        <color auto="1"/>
      </left>
      <right style="thin">
        <color theme="4"/>
      </right>
      <top/>
      <bottom style="thin">
        <color theme="4" tint="0.6"/>
      </bottom>
      <diagonal/>
    </border>
    <border>
      <left/>
      <right style="thin">
        <color theme="4" tint="0.6"/>
      </right>
      <top/>
      <bottom style="thin">
        <color theme="3" tint="0.8"/>
      </bottom>
      <diagonal/>
    </border>
    <border>
      <left style="thin">
        <color theme="4" tint="0.6"/>
      </left>
      <right style="thin">
        <color theme="4" tint="0.6"/>
      </right>
      <top/>
      <bottom style="thin">
        <color theme="3" tint="0.8"/>
      </bottom>
      <diagonal/>
    </border>
    <border>
      <left style="thin">
        <color theme="4" tint="0.6"/>
      </left>
      <right style="thin">
        <color auto="1"/>
      </right>
      <top/>
      <bottom style="thin">
        <color theme="3" tint="0.8"/>
      </bottom>
      <diagonal/>
    </border>
    <border>
      <left style="thin">
        <color auto="1"/>
      </left>
      <right style="thin">
        <color theme="4"/>
      </right>
      <top style="thin">
        <color theme="4" tint="0.6"/>
      </top>
      <bottom/>
      <diagonal/>
    </border>
    <border>
      <left/>
      <right style="thin">
        <color theme="4" tint="0.6"/>
      </right>
      <top/>
      <bottom/>
      <diagonal/>
    </border>
    <border>
      <left style="thin">
        <color theme="4" tint="0.6"/>
      </left>
      <right style="thin">
        <color theme="3" tint="0.8"/>
      </right>
      <top/>
      <bottom style="thin">
        <color theme="3" tint="0.8"/>
      </bottom>
      <diagonal/>
    </border>
    <border>
      <left/>
      <right style="thin">
        <color auto="1"/>
      </right>
      <top/>
      <bottom style="thin">
        <color theme="3" tint="0.8"/>
      </bottom>
      <diagonal/>
    </border>
    <border>
      <left style="thin">
        <color auto="1"/>
      </left>
      <right/>
      <top style="thin">
        <color theme="3" tint="0.8"/>
      </top>
      <bottom style="thin">
        <color theme="0"/>
      </bottom>
      <diagonal/>
    </border>
    <border>
      <left style="thin">
        <color auto="1"/>
      </left>
      <right/>
      <top style="thin">
        <color theme="0"/>
      </top>
      <bottom style="thin">
        <color auto="1"/>
      </bottom>
      <diagonal/>
    </border>
    <border>
      <left/>
      <right/>
      <top/>
      <bottom style="thin">
        <color auto="1"/>
      </bottom>
      <diagonal/>
    </border>
    <border>
      <left/>
      <right/>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medium">
        <color auto="1"/>
      </left>
      <right style="hair">
        <color auto="1"/>
      </right>
      <top style="hair">
        <color auto="1"/>
      </top>
      <bottom/>
      <diagonal/>
    </border>
    <border>
      <left style="hair">
        <color auto="1"/>
      </left>
      <right style="medium">
        <color auto="1"/>
      </right>
      <top style="hair">
        <color auto="1"/>
      </top>
      <bottom/>
      <diagonal/>
    </border>
    <border>
      <left style="medium">
        <color auto="1"/>
      </left>
      <right style="hair">
        <color auto="1"/>
      </right>
      <top style="hair">
        <color auto="1"/>
      </top>
      <bottom style="medium">
        <color auto="1"/>
      </bottom>
      <diagonal/>
    </border>
    <border>
      <left style="hair">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style="hair">
        <color auto="1"/>
      </right>
      <top/>
      <bottom style="hair">
        <color auto="1"/>
      </bottom>
      <diagonal/>
    </border>
    <border>
      <left style="hair">
        <color auto="1"/>
      </left>
      <right style="hair">
        <color auto="1"/>
      </right>
      <top/>
      <bottom style="hair">
        <color auto="1"/>
      </bottom>
      <diagonal/>
    </border>
    <border>
      <left style="hair">
        <color auto="1"/>
      </left>
      <right style="medium">
        <color auto="1"/>
      </right>
      <top/>
      <bottom style="hair">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diagonalDown="1">
      <left style="medium">
        <color auto="1"/>
      </left>
      <right style="hair">
        <color auto="1"/>
      </right>
      <top style="medium">
        <color auto="1"/>
      </top>
      <bottom style="hair">
        <color auto="1"/>
      </bottom>
      <diagonal style="thin">
        <color auto="1"/>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medium">
        <color auto="1"/>
      </right>
      <top style="medium">
        <color auto="1"/>
      </top>
      <bottom style="hair">
        <color auto="1"/>
      </bottom>
      <diagonal/>
    </border>
    <border diagonalDown="1">
      <left style="medium">
        <color auto="1"/>
      </left>
      <right style="hair">
        <color auto="1"/>
      </right>
      <top style="hair">
        <color auto="1"/>
      </top>
      <bottom style="hair">
        <color auto="1"/>
      </bottom>
      <diagonal style="thin">
        <color auto="1"/>
      </diagonal>
    </border>
    <border>
      <left style="hair">
        <color auto="1"/>
      </left>
      <right style="medium">
        <color auto="1"/>
      </right>
      <top/>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thin">
        <color auto="1"/>
      </left>
      <right/>
      <top/>
      <bottom style="thin">
        <color theme="3" tint="0.8"/>
      </bottom>
      <diagonal/>
    </border>
    <border>
      <left/>
      <right/>
      <top/>
      <bottom style="thin">
        <color theme="3" tint="0.8"/>
      </bottom>
      <diagonal/>
    </border>
    <border>
      <left style="thin">
        <color theme="3" tint="0.8"/>
      </left>
      <right style="thin">
        <color theme="3" tint="0.8"/>
      </right>
      <top style="thin">
        <color theme="3" tint="0.8"/>
      </top>
      <bottom style="thin">
        <color theme="3" tint="0.8"/>
      </bottom>
      <diagonal/>
    </border>
    <border>
      <left style="thin">
        <color auto="1"/>
      </left>
      <right/>
      <top/>
      <bottom style="thin">
        <color theme="0"/>
      </bottom>
      <diagonal/>
    </border>
    <border>
      <left style="thin">
        <color auto="1"/>
      </left>
      <right/>
      <top/>
      <bottom style="thin">
        <color auto="1"/>
      </bottom>
      <diagonal/>
    </border>
    <border>
      <left/>
      <right style="thin">
        <color theme="3" tint="0.8"/>
      </right>
      <top/>
      <bottom/>
      <diagonal/>
    </border>
    <border>
      <left style="thin">
        <color auto="1"/>
      </left>
      <right style="thin">
        <color rgb="FFFFFFFF"/>
      </right>
      <top style="thin">
        <color theme="3" tint="0.8"/>
      </top>
      <bottom style="thin">
        <color theme="3" tint="0.8"/>
      </bottom>
      <diagonal/>
    </border>
    <border>
      <left style="thin">
        <color rgb="FFFFFFFF"/>
      </left>
      <right style="thin">
        <color rgb="FFFFFFFF"/>
      </right>
      <top style="thin">
        <color theme="3" tint="0.8"/>
      </top>
      <bottom style="thin">
        <color theme="3" tint="0.8"/>
      </bottom>
      <diagonal/>
    </border>
    <border>
      <left style="thin">
        <color rgb="FFFFFFFF"/>
      </left>
      <right/>
      <top style="thin">
        <color theme="3" tint="0.8"/>
      </top>
      <bottom style="thin">
        <color theme="3" tint="0.8"/>
      </bottom>
      <diagonal/>
    </border>
    <border>
      <left style="thin">
        <color theme="3" tint="0.8"/>
      </left>
      <right/>
      <top style="thin">
        <color theme="3" tint="0.8"/>
      </top>
      <bottom style="thin">
        <color theme="3" tint="0.8"/>
      </bottom>
      <diagonal/>
    </border>
    <border>
      <left/>
      <right style="thin">
        <color rgb="FFFFFFFF"/>
      </right>
      <top style="thin">
        <color theme="3" tint="0.8"/>
      </top>
      <bottom style="thin">
        <color theme="3" tint="0.8"/>
      </bottom>
      <diagonal/>
    </border>
    <border>
      <left style="thin">
        <color rgb="FFFFFFFF"/>
      </left>
      <right style="thin">
        <color theme="3" tint="0.8"/>
      </right>
      <top style="thin">
        <color theme="3" tint="0.8"/>
      </top>
      <bottom style="thin">
        <color theme="3" tint="0.8"/>
      </bottom>
      <diagonal/>
    </border>
    <border>
      <left style="thin">
        <color theme="3" tint="0.8"/>
      </left>
      <right style="thin">
        <color rgb="FFFFFFFF"/>
      </right>
      <top style="thin">
        <color theme="3" tint="0.8"/>
      </top>
      <bottom style="thin">
        <color theme="3" tint="0.8"/>
      </bottom>
      <diagonal/>
    </border>
    <border>
      <left style="thin">
        <color rgb="FFFFFFFF"/>
      </left>
      <right style="thin">
        <color auto="1"/>
      </right>
      <top style="thin">
        <color theme="3" tint="0.8"/>
      </top>
      <bottom style="thin">
        <color theme="3" tint="0.8"/>
      </bottom>
      <diagonal/>
    </border>
    <border>
      <left style="thin">
        <color auto="1"/>
      </left>
      <right style="thin">
        <color theme="3" tint="0.8"/>
      </right>
      <top style="thin">
        <color theme="3" tint="0.8"/>
      </top>
      <bottom style="thin">
        <color theme="3" tint="0.8"/>
      </bottom>
      <diagonal/>
    </border>
    <border>
      <left style="thin">
        <color theme="3" tint="0.8"/>
      </left>
      <right style="thin">
        <color auto="1"/>
      </right>
      <top style="thin">
        <color theme="3" tint="0.8"/>
      </top>
      <bottom style="thin">
        <color theme="3" tint="0.8"/>
      </bottom>
      <diagonal/>
    </border>
    <border>
      <left style="thin">
        <color auto="1"/>
      </left>
      <right style="thin">
        <color theme="3" tint="0.8"/>
      </right>
      <top style="thin">
        <color theme="3" tint="0.8"/>
      </top>
      <bottom/>
      <diagonal/>
    </border>
    <border>
      <left style="thin">
        <color theme="3" tint="0.8"/>
      </left>
      <right style="thin">
        <color auto="1"/>
      </right>
      <top style="thin">
        <color theme="3" tint="0.8"/>
      </top>
      <bottom/>
      <diagonal/>
    </border>
    <border>
      <left style="thin">
        <color theme="3" tint="0.8"/>
      </left>
      <right style="thin">
        <color theme="3" tint="0.8"/>
      </right>
      <top/>
      <bottom style="thin">
        <color auto="1"/>
      </bottom>
      <diagonal/>
    </border>
    <border>
      <left style="thin">
        <color theme="3" tint="0.8"/>
      </left>
      <right style="thin">
        <color auto="1"/>
      </right>
      <top/>
      <bottom style="thin">
        <color auto="1"/>
      </bottom>
      <diagonal/>
    </border>
    <border>
      <left style="thin">
        <color auto="1"/>
      </left>
      <right style="thin">
        <color auto="1"/>
      </right>
      <top style="thin">
        <color auto="1"/>
      </top>
      <bottom style="thin">
        <color theme="3" tint="0.8"/>
      </bottom>
      <diagonal/>
    </border>
    <border>
      <left style="thin">
        <color auto="1"/>
      </left>
      <right style="thin">
        <color theme="3" tint="0.8"/>
      </right>
      <top style="thin">
        <color auto="1"/>
      </top>
      <bottom/>
      <diagonal/>
    </border>
    <border>
      <left style="thin">
        <color auto="1"/>
      </left>
      <right/>
      <top style="thin">
        <color auto="1"/>
      </top>
      <bottom style="thin">
        <color theme="3" tint="0.8"/>
      </bottom>
      <diagonal/>
    </border>
    <border>
      <left style="thin">
        <color theme="3" tint="0.8"/>
      </left>
      <right style="thin">
        <color auto="1"/>
      </right>
      <top style="thin">
        <color auto="1"/>
      </top>
      <bottom style="thin">
        <color theme="3" tint="0.8"/>
      </bottom>
      <diagonal/>
    </border>
    <border>
      <left style="thin">
        <color auto="1"/>
      </left>
      <right style="thin">
        <color auto="1"/>
      </right>
      <top style="thin">
        <color theme="3" tint="0.8"/>
      </top>
      <bottom/>
      <diagonal/>
    </border>
    <border>
      <left style="thin">
        <color theme="3" tint="0.8"/>
      </left>
      <right/>
      <top/>
      <bottom/>
      <diagonal/>
    </border>
    <border>
      <left/>
      <right style="thin">
        <color theme="0"/>
      </right>
      <top style="thin">
        <color theme="0"/>
      </top>
      <bottom style="thin">
        <color theme="0"/>
      </bottom>
      <diagonal/>
    </border>
    <border>
      <left style="thin">
        <color auto="1"/>
      </left>
      <right style="thin">
        <color theme="0"/>
      </right>
      <top style="thin">
        <color theme="0"/>
      </top>
      <bottom/>
      <diagonal/>
    </border>
    <border>
      <left style="thin">
        <color theme="0"/>
      </left>
      <right style="thin">
        <color auto="1"/>
      </right>
      <top style="thin">
        <color theme="0"/>
      </top>
      <bottom/>
      <diagonal/>
    </border>
    <border>
      <left style="thin">
        <color auto="1"/>
      </left>
      <right/>
      <top style="thin">
        <color theme="0"/>
      </top>
      <bottom/>
      <diagonal/>
    </border>
    <border>
      <left style="thin">
        <color theme="0"/>
      </left>
      <right/>
      <top/>
      <bottom style="thin">
        <color auto="1"/>
      </bottom>
      <diagonal/>
    </border>
    <border>
      <left/>
      <right/>
      <top style="thin">
        <color auto="1"/>
      </top>
      <bottom style="thin">
        <color auto="1"/>
      </bottom>
      <diagonal/>
    </border>
    <border>
      <left style="thin">
        <color theme="3" tint="0.8"/>
      </left>
      <right/>
      <top/>
      <bottom style="thin">
        <color theme="3" tint="0.8"/>
      </bottom>
      <diagonal/>
    </border>
    <border>
      <left style="thin">
        <color auto="1"/>
      </left>
      <right/>
      <top style="thin">
        <color auto="1"/>
      </top>
      <bottom style="thin">
        <color rgb="FFFFFFFF"/>
      </bottom>
      <diagonal/>
    </border>
    <border>
      <left style="thin">
        <color auto="1"/>
      </left>
      <right/>
      <top style="thin">
        <color rgb="FFFFFFFF"/>
      </top>
      <bottom style="thin">
        <color auto="1"/>
      </bottom>
      <diagonal/>
    </border>
    <border>
      <left/>
      <right style="thin">
        <color theme="1"/>
      </right>
      <top/>
      <bottom/>
      <diagonal/>
    </border>
    <border>
      <left style="thin">
        <color theme="1"/>
      </left>
      <right/>
      <top/>
      <bottom/>
      <diagonal/>
    </border>
    <border>
      <left/>
      <right style="thin">
        <color theme="1"/>
      </right>
      <top/>
      <bottom style="thin">
        <color theme="3" tint="0.8"/>
      </bottom>
      <diagonal/>
    </border>
    <border>
      <left style="thin">
        <color theme="3" tint="0.8"/>
      </left>
      <right style="thin">
        <color theme="3" tint="0.8"/>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auto="1"/>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thin">
        <color auto="1"/>
      </right>
      <top style="thin">
        <color rgb="FFFFFFFF"/>
      </top>
      <bottom/>
      <diagonal/>
    </border>
    <border>
      <left style="thin">
        <color auto="1"/>
      </left>
      <right/>
      <top/>
      <bottom style="thin">
        <color rgb="FFFFFFFF"/>
      </bottom>
      <diagonal/>
    </border>
    <border>
      <left style="thin">
        <color auto="1"/>
      </left>
      <right style="thin">
        <color theme="3" tint="0.8"/>
      </right>
      <top/>
      <bottom style="thin">
        <color theme="3" tint="0.8"/>
      </bottom>
      <diagonal/>
    </border>
    <border>
      <left style="thin">
        <color theme="3" tint="0.8"/>
      </left>
      <right style="thin">
        <color theme="3" tint="0.8"/>
      </right>
      <top/>
      <bottom style="thin">
        <color theme="3" tint="0.8"/>
      </bottom>
      <diagonal/>
    </border>
    <border>
      <left style="thin">
        <color theme="3" tint="0.8"/>
      </left>
      <right style="thin">
        <color auto="1"/>
      </right>
      <top/>
      <bottom style="thin">
        <color theme="3" tint="0.8"/>
      </bottom>
      <diagonal/>
    </border>
    <border>
      <left style="thin">
        <color auto="1"/>
      </left>
      <right/>
      <top style="thin">
        <color theme="3" tint="0.8"/>
      </top>
      <bottom style="thin">
        <color theme="3" tint="0.8"/>
      </bottom>
      <diagonal/>
    </border>
    <border>
      <left style="thin">
        <color auto="1"/>
      </left>
      <right style="thin">
        <color theme="3" tint="0.8"/>
      </right>
      <top style="thin">
        <color theme="3" tint="0.8"/>
      </top>
      <bottom style="thin">
        <color auto="1"/>
      </bottom>
      <diagonal/>
    </border>
    <border>
      <left style="thin">
        <color theme="3" tint="0.8"/>
      </left>
      <right style="thin">
        <color theme="3" tint="0.8"/>
      </right>
      <top style="thin">
        <color theme="3" tint="0.8"/>
      </top>
      <bottom style="thin">
        <color auto="1"/>
      </bottom>
      <diagonal/>
    </border>
    <border>
      <left style="thin">
        <color theme="3" tint="0.8"/>
      </left>
      <right style="thin">
        <color auto="1"/>
      </right>
      <top style="thin">
        <color theme="3" tint="0.8"/>
      </top>
      <bottom style="thin">
        <color auto="1"/>
      </bottom>
      <diagonal/>
    </border>
    <border>
      <left style="thin">
        <color theme="3" tint="0.8"/>
      </left>
      <right style="thin">
        <color theme="8" tint="0.6"/>
      </right>
      <top style="thin">
        <color theme="3" tint="0.8"/>
      </top>
      <bottom/>
      <diagonal/>
    </border>
    <border>
      <left style="thin">
        <color theme="8" tint="0.6"/>
      </left>
      <right style="thin">
        <color theme="8" tint="0.6"/>
      </right>
      <top style="thin">
        <color theme="3" tint="0.8"/>
      </top>
      <bottom/>
      <diagonal/>
    </border>
    <border>
      <left style="thin">
        <color theme="8" tint="0.6"/>
      </left>
      <right style="thin">
        <color auto="1"/>
      </right>
      <top style="thin">
        <color theme="3" tint="0.8"/>
      </top>
      <bottom/>
      <diagonal/>
    </border>
    <border>
      <left style="thin">
        <color auto="1"/>
      </left>
      <right style="thin">
        <color theme="8" tint="0.6"/>
      </right>
      <top/>
      <bottom/>
      <diagonal/>
    </border>
    <border>
      <left style="thin">
        <color theme="8" tint="0.6"/>
      </left>
      <right style="thin">
        <color theme="8" tint="0.6"/>
      </right>
      <top/>
      <bottom/>
      <diagonal/>
    </border>
    <border>
      <left style="thin">
        <color theme="3" tint="0.8"/>
      </left>
      <right style="thin">
        <color theme="8" tint="0.6"/>
      </right>
      <top/>
      <bottom/>
      <diagonal/>
    </border>
    <border>
      <left style="thin">
        <color theme="8" tint="0.6"/>
      </left>
      <right style="thin">
        <color auto="1"/>
      </right>
      <top/>
      <bottom/>
      <diagonal/>
    </border>
    <border>
      <left/>
      <right style="thin">
        <color rgb="FFFFFFFF"/>
      </right>
      <top/>
      <bottom/>
      <diagonal/>
    </border>
    <border>
      <left style="thin">
        <color auto="1"/>
      </left>
      <right style="thin">
        <color theme="4" tint="0.6"/>
      </right>
      <top/>
      <bottom style="thin">
        <color theme="4"/>
      </bottom>
      <diagonal/>
    </border>
    <border>
      <left style="thin">
        <color theme="4" tint="0.6"/>
      </left>
      <right style="thin">
        <color theme="4" tint="0.6"/>
      </right>
      <top/>
      <bottom/>
      <diagonal/>
    </border>
    <border>
      <left style="thin">
        <color theme="4" tint="0.6"/>
      </left>
      <right style="thin">
        <color theme="3" tint="0.8"/>
      </right>
      <top/>
      <bottom/>
      <diagonal/>
    </border>
    <border>
      <left style="thin">
        <color theme="4" tint="0.6"/>
      </left>
      <right style="thin">
        <color auto="1"/>
      </right>
      <top/>
      <bottom/>
      <diagonal/>
    </border>
    <border>
      <left style="thin">
        <color auto="1"/>
      </left>
      <right/>
      <top/>
      <bottom style="thin">
        <color theme="4" tint="0.6"/>
      </bottom>
      <diagonal/>
    </border>
    <border>
      <left style="thin">
        <color theme="3" tint="0.8"/>
      </left>
      <right style="thin">
        <color theme="4" tint="0.6"/>
      </right>
      <top style="thin">
        <color theme="3" tint="0.8"/>
      </top>
      <bottom style="thin">
        <color theme="4" tint="0.6"/>
      </bottom>
      <diagonal/>
    </border>
    <border>
      <left style="thin">
        <color theme="4" tint="0.6"/>
      </left>
      <right style="thin">
        <color theme="4" tint="0.6"/>
      </right>
      <top style="thin">
        <color theme="3" tint="0.8"/>
      </top>
      <bottom style="thin">
        <color theme="4" tint="0.6"/>
      </bottom>
      <diagonal/>
    </border>
    <border>
      <left style="thin">
        <color theme="4" tint="0.6"/>
      </left>
      <right/>
      <top style="thin">
        <color theme="3" tint="0.8"/>
      </top>
      <bottom/>
      <diagonal/>
    </border>
    <border>
      <left style="thin">
        <color theme="4" tint="0.6"/>
      </left>
      <right style="thin">
        <color auto="1"/>
      </right>
      <top style="thin">
        <color theme="3" tint="0.8"/>
      </top>
      <bottom/>
      <diagonal/>
    </border>
    <border>
      <left style="thin">
        <color auto="1"/>
      </left>
      <right/>
      <top style="thin">
        <color theme="4" tint="0.6"/>
      </top>
      <bottom style="thin">
        <color theme="4" tint="0.6"/>
      </bottom>
      <diagonal/>
    </border>
    <border>
      <left style="thin">
        <color theme="4" tint="0.6"/>
      </left>
      <right/>
      <top style="thin">
        <color theme="4" tint="0.6"/>
      </top>
      <bottom/>
      <diagonal/>
    </border>
    <border>
      <left style="thin">
        <color theme="3" tint="0.6"/>
      </left>
      <right/>
      <top style="thin">
        <color theme="3" tint="0.6"/>
      </top>
      <bottom style="thin">
        <color theme="3" tint="0.6"/>
      </bottom>
      <diagonal/>
    </border>
    <border>
      <left style="thin">
        <color theme="3" tint="0.6"/>
      </left>
      <right style="thin">
        <color auto="1"/>
      </right>
      <top style="thin">
        <color theme="3" tint="0.6"/>
      </top>
      <bottom style="thin">
        <color theme="3" tint="0.6"/>
      </bottom>
      <diagonal/>
    </border>
    <border>
      <left style="thin">
        <color auto="1"/>
      </left>
      <right style="thin">
        <color theme="4"/>
      </right>
      <top style="thin">
        <color theme="4" tint="0.6"/>
      </top>
      <bottom style="thin">
        <color theme="4" tint="0.6"/>
      </bottom>
      <diagonal/>
    </border>
    <border>
      <left style="thin">
        <color theme="4" tint="0.6"/>
      </left>
      <right/>
      <top/>
      <bottom/>
      <diagonal/>
    </border>
    <border>
      <left style="thin">
        <color theme="3" tint="0.8"/>
      </left>
      <right style="thin">
        <color theme="4" tint="0.6"/>
      </right>
      <top/>
      <bottom/>
      <diagonal/>
    </border>
    <border>
      <left style="thin">
        <color auto="1"/>
      </left>
      <right style="thin">
        <color theme="4"/>
      </right>
      <top style="thin">
        <color theme="4" tint="0.6"/>
      </top>
      <bottom style="thin">
        <color auto="1"/>
      </bottom>
      <diagonal/>
    </border>
    <border>
      <left/>
      <right style="thin">
        <color theme="4" tint="0.6"/>
      </right>
      <top/>
      <bottom style="thin">
        <color auto="1"/>
      </bottom>
      <diagonal/>
    </border>
    <border>
      <left style="thin">
        <color theme="1"/>
      </left>
      <right/>
      <top style="thin">
        <color theme="1"/>
      </top>
      <bottom/>
      <diagonal/>
    </border>
    <border>
      <left/>
      <right/>
      <top style="thin">
        <color theme="1"/>
      </top>
      <bottom/>
      <diagonal/>
    </border>
    <border>
      <left style="thin">
        <color theme="1"/>
      </left>
      <right/>
      <top/>
      <bottom style="medium">
        <color auto="1"/>
      </bottom>
      <diagonal/>
    </border>
    <border>
      <left style="thin">
        <color theme="1"/>
      </left>
      <right/>
      <top/>
      <bottom style="thin">
        <color theme="4"/>
      </bottom>
      <diagonal/>
    </border>
    <border>
      <left/>
      <right/>
      <top/>
      <bottom style="thin">
        <color theme="4"/>
      </bottom>
      <diagonal/>
    </border>
    <border>
      <left style="thin">
        <color auto="1"/>
      </left>
      <right style="thin">
        <color auto="1"/>
      </right>
      <top style="thin">
        <color auto="1"/>
      </top>
      <bottom style="thin">
        <color theme="4"/>
      </bottom>
      <diagonal/>
    </border>
    <border>
      <left style="thin">
        <color theme="1"/>
      </left>
      <right style="thin">
        <color theme="4" tint="0.6"/>
      </right>
      <top style="thin">
        <color theme="4"/>
      </top>
      <bottom style="thin">
        <color theme="4"/>
      </bottom>
      <diagonal/>
    </border>
    <border>
      <left style="thin">
        <color theme="4" tint="0.6"/>
      </left>
      <right/>
      <top style="thin">
        <color theme="4"/>
      </top>
      <bottom style="thin">
        <color theme="4"/>
      </bottom>
      <diagonal/>
    </border>
    <border>
      <left style="thin">
        <color theme="1"/>
      </left>
      <right style="thin">
        <color theme="4"/>
      </right>
      <top style="thin">
        <color theme="4" tint="0.6"/>
      </top>
      <bottom style="thin">
        <color theme="4" tint="0.6"/>
      </bottom>
      <diagonal/>
    </border>
    <border>
      <left style="dotted">
        <color theme="4" tint="0.599993896298105"/>
      </left>
      <right style="dotted">
        <color theme="4" tint="0.599993896298105"/>
      </right>
      <top/>
      <bottom/>
      <diagonal/>
    </border>
    <border>
      <left style="dotted">
        <color theme="4" tint="0.599993896298105"/>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rgb="FF000000"/>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rgb="FF000000"/>
      </top>
      <bottom style="thin">
        <color auto="1"/>
      </bottom>
      <diagonal/>
    </border>
    <border>
      <left style="thin">
        <color theme="1"/>
      </left>
      <right style="thin">
        <color rgb="FF35ACC7"/>
      </right>
      <top style="thin">
        <color theme="1"/>
      </top>
      <bottom/>
      <diagonal/>
    </border>
    <border>
      <left style="thin">
        <color rgb="FF35ACC7"/>
      </left>
      <right style="thin">
        <color rgb="FF35ACC7"/>
      </right>
      <top style="thin">
        <color theme="1"/>
      </top>
      <bottom/>
      <diagonal/>
    </border>
    <border>
      <left style="thin">
        <color rgb="FF35ACC7"/>
      </left>
      <right style="thin">
        <color theme="1"/>
      </right>
      <top style="thin">
        <color theme="1"/>
      </top>
      <bottom/>
      <diagonal/>
    </border>
    <border>
      <left style="thin">
        <color theme="1"/>
      </left>
      <right style="thin">
        <color theme="3" tint="0.8"/>
      </right>
      <top style="thin">
        <color theme="3" tint="0.8"/>
      </top>
      <bottom style="thin">
        <color theme="3" tint="0.8"/>
      </bottom>
      <diagonal/>
    </border>
    <border>
      <left style="thin">
        <color theme="3" tint="0.8"/>
      </left>
      <right style="thin">
        <color theme="1"/>
      </right>
      <top style="thin">
        <color theme="3" tint="0.8"/>
      </top>
      <bottom style="thin">
        <color theme="3" tint="0.8"/>
      </bottom>
      <diagonal/>
    </border>
    <border>
      <left/>
      <right/>
      <top style="thin">
        <color theme="0"/>
      </top>
      <bottom/>
      <diagonal/>
    </border>
    <border>
      <left style="thin">
        <color theme="1"/>
      </left>
      <right style="thin">
        <color theme="0"/>
      </right>
      <top style="thin">
        <color theme="1"/>
      </top>
      <bottom style="thin">
        <color theme="1"/>
      </bottom>
      <diagonal/>
    </border>
    <border>
      <left/>
      <right style="thin">
        <color theme="0"/>
      </right>
      <top style="thin">
        <color theme="1"/>
      </top>
      <bottom style="thin">
        <color theme="1"/>
      </bottom>
      <diagonal/>
    </border>
    <border>
      <left/>
      <right style="thin">
        <color theme="1"/>
      </right>
      <top style="thin">
        <color theme="1"/>
      </top>
      <bottom style="thin">
        <color theme="1"/>
      </bottom>
      <diagonal/>
    </border>
    <border>
      <left/>
      <right/>
      <top/>
      <bottom style="thin">
        <color theme="0"/>
      </bottom>
      <diagonal/>
    </border>
    <border>
      <left style="thin">
        <color theme="1"/>
      </left>
      <right style="thin">
        <color theme="4" tint="0.6"/>
      </right>
      <top style="thin">
        <color theme="1"/>
      </top>
      <bottom style="thin">
        <color theme="4"/>
      </bottom>
      <diagonal/>
    </border>
    <border>
      <left style="thin">
        <color theme="4" tint="0.6"/>
      </left>
      <right style="thin">
        <color theme="4" tint="0.6"/>
      </right>
      <top style="thin">
        <color theme="1"/>
      </top>
      <bottom style="thin">
        <color theme="4"/>
      </bottom>
      <diagonal/>
    </border>
    <border>
      <left style="thin">
        <color theme="4" tint="0.6"/>
      </left>
      <right style="thin">
        <color theme="1"/>
      </right>
      <top style="thin">
        <color theme="1"/>
      </top>
      <bottom style="thin">
        <color theme="4"/>
      </bottom>
      <diagonal/>
    </border>
    <border>
      <left style="thin">
        <color theme="1"/>
      </left>
      <right style="thin">
        <color theme="4"/>
      </right>
      <top/>
      <bottom style="thin">
        <color theme="4" tint="0.6"/>
      </bottom>
      <diagonal/>
    </border>
    <border>
      <left style="thin">
        <color theme="4" tint="0.6"/>
      </left>
      <right style="thin">
        <color theme="1"/>
      </right>
      <top/>
      <bottom style="thin">
        <color theme="4" tint="0.6"/>
      </bottom>
      <diagonal/>
    </border>
    <border>
      <left style="thin">
        <color theme="4" tint="0.6"/>
      </left>
      <right style="thin">
        <color theme="1"/>
      </right>
      <top style="thin">
        <color theme="4" tint="0.6"/>
      </top>
      <bottom style="thin">
        <color theme="4" tint="0.6"/>
      </bottom>
      <diagonal/>
    </border>
    <border>
      <left style="thin">
        <color theme="1"/>
      </left>
      <right style="thin">
        <color theme="4"/>
      </right>
      <top style="thin">
        <color theme="4" tint="0.6"/>
      </top>
      <bottom style="thin">
        <color theme="1"/>
      </bottom>
      <diagonal/>
    </border>
    <border>
      <left/>
      <right style="thin">
        <color theme="4" tint="0.6"/>
      </right>
      <top style="thin">
        <color theme="4" tint="0.6"/>
      </top>
      <bottom style="thin">
        <color theme="1"/>
      </bottom>
      <diagonal/>
    </border>
    <border>
      <left style="thin">
        <color theme="4" tint="0.6"/>
      </left>
      <right style="thin">
        <color theme="4" tint="0.6"/>
      </right>
      <top style="thin">
        <color theme="4" tint="0.6"/>
      </top>
      <bottom style="thin">
        <color theme="1"/>
      </bottom>
      <diagonal/>
    </border>
    <border>
      <left style="thin">
        <color theme="4" tint="0.6"/>
      </left>
      <right style="thin">
        <color theme="1"/>
      </right>
      <top style="thin">
        <color theme="4" tint="0.6"/>
      </top>
      <bottom style="thin">
        <color theme="1"/>
      </bottom>
      <diagonal/>
    </border>
    <border>
      <left style="thin">
        <color theme="1"/>
      </left>
      <right style="thin">
        <color theme="3" tint="0.8"/>
      </right>
      <top style="thin">
        <color theme="3" tint="0.8"/>
      </top>
      <bottom style="thin">
        <color theme="1"/>
      </bottom>
      <diagonal/>
    </border>
    <border>
      <left style="thin">
        <color theme="3" tint="0.8"/>
      </left>
      <right style="thin">
        <color theme="3" tint="0.8"/>
      </right>
      <top style="thin">
        <color theme="3" tint="0.8"/>
      </top>
      <bottom style="thin">
        <color theme="1"/>
      </bottom>
      <diagonal/>
    </border>
    <border>
      <left style="thin">
        <color theme="3" tint="0.8"/>
      </left>
      <right style="thin">
        <color theme="1"/>
      </right>
      <top style="thin">
        <color theme="3" tint="0.8"/>
      </top>
      <bottom style="thin">
        <color theme="1"/>
      </bottom>
      <diagonal/>
    </border>
    <border>
      <left/>
      <right style="thin">
        <color theme="1"/>
      </right>
      <top style="thin">
        <color theme="1"/>
      </top>
      <bottom/>
      <diagonal/>
    </border>
    <border>
      <left/>
      <right style="thin">
        <color theme="1"/>
      </right>
      <top/>
      <bottom style="thin">
        <color theme="4"/>
      </bottom>
      <diagonal/>
    </border>
    <border>
      <left style="thin">
        <color theme="4" tint="0.6"/>
      </left>
      <right style="thin">
        <color theme="1"/>
      </right>
      <top style="thin">
        <color theme="4"/>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7">
    <xf numFmtId="0" fontId="0" fillId="0" borderId="0" applyBorder="0">
      <alignment vertical="center"/>
    </xf>
    <xf numFmtId="43" fontId="78" fillId="0" borderId="0" applyFont="0" applyFill="0" applyBorder="0" applyAlignment="0" applyProtection="0">
      <alignment vertical="center"/>
    </xf>
    <xf numFmtId="44" fontId="78" fillId="0" borderId="0" applyFont="0" applyFill="0" applyBorder="0" applyAlignment="0" applyProtection="0">
      <alignment vertical="center"/>
    </xf>
    <xf numFmtId="9" fontId="78" fillId="0" borderId="0" applyFont="0" applyFill="0" applyBorder="0" applyAlignment="0" applyProtection="0">
      <alignment vertical="center"/>
    </xf>
    <xf numFmtId="41" fontId="78" fillId="0" borderId="0" applyFont="0" applyFill="0" applyBorder="0" applyAlignment="0" applyProtection="0">
      <alignment vertical="center"/>
    </xf>
    <xf numFmtId="42" fontId="78" fillId="0" borderId="0" applyFont="0" applyFill="0" applyBorder="0" applyAlignment="0" applyProtection="0">
      <alignment vertical="center"/>
    </xf>
    <xf numFmtId="0" fontId="83" fillId="0" borderId="0" applyNumberFormat="0" applyFill="0" applyBorder="0" applyAlignment="0" applyProtection="0">
      <alignment vertical="center"/>
    </xf>
    <xf numFmtId="0" fontId="84" fillId="0" borderId="0" applyNumberFormat="0" applyFill="0" applyBorder="0" applyAlignment="0" applyProtection="0">
      <alignment vertical="center"/>
    </xf>
    <xf numFmtId="0" fontId="78" fillId="25" borderId="254" applyNumberFormat="0" applyFont="0" applyAlignment="0" applyProtection="0">
      <alignment vertical="center"/>
    </xf>
    <xf numFmtId="0" fontId="85"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0" borderId="0" applyNumberFormat="0" applyFill="0" applyBorder="0" applyAlignment="0" applyProtection="0">
      <alignment vertical="center"/>
    </xf>
    <xf numFmtId="0" fontId="88" fillId="0" borderId="255" applyNumberFormat="0" applyFill="0" applyAlignment="0" applyProtection="0">
      <alignment vertical="center"/>
    </xf>
    <xf numFmtId="0" fontId="89" fillId="0" borderId="255" applyNumberFormat="0" applyFill="0" applyAlignment="0" applyProtection="0">
      <alignment vertical="center"/>
    </xf>
    <xf numFmtId="0" fontId="90" fillId="0" borderId="256" applyNumberFormat="0" applyFill="0" applyAlignment="0" applyProtection="0">
      <alignment vertical="center"/>
    </xf>
    <xf numFmtId="0" fontId="90" fillId="0" borderId="0" applyNumberFormat="0" applyFill="0" applyBorder="0" applyAlignment="0" applyProtection="0">
      <alignment vertical="center"/>
    </xf>
    <xf numFmtId="0" fontId="91" fillId="26" borderId="257" applyNumberFormat="0" applyAlignment="0" applyProtection="0">
      <alignment vertical="center"/>
    </xf>
    <xf numFmtId="0" fontId="92" fillId="27" borderId="258" applyNumberFormat="0" applyAlignment="0" applyProtection="0">
      <alignment vertical="center"/>
    </xf>
    <xf numFmtId="0" fontId="93" fillId="27" borderId="257" applyNumberFormat="0" applyAlignment="0" applyProtection="0">
      <alignment vertical="center"/>
    </xf>
    <xf numFmtId="0" fontId="94" fillId="28" borderId="259" applyNumberFormat="0" applyAlignment="0" applyProtection="0">
      <alignment vertical="center"/>
    </xf>
    <xf numFmtId="0" fontId="95" fillId="0" borderId="260" applyNumberFormat="0" applyFill="0" applyAlignment="0" applyProtection="0">
      <alignment vertical="center"/>
    </xf>
    <xf numFmtId="0" fontId="96" fillId="0" borderId="261" applyNumberFormat="0" applyFill="0" applyAlignment="0" applyProtection="0">
      <alignment vertical="center"/>
    </xf>
    <xf numFmtId="0" fontId="97" fillId="29" borderId="0" applyNumberFormat="0" applyBorder="0" applyAlignment="0" applyProtection="0">
      <alignment vertical="center"/>
    </xf>
    <xf numFmtId="0" fontId="98" fillId="30" borderId="0" applyNumberFormat="0" applyBorder="0" applyAlignment="0" applyProtection="0">
      <alignment vertical="center"/>
    </xf>
    <xf numFmtId="0" fontId="99" fillId="31" borderId="0" applyNumberFormat="0" applyBorder="0" applyAlignment="0" applyProtection="0">
      <alignment vertical="center"/>
    </xf>
    <xf numFmtId="0" fontId="100" fillId="2" borderId="0" applyNumberFormat="0" applyBorder="0" applyAlignment="0" applyProtection="0">
      <alignment vertical="center"/>
    </xf>
    <xf numFmtId="0" fontId="101" fillId="32" borderId="0" applyNumberFormat="0" applyBorder="0" applyAlignment="0" applyProtection="0">
      <alignment vertical="center"/>
    </xf>
    <xf numFmtId="0" fontId="101" fillId="33" borderId="0" applyNumberFormat="0" applyBorder="0" applyAlignment="0" applyProtection="0">
      <alignment vertical="center"/>
    </xf>
    <xf numFmtId="0" fontId="100" fillId="34" borderId="0" applyNumberFormat="0" applyBorder="0" applyAlignment="0" applyProtection="0">
      <alignment vertical="center"/>
    </xf>
    <xf numFmtId="0" fontId="100" fillId="35" borderId="0" applyNumberFormat="0" applyBorder="0" applyAlignment="0" applyProtection="0">
      <alignment vertical="center"/>
    </xf>
    <xf numFmtId="0" fontId="101" fillId="36" borderId="0" applyNumberFormat="0" applyBorder="0" applyAlignment="0" applyProtection="0">
      <alignment vertical="center"/>
    </xf>
    <xf numFmtId="0" fontId="101" fillId="37" borderId="0" applyNumberFormat="0" applyBorder="0" applyAlignment="0" applyProtection="0">
      <alignment vertical="center"/>
    </xf>
    <xf numFmtId="0" fontId="100" fillId="38" borderId="0" applyNumberFormat="0" applyBorder="0" applyAlignment="0" applyProtection="0">
      <alignment vertical="center"/>
    </xf>
    <xf numFmtId="0" fontId="100" fillId="39" borderId="0" applyNumberFormat="0" applyBorder="0" applyAlignment="0" applyProtection="0">
      <alignment vertical="center"/>
    </xf>
    <xf numFmtId="0" fontId="101" fillId="40" borderId="0" applyNumberFormat="0" applyBorder="0" applyAlignment="0" applyProtection="0">
      <alignment vertical="center"/>
    </xf>
    <xf numFmtId="0" fontId="101" fillId="41" borderId="0" applyNumberFormat="0" applyBorder="0" applyAlignment="0" applyProtection="0">
      <alignment vertical="center"/>
    </xf>
    <xf numFmtId="0" fontId="100" fillId="42" borderId="0" applyNumberFormat="0" applyBorder="0" applyAlignment="0" applyProtection="0">
      <alignment vertical="center"/>
    </xf>
    <xf numFmtId="0" fontId="100" fillId="43" borderId="0" applyNumberFormat="0" applyBorder="0" applyAlignment="0" applyProtection="0">
      <alignment vertical="center"/>
    </xf>
    <xf numFmtId="0" fontId="101" fillId="44" borderId="0" applyNumberFormat="0" applyBorder="0" applyAlignment="0" applyProtection="0">
      <alignment vertical="center"/>
    </xf>
    <xf numFmtId="0" fontId="101" fillId="45" borderId="0" applyNumberFormat="0" applyBorder="0" applyAlignment="0" applyProtection="0">
      <alignment vertical="center"/>
    </xf>
    <xf numFmtId="0" fontId="100" fillId="46" borderId="0" applyNumberFormat="0" applyBorder="0" applyAlignment="0" applyProtection="0">
      <alignment vertical="center"/>
    </xf>
    <xf numFmtId="0" fontId="100" fillId="47" borderId="0" applyNumberFormat="0" applyBorder="0" applyAlignment="0" applyProtection="0">
      <alignment vertical="center"/>
    </xf>
    <xf numFmtId="0" fontId="101" fillId="48" borderId="0" applyNumberFormat="0" applyBorder="0" applyAlignment="0" applyProtection="0">
      <alignment vertical="center"/>
    </xf>
    <xf numFmtId="0" fontId="101" fillId="49" borderId="0" applyNumberFormat="0" applyBorder="0" applyAlignment="0" applyProtection="0">
      <alignment vertical="center"/>
    </xf>
    <xf numFmtId="0" fontId="100" fillId="50" borderId="0" applyNumberFormat="0" applyBorder="0" applyAlignment="0" applyProtection="0">
      <alignment vertical="center"/>
    </xf>
    <xf numFmtId="0" fontId="100" fillId="51" borderId="0" applyNumberFormat="0" applyBorder="0" applyAlignment="0" applyProtection="0">
      <alignment vertical="center"/>
    </xf>
    <xf numFmtId="0" fontId="101" fillId="52" borderId="0" applyNumberFormat="0" applyBorder="0" applyAlignment="0" applyProtection="0">
      <alignment vertical="center"/>
    </xf>
    <xf numFmtId="0" fontId="101" fillId="18" borderId="0" applyNumberFormat="0" applyBorder="0" applyAlignment="0" applyProtection="0">
      <alignment vertical="center"/>
    </xf>
    <xf numFmtId="0" fontId="100" fillId="53" borderId="0" applyNumberFormat="0" applyBorder="0" applyAlignment="0" applyProtection="0">
      <alignment vertical="center"/>
    </xf>
    <xf numFmtId="176" fontId="78" fillId="0" borderId="0" applyBorder="0">
      <alignment vertical="center"/>
    </xf>
    <xf numFmtId="177" fontId="102" fillId="0" borderId="0" applyFont="0" applyFill="0" applyBorder="0" applyAlignment="0" applyProtection="0"/>
    <xf numFmtId="0" fontId="103" fillId="0" borderId="0" applyBorder="0">
      <alignment vertical="center"/>
    </xf>
    <xf numFmtId="0" fontId="103" fillId="0" borderId="0" applyBorder="0"/>
    <xf numFmtId="9" fontId="104" fillId="0" borderId="0" applyFont="0" applyFill="0" applyBorder="0" applyAlignment="0" applyProtection="0">
      <alignment vertical="center"/>
    </xf>
    <xf numFmtId="178" fontId="0" fillId="0" borderId="0">
      <alignment vertical="center"/>
    </xf>
    <xf numFmtId="0" fontId="105" fillId="0" borderId="0" applyNumberFormat="0" applyFill="0" applyBorder="0" applyAlignment="0" applyProtection="0">
      <alignment vertical="top"/>
      <protection locked="0"/>
    </xf>
    <xf numFmtId="0" fontId="102" fillId="0" borderId="0" applyBorder="0"/>
    <xf numFmtId="0" fontId="103" fillId="0" borderId="0" applyBorder="0">
      <alignment vertical="center"/>
    </xf>
    <xf numFmtId="0" fontId="103" fillId="0" borderId="0" applyBorder="0" applyProtection="0">
      <alignment vertical="center"/>
    </xf>
    <xf numFmtId="0" fontId="106" fillId="0" borderId="0" applyBorder="0"/>
    <xf numFmtId="0" fontId="107" fillId="0" borderId="0" applyBorder="0"/>
    <xf numFmtId="0" fontId="78" fillId="0" borderId="0" applyBorder="0"/>
    <xf numFmtId="179" fontId="108" fillId="0" borderId="0" applyBorder="0">
      <alignment vertical="center"/>
    </xf>
    <xf numFmtId="0" fontId="109" fillId="0" borderId="0" applyBorder="0">
      <alignment vertical="top"/>
    </xf>
    <xf numFmtId="180" fontId="78" fillId="0" borderId="0" applyBorder="0">
      <alignment vertical="center"/>
    </xf>
    <xf numFmtId="0" fontId="78" fillId="0" borderId="0" applyBorder="0">
      <alignment vertical="center"/>
    </xf>
    <xf numFmtId="0" fontId="110" fillId="0" borderId="0" applyNumberFormat="0" applyFill="0" applyBorder="0" applyAlignment="0" applyProtection="0">
      <alignment vertical="top"/>
      <protection locked="0"/>
    </xf>
    <xf numFmtId="181" fontId="0" fillId="0" borderId="0" applyBorder="0">
      <alignment vertical="center"/>
    </xf>
    <xf numFmtId="0" fontId="111" fillId="54" borderId="0" applyBorder="0">
      <alignment vertical="center"/>
    </xf>
    <xf numFmtId="0" fontId="102" fillId="0" borderId="0" applyBorder="0">
      <alignment vertical="center"/>
    </xf>
    <xf numFmtId="0" fontId="83" fillId="0" borderId="0" applyNumberFormat="0" applyFill="0" applyBorder="0" applyAlignment="0" applyProtection="0">
      <alignment vertical="top"/>
      <protection locked="0"/>
    </xf>
    <xf numFmtId="43" fontId="104" fillId="0" borderId="0" applyFont="0" applyFill="0" applyBorder="0" applyAlignment="0" applyProtection="0">
      <alignment vertical="center"/>
    </xf>
    <xf numFmtId="0" fontId="112" fillId="0" borderId="0" applyBorder="0">
      <alignment vertical="center"/>
    </xf>
    <xf numFmtId="0" fontId="107" fillId="0" borderId="0" applyBorder="0" applyProtection="0">
      <alignment vertical="center"/>
    </xf>
    <xf numFmtId="0" fontId="0" fillId="0" borderId="0">
      <alignment vertical="center"/>
    </xf>
    <xf numFmtId="182" fontId="78" fillId="0" borderId="0">
      <alignment vertical="center"/>
    </xf>
    <xf numFmtId="0" fontId="0" fillId="0" borderId="0">
      <alignment vertical="center"/>
    </xf>
  </cellStyleXfs>
  <cellXfs count="747">
    <xf numFmtId="0" fontId="0" fillId="0" borderId="0" xfId="0" applyAlignment="1"/>
    <xf numFmtId="0" fontId="0" fillId="0" borderId="0" xfId="0" applyFont="1" applyFill="1" applyAlignment="1"/>
    <xf numFmtId="0" fontId="1" fillId="0" borderId="0" xfId="0" applyFont="1" applyFill="1" applyAlignment="1"/>
    <xf numFmtId="0" fontId="2" fillId="0" borderId="0" xfId="0" applyNumberFormat="1" applyFont="1" applyFill="1" applyBorder="1" applyAlignment="1">
      <alignment horizontal="center" vertical="center" wrapText="1"/>
    </xf>
    <xf numFmtId="0" fontId="3" fillId="0" borderId="0" xfId="0" applyFont="1" applyFill="1" applyBorder="1" applyAlignment="1">
      <alignment vertical="center"/>
    </xf>
    <xf numFmtId="0" fontId="4" fillId="0" borderId="0"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6" fillId="2" borderId="4" xfId="0" applyNumberFormat="1" applyFont="1" applyFill="1" applyBorder="1" applyAlignment="1">
      <alignment horizontal="center" vertical="center" wrapText="1"/>
    </xf>
    <xf numFmtId="0" fontId="7" fillId="0" borderId="5" xfId="0" applyNumberFormat="1" applyFont="1" applyFill="1" applyBorder="1" applyAlignment="1">
      <alignment horizontal="center" vertical="center" wrapText="1"/>
    </xf>
    <xf numFmtId="0" fontId="8" fillId="0" borderId="6" xfId="0" applyNumberFormat="1" applyFont="1" applyFill="1" applyBorder="1" applyAlignment="1">
      <alignment horizontal="center" vertical="center" wrapText="1"/>
    </xf>
    <xf numFmtId="0" fontId="7" fillId="0" borderId="6" xfId="0" applyNumberFormat="1" applyFont="1" applyFill="1" applyBorder="1" applyAlignment="1">
      <alignment horizontal="center" vertical="center" wrapText="1"/>
    </xf>
    <xf numFmtId="0" fontId="8" fillId="0" borderId="7" xfId="0" applyNumberFormat="1" applyFont="1" applyFill="1" applyBorder="1" applyAlignment="1">
      <alignment horizontal="center" vertical="center" wrapText="1"/>
    </xf>
    <xf numFmtId="0" fontId="6" fillId="2" borderId="8" xfId="0" applyNumberFormat="1" applyFont="1" applyFill="1" applyBorder="1" applyAlignment="1">
      <alignment horizontal="center" vertical="center" wrapText="1"/>
    </xf>
    <xf numFmtId="0" fontId="7" fillId="0" borderId="9" xfId="0" applyNumberFormat="1" applyFont="1" applyFill="1" applyBorder="1" applyAlignment="1">
      <alignment horizontal="center" vertical="center" wrapText="1"/>
    </xf>
    <xf numFmtId="0" fontId="8" fillId="0" borderId="10" xfId="0" applyNumberFormat="1" applyFont="1" applyFill="1" applyBorder="1" applyAlignment="1">
      <alignment horizontal="center" vertical="center" wrapText="1"/>
    </xf>
    <xf numFmtId="0" fontId="7" fillId="0" borderId="10" xfId="0" applyNumberFormat="1" applyFont="1" applyFill="1" applyBorder="1" applyAlignment="1">
      <alignment horizontal="center" vertical="center" wrapText="1"/>
    </xf>
    <xf numFmtId="0" fontId="8" fillId="0" borderId="11" xfId="0" applyNumberFormat="1" applyFont="1" applyFill="1" applyBorder="1" applyAlignment="1">
      <alignment horizontal="center" vertical="center" wrapText="1"/>
    </xf>
    <xf numFmtId="0" fontId="7" fillId="0" borderId="11" xfId="0" applyFont="1" applyFill="1" applyBorder="1" applyAlignment="1">
      <alignment vertical="center"/>
    </xf>
    <xf numFmtId="0" fontId="6" fillId="2" borderId="12" xfId="0" applyNumberFormat="1" applyFont="1" applyFill="1" applyBorder="1" applyAlignment="1">
      <alignment horizontal="center" vertical="center" wrapText="1"/>
    </xf>
    <xf numFmtId="0" fontId="7" fillId="0" borderId="13" xfId="0" applyNumberFormat="1" applyFont="1" applyFill="1" applyBorder="1" applyAlignment="1">
      <alignment horizontal="center" vertical="center" wrapText="1"/>
    </xf>
    <xf numFmtId="0" fontId="8" fillId="0" borderId="14" xfId="0" applyNumberFormat="1" applyFont="1" applyFill="1" applyBorder="1" applyAlignment="1">
      <alignment horizontal="center" vertical="center" wrapText="1"/>
    </xf>
    <xf numFmtId="0" fontId="7" fillId="0" borderId="14" xfId="0" applyNumberFormat="1" applyFont="1" applyFill="1" applyBorder="1" applyAlignment="1">
      <alignment horizontal="center" vertical="center" wrapText="1"/>
    </xf>
    <xf numFmtId="0" fontId="8" fillId="0" borderId="15" xfId="0" applyNumberFormat="1" applyFont="1" applyFill="1" applyBorder="1" applyAlignment="1">
      <alignment horizontal="center" vertical="center" wrapText="1"/>
    </xf>
    <xf numFmtId="0" fontId="9" fillId="0" borderId="0" xfId="0" applyNumberFormat="1" applyFont="1" applyFill="1" applyBorder="1" applyAlignment="1">
      <alignment horizontal="center" vertical="center" wrapText="1"/>
    </xf>
    <xf numFmtId="0" fontId="0" fillId="0" borderId="0" xfId="0" applyNumberFormat="1" applyFont="1" applyAlignment="1"/>
    <xf numFmtId="0" fontId="10" fillId="0" borderId="0" xfId="0" applyNumberFormat="1" applyFont="1" applyAlignment="1"/>
    <xf numFmtId="0" fontId="0" fillId="0" borderId="0" xfId="0" applyNumberFormat="1" applyAlignment="1"/>
    <xf numFmtId="0" fontId="11" fillId="3" borderId="16" xfId="60" applyNumberFormat="1" applyFont="1" applyFill="1" applyBorder="1" applyAlignment="1" applyProtection="1">
      <alignment horizontal="center" vertical="center" wrapText="1"/>
    </xf>
    <xf numFmtId="0" fontId="11" fillId="3" borderId="0" xfId="60" applyNumberFormat="1" applyFont="1" applyFill="1" applyBorder="1" applyAlignment="1" applyProtection="1">
      <alignment horizontal="center" vertical="center" wrapText="1"/>
    </xf>
    <xf numFmtId="0" fontId="11" fillId="3" borderId="17" xfId="60" applyNumberFormat="1" applyFont="1" applyFill="1" applyBorder="1" applyAlignment="1" applyProtection="1">
      <alignment horizontal="center" vertical="center" wrapText="1"/>
    </xf>
    <xf numFmtId="0" fontId="11" fillId="3" borderId="0" xfId="60" applyNumberFormat="1" applyFont="1" applyFill="1" applyAlignment="1" applyProtection="1">
      <alignment horizontal="center" vertical="center" wrapText="1"/>
    </xf>
    <xf numFmtId="0" fontId="11" fillId="3" borderId="18" xfId="60" applyNumberFormat="1" applyFont="1" applyFill="1" applyBorder="1" applyAlignment="1" applyProtection="1">
      <alignment horizontal="center" vertical="center" wrapText="1"/>
    </xf>
    <xf numFmtId="0" fontId="11" fillId="3" borderId="19" xfId="60" applyNumberFormat="1" applyFont="1" applyFill="1" applyBorder="1" applyAlignment="1" applyProtection="1">
      <alignment horizontal="center" vertical="center" wrapText="1"/>
    </xf>
    <xf numFmtId="0" fontId="11" fillId="3" borderId="20" xfId="60" applyNumberFormat="1" applyFont="1" applyFill="1" applyBorder="1" applyAlignment="1" applyProtection="1">
      <alignment horizontal="center" vertical="center" wrapText="1"/>
    </xf>
    <xf numFmtId="0" fontId="12" fillId="0" borderId="21" xfId="0" applyNumberFormat="1" applyFont="1" applyFill="1" applyBorder="1" applyAlignment="1">
      <alignment horizontal="center" vertical="center" wrapText="1"/>
    </xf>
    <xf numFmtId="0" fontId="5" fillId="2" borderId="21" xfId="0" applyNumberFormat="1" applyFont="1" applyFill="1" applyBorder="1" applyAlignment="1">
      <alignment horizontal="center" vertical="center" wrapText="1"/>
    </xf>
    <xf numFmtId="0" fontId="13" fillId="3" borderId="22" xfId="0" applyNumberFormat="1" applyFont="1" applyFill="1" applyBorder="1" applyAlignment="1" applyProtection="1">
      <alignment horizontal="center" vertical="center" wrapText="1"/>
    </xf>
    <xf numFmtId="0" fontId="14" fillId="3" borderId="23" xfId="0" applyNumberFormat="1" applyFont="1" applyFill="1" applyBorder="1" applyAlignment="1">
      <alignment horizontal="center" vertical="center"/>
    </xf>
    <xf numFmtId="0" fontId="15" fillId="4" borderId="23" xfId="0" applyNumberFormat="1" applyFont="1" applyFill="1" applyBorder="1" applyAlignment="1">
      <alignment horizontal="center" vertical="center" wrapText="1"/>
    </xf>
    <xf numFmtId="0" fontId="5" fillId="2" borderId="24" xfId="0" applyNumberFormat="1" applyFont="1" applyFill="1" applyBorder="1" applyAlignment="1">
      <alignment horizontal="center" vertical="center" wrapText="1"/>
    </xf>
    <xf numFmtId="0" fontId="16" fillId="3" borderId="23" xfId="0" applyNumberFormat="1" applyFont="1" applyFill="1" applyBorder="1" applyAlignment="1">
      <alignment horizontal="center" vertical="center"/>
    </xf>
    <xf numFmtId="0" fontId="17" fillId="4" borderId="23" xfId="0" applyNumberFormat="1" applyFont="1" applyFill="1" applyBorder="1" applyAlignment="1">
      <alignment horizontal="center" vertical="center" wrapText="1"/>
    </xf>
    <xf numFmtId="0" fontId="13" fillId="3" borderId="25" xfId="0" applyNumberFormat="1" applyFont="1" applyFill="1" applyBorder="1" applyAlignment="1" applyProtection="1">
      <alignment horizontal="center" vertical="center" wrapText="1"/>
    </xf>
    <xf numFmtId="0" fontId="5" fillId="2" borderId="26" xfId="0" applyNumberFormat="1" applyFont="1" applyFill="1" applyBorder="1" applyAlignment="1">
      <alignment horizontal="center" vertical="center" wrapText="1"/>
    </xf>
    <xf numFmtId="0" fontId="18" fillId="5" borderId="27" xfId="0" applyNumberFormat="1" applyFont="1" applyFill="1" applyBorder="1" applyAlignment="1" applyProtection="1">
      <alignment horizontal="center" vertical="center" wrapText="1"/>
      <protection hidden="1"/>
    </xf>
    <xf numFmtId="0" fontId="18" fillId="5" borderId="28" xfId="0" applyNumberFormat="1" applyFont="1" applyFill="1" applyBorder="1" applyAlignment="1" applyProtection="1">
      <alignment horizontal="center" vertical="center" wrapText="1"/>
      <protection hidden="1"/>
    </xf>
    <xf numFmtId="0" fontId="18" fillId="5" borderId="0" xfId="0" applyNumberFormat="1" applyFont="1" applyFill="1" applyBorder="1" applyAlignment="1" applyProtection="1">
      <alignment horizontal="center" vertical="center" wrapText="1"/>
      <protection hidden="1"/>
    </xf>
    <xf numFmtId="0" fontId="18" fillId="5" borderId="29" xfId="0" applyNumberFormat="1" applyFont="1" applyFill="1" applyBorder="1" applyAlignment="1" applyProtection="1">
      <alignment horizontal="center" vertical="center" wrapText="1"/>
      <protection hidden="1"/>
    </xf>
    <xf numFmtId="0" fontId="18" fillId="5" borderId="30" xfId="0" applyNumberFormat="1" applyFont="1" applyFill="1" applyBorder="1" applyAlignment="1" applyProtection="1">
      <alignment horizontal="center" vertical="center" wrapText="1"/>
      <protection hidden="1"/>
    </xf>
    <xf numFmtId="0" fontId="18" fillId="5" borderId="0" xfId="0" applyNumberFormat="1" applyFont="1" applyFill="1" applyAlignment="1" applyProtection="1">
      <alignment horizontal="center" vertical="center" wrapText="1"/>
      <protection hidden="1"/>
    </xf>
    <xf numFmtId="0" fontId="19" fillId="6" borderId="21" xfId="0" applyNumberFormat="1" applyFont="1" applyFill="1" applyBorder="1" applyAlignment="1">
      <alignment horizontal="center" vertical="center" wrapText="1"/>
    </xf>
    <xf numFmtId="0" fontId="18" fillId="5" borderId="21" xfId="0" applyNumberFormat="1" applyFont="1" applyFill="1" applyBorder="1" applyAlignment="1" applyProtection="1">
      <alignment horizontal="center" vertical="center" wrapText="1"/>
      <protection hidden="1"/>
    </xf>
    <xf numFmtId="0" fontId="18" fillId="5" borderId="21" xfId="0" applyNumberFormat="1" applyFont="1" applyFill="1" applyBorder="1" applyAlignment="1" applyProtection="1">
      <alignment horizontal="center" vertical="center"/>
      <protection hidden="1"/>
    </xf>
    <xf numFmtId="0" fontId="18" fillId="3" borderId="21" xfId="0" applyNumberFormat="1" applyFont="1" applyFill="1" applyBorder="1" applyAlignment="1" applyProtection="1">
      <alignment horizontal="center" vertical="center" wrapText="1"/>
      <protection hidden="1"/>
    </xf>
    <xf numFmtId="0" fontId="20" fillId="5" borderId="21" xfId="0" applyNumberFormat="1" applyFont="1" applyFill="1" applyBorder="1" applyAlignment="1" applyProtection="1">
      <alignment horizontal="center" vertical="center"/>
      <protection hidden="1"/>
    </xf>
    <xf numFmtId="0" fontId="20" fillId="3" borderId="21" xfId="0" applyNumberFormat="1" applyFont="1" applyFill="1" applyBorder="1" applyAlignment="1" applyProtection="1">
      <alignment horizontal="center" vertical="center" wrapText="1"/>
      <protection hidden="1"/>
    </xf>
    <xf numFmtId="0" fontId="18" fillId="5" borderId="31" xfId="0" applyNumberFormat="1" applyFont="1" applyFill="1" applyBorder="1" applyAlignment="1" applyProtection="1">
      <alignment horizontal="center" vertical="center"/>
      <protection hidden="1"/>
    </xf>
    <xf numFmtId="0" fontId="20" fillId="3" borderId="31" xfId="0" applyNumberFormat="1" applyFont="1" applyFill="1" applyBorder="1" applyAlignment="1" applyProtection="1">
      <alignment horizontal="center" vertical="center" wrapText="1"/>
      <protection hidden="1"/>
    </xf>
    <xf numFmtId="0" fontId="21" fillId="7" borderId="32" xfId="0" applyNumberFormat="1" applyFont="1" applyFill="1" applyBorder="1" applyAlignment="1">
      <alignment horizontal="center" vertical="center"/>
    </xf>
    <xf numFmtId="0" fontId="22" fillId="3" borderId="33" xfId="0" applyNumberFormat="1" applyFont="1" applyFill="1" applyBorder="1" applyAlignment="1" applyProtection="1">
      <alignment horizontal="left" vertical="center" wrapText="1"/>
    </xf>
    <xf numFmtId="0" fontId="22" fillId="3" borderId="21" xfId="0" applyNumberFormat="1" applyFont="1" applyFill="1" applyBorder="1" applyAlignment="1" applyProtection="1">
      <alignment horizontal="left" vertical="center" wrapText="1"/>
    </xf>
    <xf numFmtId="0" fontId="21" fillId="7" borderId="34" xfId="0" applyNumberFormat="1" applyFont="1" applyFill="1" applyBorder="1" applyAlignment="1">
      <alignment horizontal="center" vertical="center"/>
    </xf>
    <xf numFmtId="0" fontId="22" fillId="3" borderId="35" xfId="0" applyNumberFormat="1" applyFont="1" applyFill="1" applyBorder="1" applyAlignment="1" applyProtection="1">
      <alignment horizontal="left" vertical="center" wrapText="1"/>
    </xf>
    <xf numFmtId="0" fontId="22" fillId="3" borderId="36" xfId="0" applyNumberFormat="1" applyFont="1" applyFill="1" applyBorder="1" applyAlignment="1" applyProtection="1">
      <alignment horizontal="left" vertical="center" wrapText="1"/>
    </xf>
    <xf numFmtId="0" fontId="21" fillId="3" borderId="0" xfId="0" applyNumberFormat="1" applyFont="1" applyFill="1" applyBorder="1" applyAlignment="1">
      <alignment horizontal="center" vertical="center"/>
    </xf>
    <xf numFmtId="0" fontId="12" fillId="3" borderId="21" xfId="0" applyNumberFormat="1" applyFont="1" applyFill="1" applyBorder="1" applyAlignment="1">
      <alignment horizontal="center" vertical="center" wrapText="1"/>
    </xf>
    <xf numFmtId="0" fontId="5" fillId="2" borderId="31" xfId="0" applyNumberFormat="1" applyFont="1" applyFill="1" applyBorder="1" applyAlignment="1">
      <alignment horizontal="center" vertical="center" wrapText="1"/>
    </xf>
    <xf numFmtId="0" fontId="23" fillId="3" borderId="23" xfId="0" applyNumberFormat="1" applyFont="1" applyFill="1" applyBorder="1" applyAlignment="1">
      <alignment horizontal="center" vertical="center"/>
    </xf>
    <xf numFmtId="0" fontId="23" fillId="3" borderId="23" xfId="0" applyNumberFormat="1" applyFont="1" applyFill="1" applyBorder="1" applyAlignment="1">
      <alignment horizontal="center" vertical="center" wrapText="1"/>
    </xf>
    <xf numFmtId="0" fontId="24" fillId="0" borderId="37" xfId="0" applyNumberFormat="1" applyFont="1" applyFill="1" applyBorder="1" applyAlignment="1" applyProtection="1">
      <alignment horizontal="center" vertical="center"/>
    </xf>
    <xf numFmtId="0" fontId="24" fillId="0" borderId="21" xfId="0" applyNumberFormat="1" applyFont="1" applyFill="1" applyBorder="1" applyAlignment="1" applyProtection="1">
      <alignment horizontal="center" vertical="center"/>
    </xf>
    <xf numFmtId="0" fontId="25" fillId="3" borderId="25" xfId="0" applyNumberFormat="1" applyFont="1" applyFill="1" applyBorder="1" applyAlignment="1">
      <alignment horizontal="center" vertical="center" wrapText="1" shrinkToFit="1"/>
    </xf>
    <xf numFmtId="0" fontId="26" fillId="0" borderId="37" xfId="0" applyNumberFormat="1" applyFont="1" applyFill="1" applyBorder="1" applyAlignment="1">
      <alignment vertical="center"/>
    </xf>
    <xf numFmtId="0" fontId="26" fillId="0" borderId="21" xfId="0" applyNumberFormat="1" applyFont="1" applyFill="1" applyBorder="1" applyAlignment="1">
      <alignment vertical="center"/>
    </xf>
    <xf numFmtId="0" fontId="20" fillId="0" borderId="37" xfId="0" applyNumberFormat="1" applyFont="1" applyFill="1" applyBorder="1" applyAlignment="1">
      <alignment horizontal="center" vertical="center"/>
    </xf>
    <xf numFmtId="0" fontId="20" fillId="0" borderId="21" xfId="0" applyNumberFormat="1" applyFont="1" applyFill="1" applyBorder="1" applyAlignment="1">
      <alignment horizontal="center" vertical="center"/>
    </xf>
    <xf numFmtId="0" fontId="27" fillId="0" borderId="21" xfId="0" applyNumberFormat="1" applyFont="1" applyFill="1" applyBorder="1" applyAlignment="1">
      <alignment vertical="center"/>
    </xf>
    <xf numFmtId="0" fontId="20" fillId="0" borderId="37" xfId="0" applyNumberFormat="1" applyFont="1" applyFill="1" applyBorder="1" applyAlignment="1">
      <alignment horizontal="center" vertical="center" wrapText="1"/>
    </xf>
    <xf numFmtId="0" fontId="20" fillId="0" borderId="21" xfId="0" applyNumberFormat="1" applyFont="1" applyFill="1" applyBorder="1" applyAlignment="1">
      <alignment horizontal="center" vertical="center" wrapText="1"/>
    </xf>
    <xf numFmtId="0" fontId="20" fillId="0" borderId="21" xfId="0" applyNumberFormat="1" applyFont="1" applyFill="1" applyBorder="1" applyAlignment="1">
      <alignment horizontal="center" vertical="top"/>
    </xf>
    <xf numFmtId="0" fontId="26" fillId="0" borderId="21" xfId="0" applyNumberFormat="1" applyFont="1" applyFill="1" applyBorder="1" applyAlignment="1">
      <alignment vertical="center" wrapText="1"/>
    </xf>
    <xf numFmtId="0" fontId="19" fillId="6" borderId="27" xfId="0" applyNumberFormat="1" applyFont="1" applyFill="1" applyBorder="1" applyAlignment="1">
      <alignment horizontal="center" vertical="center" wrapText="1"/>
    </xf>
    <xf numFmtId="0" fontId="19" fillId="6" borderId="0" xfId="0" applyNumberFormat="1" applyFont="1" applyFill="1" applyBorder="1" applyAlignment="1">
      <alignment horizontal="center" vertical="center" wrapText="1"/>
    </xf>
    <xf numFmtId="0" fontId="19" fillId="7" borderId="28" xfId="0" applyNumberFormat="1" applyFont="1" applyFill="1" applyBorder="1" applyAlignment="1">
      <alignment horizontal="center" vertical="center" wrapText="1"/>
    </xf>
    <xf numFmtId="0" fontId="19" fillId="7" borderId="0" xfId="0" applyNumberFormat="1" applyFont="1" applyFill="1" applyBorder="1" applyAlignment="1">
      <alignment horizontal="center" vertical="center" wrapText="1"/>
    </xf>
    <xf numFmtId="0" fontId="19" fillId="6" borderId="28" xfId="0" applyNumberFormat="1" applyFont="1" applyFill="1" applyBorder="1" applyAlignment="1">
      <alignment horizontal="center" vertical="center" wrapText="1"/>
    </xf>
    <xf numFmtId="0" fontId="20" fillId="3" borderId="21" xfId="0" applyNumberFormat="1" applyFont="1" applyFill="1" applyBorder="1" applyAlignment="1">
      <alignment horizontal="center" vertical="center" wrapText="1"/>
    </xf>
    <xf numFmtId="0" fontId="21" fillId="7" borderId="38" xfId="0" applyNumberFormat="1" applyFont="1" applyFill="1" applyBorder="1" applyAlignment="1">
      <alignment horizontal="center" vertical="center"/>
    </xf>
    <xf numFmtId="0" fontId="22" fillId="0" borderId="35" xfId="0" applyNumberFormat="1" applyFont="1" applyFill="1" applyBorder="1" applyAlignment="1" applyProtection="1">
      <alignment horizontal="left" vertical="center" wrapText="1"/>
    </xf>
    <xf numFmtId="0" fontId="22" fillId="0" borderId="39" xfId="0" applyNumberFormat="1" applyFont="1" applyFill="1" applyBorder="1" applyAlignment="1" applyProtection="1">
      <alignment horizontal="left" vertical="center" wrapText="1"/>
    </xf>
    <xf numFmtId="0" fontId="22" fillId="0" borderId="40" xfId="0" applyNumberFormat="1" applyFont="1" applyFill="1" applyBorder="1" applyAlignment="1" applyProtection="1">
      <alignment horizontal="left" vertical="center" wrapText="1"/>
    </xf>
    <xf numFmtId="0" fontId="22" fillId="0" borderId="41" xfId="0" applyNumberFormat="1" applyFont="1" applyFill="1" applyBorder="1" applyAlignment="1" applyProtection="1">
      <alignment horizontal="left" vertical="center" wrapText="1"/>
    </xf>
    <xf numFmtId="0" fontId="22" fillId="0" borderId="0" xfId="0" applyNumberFormat="1" applyFont="1" applyFill="1" applyBorder="1" applyAlignment="1" applyProtection="1">
      <alignment horizontal="left" vertical="center" wrapText="1"/>
    </xf>
    <xf numFmtId="0" fontId="22" fillId="0" borderId="29" xfId="0" applyNumberFormat="1" applyFont="1" applyFill="1" applyBorder="1" applyAlignment="1" applyProtection="1">
      <alignment horizontal="left" vertical="center" wrapText="1"/>
    </xf>
    <xf numFmtId="0" fontId="21" fillId="7" borderId="42" xfId="0" applyNumberFormat="1" applyFont="1" applyFill="1" applyBorder="1" applyAlignment="1">
      <alignment horizontal="center" vertical="center"/>
    </xf>
    <xf numFmtId="0" fontId="22" fillId="0" borderId="43" xfId="0" applyNumberFormat="1" applyFont="1" applyFill="1" applyBorder="1" applyAlignment="1" applyProtection="1">
      <alignment horizontal="left" vertical="center" wrapText="1"/>
    </xf>
    <xf numFmtId="0" fontId="22" fillId="0" borderId="44" xfId="0" applyNumberFormat="1" applyFont="1" applyFill="1" applyBorder="1" applyAlignment="1" applyProtection="1">
      <alignment horizontal="left" vertical="center" wrapText="1"/>
    </xf>
    <xf numFmtId="0" fontId="22" fillId="0" borderId="45" xfId="0" applyNumberFormat="1" applyFont="1" applyFill="1" applyBorder="1" applyAlignment="1" applyProtection="1">
      <alignment horizontal="left" vertical="center" wrapText="1"/>
    </xf>
    <xf numFmtId="0" fontId="22" fillId="0" borderId="46" xfId="0" applyNumberFormat="1" applyFont="1" applyFill="1" applyBorder="1" applyAlignment="1" applyProtection="1">
      <alignment horizontal="left" vertical="center" wrapText="1"/>
    </xf>
    <xf numFmtId="0" fontId="22" fillId="0" borderId="47" xfId="0" applyNumberFormat="1" applyFont="1" applyFill="1" applyBorder="1" applyAlignment="1" applyProtection="1">
      <alignment horizontal="left" vertical="center" wrapText="1"/>
    </xf>
    <xf numFmtId="0" fontId="22" fillId="0" borderId="48" xfId="0" applyNumberFormat="1" applyFont="1" applyFill="1" applyBorder="1" applyAlignment="1" applyProtection="1">
      <alignment horizontal="left" vertical="center" wrapText="1"/>
    </xf>
    <xf numFmtId="0" fontId="0" fillId="0" borderId="0" xfId="0" applyNumberFormat="1" applyAlignment="1">
      <alignment horizontal="center"/>
    </xf>
    <xf numFmtId="0" fontId="0" fillId="0" borderId="0" xfId="0" applyNumberFormat="1" applyFill="1" applyBorder="1" applyAlignment="1">
      <alignment horizontal="center"/>
    </xf>
    <xf numFmtId="0" fontId="19" fillId="0" borderId="0" xfId="0" applyNumberFormat="1" applyFont="1" applyFill="1" applyBorder="1" applyAlignment="1">
      <alignment vertical="center" wrapText="1"/>
    </xf>
    <xf numFmtId="0" fontId="28" fillId="3" borderId="18" xfId="0" applyNumberFormat="1" applyFont="1" applyFill="1" applyBorder="1" applyAlignment="1">
      <alignment horizontal="center" vertical="center"/>
    </xf>
    <xf numFmtId="0" fontId="28" fillId="3" borderId="17" xfId="0" applyNumberFormat="1" applyFont="1" applyFill="1" applyBorder="1" applyAlignment="1">
      <alignment horizontal="center" vertical="center"/>
    </xf>
    <xf numFmtId="0" fontId="28" fillId="3" borderId="36" xfId="0" applyNumberFormat="1" applyFont="1" applyFill="1" applyBorder="1" applyAlignment="1">
      <alignment horizontal="center" vertical="center"/>
    </xf>
    <xf numFmtId="0" fontId="28" fillId="3" borderId="16" xfId="0" applyNumberFormat="1" applyFont="1" applyFill="1" applyBorder="1" applyAlignment="1">
      <alignment horizontal="center" vertical="center"/>
    </xf>
    <xf numFmtId="0" fontId="28" fillId="3" borderId="0" xfId="0" applyNumberFormat="1" applyFont="1" applyFill="1" applyAlignment="1">
      <alignment horizontal="center" vertical="center"/>
    </xf>
    <xf numFmtId="0" fontId="28" fillId="3" borderId="18" xfId="0" applyNumberFormat="1" applyFont="1" applyFill="1" applyBorder="1" applyAlignment="1">
      <alignment horizontal="center" vertical="center" wrapText="1"/>
    </xf>
    <xf numFmtId="0" fontId="28" fillId="3" borderId="17" xfId="0" applyNumberFormat="1" applyFont="1" applyFill="1" applyBorder="1" applyAlignment="1">
      <alignment horizontal="center" vertical="center" wrapText="1"/>
    </xf>
    <xf numFmtId="0" fontId="28" fillId="3" borderId="36" xfId="0" applyNumberFormat="1" applyFont="1" applyFill="1" applyBorder="1" applyAlignment="1">
      <alignment horizontal="center" vertical="center" wrapText="1"/>
    </xf>
    <xf numFmtId="0" fontId="28" fillId="3" borderId="16" xfId="0" applyNumberFormat="1" applyFont="1" applyFill="1" applyBorder="1" applyAlignment="1">
      <alignment vertical="center" wrapText="1"/>
    </xf>
    <xf numFmtId="0" fontId="28" fillId="3" borderId="0" xfId="0" applyNumberFormat="1" applyFont="1" applyFill="1" applyBorder="1" applyAlignment="1">
      <alignment vertical="center" wrapText="1"/>
    </xf>
    <xf numFmtId="0" fontId="5" fillId="2" borderId="49" xfId="0" applyNumberFormat="1" applyFont="1" applyFill="1" applyBorder="1" applyAlignment="1">
      <alignment horizontal="center" vertical="center"/>
    </xf>
    <xf numFmtId="0" fontId="5" fillId="2" borderId="49" xfId="0" applyNumberFormat="1" applyFont="1" applyFill="1" applyBorder="1" applyAlignment="1">
      <alignment horizontal="center" vertical="center" wrapText="1"/>
    </xf>
    <xf numFmtId="0" fontId="5" fillId="2" borderId="50" xfId="0" applyNumberFormat="1" applyFont="1" applyFill="1" applyBorder="1" applyAlignment="1">
      <alignment horizontal="center" vertical="center" wrapText="1"/>
    </xf>
    <xf numFmtId="0" fontId="5" fillId="2" borderId="51" xfId="0" applyNumberFormat="1" applyFont="1" applyFill="1" applyBorder="1" applyAlignment="1">
      <alignment horizontal="center" vertical="center" wrapText="1"/>
    </xf>
    <xf numFmtId="0" fontId="29" fillId="3" borderId="52" xfId="0" applyNumberFormat="1" applyFont="1" applyFill="1" applyBorder="1" applyAlignment="1" applyProtection="1">
      <alignment horizontal="center" vertical="center" wrapText="1"/>
    </xf>
    <xf numFmtId="0" fontId="30" fillId="3" borderId="21" xfId="0" applyNumberFormat="1" applyFont="1" applyFill="1" applyBorder="1" applyAlignment="1" applyProtection="1">
      <alignment horizontal="center" vertical="center"/>
    </xf>
    <xf numFmtId="0" fontId="31" fillId="0" borderId="21" xfId="0" applyNumberFormat="1" applyFont="1" applyFill="1" applyBorder="1" applyAlignment="1"/>
    <xf numFmtId="0" fontId="32" fillId="0" borderId="21" xfId="0" applyNumberFormat="1" applyFont="1" applyFill="1" applyBorder="1" applyAlignment="1">
      <alignment vertical="center" wrapText="1"/>
    </xf>
    <xf numFmtId="0" fontId="0" fillId="0" borderId="0" xfId="0" applyNumberFormat="1" applyFill="1" applyAlignment="1"/>
    <xf numFmtId="0" fontId="19" fillId="7" borderId="53" xfId="0" applyNumberFormat="1" applyFont="1" applyFill="1" applyBorder="1" applyAlignment="1">
      <alignment horizontal="center" vertical="center" wrapText="1"/>
    </xf>
    <xf numFmtId="0" fontId="19" fillId="7" borderId="16" xfId="0" applyNumberFormat="1" applyFont="1" applyFill="1" applyBorder="1" applyAlignment="1">
      <alignment horizontal="center" vertical="center" wrapText="1"/>
    </xf>
    <xf numFmtId="0" fontId="19" fillId="6" borderId="36" xfId="0" applyNumberFormat="1" applyFont="1" applyFill="1" applyBorder="1" applyAlignment="1">
      <alignment horizontal="center" vertical="center" wrapText="1"/>
    </xf>
    <xf numFmtId="0" fontId="19" fillId="6" borderId="16" xfId="0" applyNumberFormat="1" applyFont="1" applyFill="1" applyBorder="1" applyAlignment="1">
      <alignment horizontal="center" vertical="center" wrapText="1"/>
    </xf>
    <xf numFmtId="0" fontId="19" fillId="6" borderId="54" xfId="0" applyNumberFormat="1" applyFont="1" applyFill="1" applyBorder="1" applyAlignment="1">
      <alignment horizontal="center" vertical="center" wrapText="1"/>
    </xf>
    <xf numFmtId="0" fontId="20" fillId="8" borderId="21" xfId="0" applyNumberFormat="1" applyFont="1" applyFill="1" applyBorder="1" applyAlignment="1">
      <alignment horizontal="center" vertical="center" wrapText="1"/>
    </xf>
    <xf numFmtId="0" fontId="20" fillId="3" borderId="31" xfId="0" applyNumberFormat="1" applyFont="1" applyFill="1" applyBorder="1" applyAlignment="1">
      <alignment horizontal="center" vertical="center" wrapText="1"/>
    </xf>
    <xf numFmtId="0" fontId="20" fillId="8" borderId="31" xfId="0" applyNumberFormat="1" applyFont="1" applyFill="1" applyBorder="1" applyAlignment="1">
      <alignment horizontal="center" vertical="center" wrapText="1"/>
    </xf>
    <xf numFmtId="0" fontId="22" fillId="0" borderId="52" xfId="0" applyNumberFormat="1" applyFont="1" applyFill="1" applyBorder="1" applyAlignment="1" applyProtection="1">
      <alignment horizontal="left" vertical="center" wrapText="1"/>
    </xf>
    <xf numFmtId="0" fontId="22" fillId="0" borderId="21" xfId="0" applyNumberFormat="1" applyFont="1" applyFill="1" applyBorder="1" applyAlignment="1" applyProtection="1">
      <alignment horizontal="left" vertical="center" wrapText="1"/>
    </xf>
    <xf numFmtId="0" fontId="28" fillId="3" borderId="21" xfId="60" applyNumberFormat="1" applyFont="1" applyFill="1" applyBorder="1" applyAlignment="1" applyProtection="1">
      <alignment horizontal="center" vertical="center"/>
    </xf>
    <xf numFmtId="0" fontId="5" fillId="2" borderId="55" xfId="0" applyNumberFormat="1" applyFont="1" applyFill="1" applyBorder="1" applyAlignment="1">
      <alignment horizontal="center" vertical="center" wrapText="1"/>
    </xf>
    <xf numFmtId="0" fontId="5" fillId="2" borderId="56" xfId="0" applyNumberFormat="1" applyFont="1" applyFill="1" applyBorder="1" applyAlignment="1">
      <alignment horizontal="center" vertical="center" wrapText="1"/>
    </xf>
    <xf numFmtId="0" fontId="5" fillId="2" borderId="57" xfId="0" applyNumberFormat="1" applyFont="1" applyFill="1" applyBorder="1" applyAlignment="1">
      <alignment horizontal="center" vertical="center" wrapText="1"/>
    </xf>
    <xf numFmtId="0" fontId="19" fillId="7" borderId="0" xfId="0" applyNumberFormat="1" applyFont="1" applyFill="1" applyBorder="1" applyAlignment="1">
      <alignment vertical="center" wrapText="1"/>
    </xf>
    <xf numFmtId="0" fontId="5" fillId="2" borderId="58" xfId="0" applyNumberFormat="1" applyFont="1" applyFill="1" applyBorder="1" applyAlignment="1">
      <alignment horizontal="center" vertical="center" wrapText="1"/>
    </xf>
    <xf numFmtId="0" fontId="33" fillId="0" borderId="21" xfId="0" applyNumberFormat="1" applyFont="1" applyFill="1" applyBorder="1" applyAlignment="1" applyProtection="1">
      <alignment horizontal="center" vertical="center"/>
    </xf>
    <xf numFmtId="0" fontId="13" fillId="3" borderId="59" xfId="0" applyNumberFormat="1" applyFont="1" applyFill="1" applyBorder="1" applyAlignment="1" applyProtection="1">
      <alignment horizontal="center" vertical="center" wrapText="1"/>
    </xf>
    <xf numFmtId="0" fontId="20" fillId="8" borderId="21" xfId="0" applyNumberFormat="1" applyFont="1" applyFill="1" applyBorder="1" applyAlignment="1">
      <alignment vertical="center" wrapText="1"/>
    </xf>
    <xf numFmtId="0" fontId="20" fillId="5" borderId="21" xfId="0" applyNumberFormat="1" applyFont="1" applyFill="1" applyBorder="1" applyAlignment="1" applyProtection="1">
      <alignment horizontal="center" vertical="center" wrapText="1"/>
      <protection hidden="1"/>
    </xf>
    <xf numFmtId="0" fontId="22" fillId="0" borderId="21" xfId="0" applyNumberFormat="1" applyFont="1" applyFill="1" applyBorder="1" applyAlignment="1" applyProtection="1">
      <alignment horizontal="center" vertical="center" wrapText="1"/>
    </xf>
    <xf numFmtId="0" fontId="28" fillId="3" borderId="16" xfId="60" applyNumberFormat="1" applyFont="1" applyFill="1" applyBorder="1" applyAlignment="1" applyProtection="1">
      <alignment horizontal="center" vertical="center"/>
    </xf>
    <xf numFmtId="0" fontId="28" fillId="3" borderId="0" xfId="60" applyNumberFormat="1" applyFont="1" applyFill="1" applyBorder="1" applyAlignment="1" applyProtection="1">
      <alignment horizontal="center" vertical="center"/>
    </xf>
    <xf numFmtId="0" fontId="28" fillId="3" borderId="17" xfId="60" applyNumberFormat="1" applyFont="1" applyFill="1" applyBorder="1" applyAlignment="1" applyProtection="1">
      <alignment horizontal="center" vertical="center"/>
    </xf>
    <xf numFmtId="0" fontId="28" fillId="3" borderId="0" xfId="60" applyNumberFormat="1" applyFont="1" applyFill="1" applyAlignment="1" applyProtection="1">
      <alignment horizontal="center" vertical="center"/>
    </xf>
    <xf numFmtId="0" fontId="5" fillId="2" borderId="60" xfId="0" applyNumberFormat="1" applyFont="1" applyFill="1" applyBorder="1" applyAlignment="1">
      <alignment horizontal="center" vertical="center"/>
    </xf>
    <xf numFmtId="0" fontId="34" fillId="2" borderId="31" xfId="0" applyNumberFormat="1" applyFont="1" applyFill="1" applyBorder="1" applyAlignment="1">
      <alignment horizontal="center" vertical="center" wrapText="1"/>
    </xf>
    <xf numFmtId="0" fontId="5" fillId="2" borderId="50" xfId="0" applyNumberFormat="1" applyFont="1" applyFill="1" applyBorder="1" applyAlignment="1">
      <alignment vertical="center" wrapText="1"/>
    </xf>
    <xf numFmtId="0" fontId="13" fillId="3" borderId="61" xfId="0" applyNumberFormat="1" applyFont="1" applyFill="1" applyBorder="1" applyAlignment="1" applyProtection="1">
      <alignment horizontal="center" vertical="center" wrapText="1"/>
    </xf>
    <xf numFmtId="0" fontId="20" fillId="3" borderId="23" xfId="0" applyNumberFormat="1" applyFont="1" applyFill="1" applyBorder="1" applyAlignment="1">
      <alignment horizontal="center" vertical="center"/>
    </xf>
    <xf numFmtId="0" fontId="30" fillId="3" borderId="23" xfId="0" applyNumberFormat="1" applyFont="1" applyFill="1" applyBorder="1" applyAlignment="1" applyProtection="1">
      <alignment horizontal="center" vertical="center"/>
    </xf>
    <xf numFmtId="0" fontId="0" fillId="0" borderId="21" xfId="0" applyNumberFormat="1" applyBorder="1" applyAlignment="1"/>
    <xf numFmtId="0" fontId="19" fillId="7" borderId="21" xfId="0" applyNumberFormat="1" applyFont="1" applyFill="1" applyBorder="1" applyAlignment="1">
      <alignment horizontal="center" vertical="center" wrapText="1"/>
    </xf>
    <xf numFmtId="0" fontId="19" fillId="7" borderId="55" xfId="0" applyNumberFormat="1" applyFont="1" applyFill="1" applyBorder="1" applyAlignment="1">
      <alignment horizontal="center" vertical="center" wrapText="1"/>
    </xf>
    <xf numFmtId="0" fontId="19" fillId="7" borderId="62" xfId="0" applyNumberFormat="1" applyFont="1" applyFill="1" applyBorder="1" applyAlignment="1">
      <alignment horizontal="center" vertical="center" wrapText="1"/>
    </xf>
    <xf numFmtId="0" fontId="19" fillId="7" borderId="63" xfId="0" applyNumberFormat="1" applyFont="1" applyFill="1" applyBorder="1" applyAlignment="1">
      <alignment horizontal="center" vertical="center" wrapText="1"/>
    </xf>
    <xf numFmtId="0" fontId="0" fillId="0" borderId="0" xfId="0" applyNumberFormat="1" applyBorder="1" applyAlignment="1"/>
    <xf numFmtId="0" fontId="20" fillId="3" borderId="64" xfId="0" applyNumberFormat="1" applyFont="1" applyFill="1" applyBorder="1" applyAlignment="1">
      <alignment horizontal="center" vertical="center" wrapText="1"/>
    </xf>
    <xf numFmtId="0" fontId="20" fillId="3" borderId="65" xfId="0" applyNumberFormat="1" applyFont="1" applyFill="1" applyBorder="1" applyAlignment="1">
      <alignment horizontal="center" vertical="center" wrapText="1"/>
    </xf>
    <xf numFmtId="0" fontId="20" fillId="3" borderId="66" xfId="0" applyNumberFormat="1" applyFont="1" applyFill="1" applyBorder="1" applyAlignment="1">
      <alignment horizontal="center" vertical="center" wrapText="1"/>
    </xf>
    <xf numFmtId="0" fontId="20" fillId="3" borderId="67" xfId="0" applyNumberFormat="1" applyFont="1" applyFill="1" applyBorder="1" applyAlignment="1">
      <alignment horizontal="center" vertical="center" wrapText="1"/>
    </xf>
    <xf numFmtId="0" fontId="4" fillId="3" borderId="68" xfId="60" applyNumberFormat="1" applyFont="1" applyFill="1" applyBorder="1" applyAlignment="1" applyProtection="1">
      <alignment horizontal="center" vertical="center" wrapText="1"/>
    </xf>
    <xf numFmtId="0" fontId="35" fillId="3" borderId="69" xfId="60" applyNumberFormat="1" applyFont="1" applyFill="1" applyBorder="1" applyAlignment="1" applyProtection="1">
      <alignment horizontal="center" vertical="center"/>
    </xf>
    <xf numFmtId="0" fontId="35" fillId="3" borderId="70" xfId="60" applyNumberFormat="1" applyFont="1" applyFill="1" applyBorder="1" applyAlignment="1" applyProtection="1">
      <alignment horizontal="center" vertical="center"/>
    </xf>
    <xf numFmtId="0" fontId="35" fillId="3" borderId="71" xfId="60" applyNumberFormat="1" applyFont="1" applyFill="1" applyBorder="1" applyAlignment="1" applyProtection="1">
      <alignment horizontal="center" vertical="center"/>
    </xf>
    <xf numFmtId="0" fontId="35" fillId="3" borderId="72" xfId="60" applyNumberFormat="1" applyFont="1" applyFill="1" applyBorder="1" applyAlignment="1" applyProtection="1">
      <alignment horizontal="center" vertical="center"/>
    </xf>
    <xf numFmtId="0" fontId="35" fillId="3" borderId="73" xfId="60" applyNumberFormat="1" applyFont="1" applyFill="1" applyBorder="1" applyAlignment="1" applyProtection="1">
      <alignment horizontal="center" vertical="center"/>
    </xf>
    <xf numFmtId="0" fontId="36" fillId="0" borderId="71" xfId="0" applyNumberFormat="1" applyFont="1" applyFill="1" applyBorder="1" applyAlignment="1">
      <alignment horizontal="center" vertical="center"/>
    </xf>
    <xf numFmtId="0" fontId="36" fillId="0" borderId="72" xfId="0" applyNumberFormat="1" applyFont="1" applyFill="1" applyBorder="1" applyAlignment="1">
      <alignment horizontal="center" vertical="center"/>
    </xf>
    <xf numFmtId="0" fontId="36" fillId="0" borderId="73" xfId="0" applyNumberFormat="1" applyFont="1" applyFill="1" applyBorder="1" applyAlignment="1">
      <alignment horizontal="center" vertical="center"/>
    </xf>
    <xf numFmtId="0" fontId="5" fillId="2" borderId="71" xfId="0" applyNumberFormat="1" applyFont="1" applyFill="1" applyBorder="1" applyAlignment="1">
      <alignment horizontal="center" vertical="center"/>
    </xf>
    <xf numFmtId="0" fontId="5" fillId="2" borderId="72" xfId="0" applyNumberFormat="1" applyFont="1" applyFill="1" applyBorder="1" applyAlignment="1">
      <alignment horizontal="center" vertical="center"/>
    </xf>
    <xf numFmtId="0" fontId="5" fillId="2" borderId="72" xfId="0" applyNumberFormat="1" applyFont="1" applyFill="1" applyBorder="1" applyAlignment="1">
      <alignment horizontal="center" vertical="center" wrapText="1"/>
    </xf>
    <xf numFmtId="0" fontId="37" fillId="2" borderId="73" xfId="0" applyNumberFormat="1" applyFont="1" applyFill="1" applyBorder="1" applyAlignment="1">
      <alignment horizontal="center" vertical="center" wrapText="1"/>
    </xf>
    <xf numFmtId="0" fontId="5" fillId="2" borderId="74" xfId="0" applyNumberFormat="1" applyFont="1" applyFill="1" applyBorder="1" applyAlignment="1">
      <alignment horizontal="center" vertical="center" wrapText="1"/>
    </xf>
    <xf numFmtId="0" fontId="37" fillId="2" borderId="75" xfId="0" applyNumberFormat="1" applyFont="1" applyFill="1" applyBorder="1" applyAlignment="1">
      <alignment horizontal="center" vertical="center" wrapText="1"/>
    </xf>
    <xf numFmtId="0" fontId="0" fillId="3" borderId="23" xfId="0" applyNumberFormat="1" applyFont="1" applyFill="1" applyBorder="1" applyAlignment="1">
      <alignment horizontal="center" vertical="center"/>
    </xf>
    <xf numFmtId="0" fontId="8" fillId="4" borderId="23" xfId="0" applyNumberFormat="1" applyFont="1" applyFill="1" applyBorder="1" applyAlignment="1">
      <alignment horizontal="center" vertical="center" wrapText="1"/>
    </xf>
    <xf numFmtId="0" fontId="38" fillId="7" borderId="23" xfId="0" applyNumberFormat="1" applyFont="1" applyFill="1" applyBorder="1" applyAlignment="1">
      <alignment horizontal="center" vertical="center" wrapText="1"/>
    </xf>
    <xf numFmtId="0" fontId="39" fillId="3" borderId="23" xfId="0" applyNumberFormat="1" applyFont="1" applyFill="1" applyBorder="1" applyAlignment="1">
      <alignment horizontal="center" vertical="center"/>
    </xf>
    <xf numFmtId="0" fontId="40" fillId="7" borderId="23" xfId="0" applyNumberFormat="1" applyFont="1" applyFill="1" applyBorder="1" applyAlignment="1">
      <alignment horizontal="center" vertical="center"/>
    </xf>
    <xf numFmtId="0" fontId="5" fillId="2" borderId="76" xfId="0" applyNumberFormat="1" applyFont="1" applyFill="1" applyBorder="1" applyAlignment="1">
      <alignment horizontal="center" vertical="center" wrapText="1"/>
    </xf>
    <xf numFmtId="0" fontId="22" fillId="0" borderId="23" xfId="0" applyNumberFormat="1" applyFont="1" applyFill="1" applyBorder="1" applyAlignment="1" applyProtection="1">
      <alignment horizontal="left" vertical="center" wrapText="1"/>
    </xf>
    <xf numFmtId="0" fontId="5" fillId="2" borderId="77" xfId="0" applyNumberFormat="1" applyFont="1" applyFill="1" applyBorder="1" applyAlignment="1">
      <alignment horizontal="center" vertical="center" wrapText="1"/>
    </xf>
    <xf numFmtId="0" fontId="41" fillId="0" borderId="0" xfId="0" applyFont="1" applyFill="1" applyAlignment="1">
      <alignment horizontal="center" vertical="center"/>
    </xf>
    <xf numFmtId="0" fontId="14" fillId="0" borderId="0" xfId="0" applyFont="1" applyFill="1" applyBorder="1" applyAlignment="1">
      <alignment horizontal="center" vertical="center"/>
    </xf>
    <xf numFmtId="0" fontId="42" fillId="0" borderId="0" xfId="0" applyFont="1" applyFill="1" applyAlignment="1">
      <alignment horizontal="center" vertical="center"/>
    </xf>
    <xf numFmtId="0" fontId="0" fillId="0" borderId="0" xfId="0" applyFont="1" applyFill="1" applyBorder="1" applyAlignment="1">
      <alignment horizontal="center" vertical="center"/>
    </xf>
    <xf numFmtId="0" fontId="0" fillId="0" borderId="0" xfId="0" applyFont="1" applyFill="1" applyAlignment="1">
      <alignment horizontal="center" vertical="center"/>
    </xf>
    <xf numFmtId="183" fontId="4" fillId="3" borderId="78" xfId="60" applyNumberFormat="1" applyFont="1" applyFill="1" applyBorder="1" applyAlignment="1" applyProtection="1">
      <alignment horizontal="center" vertical="center" wrapText="1"/>
    </xf>
    <xf numFmtId="183" fontId="4" fillId="3" borderId="79" xfId="60" applyNumberFormat="1" applyFont="1" applyFill="1" applyBorder="1" applyAlignment="1" applyProtection="1">
      <alignment horizontal="center" vertical="center" wrapText="1"/>
    </xf>
    <xf numFmtId="183" fontId="4" fillId="3" borderId="80" xfId="60" applyNumberFormat="1" applyFont="1" applyFill="1" applyBorder="1" applyAlignment="1" applyProtection="1">
      <alignment horizontal="center" vertical="center" wrapText="1"/>
    </xf>
    <xf numFmtId="183" fontId="43" fillId="3" borderId="16" xfId="60" applyNumberFormat="1" applyFont="1" applyFill="1" applyBorder="1" applyAlignment="1" applyProtection="1">
      <alignment horizontal="center" vertical="center" wrapText="1"/>
    </xf>
    <xf numFmtId="183" fontId="43" fillId="3" borderId="0" xfId="60" applyNumberFormat="1" applyFont="1" applyFill="1" applyBorder="1" applyAlignment="1" applyProtection="1">
      <alignment horizontal="center" vertical="center" wrapText="1"/>
    </xf>
    <xf numFmtId="183" fontId="43" fillId="3" borderId="17" xfId="60" applyNumberFormat="1" applyFont="1" applyFill="1" applyBorder="1" applyAlignment="1" applyProtection="1">
      <alignment horizontal="center" vertical="center" wrapText="1"/>
    </xf>
    <xf numFmtId="183" fontId="36" fillId="0" borderId="81" xfId="60" applyNumberFormat="1" applyFont="1" applyFill="1" applyBorder="1" applyAlignment="1" applyProtection="1">
      <alignment horizontal="center" vertical="center" wrapText="1"/>
    </xf>
    <xf numFmtId="183" fontId="36" fillId="0" borderId="82" xfId="60" applyNumberFormat="1" applyFont="1" applyFill="1" applyBorder="1" applyAlignment="1" applyProtection="1">
      <alignment horizontal="center" vertical="center" wrapText="1"/>
    </xf>
    <xf numFmtId="183" fontId="36" fillId="0" borderId="83" xfId="60" applyNumberFormat="1" applyFont="1" applyFill="1" applyBorder="1" applyAlignment="1" applyProtection="1">
      <alignment horizontal="center" vertical="center" wrapText="1"/>
    </xf>
    <xf numFmtId="0" fontId="5" fillId="2" borderId="60" xfId="0" applyNumberFormat="1" applyFont="1" applyFill="1" applyBorder="1" applyAlignment="1">
      <alignment horizontal="center" vertical="center" wrapText="1"/>
    </xf>
    <xf numFmtId="0" fontId="5" fillId="2" borderId="49" xfId="0" applyFont="1" applyFill="1" applyBorder="1" applyAlignment="1">
      <alignment horizontal="center" vertical="center" wrapText="1"/>
    </xf>
    <xf numFmtId="0" fontId="5" fillId="2" borderId="84" xfId="0" applyFont="1" applyFill="1" applyBorder="1" applyAlignment="1">
      <alignment horizontal="center" vertical="center" wrapText="1"/>
    </xf>
    <xf numFmtId="0" fontId="41" fillId="0" borderId="0" xfId="0" applyFont="1" applyFill="1" applyBorder="1" applyAlignment="1">
      <alignment horizontal="center" vertical="center"/>
    </xf>
    <xf numFmtId="0" fontId="5" fillId="2" borderId="60" xfId="0" applyFont="1" applyFill="1" applyBorder="1" applyAlignment="1">
      <alignment horizontal="center" vertical="center" wrapText="1"/>
    </xf>
    <xf numFmtId="0" fontId="0" fillId="3" borderId="23" xfId="0" applyFont="1" applyFill="1" applyBorder="1" applyAlignment="1">
      <alignment horizontal="center" vertical="center"/>
    </xf>
    <xf numFmtId="184" fontId="15" fillId="4" borderId="10" xfId="0" applyNumberFormat="1" applyFont="1" applyFill="1" applyBorder="1" applyAlignment="1">
      <alignment horizontal="center" vertical="center" wrapText="1"/>
    </xf>
    <xf numFmtId="0" fontId="44" fillId="4" borderId="85" xfId="0" applyFont="1" applyFill="1" applyBorder="1" applyAlignment="1">
      <alignment horizontal="center" vertical="center" wrapText="1"/>
    </xf>
    <xf numFmtId="0" fontId="44" fillId="4" borderId="86" xfId="0" applyFont="1" applyFill="1" applyBorder="1" applyAlignment="1">
      <alignment horizontal="center" vertical="center" wrapText="1"/>
    </xf>
    <xf numFmtId="0" fontId="44" fillId="4" borderId="87" xfId="0" applyFont="1" applyFill="1" applyBorder="1" applyAlignment="1">
      <alignment horizontal="center" vertical="center" wrapText="1"/>
    </xf>
    <xf numFmtId="0" fontId="5" fillId="2" borderId="50" xfId="0" applyFont="1" applyFill="1" applyBorder="1" applyAlignment="1">
      <alignment horizontal="center" vertical="center" wrapText="1"/>
    </xf>
    <xf numFmtId="184" fontId="15" fillId="4" borderId="88" xfId="0" applyNumberFormat="1" applyFont="1" applyFill="1" applyBorder="1" applyAlignment="1">
      <alignment horizontal="center" vertical="center" wrapText="1"/>
    </xf>
    <xf numFmtId="0" fontId="44" fillId="4" borderId="89" xfId="0" applyFont="1" applyFill="1" applyBorder="1" applyAlignment="1">
      <alignment horizontal="center" vertical="center" wrapText="1"/>
    </xf>
    <xf numFmtId="0" fontId="45" fillId="3" borderId="55" xfId="0" applyFont="1" applyFill="1" applyBorder="1" applyAlignment="1">
      <alignment vertical="center" wrapText="1"/>
    </xf>
    <xf numFmtId="0" fontId="46" fillId="3" borderId="90" xfId="0" applyFont="1" applyFill="1" applyBorder="1" applyAlignment="1">
      <alignment horizontal="center" vertical="center" wrapText="1"/>
    </xf>
    <xf numFmtId="0" fontId="45" fillId="3" borderId="55" xfId="0" applyFont="1" applyFill="1" applyBorder="1" applyAlignment="1">
      <alignment horizontal="center" vertical="center" wrapText="1"/>
    </xf>
    <xf numFmtId="0" fontId="45" fillId="3" borderId="91" xfId="0" applyFont="1" applyFill="1" applyBorder="1" applyAlignment="1">
      <alignment horizontal="center" vertical="center" wrapText="1"/>
    </xf>
    <xf numFmtId="0" fontId="45" fillId="3" borderId="92" xfId="0" applyFont="1" applyFill="1" applyBorder="1" applyAlignment="1">
      <alignment horizontal="center" vertical="center" wrapText="1"/>
    </xf>
    <xf numFmtId="0" fontId="5" fillId="2" borderId="93" xfId="0" applyFont="1" applyFill="1" applyBorder="1" applyAlignment="1">
      <alignment horizontal="center" vertical="center" wrapText="1"/>
    </xf>
    <xf numFmtId="0" fontId="15" fillId="9" borderId="94" xfId="0" applyFont="1" applyFill="1" applyBorder="1" applyAlignment="1">
      <alignment horizontal="left" vertical="center" wrapText="1"/>
    </xf>
    <xf numFmtId="0" fontId="15" fillId="9" borderId="95" xfId="0" applyFont="1" applyFill="1" applyBorder="1" applyAlignment="1">
      <alignment horizontal="left" vertical="center" wrapText="1"/>
    </xf>
    <xf numFmtId="0" fontId="15" fillId="9" borderId="96" xfId="0" applyFont="1" applyFill="1" applyBorder="1" applyAlignment="1">
      <alignment horizontal="left" vertical="center" wrapText="1"/>
    </xf>
    <xf numFmtId="0" fontId="5" fillId="2" borderId="97" xfId="0" applyFont="1" applyFill="1" applyBorder="1" applyAlignment="1">
      <alignment horizontal="center" vertical="center" wrapText="1"/>
    </xf>
    <xf numFmtId="0" fontId="15" fillId="4" borderId="98" xfId="0" applyFont="1" applyFill="1" applyBorder="1" applyAlignment="1">
      <alignment horizontal="left" vertical="center" wrapText="1"/>
    </xf>
    <xf numFmtId="0" fontId="15" fillId="4" borderId="95" xfId="0" applyFont="1" applyFill="1" applyBorder="1" applyAlignment="1">
      <alignment horizontal="left" vertical="center" wrapText="1"/>
    </xf>
    <xf numFmtId="0" fontId="15" fillId="4" borderId="99" xfId="0" applyFont="1" applyFill="1" applyBorder="1" applyAlignment="1">
      <alignment horizontal="left" vertical="center" wrapText="1"/>
    </xf>
    <xf numFmtId="0" fontId="15" fillId="4" borderId="100" xfId="0" applyFont="1" applyFill="1" applyBorder="1" applyAlignment="1">
      <alignment horizontal="left" vertical="center" wrapText="1"/>
    </xf>
    <xf numFmtId="0" fontId="14" fillId="0" borderId="0" xfId="0" applyFont="1" applyFill="1" applyBorder="1" applyAlignment="1">
      <alignment horizontal="center" vertical="center" wrapText="1"/>
    </xf>
    <xf numFmtId="0" fontId="5" fillId="2" borderId="101" xfId="0" applyFont="1" applyFill="1" applyBorder="1" applyAlignment="1">
      <alignment horizontal="center" vertical="center" wrapText="1"/>
    </xf>
    <xf numFmtId="0" fontId="14" fillId="0" borderId="82" xfId="0" applyFont="1" applyFill="1" applyBorder="1" applyAlignment="1">
      <alignment horizontal="left" vertical="center" wrapText="1"/>
    </xf>
    <xf numFmtId="0" fontId="14" fillId="0" borderId="0" xfId="0" applyFont="1" applyFill="1" applyBorder="1" applyAlignment="1">
      <alignment horizontal="left" vertical="center" wrapText="1"/>
    </xf>
    <xf numFmtId="0" fontId="14" fillId="0" borderId="17" xfId="0" applyFont="1" applyFill="1" applyBorder="1" applyAlignment="1">
      <alignment horizontal="left" vertical="center" wrapText="1"/>
    </xf>
    <xf numFmtId="0" fontId="5" fillId="2" borderId="102" xfId="0" applyFont="1" applyFill="1" applyBorder="1" applyAlignment="1">
      <alignment horizontal="center" vertical="center" wrapText="1"/>
    </xf>
    <xf numFmtId="0" fontId="14" fillId="0" borderId="103" xfId="0" applyFont="1" applyFill="1" applyBorder="1" applyAlignment="1">
      <alignment horizontal="left" vertical="center" wrapText="1"/>
    </xf>
    <xf numFmtId="0" fontId="14" fillId="0" borderId="90" xfId="0" applyFont="1" applyFill="1" applyBorder="1" applyAlignment="1">
      <alignment horizontal="left" vertical="center" wrapText="1"/>
    </xf>
    <xf numFmtId="0" fontId="14" fillId="3" borderId="0" xfId="0" applyFont="1" applyFill="1" applyAlignment="1">
      <alignment vertical="center"/>
    </xf>
    <xf numFmtId="0" fontId="47" fillId="3" borderId="0" xfId="0" applyFont="1" applyFill="1" applyAlignment="1">
      <alignment vertical="center"/>
    </xf>
    <xf numFmtId="0" fontId="48" fillId="3" borderId="0" xfId="0" applyFont="1" applyFill="1" applyAlignment="1">
      <alignment vertical="center"/>
    </xf>
    <xf numFmtId="0" fontId="48" fillId="10" borderId="0" xfId="0" applyFont="1" applyFill="1" applyAlignment="1">
      <alignment vertical="center"/>
    </xf>
    <xf numFmtId="0" fontId="14" fillId="11" borderId="0" xfId="0" applyFont="1" applyFill="1" applyAlignment="1">
      <alignment vertical="center"/>
    </xf>
    <xf numFmtId="0" fontId="14" fillId="0" borderId="0" xfId="0" applyFont="1" applyFill="1" applyAlignment="1">
      <alignment vertical="center"/>
    </xf>
    <xf numFmtId="0" fontId="14" fillId="12" borderId="0" xfId="0" applyFont="1" applyFill="1" applyAlignment="1">
      <alignment vertical="center"/>
    </xf>
    <xf numFmtId="0" fontId="14" fillId="13" borderId="0" xfId="0" applyFont="1" applyFill="1" applyAlignment="1">
      <alignment vertical="center"/>
    </xf>
    <xf numFmtId="0" fontId="14" fillId="14" borderId="0" xfId="0" applyFont="1" applyFill="1" applyAlignment="1">
      <alignment vertical="center"/>
    </xf>
    <xf numFmtId="0" fontId="14" fillId="10" borderId="0" xfId="0" applyFont="1" applyFill="1" applyAlignment="1">
      <alignment vertical="center"/>
    </xf>
    <xf numFmtId="0" fontId="49" fillId="0" borderId="0" xfId="0" applyFont="1" applyFill="1" applyAlignment="1">
      <alignment vertical="center"/>
    </xf>
    <xf numFmtId="0" fontId="49" fillId="3" borderId="0" xfId="0" applyFont="1" applyFill="1" applyAlignment="1">
      <alignment vertical="center"/>
    </xf>
    <xf numFmtId="183" fontId="50" fillId="15" borderId="0" xfId="60" applyNumberFormat="1" applyFont="1" applyFill="1" applyAlignment="1" applyProtection="1">
      <alignment horizontal="center"/>
    </xf>
    <xf numFmtId="183" fontId="26" fillId="15" borderId="0" xfId="60" applyNumberFormat="1" applyFont="1" applyFill="1" applyAlignment="1" applyProtection="1">
      <alignment horizontal="center"/>
    </xf>
    <xf numFmtId="183" fontId="26" fillId="15" borderId="104" xfId="60" applyNumberFormat="1" applyFont="1" applyFill="1" applyBorder="1" applyAlignment="1" applyProtection="1">
      <alignment horizontal="center" wrapText="1"/>
    </xf>
    <xf numFmtId="0" fontId="51" fillId="3" borderId="0" xfId="0" applyFont="1" applyFill="1" applyAlignment="1">
      <alignment horizontal="center" vertical="center"/>
    </xf>
    <xf numFmtId="0" fontId="20" fillId="16" borderId="105" xfId="0" applyFont="1" applyFill="1" applyBorder="1" applyAlignment="1">
      <alignment horizontal="left" vertical="center" wrapText="1"/>
    </xf>
    <xf numFmtId="0" fontId="20" fillId="17" borderId="106" xfId="0" applyFont="1" applyFill="1" applyBorder="1" applyAlignment="1">
      <alignment horizontal="center" vertical="center"/>
    </xf>
    <xf numFmtId="0" fontId="20" fillId="18" borderId="106" xfId="0" applyFont="1" applyFill="1" applyBorder="1" applyAlignment="1">
      <alignment horizontal="center" vertical="center" wrapText="1"/>
    </xf>
    <xf numFmtId="0" fontId="20" fillId="19" borderId="107" xfId="0" applyFont="1" applyFill="1" applyBorder="1" applyAlignment="1">
      <alignment horizontal="center" vertical="center" wrapText="1"/>
    </xf>
    <xf numFmtId="0" fontId="47" fillId="3" borderId="0" xfId="0" applyFont="1" applyFill="1" applyAlignment="1">
      <alignment horizontal="left" vertical="top" wrapText="1"/>
    </xf>
    <xf numFmtId="0" fontId="20" fillId="16" borderId="108" xfId="0" applyFont="1" applyFill="1" applyBorder="1" applyAlignment="1">
      <alignment horizontal="left" vertical="center" wrapText="1"/>
    </xf>
    <xf numFmtId="0" fontId="20" fillId="17" borderId="109" xfId="0" applyFont="1" applyFill="1" applyBorder="1" applyAlignment="1">
      <alignment horizontal="center" vertical="center" wrapText="1"/>
    </xf>
    <xf numFmtId="0" fontId="20" fillId="18" borderId="109" xfId="0" applyFont="1" applyFill="1" applyBorder="1" applyAlignment="1">
      <alignment horizontal="center" vertical="center" wrapText="1"/>
    </xf>
    <xf numFmtId="0" fontId="20" fillId="19" borderId="110" xfId="0" applyFont="1" applyFill="1" applyBorder="1" applyAlignment="1">
      <alignment horizontal="center" vertical="center" wrapText="1"/>
    </xf>
    <xf numFmtId="2" fontId="24" fillId="0" borderId="108" xfId="0" applyNumberFormat="1" applyFont="1" applyFill="1" applyBorder="1" applyAlignment="1" applyProtection="1">
      <alignment horizontal="left" vertical="center" wrapText="1"/>
    </xf>
    <xf numFmtId="0" fontId="24" fillId="0" borderId="109" xfId="0" applyFont="1" applyFill="1" applyBorder="1" applyAlignment="1" applyProtection="1">
      <alignment horizontal="center" vertical="center"/>
    </xf>
    <xf numFmtId="2" fontId="24" fillId="0" borderId="111" xfId="0" applyNumberFormat="1" applyFont="1" applyFill="1" applyBorder="1" applyAlignment="1" applyProtection="1">
      <alignment horizontal="left" vertical="center" wrapText="1"/>
    </xf>
    <xf numFmtId="0" fontId="24" fillId="0" borderId="111" xfId="0" applyFont="1" applyFill="1" applyBorder="1" applyAlignment="1" applyProtection="1">
      <alignment horizontal="left" vertical="center" wrapText="1"/>
    </xf>
    <xf numFmtId="0" fontId="24" fillId="0" borderId="110" xfId="0" applyFont="1" applyFill="1" applyBorder="1" applyAlignment="1" applyProtection="1">
      <alignment horizontal="center" vertical="center"/>
    </xf>
    <xf numFmtId="0" fontId="48" fillId="3" borderId="0" xfId="0" applyFont="1" applyFill="1" applyAlignment="1">
      <alignment horizontal="left" vertical="top" wrapText="1"/>
    </xf>
    <xf numFmtId="2" fontId="24" fillId="10" borderId="108" xfId="0" applyNumberFormat="1" applyFont="1" applyFill="1" applyBorder="1" applyAlignment="1" applyProtection="1">
      <alignment horizontal="left" vertical="center" wrapText="1"/>
    </xf>
    <xf numFmtId="0" fontId="24" fillId="10" borderId="109" xfId="0" applyFont="1" applyFill="1" applyBorder="1" applyAlignment="1" applyProtection="1">
      <alignment horizontal="center" vertical="center"/>
    </xf>
    <xf numFmtId="2" fontId="24" fillId="0" borderId="112" xfId="0" applyNumberFormat="1" applyFont="1" applyFill="1" applyBorder="1" applyAlignment="1" applyProtection="1">
      <alignment horizontal="left" vertical="center" wrapText="1"/>
    </xf>
    <xf numFmtId="0" fontId="24" fillId="0" borderId="112" xfId="0" applyFont="1" applyFill="1" applyBorder="1" applyAlignment="1" applyProtection="1">
      <alignment horizontal="left" vertical="center" wrapText="1"/>
    </xf>
    <xf numFmtId="0" fontId="24" fillId="10" borderId="110" xfId="0" applyFont="1" applyFill="1" applyBorder="1" applyAlignment="1" applyProtection="1">
      <alignment horizontal="center" vertical="center"/>
    </xf>
    <xf numFmtId="0" fontId="48" fillId="10" borderId="0" xfId="0" applyFont="1" applyFill="1" applyAlignment="1">
      <alignment horizontal="left" vertical="top" wrapText="1"/>
    </xf>
    <xf numFmtId="2" fontId="24" fillId="11" borderId="108" xfId="0" applyNumberFormat="1" applyFont="1" applyFill="1" applyBorder="1" applyAlignment="1" applyProtection="1">
      <alignment horizontal="left" vertical="center" wrapText="1"/>
    </xf>
    <xf numFmtId="0" fontId="24" fillId="11" borderId="109" xfId="0" applyFont="1" applyFill="1" applyBorder="1" applyAlignment="1" applyProtection="1">
      <alignment horizontal="center" vertical="center"/>
    </xf>
    <xf numFmtId="0" fontId="24" fillId="11" borderId="110" xfId="0" applyFont="1" applyFill="1" applyBorder="1" applyAlignment="1" applyProtection="1">
      <alignment horizontal="center" vertical="center"/>
    </xf>
    <xf numFmtId="2" fontId="24" fillId="12" borderId="108" xfId="0" applyNumberFormat="1" applyFont="1" applyFill="1" applyBorder="1" applyAlignment="1" applyProtection="1">
      <alignment horizontal="left" vertical="center" wrapText="1"/>
    </xf>
    <xf numFmtId="0" fontId="24" fillId="12" borderId="109" xfId="0" applyFont="1" applyFill="1" applyBorder="1" applyAlignment="1" applyProtection="1">
      <alignment horizontal="center" vertical="center"/>
    </xf>
    <xf numFmtId="0" fontId="24" fillId="12" borderId="110" xfId="0" applyFont="1" applyFill="1" applyBorder="1" applyAlignment="1" applyProtection="1">
      <alignment horizontal="center" vertical="center"/>
    </xf>
    <xf numFmtId="2" fontId="24" fillId="13" borderId="113" xfId="0" applyNumberFormat="1" applyFont="1" applyFill="1" applyBorder="1" applyAlignment="1" applyProtection="1">
      <alignment horizontal="left" vertical="center" wrapText="1"/>
    </xf>
    <xf numFmtId="0" fontId="24" fillId="13" borderId="109" xfId="0" applyFont="1" applyFill="1" applyBorder="1" applyAlignment="1" applyProtection="1">
      <alignment horizontal="center" vertical="center"/>
    </xf>
    <xf numFmtId="0" fontId="24" fillId="13" borderId="111" xfId="0" applyFont="1" applyFill="1" applyBorder="1" applyAlignment="1" applyProtection="1">
      <alignment horizontal="center" vertical="center"/>
    </xf>
    <xf numFmtId="0" fontId="24" fillId="13" borderId="110" xfId="0" applyFont="1" applyFill="1" applyBorder="1" applyAlignment="1" applyProtection="1">
      <alignment horizontal="center" vertical="center"/>
    </xf>
    <xf numFmtId="2" fontId="24" fillId="0" borderId="113" xfId="0" applyNumberFormat="1" applyFont="1" applyFill="1" applyBorder="1" applyAlignment="1" applyProtection="1">
      <alignment horizontal="left" vertical="center" wrapText="1"/>
    </xf>
    <xf numFmtId="0" fontId="24" fillId="0" borderId="114" xfId="0" applyFont="1" applyFill="1" applyBorder="1" applyAlignment="1" applyProtection="1">
      <alignment horizontal="center" vertical="center"/>
    </xf>
    <xf numFmtId="2" fontId="24" fillId="14" borderId="113" xfId="0" applyNumberFormat="1" applyFont="1" applyFill="1" applyBorder="1" applyAlignment="1" applyProtection="1">
      <alignment horizontal="left" vertical="center" wrapText="1"/>
    </xf>
    <xf numFmtId="0" fontId="24" fillId="14" borderId="109" xfId="0" applyFont="1" applyFill="1" applyBorder="1" applyAlignment="1" applyProtection="1">
      <alignment horizontal="center" vertical="center"/>
    </xf>
    <xf numFmtId="0" fontId="24" fillId="14" borderId="111" xfId="0" applyFont="1" applyFill="1" applyBorder="1" applyAlignment="1" applyProtection="1">
      <alignment horizontal="center" vertical="center"/>
    </xf>
    <xf numFmtId="0" fontId="24" fillId="14" borderId="114" xfId="0" applyFont="1" applyFill="1" applyBorder="1" applyAlignment="1" applyProtection="1">
      <alignment horizontal="center" vertical="center"/>
    </xf>
    <xf numFmtId="2" fontId="24" fillId="3" borderId="113" xfId="0" applyNumberFormat="1" applyFont="1" applyFill="1" applyBorder="1" applyAlignment="1" applyProtection="1">
      <alignment horizontal="left" vertical="center" wrapText="1"/>
    </xf>
    <xf numFmtId="0" fontId="24" fillId="3" borderId="111" xfId="0" applyFont="1" applyFill="1" applyBorder="1" applyAlignment="1" applyProtection="1">
      <alignment horizontal="center" vertical="center"/>
    </xf>
    <xf numFmtId="0" fontId="24" fillId="3" borderId="114" xfId="0" applyFont="1" applyFill="1" applyBorder="1" applyAlignment="1" applyProtection="1">
      <alignment horizontal="center" vertical="center"/>
    </xf>
    <xf numFmtId="2" fontId="24" fillId="10" borderId="113" xfId="0" applyNumberFormat="1" applyFont="1" applyFill="1" applyBorder="1" applyAlignment="1" applyProtection="1">
      <alignment horizontal="left" vertical="center" wrapText="1"/>
    </xf>
    <xf numFmtId="0" fontId="24" fillId="10" borderId="111" xfId="0" applyFont="1" applyFill="1" applyBorder="1" applyAlignment="1" applyProtection="1">
      <alignment horizontal="center" vertical="center"/>
    </xf>
    <xf numFmtId="0" fontId="24" fillId="10" borderId="114" xfId="0" applyFont="1" applyFill="1" applyBorder="1" applyAlignment="1" applyProtection="1">
      <alignment horizontal="center" vertical="center"/>
    </xf>
    <xf numFmtId="2" fontId="24" fillId="0" borderId="115" xfId="0" applyNumberFormat="1" applyFont="1" applyFill="1" applyBorder="1" applyAlignment="1" applyProtection="1">
      <alignment horizontal="left" vertical="center" wrapText="1"/>
    </xf>
    <xf numFmtId="0" fontId="24" fillId="0" borderId="116" xfId="0" applyFont="1" applyFill="1" applyBorder="1" applyAlignment="1" applyProtection="1">
      <alignment horizontal="center" vertical="center" wrapText="1"/>
    </xf>
    <xf numFmtId="0" fontId="24" fillId="0" borderId="117" xfId="0" applyFont="1" applyFill="1" applyBorder="1" applyAlignment="1" applyProtection="1">
      <alignment horizontal="center" vertical="center" wrapText="1"/>
    </xf>
    <xf numFmtId="0" fontId="24" fillId="0" borderId="118" xfId="0" applyFont="1" applyFill="1" applyBorder="1" applyAlignment="1" applyProtection="1">
      <alignment horizontal="center" vertical="center" wrapText="1"/>
    </xf>
    <xf numFmtId="0" fontId="52" fillId="16" borderId="119" xfId="0" applyNumberFormat="1" applyFont="1" applyFill="1" applyBorder="1" applyAlignment="1">
      <alignment horizontal="left" vertical="center" wrapText="1"/>
    </xf>
    <xf numFmtId="0" fontId="52" fillId="16" borderId="120" xfId="0" applyNumberFormat="1" applyFont="1" applyFill="1" applyBorder="1" applyAlignment="1">
      <alignment horizontal="left" vertical="center" wrapText="1"/>
    </xf>
    <xf numFmtId="0" fontId="52" fillId="16" borderId="121" xfId="0" applyNumberFormat="1" applyFont="1" applyFill="1" applyBorder="1" applyAlignment="1">
      <alignment horizontal="left" vertical="center" wrapText="1"/>
    </xf>
    <xf numFmtId="2" fontId="53" fillId="0" borderId="108" xfId="0" applyNumberFormat="1" applyFont="1" applyFill="1" applyBorder="1" applyAlignment="1" applyProtection="1">
      <alignment horizontal="left" vertical="center" wrapText="1"/>
    </xf>
    <xf numFmtId="2" fontId="53" fillId="0" borderId="109" xfId="0" applyNumberFormat="1" applyFont="1" applyFill="1" applyBorder="1" applyAlignment="1" applyProtection="1">
      <alignment horizontal="left" vertical="center" wrapText="1"/>
    </xf>
    <xf numFmtId="2" fontId="53" fillId="0" borderId="110" xfId="0" applyNumberFormat="1" applyFont="1" applyFill="1" applyBorder="1" applyAlignment="1" applyProtection="1">
      <alignment horizontal="left" vertical="center" wrapText="1"/>
    </xf>
    <xf numFmtId="2" fontId="53" fillId="0" borderId="115" xfId="0" applyNumberFormat="1" applyFont="1" applyFill="1" applyBorder="1" applyAlignment="1" applyProtection="1">
      <alignment horizontal="left" vertical="center" wrapText="1"/>
    </xf>
    <xf numFmtId="2" fontId="53" fillId="0" borderId="122" xfId="0" applyNumberFormat="1" applyFont="1" applyFill="1" applyBorder="1" applyAlignment="1" applyProtection="1">
      <alignment horizontal="left" vertical="center" wrapText="1"/>
    </xf>
    <xf numFmtId="2" fontId="53" fillId="0" borderId="123" xfId="0" applyNumberFormat="1" applyFont="1" applyFill="1" applyBorder="1" applyAlignment="1" applyProtection="1">
      <alignment horizontal="left" vertical="center" wrapText="1"/>
    </xf>
    <xf numFmtId="0" fontId="53" fillId="3" borderId="108" xfId="0" applyNumberFormat="1" applyFont="1" applyFill="1" applyBorder="1" applyAlignment="1">
      <alignment horizontal="left" vertical="center" wrapText="1"/>
    </xf>
    <xf numFmtId="0" fontId="53" fillId="3" borderId="109" xfId="0" applyNumberFormat="1" applyFont="1" applyFill="1" applyBorder="1" applyAlignment="1">
      <alignment horizontal="left" vertical="center" wrapText="1"/>
    </xf>
    <xf numFmtId="0" fontId="53" fillId="3" borderId="110" xfId="0" applyNumberFormat="1" applyFont="1" applyFill="1" applyBorder="1" applyAlignment="1">
      <alignment horizontal="left" vertical="center" wrapText="1"/>
    </xf>
    <xf numFmtId="0" fontId="54" fillId="3" borderId="108" xfId="0" applyNumberFormat="1" applyFont="1" applyFill="1" applyBorder="1" applyAlignment="1">
      <alignment horizontal="left" vertical="center" wrapText="1"/>
    </xf>
    <xf numFmtId="0" fontId="54" fillId="3" borderId="109" xfId="0" applyNumberFormat="1" applyFont="1" applyFill="1" applyBorder="1" applyAlignment="1">
      <alignment horizontal="left" vertical="center" wrapText="1"/>
    </xf>
    <xf numFmtId="0" fontId="54" fillId="3" borderId="110" xfId="0" applyNumberFormat="1" applyFont="1" applyFill="1" applyBorder="1" applyAlignment="1">
      <alignment horizontal="left" vertical="center" wrapText="1"/>
    </xf>
    <xf numFmtId="0" fontId="52" fillId="16" borderId="105" xfId="0" applyNumberFormat="1" applyFont="1" applyFill="1" applyBorder="1" applyAlignment="1">
      <alignment horizontal="left" vertical="center" wrapText="1"/>
    </xf>
    <xf numFmtId="0" fontId="52" fillId="16" borderId="106" xfId="0" applyNumberFormat="1" applyFont="1" applyFill="1" applyBorder="1" applyAlignment="1">
      <alignment horizontal="left" vertical="center" wrapText="1"/>
    </xf>
    <xf numFmtId="0" fontId="52" fillId="16" borderId="107" xfId="0" applyNumberFormat="1" applyFont="1" applyFill="1" applyBorder="1" applyAlignment="1">
      <alignment horizontal="left" vertical="center" wrapText="1"/>
    </xf>
    <xf numFmtId="0" fontId="53" fillId="3" borderId="108" xfId="0" applyFont="1" applyFill="1" applyBorder="1" applyAlignment="1">
      <alignment horizontal="left" vertical="center" wrapText="1"/>
    </xf>
    <xf numFmtId="0" fontId="53" fillId="3" borderId="109" xfId="0" applyFont="1" applyFill="1" applyBorder="1" applyAlignment="1">
      <alignment horizontal="left" vertical="center" wrapText="1"/>
    </xf>
    <xf numFmtId="0" fontId="53" fillId="3" borderId="110" xfId="0" applyFont="1" applyFill="1" applyBorder="1" applyAlignment="1">
      <alignment horizontal="left" vertical="center" wrapText="1"/>
    </xf>
    <xf numFmtId="0" fontId="53" fillId="3" borderId="115" xfId="0" applyFont="1" applyFill="1" applyBorder="1" applyAlignment="1">
      <alignment horizontal="left" vertical="center" wrapText="1"/>
    </xf>
    <xf numFmtId="0" fontId="53" fillId="3" borderId="122" xfId="0" applyFont="1" applyFill="1" applyBorder="1" applyAlignment="1">
      <alignment horizontal="left" vertical="center" wrapText="1"/>
    </xf>
    <xf numFmtId="0" fontId="53" fillId="3" borderId="123" xfId="0" applyFont="1" applyFill="1" applyBorder="1" applyAlignment="1">
      <alignment horizontal="left" vertical="center" wrapText="1"/>
    </xf>
    <xf numFmtId="0" fontId="55" fillId="3" borderId="113" xfId="6" applyNumberFormat="1" applyFont="1" applyFill="1" applyBorder="1" applyAlignment="1">
      <alignment horizontal="left" vertical="center" wrapText="1"/>
    </xf>
    <xf numFmtId="0" fontId="55" fillId="3" borderId="111" xfId="6" applyNumberFormat="1" applyFont="1" applyFill="1" applyBorder="1" applyAlignment="1">
      <alignment horizontal="left" vertical="center" wrapText="1"/>
    </xf>
    <xf numFmtId="0" fontId="55" fillId="3" borderId="114" xfId="6" applyNumberFormat="1" applyFont="1" applyFill="1" applyBorder="1" applyAlignment="1">
      <alignment horizontal="left" vertical="center" wrapText="1"/>
    </xf>
    <xf numFmtId="0" fontId="56" fillId="3" borderId="108" xfId="57" applyNumberFormat="1" applyFont="1" applyFill="1" applyBorder="1" applyAlignment="1">
      <alignment horizontal="left" vertical="center" wrapText="1"/>
    </xf>
    <xf numFmtId="0" fontId="54" fillId="3" borderId="109" xfId="57" applyNumberFormat="1" applyFont="1" applyFill="1" applyBorder="1" applyAlignment="1">
      <alignment horizontal="left" vertical="center" wrapText="1"/>
    </xf>
    <xf numFmtId="0" fontId="54" fillId="3" borderId="110" xfId="57" applyNumberFormat="1" applyFont="1" applyFill="1" applyBorder="1" applyAlignment="1">
      <alignment horizontal="left" vertical="center" wrapText="1"/>
    </xf>
    <xf numFmtId="0" fontId="56" fillId="3" borderId="115" xfId="57" applyNumberFormat="1" applyFont="1" applyFill="1" applyBorder="1" applyAlignment="1">
      <alignment horizontal="left" vertical="center" wrapText="1"/>
    </xf>
    <xf numFmtId="0" fontId="54" fillId="3" borderId="122" xfId="57" applyNumberFormat="1" applyFont="1" applyFill="1" applyBorder="1" applyAlignment="1">
      <alignment horizontal="left" vertical="center" wrapText="1"/>
    </xf>
    <xf numFmtId="0" fontId="54" fillId="3" borderId="123" xfId="57" applyNumberFormat="1" applyFont="1" applyFill="1" applyBorder="1" applyAlignment="1">
      <alignment horizontal="left" vertical="center" wrapText="1"/>
    </xf>
    <xf numFmtId="185" fontId="53" fillId="15" borderId="108" xfId="0" applyNumberFormat="1" applyFont="1" applyFill="1" applyBorder="1" applyAlignment="1">
      <alignment horizontal="left" vertical="center" wrapText="1"/>
    </xf>
    <xf numFmtId="185" fontId="53" fillId="15" borderId="109" xfId="0" applyNumberFormat="1" applyFont="1" applyFill="1" applyBorder="1" applyAlignment="1">
      <alignment horizontal="left" vertical="center" wrapText="1"/>
    </xf>
    <xf numFmtId="185" fontId="53" fillId="15" borderId="110" xfId="0" applyNumberFormat="1" applyFont="1" applyFill="1" applyBorder="1" applyAlignment="1">
      <alignment horizontal="left" vertical="center" wrapText="1"/>
    </xf>
    <xf numFmtId="0" fontId="54" fillId="0" borderId="108" xfId="0" applyNumberFormat="1" applyFont="1" applyFill="1" applyBorder="1" applyAlignment="1">
      <alignment horizontal="left" vertical="center" wrapText="1"/>
    </xf>
    <xf numFmtId="0" fontId="54" fillId="0" borderId="109" xfId="0" applyNumberFormat="1" applyFont="1" applyFill="1" applyBorder="1" applyAlignment="1">
      <alignment horizontal="left" vertical="center" wrapText="1"/>
    </xf>
    <xf numFmtId="0" fontId="54" fillId="0" borderId="110" xfId="0" applyNumberFormat="1" applyFont="1" applyFill="1" applyBorder="1" applyAlignment="1">
      <alignment horizontal="left" vertical="center" wrapText="1"/>
    </xf>
    <xf numFmtId="0" fontId="49" fillId="0" borderId="115" xfId="0" applyNumberFormat="1" applyFont="1" applyFill="1" applyBorder="1" applyAlignment="1">
      <alignment horizontal="left" vertical="center" wrapText="1"/>
    </xf>
    <xf numFmtId="0" fontId="49" fillId="0" borderId="122" xfId="0" applyNumberFormat="1" applyFont="1" applyFill="1" applyBorder="1" applyAlignment="1">
      <alignment horizontal="left" vertical="center" wrapText="1"/>
    </xf>
    <xf numFmtId="0" fontId="49" fillId="0" borderId="123" xfId="0" applyNumberFormat="1" applyFont="1" applyFill="1" applyBorder="1" applyAlignment="1">
      <alignment horizontal="left" vertical="center" wrapText="1"/>
    </xf>
    <xf numFmtId="0" fontId="24" fillId="12" borderId="109" xfId="0" applyNumberFormat="1" applyFont="1" applyFill="1" applyBorder="1" applyAlignment="1" applyProtection="1">
      <alignment horizontal="center" vertical="center"/>
    </xf>
    <xf numFmtId="2" fontId="24" fillId="13" borderId="112" xfId="0" applyNumberFormat="1" applyFont="1" applyFill="1" applyBorder="1" applyAlignment="1" applyProtection="1">
      <alignment horizontal="left" vertical="center" wrapText="1"/>
    </xf>
    <xf numFmtId="0" fontId="24" fillId="13" borderId="112" xfId="0" applyFont="1" applyFill="1" applyBorder="1" applyAlignment="1" applyProtection="1">
      <alignment horizontal="left" vertical="center" wrapText="1"/>
    </xf>
    <xf numFmtId="0" fontId="24" fillId="0" borderId="111" xfId="0" applyFont="1" applyFill="1" applyBorder="1" applyAlignment="1" applyProtection="1">
      <alignment horizontal="center" vertical="center"/>
    </xf>
    <xf numFmtId="2" fontId="24" fillId="14" borderId="112" xfId="0" applyNumberFormat="1" applyFont="1" applyFill="1" applyBorder="1" applyAlignment="1" applyProtection="1">
      <alignment horizontal="left" vertical="center" wrapText="1"/>
    </xf>
    <xf numFmtId="0" fontId="24" fillId="14" borderId="112" xfId="0" applyFont="1" applyFill="1" applyBorder="1" applyAlignment="1" applyProtection="1">
      <alignment horizontal="left" vertical="center" wrapText="1"/>
    </xf>
    <xf numFmtId="0" fontId="57" fillId="16" borderId="124" xfId="0" applyFont="1" applyFill="1" applyBorder="1" applyAlignment="1">
      <alignment horizontal="left" vertical="center" wrapText="1"/>
    </xf>
    <xf numFmtId="0" fontId="57" fillId="17" borderId="125" xfId="0" applyFont="1" applyFill="1" applyBorder="1" applyAlignment="1">
      <alignment horizontal="center" vertical="center"/>
    </xf>
    <xf numFmtId="0" fontId="57" fillId="17" borderId="126" xfId="0" applyFont="1" applyFill="1" applyBorder="1" applyAlignment="1">
      <alignment horizontal="center" vertical="center"/>
    </xf>
    <xf numFmtId="0" fontId="57" fillId="17" borderId="127" xfId="0" applyFont="1" applyFill="1" applyBorder="1" applyAlignment="1">
      <alignment horizontal="center" vertical="center"/>
    </xf>
    <xf numFmtId="0" fontId="57" fillId="20" borderId="106" xfId="0" applyFont="1" applyFill="1" applyBorder="1" applyAlignment="1">
      <alignment horizontal="center" vertical="center" wrapText="1"/>
    </xf>
    <xf numFmtId="0" fontId="57" fillId="21" borderId="125" xfId="0" applyFont="1" applyFill="1" applyBorder="1" applyAlignment="1">
      <alignment horizontal="center" vertical="center" wrapText="1"/>
    </xf>
    <xf numFmtId="0" fontId="57" fillId="21" borderId="128" xfId="0" applyFont="1" applyFill="1" applyBorder="1" applyAlignment="1">
      <alignment horizontal="center" vertical="center" wrapText="1"/>
    </xf>
    <xf numFmtId="0" fontId="57" fillId="16" borderId="129" xfId="0" applyFont="1" applyFill="1" applyBorder="1" applyAlignment="1">
      <alignment horizontal="left" vertical="center" wrapText="1"/>
    </xf>
    <xf numFmtId="0" fontId="57" fillId="17" borderId="109" xfId="0" applyFont="1" applyFill="1" applyBorder="1" applyAlignment="1">
      <alignment horizontal="center" vertical="center" wrapText="1"/>
    </xf>
    <xf numFmtId="0" fontId="57" fillId="20" borderId="109" xfId="0" applyFont="1" applyFill="1" applyBorder="1" applyAlignment="1">
      <alignment horizontal="center" vertical="center" wrapText="1"/>
    </xf>
    <xf numFmtId="0" fontId="57" fillId="21" borderId="109" xfId="0" applyFont="1" applyFill="1" applyBorder="1" applyAlignment="1">
      <alignment horizontal="center" vertical="center" wrapText="1"/>
    </xf>
    <xf numFmtId="0" fontId="57" fillId="21" borderId="110" xfId="0" applyFont="1" applyFill="1" applyBorder="1" applyAlignment="1">
      <alignment horizontal="center" vertical="center" wrapText="1"/>
    </xf>
    <xf numFmtId="0" fontId="58" fillId="0" borderId="108" xfId="0" applyNumberFormat="1" applyFont="1" applyFill="1" applyBorder="1" applyAlignment="1">
      <alignment horizontal="left" vertical="center" wrapText="1"/>
    </xf>
    <xf numFmtId="0" fontId="24" fillId="0" borderId="109" xfId="0" applyFont="1" applyFill="1" applyBorder="1" applyAlignment="1" applyProtection="1">
      <alignment horizontal="center" vertical="center" wrapText="1"/>
    </xf>
    <xf numFmtId="0" fontId="58" fillId="0" borderId="109" xfId="0" applyNumberFormat="1" applyFont="1" applyFill="1" applyBorder="1" applyAlignment="1">
      <alignment horizontal="center" vertical="center" wrapText="1"/>
    </xf>
    <xf numFmtId="0" fontId="53" fillId="0" borderId="109" xfId="0" applyFont="1" applyFill="1" applyBorder="1" applyAlignment="1" applyProtection="1">
      <alignment horizontal="left" vertical="center" wrapText="1"/>
    </xf>
    <xf numFmtId="0" fontId="24" fillId="0" borderId="114" xfId="0" applyFont="1" applyFill="1" applyBorder="1" applyAlignment="1" applyProtection="1">
      <alignment horizontal="left" vertical="center" wrapText="1"/>
    </xf>
    <xf numFmtId="0" fontId="58" fillId="10" borderId="108" xfId="0" applyNumberFormat="1" applyFont="1" applyFill="1" applyBorder="1" applyAlignment="1">
      <alignment horizontal="left" vertical="center" wrapText="1"/>
    </xf>
    <xf numFmtId="0" fontId="58" fillId="10" borderId="109" xfId="0" applyNumberFormat="1" applyFont="1" applyFill="1" applyBorder="1" applyAlignment="1">
      <alignment horizontal="center" vertical="center" wrapText="1"/>
    </xf>
    <xf numFmtId="0" fontId="24" fillId="0" borderId="130" xfId="0" applyFont="1" applyFill="1" applyBorder="1" applyAlignment="1" applyProtection="1">
      <alignment horizontal="left" vertical="center" wrapText="1"/>
    </xf>
    <xf numFmtId="0" fontId="58" fillId="11" borderId="108" xfId="0" applyNumberFormat="1" applyFont="1" applyFill="1" applyBorder="1" applyAlignment="1">
      <alignment horizontal="left" vertical="center" wrapText="1"/>
    </xf>
    <xf numFmtId="0" fontId="58" fillId="11" borderId="109" xfId="0" applyNumberFormat="1" applyFont="1" applyFill="1" applyBorder="1" applyAlignment="1">
      <alignment horizontal="center" vertical="center" wrapText="1"/>
    </xf>
    <xf numFmtId="0" fontId="48" fillId="11" borderId="0" xfId="0" applyFont="1" applyFill="1" applyAlignment="1">
      <alignment vertical="center"/>
    </xf>
    <xf numFmtId="0" fontId="58" fillId="13" borderId="108" xfId="0" applyNumberFormat="1" applyFont="1" applyFill="1" applyBorder="1" applyAlignment="1">
      <alignment horizontal="left" vertical="center" wrapText="1"/>
    </xf>
    <xf numFmtId="0" fontId="58" fillId="13" borderId="109" xfId="0" applyNumberFormat="1" applyFont="1" applyFill="1" applyBorder="1" applyAlignment="1">
      <alignment horizontal="center" vertical="center" wrapText="1"/>
    </xf>
    <xf numFmtId="0" fontId="48" fillId="13" borderId="0" xfId="0" applyFont="1" applyFill="1" applyAlignment="1">
      <alignment vertical="center"/>
    </xf>
    <xf numFmtId="0" fontId="58" fillId="3" borderId="108" xfId="0" applyNumberFormat="1" applyFont="1" applyFill="1" applyBorder="1" applyAlignment="1">
      <alignment horizontal="left" vertical="center" wrapText="1"/>
    </xf>
    <xf numFmtId="0" fontId="24" fillId="3" borderId="109" xfId="0" applyFont="1" applyFill="1" applyBorder="1" applyAlignment="1" applyProtection="1">
      <alignment horizontal="center" vertical="center"/>
    </xf>
    <xf numFmtId="0" fontId="58" fillId="3" borderId="109" xfId="0" applyNumberFormat="1" applyFont="1" applyFill="1" applyBorder="1" applyAlignment="1">
      <alignment horizontal="center" vertical="center" wrapText="1"/>
    </xf>
    <xf numFmtId="0" fontId="53" fillId="3" borderId="109" xfId="0" applyFont="1" applyFill="1" applyBorder="1" applyAlignment="1" applyProtection="1">
      <alignment horizontal="left" vertical="center" wrapText="1"/>
    </xf>
    <xf numFmtId="0" fontId="58" fillId="12" borderId="108" xfId="0" applyNumberFormat="1" applyFont="1" applyFill="1" applyBorder="1" applyAlignment="1">
      <alignment horizontal="left" vertical="center" wrapText="1"/>
    </xf>
    <xf numFmtId="0" fontId="58" fillId="12" borderId="109" xfId="0" applyNumberFormat="1" applyFont="1" applyFill="1" applyBorder="1" applyAlignment="1">
      <alignment horizontal="center" vertical="center" wrapText="1"/>
    </xf>
    <xf numFmtId="0" fontId="53" fillId="12" borderId="109" xfId="0" applyFont="1" applyFill="1" applyBorder="1" applyAlignment="1" applyProtection="1">
      <alignment horizontal="left" vertical="center" wrapText="1"/>
    </xf>
    <xf numFmtId="0" fontId="48" fillId="12" borderId="0" xfId="0" applyFont="1" applyFill="1" applyAlignment="1">
      <alignment vertical="center"/>
    </xf>
    <xf numFmtId="0" fontId="24" fillId="0" borderId="120" xfId="0" applyFont="1" applyFill="1" applyBorder="1" applyAlignment="1" applyProtection="1">
      <alignment horizontal="left" vertical="center" wrapText="1"/>
    </xf>
    <xf numFmtId="0" fontId="53" fillId="11" borderId="109" xfId="0" applyFont="1" applyFill="1" applyBorder="1" applyAlignment="1" applyProtection="1">
      <alignment horizontal="left" vertical="center" wrapText="1"/>
    </xf>
    <xf numFmtId="0" fontId="24" fillId="0" borderId="121" xfId="0" applyFont="1" applyFill="1" applyBorder="1" applyAlignment="1" applyProtection="1">
      <alignment horizontal="left" vertical="center" wrapText="1"/>
    </xf>
    <xf numFmtId="0" fontId="54" fillId="3" borderId="131" xfId="0" applyNumberFormat="1" applyFont="1" applyFill="1" applyBorder="1" applyAlignment="1">
      <alignment horizontal="left" vertical="center" wrapText="1"/>
    </xf>
    <xf numFmtId="0" fontId="54" fillId="3" borderId="132" xfId="0" applyNumberFormat="1" applyFont="1" applyFill="1" applyBorder="1" applyAlignment="1">
      <alignment horizontal="left" vertical="center" wrapText="1"/>
    </xf>
    <xf numFmtId="0" fontId="54" fillId="3" borderId="133" xfId="0" applyNumberFormat="1" applyFont="1" applyFill="1" applyBorder="1" applyAlignment="1">
      <alignment horizontal="left" vertical="center" wrapText="1"/>
    </xf>
    <xf numFmtId="0" fontId="54" fillId="3" borderId="115" xfId="0" applyNumberFormat="1" applyFont="1" applyFill="1" applyBorder="1" applyAlignment="1">
      <alignment horizontal="left" vertical="center" wrapText="1"/>
    </xf>
    <xf numFmtId="0" fontId="54" fillId="3" borderId="122" xfId="0" applyNumberFormat="1" applyFont="1" applyFill="1" applyBorder="1" applyAlignment="1">
      <alignment horizontal="left" vertical="center" wrapText="1"/>
    </xf>
    <xf numFmtId="0" fontId="54" fillId="3" borderId="123" xfId="0" applyNumberFormat="1" applyFont="1" applyFill="1" applyBorder="1" applyAlignment="1">
      <alignment horizontal="left" vertical="center" wrapText="1"/>
    </xf>
    <xf numFmtId="0" fontId="54" fillId="3" borderId="108" xfId="57" applyNumberFormat="1" applyFont="1" applyFill="1" applyBorder="1" applyAlignment="1">
      <alignment horizontal="left" vertical="center" wrapText="1"/>
    </xf>
    <xf numFmtId="0" fontId="41" fillId="0" borderId="0" xfId="0" applyNumberFormat="1" applyFont="1" applyFill="1" applyAlignment="1">
      <alignment vertical="center"/>
    </xf>
    <xf numFmtId="0" fontId="14" fillId="0" borderId="0" xfId="0" applyNumberFormat="1" applyFont="1" applyFill="1" applyBorder="1" applyAlignment="1">
      <alignment vertical="center"/>
    </xf>
    <xf numFmtId="0" fontId="42" fillId="0" borderId="0" xfId="0" applyNumberFormat="1" applyFont="1" applyFill="1" applyAlignment="1">
      <alignment vertical="center"/>
    </xf>
    <xf numFmtId="0" fontId="14" fillId="0" borderId="0" xfId="0" applyNumberFormat="1" applyFont="1" applyFill="1" applyBorder="1" applyAlignment="1">
      <alignment horizontal="center" vertical="center"/>
    </xf>
    <xf numFmtId="0" fontId="0" fillId="0" borderId="0" xfId="0" applyNumberFormat="1" applyFont="1" applyFill="1" applyBorder="1" applyAlignment="1"/>
    <xf numFmtId="0" fontId="4" fillId="3" borderId="78" xfId="60" applyNumberFormat="1" applyFont="1" applyFill="1" applyBorder="1" applyAlignment="1" applyProtection="1">
      <alignment horizontal="center" vertical="center" wrapText="1"/>
    </xf>
    <xf numFmtId="0" fontId="4" fillId="3" borderId="79" xfId="60" applyNumberFormat="1" applyFont="1" applyFill="1" applyBorder="1" applyAlignment="1" applyProtection="1">
      <alignment horizontal="center" vertical="center"/>
    </xf>
    <xf numFmtId="0" fontId="4" fillId="3" borderId="80" xfId="60" applyNumberFormat="1" applyFont="1" applyFill="1" applyBorder="1" applyAlignment="1" applyProtection="1">
      <alignment horizontal="center" vertical="center"/>
    </xf>
    <xf numFmtId="0" fontId="41" fillId="0" borderId="0" xfId="0" applyNumberFormat="1" applyFont="1" applyFill="1" applyBorder="1" applyAlignment="1">
      <alignment vertical="center"/>
    </xf>
    <xf numFmtId="0" fontId="4" fillId="3" borderId="78" xfId="60" applyNumberFormat="1" applyFont="1" applyFill="1" applyBorder="1" applyAlignment="1" applyProtection="1">
      <alignment horizontal="center" vertical="center"/>
    </xf>
    <xf numFmtId="0" fontId="4" fillId="3" borderId="134" xfId="60" applyNumberFormat="1" applyFont="1" applyFill="1" applyBorder="1" applyAlignment="1" applyProtection="1">
      <alignment horizontal="center" vertical="center"/>
    </xf>
    <xf numFmtId="0" fontId="4" fillId="3" borderId="135" xfId="60" applyNumberFormat="1" applyFont="1" applyFill="1" applyBorder="1" applyAlignment="1" applyProtection="1">
      <alignment horizontal="center" vertical="center"/>
    </xf>
    <xf numFmtId="0" fontId="4" fillId="3" borderId="100" xfId="60" applyNumberFormat="1" applyFont="1" applyFill="1" applyBorder="1" applyAlignment="1" applyProtection="1">
      <alignment horizontal="center" vertical="center"/>
    </xf>
    <xf numFmtId="0" fontId="36" fillId="0" borderId="16" xfId="60" applyNumberFormat="1" applyFont="1" applyFill="1" applyBorder="1" applyAlignment="1" applyProtection="1">
      <alignment horizontal="center" vertical="center"/>
    </xf>
    <xf numFmtId="0" fontId="36" fillId="0" borderId="0" xfId="60" applyNumberFormat="1" applyFont="1" applyFill="1" applyBorder="1" applyAlignment="1" applyProtection="1">
      <alignment horizontal="center"/>
    </xf>
    <xf numFmtId="0" fontId="36" fillId="0" borderId="17" xfId="60" applyNumberFormat="1" applyFont="1" applyFill="1" applyBorder="1" applyAlignment="1" applyProtection="1">
      <alignment horizontal="center"/>
    </xf>
    <xf numFmtId="0" fontId="5" fillId="2" borderId="84" xfId="0" applyNumberFormat="1" applyFont="1" applyFill="1" applyBorder="1" applyAlignment="1">
      <alignment horizontal="center" vertical="center" wrapText="1"/>
    </xf>
    <xf numFmtId="0" fontId="5" fillId="2" borderId="136" xfId="0" applyNumberFormat="1" applyFont="1" applyFill="1" applyBorder="1" applyAlignment="1">
      <alignment horizontal="center" vertical="center" wrapText="1"/>
    </xf>
    <xf numFmtId="0" fontId="5" fillId="2" borderId="49" xfId="0" applyNumberFormat="1" applyFont="1" applyFill="1" applyBorder="1" applyAlignment="1">
      <alignment vertical="center" wrapText="1"/>
    </xf>
    <xf numFmtId="0" fontId="42" fillId="0" borderId="0" xfId="0" applyNumberFormat="1" applyFont="1" applyFill="1" applyBorder="1" applyAlignment="1">
      <alignment vertical="center"/>
    </xf>
    <xf numFmtId="0" fontId="15" fillId="4" borderId="10" xfId="0" applyNumberFormat="1" applyFont="1" applyFill="1" applyBorder="1" applyAlignment="1">
      <alignment horizontal="center" vertical="center" wrapText="1"/>
    </xf>
    <xf numFmtId="0" fontId="5" fillId="2" borderId="137" xfId="0" applyNumberFormat="1" applyFont="1" applyFill="1" applyBorder="1" applyAlignment="1">
      <alignment horizontal="center" vertical="center" wrapText="1"/>
    </xf>
    <xf numFmtId="0" fontId="14" fillId="0" borderId="16" xfId="0" applyNumberFormat="1" applyFont="1" applyFill="1" applyBorder="1" applyAlignment="1">
      <alignment horizontal="left" vertical="center" wrapText="1"/>
    </xf>
    <xf numFmtId="0" fontId="14" fillId="0" borderId="0" xfId="0" applyNumberFormat="1" applyFont="1" applyFill="1" applyBorder="1" applyAlignment="1">
      <alignment horizontal="left" vertical="center" wrapText="1"/>
    </xf>
    <xf numFmtId="0" fontId="14" fillId="0" borderId="17" xfId="0" applyNumberFormat="1" applyFont="1" applyFill="1" applyBorder="1" applyAlignment="1">
      <alignment horizontal="left" vertical="center" wrapText="1"/>
    </xf>
    <xf numFmtId="0" fontId="5" fillId="2" borderId="102" xfId="0" applyNumberFormat="1" applyFont="1" applyFill="1" applyBorder="1" applyAlignment="1">
      <alignment horizontal="center" vertical="center" wrapText="1"/>
    </xf>
    <xf numFmtId="0" fontId="14" fillId="0" borderId="138" xfId="0" applyNumberFormat="1" applyFont="1" applyFill="1" applyBorder="1" applyAlignment="1">
      <alignment horizontal="left" vertical="center" wrapText="1"/>
    </xf>
    <xf numFmtId="0" fontId="14" fillId="0" borderId="103" xfId="0" applyNumberFormat="1" applyFont="1" applyFill="1" applyBorder="1" applyAlignment="1">
      <alignment horizontal="left" vertical="center" wrapText="1"/>
    </xf>
    <xf numFmtId="0" fontId="14" fillId="0" borderId="90" xfId="0" applyNumberFormat="1" applyFont="1" applyFill="1" applyBorder="1" applyAlignment="1">
      <alignment horizontal="left" vertical="center" wrapText="1"/>
    </xf>
    <xf numFmtId="0" fontId="59" fillId="0" borderId="0" xfId="0" applyNumberFormat="1" applyFont="1" applyFill="1" applyBorder="1" applyAlignment="1">
      <alignment vertical="center"/>
    </xf>
    <xf numFmtId="0" fontId="59" fillId="0" borderId="0" xfId="0" applyNumberFormat="1" applyFont="1" applyFill="1" applyAlignment="1">
      <alignment horizontal="center" vertical="center"/>
    </xf>
    <xf numFmtId="0" fontId="0" fillId="0" borderId="0" xfId="0" applyNumberFormat="1" applyFont="1" applyFill="1" applyAlignment="1"/>
    <xf numFmtId="0" fontId="4" fillId="3" borderId="16" xfId="60" applyNumberFormat="1" applyFont="1" applyFill="1" applyBorder="1" applyAlignment="1" applyProtection="1">
      <alignment horizontal="center" vertical="center"/>
    </xf>
    <xf numFmtId="0" fontId="4" fillId="3" borderId="0" xfId="60" applyNumberFormat="1" applyFont="1" applyFill="1" applyBorder="1" applyAlignment="1" applyProtection="1">
      <alignment horizontal="center" vertical="center"/>
    </xf>
    <xf numFmtId="0" fontId="4" fillId="3" borderId="17" xfId="60" applyNumberFormat="1" applyFont="1" applyFill="1" applyBorder="1" applyAlignment="1" applyProtection="1">
      <alignment horizontal="center" vertical="center"/>
    </xf>
    <xf numFmtId="0" fontId="4" fillId="3" borderId="0" xfId="60" applyNumberFormat="1" applyFont="1" applyFill="1" applyAlignment="1" applyProtection="1">
      <alignment horizontal="center" vertical="center"/>
    </xf>
    <xf numFmtId="0" fontId="4" fillId="3" borderId="139" xfId="60" applyNumberFormat="1" applyFont="1" applyFill="1" applyBorder="1" applyAlignment="1" applyProtection="1">
      <alignment horizontal="center" vertical="center"/>
    </xf>
    <xf numFmtId="0" fontId="36" fillId="0" borderId="140" xfId="0" applyNumberFormat="1" applyFont="1" applyFill="1" applyBorder="1" applyAlignment="1">
      <alignment horizontal="center" vertical="center"/>
    </xf>
    <xf numFmtId="0" fontId="36" fillId="0" borderId="141" xfId="0" applyNumberFormat="1" applyFont="1" applyFill="1" applyBorder="1" applyAlignment="1">
      <alignment horizontal="center" vertical="center"/>
    </xf>
    <xf numFmtId="0" fontId="36" fillId="0" borderId="142" xfId="0" applyNumberFormat="1" applyFont="1" applyFill="1" applyBorder="1" applyAlignment="1">
      <alignment horizontal="center" vertical="center"/>
    </xf>
    <xf numFmtId="0" fontId="36" fillId="0" borderId="143" xfId="0" applyNumberFormat="1" applyFont="1" applyFill="1" applyBorder="1" applyAlignment="1">
      <alignment horizontal="center" vertical="center"/>
    </xf>
    <xf numFmtId="0" fontId="36" fillId="0" borderId="136" xfId="0" applyNumberFormat="1" applyFont="1" applyFill="1" applyBorder="1" applyAlignment="1">
      <alignment horizontal="center" vertical="center"/>
    </xf>
    <xf numFmtId="0" fontId="36" fillId="0" borderId="26" xfId="0" applyNumberFormat="1" applyFont="1" applyFill="1" applyBorder="1" applyAlignment="1">
      <alignment horizontal="center" vertical="center"/>
    </xf>
    <xf numFmtId="0" fontId="36" fillId="0" borderId="144" xfId="0" applyNumberFormat="1" applyFont="1" applyFill="1" applyBorder="1" applyAlignment="1">
      <alignment horizontal="center" vertical="center"/>
    </xf>
    <xf numFmtId="0" fontId="36" fillId="0" borderId="145" xfId="0" applyNumberFormat="1" applyFont="1" applyFill="1" applyBorder="1" applyAlignment="1">
      <alignment horizontal="center" vertical="center"/>
    </xf>
    <xf numFmtId="0" fontId="36" fillId="0" borderId="146" xfId="0" applyNumberFormat="1" applyFont="1" applyFill="1" applyBorder="1" applyAlignment="1">
      <alignment horizontal="center" vertical="center"/>
    </xf>
    <xf numFmtId="0" fontId="36" fillId="0" borderId="147" xfId="0" applyNumberFormat="1" applyFont="1" applyFill="1" applyBorder="1" applyAlignment="1">
      <alignment horizontal="center" vertical="center"/>
    </xf>
    <xf numFmtId="0" fontId="5" fillId="2" borderId="148" xfId="0" applyNumberFormat="1" applyFont="1" applyFill="1" applyBorder="1" applyAlignment="1">
      <alignment horizontal="center" vertical="center"/>
    </xf>
    <xf numFmtId="0" fontId="5" fillId="2" borderId="136" xfId="0" applyNumberFormat="1" applyFont="1" applyFill="1" applyBorder="1" applyAlignment="1">
      <alignment horizontal="center" vertical="center"/>
    </xf>
    <xf numFmtId="0" fontId="5" fillId="2" borderId="149" xfId="0" applyNumberFormat="1" applyFont="1" applyFill="1" applyBorder="1" applyAlignment="1">
      <alignment horizontal="center" vertical="center" wrapText="1"/>
    </xf>
    <xf numFmtId="0" fontId="60" fillId="0" borderId="0" xfId="0" applyNumberFormat="1" applyFont="1" applyFill="1" applyBorder="1" applyAlignment="1"/>
    <xf numFmtId="0" fontId="60" fillId="0" borderId="0" xfId="0" applyNumberFormat="1" applyFont="1" applyFill="1" applyAlignment="1"/>
    <xf numFmtId="0" fontId="5" fillId="2" borderId="150" xfId="0" applyNumberFormat="1" applyFont="1" applyFill="1" applyBorder="1" applyAlignment="1">
      <alignment horizontal="center" vertical="center"/>
    </xf>
    <xf numFmtId="0" fontId="5" fillId="2" borderId="151" xfId="0" applyNumberFormat="1" applyFont="1" applyFill="1" applyBorder="1" applyAlignment="1">
      <alignment horizontal="center" vertical="center" wrapText="1"/>
    </xf>
    <xf numFmtId="0" fontId="59" fillId="0" borderId="0" xfId="0" applyNumberFormat="1" applyFont="1" applyFill="1" applyBorder="1" applyAlignment="1">
      <alignment horizontal="center" vertical="center"/>
    </xf>
    <xf numFmtId="0" fontId="60" fillId="0" borderId="0" xfId="0" applyNumberFormat="1" applyFont="1" applyFill="1" applyBorder="1" applyAlignment="1">
      <alignment horizontal="center" vertical="center"/>
    </xf>
    <xf numFmtId="0" fontId="20" fillId="3" borderId="23" xfId="0" applyNumberFormat="1" applyFont="1" applyFill="1" applyBorder="1" applyAlignment="1">
      <alignment horizontal="center" vertical="center" wrapText="1"/>
    </xf>
    <xf numFmtId="0" fontId="5" fillId="2" borderId="138" xfId="0" applyNumberFormat="1" applyFont="1" applyFill="1" applyBorder="1" applyAlignment="1">
      <alignment horizontal="center" vertical="center" wrapText="1"/>
    </xf>
    <xf numFmtId="0" fontId="14" fillId="0" borderId="152" xfId="0" applyNumberFormat="1" applyFont="1" applyFill="1" applyBorder="1" applyAlignment="1">
      <alignment horizontal="left" vertical="center" wrapText="1"/>
    </xf>
    <xf numFmtId="0" fontId="14" fillId="0" borderId="153" xfId="0" applyNumberFormat="1" applyFont="1" applyFill="1" applyBorder="1" applyAlignment="1">
      <alignment horizontal="left" vertical="center" wrapText="1"/>
    </xf>
    <xf numFmtId="0" fontId="42" fillId="0" borderId="0" xfId="0" applyNumberFormat="1" applyFont="1" applyFill="1" applyAlignment="1">
      <alignment horizontal="center" vertical="center"/>
    </xf>
    <xf numFmtId="0" fontId="4" fillId="3" borderId="21" xfId="60" applyNumberFormat="1" applyFont="1" applyFill="1" applyBorder="1" applyAlignment="1" applyProtection="1">
      <alignment horizontal="center" vertical="center" wrapText="1"/>
    </xf>
    <xf numFmtId="0" fontId="35" fillId="3" borderId="21" xfId="60" applyNumberFormat="1" applyFont="1" applyFill="1" applyBorder="1" applyAlignment="1" applyProtection="1">
      <alignment horizontal="center" vertical="center"/>
    </xf>
    <xf numFmtId="0" fontId="35" fillId="3" borderId="154" xfId="60" applyNumberFormat="1" applyFont="1" applyFill="1" applyBorder="1" applyAlignment="1" applyProtection="1">
      <alignment horizontal="center" vertical="center"/>
    </xf>
    <xf numFmtId="0" fontId="35" fillId="3" borderId="155" xfId="60" applyNumberFormat="1" applyFont="1" applyFill="1" applyBorder="1" applyAlignment="1" applyProtection="1">
      <alignment horizontal="center" vertical="center"/>
    </xf>
    <xf numFmtId="0" fontId="35" fillId="3" borderId="80" xfId="60" applyNumberFormat="1" applyFont="1" applyFill="1" applyBorder="1" applyAlignment="1" applyProtection="1">
      <alignment horizontal="center" vertical="center"/>
    </xf>
    <xf numFmtId="0" fontId="35" fillId="3" borderId="31" xfId="60" applyNumberFormat="1" applyFont="1" applyFill="1" applyBorder="1" applyAlignment="1" applyProtection="1">
      <alignment horizontal="center" vertical="center"/>
    </xf>
    <xf numFmtId="0" fontId="35" fillId="3" borderId="156" xfId="60" applyNumberFormat="1" applyFont="1" applyFill="1" applyBorder="1" applyAlignment="1" applyProtection="1">
      <alignment horizontal="center" vertical="center"/>
    </xf>
    <xf numFmtId="0" fontId="35" fillId="3" borderId="157" xfId="60" applyNumberFormat="1" applyFont="1" applyFill="1" applyBorder="1" applyAlignment="1" applyProtection="1">
      <alignment horizontal="center" vertical="center"/>
    </xf>
    <xf numFmtId="0" fontId="36" fillId="0" borderId="18" xfId="0" applyNumberFormat="1" applyFont="1" applyFill="1" applyBorder="1" applyAlignment="1">
      <alignment horizontal="center" vertical="center"/>
    </xf>
    <xf numFmtId="0" fontId="36" fillId="0" borderId="83" xfId="0" applyNumberFormat="1" applyFont="1" applyFill="1" applyBorder="1" applyAlignment="1">
      <alignment horizontal="center" vertical="center"/>
    </xf>
    <xf numFmtId="0" fontId="36" fillId="0" borderId="158" xfId="0" applyNumberFormat="1" applyFont="1" applyFill="1" applyBorder="1" applyAlignment="1">
      <alignment horizontal="center" vertical="center"/>
    </xf>
    <xf numFmtId="0" fontId="36" fillId="0" borderId="36" xfId="0" applyNumberFormat="1" applyFont="1" applyFill="1" applyBorder="1" applyAlignment="1">
      <alignment horizontal="center" vertical="center"/>
    </xf>
    <xf numFmtId="0" fontId="36" fillId="0" borderId="16" xfId="0" applyNumberFormat="1" applyFont="1" applyFill="1" applyBorder="1" applyAlignment="1">
      <alignment horizontal="center" vertical="center"/>
    </xf>
    <xf numFmtId="0" fontId="36" fillId="0" borderId="159" xfId="60" applyNumberFormat="1" applyFont="1" applyFill="1" applyBorder="1" applyAlignment="1" applyProtection="1">
      <alignment horizontal="center" vertical="center"/>
    </xf>
    <xf numFmtId="0" fontId="36" fillId="0" borderId="159" xfId="60" applyNumberFormat="1" applyFont="1" applyFill="1" applyBorder="1" applyAlignment="1" applyProtection="1">
      <alignment horizontal="center"/>
    </xf>
    <xf numFmtId="0" fontId="36" fillId="0" borderId="83" xfId="60" applyNumberFormat="1" applyFont="1" applyFill="1" applyBorder="1" applyAlignment="1" applyProtection="1">
      <alignment horizontal="center"/>
    </xf>
    <xf numFmtId="0" fontId="5" fillId="2" borderId="160" xfId="0" applyNumberFormat="1" applyFont="1" applyFill="1" applyBorder="1" applyAlignment="1">
      <alignment horizontal="center" vertical="center" wrapText="1"/>
    </xf>
    <xf numFmtId="0" fontId="5" fillId="2" borderId="161" xfId="0" applyNumberFormat="1" applyFont="1" applyFill="1" applyBorder="1" applyAlignment="1">
      <alignment horizontal="center" vertical="center"/>
    </xf>
    <xf numFmtId="0" fontId="5" fillId="2" borderId="162"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xf>
    <xf numFmtId="0" fontId="5" fillId="2" borderId="163" xfId="0" applyNumberFormat="1" applyFont="1" applyFill="1" applyBorder="1" applyAlignment="1">
      <alignment horizontal="center" vertical="center" wrapText="1"/>
    </xf>
    <xf numFmtId="0" fontId="5" fillId="2" borderId="161" xfId="0" applyNumberFormat="1" applyFont="1" applyFill="1" applyBorder="1" applyAlignment="1">
      <alignment horizontal="center" vertical="center" wrapText="1"/>
    </xf>
    <xf numFmtId="0" fontId="14" fillId="0" borderId="164" xfId="0" applyNumberFormat="1" applyFont="1" applyFill="1" applyBorder="1" applyAlignment="1">
      <alignment horizontal="center" vertical="center" wrapText="1"/>
    </xf>
    <xf numFmtId="0" fontId="14" fillId="0" borderId="103" xfId="0" applyNumberFormat="1" applyFont="1" applyFill="1" applyBorder="1" applyAlignment="1">
      <alignment horizontal="center" vertical="center" wrapText="1"/>
    </xf>
    <xf numFmtId="0" fontId="14" fillId="0" borderId="165" xfId="0" applyNumberFormat="1" applyFont="1" applyFill="1" applyBorder="1" applyAlignment="1">
      <alignment horizontal="center" vertical="center" wrapText="1"/>
    </xf>
    <xf numFmtId="0" fontId="14" fillId="0" borderId="92" xfId="0" applyNumberFormat="1" applyFont="1" applyFill="1" applyBorder="1" applyAlignment="1">
      <alignment horizontal="center" vertical="center" wrapText="1"/>
    </xf>
    <xf numFmtId="0" fontId="4" fillId="3" borderId="0" xfId="60" applyNumberFormat="1" applyFont="1" applyFill="1" applyBorder="1" applyAlignment="1" applyProtection="1">
      <alignment horizontal="center"/>
    </xf>
    <xf numFmtId="0" fontId="4" fillId="3" borderId="17" xfId="60" applyNumberFormat="1" applyFont="1" applyFill="1" applyBorder="1" applyAlignment="1" applyProtection="1">
      <alignment horizontal="center"/>
    </xf>
    <xf numFmtId="0" fontId="43" fillId="3" borderId="166" xfId="60" applyNumberFormat="1" applyFont="1" applyFill="1" applyBorder="1" applyAlignment="1" applyProtection="1">
      <alignment horizontal="center" vertical="center"/>
    </xf>
    <xf numFmtId="0" fontId="43" fillId="3" borderId="135" xfId="60" applyNumberFormat="1" applyFont="1" applyFill="1" applyBorder="1" applyAlignment="1" applyProtection="1">
      <alignment horizontal="center" vertical="center"/>
    </xf>
    <xf numFmtId="0" fontId="43" fillId="3" borderId="135" xfId="60" applyNumberFormat="1" applyFont="1" applyFill="1" applyBorder="1" applyAlignment="1" applyProtection="1">
      <alignment horizontal="center"/>
    </xf>
    <xf numFmtId="0" fontId="43" fillId="3" borderId="166" xfId="60" applyNumberFormat="1" applyFont="1" applyFill="1" applyBorder="1" applyAlignment="1" applyProtection="1">
      <alignment horizontal="center"/>
    </xf>
    <xf numFmtId="0" fontId="43" fillId="3" borderId="100" xfId="60" applyNumberFormat="1" applyFont="1" applyFill="1" applyBorder="1" applyAlignment="1" applyProtection="1">
      <alignment horizontal="center"/>
    </xf>
    <xf numFmtId="0" fontId="36" fillId="0" borderId="0" xfId="60" applyNumberFormat="1" applyFont="1" applyFill="1" applyBorder="1" applyAlignment="1" applyProtection="1">
      <alignment horizontal="center" vertical="center"/>
    </xf>
    <xf numFmtId="0" fontId="5" fillId="2" borderId="58" xfId="0" applyNumberFormat="1" applyFont="1" applyFill="1" applyBorder="1" applyAlignment="1">
      <alignment horizontal="center" vertical="center"/>
    </xf>
    <xf numFmtId="0" fontId="5" fillId="2" borderId="58" xfId="0" applyNumberFormat="1" applyFont="1" applyFill="1" applyBorder="1" applyAlignment="1">
      <alignment vertical="center" wrapText="1"/>
    </xf>
    <xf numFmtId="0" fontId="42" fillId="0" borderId="159" xfId="0" applyNumberFormat="1" applyFont="1" applyFill="1" applyBorder="1" applyAlignment="1">
      <alignment vertical="center"/>
    </xf>
    <xf numFmtId="0" fontId="5" fillId="2" borderId="167"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0" fontId="5" fillId="2" borderId="168" xfId="0" applyNumberFormat="1" applyFont="1" applyFill="1" applyBorder="1" applyAlignment="1">
      <alignment horizontal="center" vertical="center" wrapText="1"/>
    </xf>
    <xf numFmtId="0" fontId="5" fillId="2" borderId="103" xfId="0" applyNumberFormat="1" applyFont="1" applyFill="1" applyBorder="1" applyAlignment="1">
      <alignment horizontal="center" vertical="center" wrapText="1"/>
    </xf>
    <xf numFmtId="0" fontId="14" fillId="0" borderId="0" xfId="0" applyNumberFormat="1" applyFont="1" applyFill="1" applyAlignment="1">
      <alignment horizontal="center" vertical="center"/>
    </xf>
    <xf numFmtId="0" fontId="14" fillId="0" borderId="0" xfId="0" applyNumberFormat="1" applyFont="1" applyFill="1" applyAlignment="1">
      <alignment vertical="center"/>
    </xf>
    <xf numFmtId="0" fontId="4" fillId="3" borderId="79" xfId="60" applyNumberFormat="1" applyFont="1" applyFill="1" applyBorder="1" applyAlignment="1" applyProtection="1">
      <alignment horizontal="center"/>
    </xf>
    <xf numFmtId="0" fontId="4" fillId="3" borderId="80" xfId="60" applyNumberFormat="1" applyFont="1" applyFill="1" applyBorder="1" applyAlignment="1" applyProtection="1">
      <alignment horizontal="center"/>
    </xf>
    <xf numFmtId="0" fontId="61" fillId="3" borderId="0" xfId="60" applyNumberFormat="1" applyFont="1" applyFill="1" applyBorder="1" applyAlignment="1" applyProtection="1">
      <alignment horizontal="center" vertical="center"/>
    </xf>
    <xf numFmtId="0" fontId="61" fillId="3" borderId="0" xfId="60" applyNumberFormat="1" applyFont="1" applyFill="1" applyBorder="1" applyAlignment="1" applyProtection="1">
      <alignment horizontal="center"/>
    </xf>
    <xf numFmtId="0" fontId="61" fillId="3" borderId="169" xfId="60" applyNumberFormat="1" applyFont="1" applyFill="1" applyBorder="1" applyAlignment="1" applyProtection="1">
      <alignment horizontal="center"/>
    </xf>
    <xf numFmtId="0" fontId="0" fillId="0" borderId="170" xfId="0" applyBorder="1" applyAlignment="1"/>
    <xf numFmtId="0" fontId="26" fillId="3" borderId="166" xfId="60" applyNumberFormat="1" applyFont="1" applyFill="1" applyBorder="1" applyAlignment="1" applyProtection="1">
      <alignment horizontal="center" vertical="center" wrapText="1"/>
    </xf>
    <xf numFmtId="0" fontId="26" fillId="3" borderId="135" xfId="60" applyNumberFormat="1" applyFont="1" applyFill="1" applyBorder="1" applyAlignment="1" applyProtection="1">
      <alignment horizontal="center" wrapText="1"/>
    </xf>
    <xf numFmtId="0" fontId="26" fillId="3" borderId="171" xfId="60" applyNumberFormat="1" applyFont="1" applyFill="1" applyBorder="1" applyAlignment="1" applyProtection="1">
      <alignment horizontal="center" wrapText="1"/>
    </xf>
    <xf numFmtId="0" fontId="36" fillId="0" borderId="58" xfId="0" applyNumberFormat="1" applyFont="1" applyFill="1" applyBorder="1" applyAlignment="1">
      <alignment horizontal="center" vertical="center" wrapText="1"/>
    </xf>
    <xf numFmtId="0" fontId="36" fillId="0" borderId="0" xfId="0" applyNumberFormat="1" applyFont="1" applyFill="1" applyBorder="1" applyAlignment="1">
      <alignment horizontal="center" vertical="center" wrapText="1"/>
    </xf>
    <xf numFmtId="0" fontId="36" fillId="0" borderId="17" xfId="0" applyNumberFormat="1" applyFont="1" applyFill="1" applyBorder="1" applyAlignment="1">
      <alignment horizontal="center" vertical="center" wrapText="1"/>
    </xf>
    <xf numFmtId="0" fontId="5" fillId="2" borderId="172" xfId="0" applyNumberFormat="1" applyFont="1" applyFill="1" applyBorder="1" applyAlignment="1">
      <alignment horizontal="center" vertical="center" wrapText="1"/>
    </xf>
    <xf numFmtId="0" fontId="5" fillId="2" borderId="173" xfId="0" applyNumberFormat="1" applyFont="1" applyFill="1" applyBorder="1" applyAlignment="1">
      <alignment horizontal="center" vertical="center" wrapText="1"/>
    </xf>
    <xf numFmtId="0" fontId="5" fillId="2" borderId="174" xfId="0" applyNumberFormat="1" applyFont="1" applyFill="1" applyBorder="1" applyAlignment="1">
      <alignment horizontal="center" vertical="center" wrapText="1"/>
    </xf>
    <xf numFmtId="0" fontId="5" fillId="2" borderId="175" xfId="0" applyNumberFormat="1" applyFont="1" applyFill="1" applyBorder="1" applyAlignment="1">
      <alignment horizontal="center" vertical="center" wrapText="1"/>
    </xf>
    <xf numFmtId="0" fontId="5" fillId="2" borderId="176" xfId="0" applyNumberFormat="1" applyFont="1" applyFill="1" applyBorder="1" applyAlignment="1">
      <alignment horizontal="center" vertical="center" wrapText="1"/>
    </xf>
    <xf numFmtId="0" fontId="5" fillId="2" borderId="177" xfId="0" applyNumberFormat="1" applyFont="1" applyFill="1" applyBorder="1" applyAlignment="1">
      <alignment horizontal="center" vertical="center" wrapText="1"/>
    </xf>
    <xf numFmtId="0" fontId="0" fillId="0" borderId="0" xfId="0" applyBorder="1" applyAlignment="1"/>
    <xf numFmtId="0" fontId="5" fillId="2" borderId="178" xfId="0" applyNumberFormat="1" applyFont="1" applyFill="1" applyBorder="1" applyAlignment="1">
      <alignment horizontal="center" vertical="center" wrapText="1"/>
    </xf>
    <xf numFmtId="0" fontId="14" fillId="0" borderId="79" xfId="0" applyNumberFormat="1" applyFont="1" applyFill="1" applyBorder="1" applyAlignment="1">
      <alignment horizontal="left" vertical="center" wrapText="1"/>
    </xf>
    <xf numFmtId="0" fontId="14" fillId="0" borderId="80" xfId="0" applyNumberFormat="1" applyFont="1" applyFill="1" applyBorder="1" applyAlignment="1">
      <alignment horizontal="left" vertical="center" wrapText="1"/>
    </xf>
    <xf numFmtId="0" fontId="41" fillId="0" borderId="0" xfId="0" applyFont="1" applyFill="1" applyAlignment="1">
      <alignment vertical="center"/>
    </xf>
    <xf numFmtId="0" fontId="42" fillId="0" borderId="0" xfId="0" applyFont="1" applyFill="1" applyAlignment="1">
      <alignment vertical="center"/>
    </xf>
    <xf numFmtId="0" fontId="14" fillId="0" borderId="0" xfId="0" applyFont="1" applyFill="1" applyAlignment="1">
      <alignment horizontal="center" vertical="center"/>
    </xf>
    <xf numFmtId="0" fontId="0" fillId="0" borderId="0" xfId="0" applyFill="1" applyAlignment="1"/>
    <xf numFmtId="183" fontId="43" fillId="3" borderId="179" xfId="60" applyNumberFormat="1" applyFont="1" applyFill="1" applyBorder="1" applyAlignment="1" applyProtection="1">
      <alignment horizontal="center" vertical="center" wrapText="1"/>
    </xf>
    <xf numFmtId="183" fontId="43" fillId="3" borderId="180" xfId="60" applyNumberFormat="1" applyFont="1" applyFill="1" applyBorder="1" applyAlignment="1" applyProtection="1">
      <alignment horizontal="center" vertical="center" wrapText="1"/>
    </xf>
    <xf numFmtId="183" fontId="43" fillId="3" borderId="181" xfId="60" applyNumberFormat="1" applyFont="1" applyFill="1" applyBorder="1" applyAlignment="1" applyProtection="1">
      <alignment horizontal="center" vertical="center" wrapText="1"/>
    </xf>
    <xf numFmtId="0" fontId="36" fillId="0" borderId="148" xfId="0" applyFont="1" applyFill="1" applyBorder="1" applyAlignment="1">
      <alignment horizontal="center" vertical="center" wrapText="1"/>
    </xf>
    <xf numFmtId="0" fontId="36" fillId="0" borderId="136" xfId="0" applyFont="1" applyFill="1" applyBorder="1" applyAlignment="1">
      <alignment horizontal="center" vertical="center" wrapText="1"/>
    </xf>
    <xf numFmtId="0" fontId="36" fillId="0" borderId="149" xfId="0" applyFont="1" applyFill="1" applyBorder="1" applyAlignment="1">
      <alignment horizontal="center" vertical="center" wrapText="1"/>
    </xf>
    <xf numFmtId="0" fontId="5" fillId="2" borderId="148" xfId="0" applyFont="1" applyFill="1" applyBorder="1" applyAlignment="1">
      <alignment horizontal="center" vertical="center" wrapText="1"/>
    </xf>
    <xf numFmtId="0" fontId="5" fillId="2" borderId="136" xfId="0" applyFont="1" applyFill="1" applyBorder="1" applyAlignment="1">
      <alignment horizontal="center" vertical="center" wrapText="1"/>
    </xf>
    <xf numFmtId="49" fontId="5" fillId="2" borderId="136" xfId="0" applyNumberFormat="1" applyFont="1" applyFill="1" applyBorder="1" applyAlignment="1">
      <alignment horizontal="center" vertical="center" wrapText="1"/>
    </xf>
    <xf numFmtId="49" fontId="5" fillId="2" borderId="149" xfId="0" applyNumberFormat="1" applyFont="1" applyFill="1" applyBorder="1" applyAlignment="1">
      <alignment horizontal="center" vertical="center" wrapText="1"/>
    </xf>
    <xf numFmtId="0" fontId="5" fillId="2" borderId="58" xfId="0" applyFont="1" applyFill="1" applyBorder="1" applyAlignment="1">
      <alignment horizontal="center" vertical="center" wrapText="1"/>
    </xf>
    <xf numFmtId="49" fontId="5" fillId="2" borderId="58" xfId="0" applyNumberFormat="1" applyFont="1" applyFill="1" applyBorder="1" applyAlignment="1">
      <alignment horizontal="center" vertical="center" wrapText="1"/>
    </xf>
    <xf numFmtId="49" fontId="5" fillId="2" borderId="151" xfId="0" applyNumberFormat="1" applyFont="1" applyFill="1" applyBorder="1" applyAlignment="1">
      <alignment horizontal="center" vertical="center" wrapText="1"/>
    </xf>
    <xf numFmtId="0" fontId="5" fillId="2" borderId="148" xfId="0" applyFont="1" applyFill="1" applyBorder="1" applyAlignment="1">
      <alignment vertical="center" wrapText="1"/>
    </xf>
    <xf numFmtId="0" fontId="15" fillId="4" borderId="136" xfId="0" applyNumberFormat="1" applyFont="1" applyFill="1" applyBorder="1" applyAlignment="1">
      <alignment horizontal="center" vertical="center" wrapText="1"/>
    </xf>
    <xf numFmtId="186" fontId="15" fillId="4" borderId="136" xfId="0" applyNumberFormat="1" applyFont="1" applyFill="1" applyBorder="1" applyAlignment="1">
      <alignment horizontal="center" vertical="center" wrapText="1"/>
    </xf>
    <xf numFmtId="49" fontId="15" fillId="4" borderId="136" xfId="0" applyNumberFormat="1" applyFont="1" applyFill="1" applyBorder="1" applyAlignment="1">
      <alignment horizontal="center" vertical="center" wrapText="1"/>
    </xf>
    <xf numFmtId="187" fontId="15" fillId="4" borderId="136" xfId="0" applyNumberFormat="1" applyFont="1" applyFill="1" applyBorder="1" applyAlignment="1">
      <alignment horizontal="center" vertical="center" wrapText="1"/>
    </xf>
    <xf numFmtId="0" fontId="5" fillId="2" borderId="182" xfId="0" applyFont="1" applyFill="1" applyBorder="1" applyAlignment="1">
      <alignment horizontal="center" vertical="center" wrapText="1"/>
    </xf>
    <xf numFmtId="0" fontId="32" fillId="3" borderId="23" xfId="0" applyFont="1" applyFill="1" applyBorder="1" applyAlignment="1">
      <alignment horizontal="center" vertical="center" wrapText="1"/>
    </xf>
    <xf numFmtId="49" fontId="32" fillId="3" borderId="23" xfId="0" applyNumberFormat="1" applyFont="1" applyFill="1" applyBorder="1" applyAlignment="1">
      <alignment horizontal="center" vertical="center" wrapText="1"/>
    </xf>
    <xf numFmtId="0" fontId="62" fillId="0" borderId="180" xfId="0" applyFont="1" applyFill="1" applyBorder="1" applyAlignment="1" applyProtection="1">
      <alignment horizontal="left" vertical="center" wrapText="1"/>
    </xf>
    <xf numFmtId="49" fontId="62" fillId="22" borderId="180" xfId="0" applyNumberFormat="1" applyFont="1" applyFill="1" applyBorder="1" applyAlignment="1">
      <alignment horizontal="left" vertical="center" wrapText="1"/>
    </xf>
    <xf numFmtId="49" fontId="62" fillId="22" borderId="180" xfId="0" applyNumberFormat="1" applyFont="1" applyFill="1" applyBorder="1" applyAlignment="1">
      <alignment horizontal="center" vertical="center" wrapText="1"/>
    </xf>
    <xf numFmtId="49" fontId="62" fillId="22" borderId="181" xfId="0" applyNumberFormat="1" applyFont="1" applyFill="1" applyBorder="1" applyAlignment="1">
      <alignment horizontal="center" vertical="center" wrapText="1"/>
    </xf>
    <xf numFmtId="0" fontId="62" fillId="0" borderId="136" xfId="0" applyFont="1" applyFill="1" applyBorder="1" applyAlignment="1" applyProtection="1">
      <alignment horizontal="left" vertical="center" wrapText="1"/>
    </xf>
    <xf numFmtId="49" fontId="62" fillId="22" borderId="136" xfId="0" applyNumberFormat="1" applyFont="1" applyFill="1" applyBorder="1" applyAlignment="1">
      <alignment horizontal="left" vertical="center" wrapText="1"/>
    </xf>
    <xf numFmtId="49" fontId="62" fillId="22" borderId="136" xfId="0" applyNumberFormat="1" applyFont="1" applyFill="1" applyBorder="1" applyAlignment="1">
      <alignment horizontal="center" vertical="center" wrapText="1"/>
    </xf>
    <xf numFmtId="49" fontId="62" fillId="22" borderId="149" xfId="0" applyNumberFormat="1" applyFont="1" applyFill="1" applyBorder="1" applyAlignment="1">
      <alignment horizontal="center" vertical="center" wrapText="1"/>
    </xf>
    <xf numFmtId="0" fontId="5" fillId="2" borderId="183" xfId="0" applyFont="1" applyFill="1" applyBorder="1" applyAlignment="1">
      <alignment horizontal="center" vertical="center" wrapText="1"/>
    </xf>
    <xf numFmtId="0" fontId="14" fillId="0" borderId="184" xfId="0" applyFont="1" applyFill="1" applyBorder="1" applyAlignment="1">
      <alignment horizontal="left" vertical="center" wrapText="1"/>
    </xf>
    <xf numFmtId="0" fontId="14" fillId="0" borderId="184" xfId="0" applyFont="1" applyFill="1" applyBorder="1" applyAlignment="1">
      <alignment horizontal="left" vertical="center"/>
    </xf>
    <xf numFmtId="0" fontId="14" fillId="0" borderId="185" xfId="0" applyFont="1" applyFill="1" applyBorder="1" applyAlignment="1">
      <alignment horizontal="left" vertical="center" wrapText="1"/>
    </xf>
    <xf numFmtId="0" fontId="63" fillId="0" borderId="0" xfId="0" applyFont="1" applyFill="1" applyAlignment="1">
      <alignment vertical="center"/>
    </xf>
    <xf numFmtId="0" fontId="64" fillId="0" borderId="0" xfId="0" applyFont="1" applyFill="1" applyAlignment="1">
      <alignment vertical="center"/>
    </xf>
    <xf numFmtId="0" fontId="65" fillId="0" borderId="0" xfId="0" applyFont="1" applyFill="1" applyAlignment="1">
      <alignment vertical="center"/>
    </xf>
    <xf numFmtId="0" fontId="65" fillId="0" borderId="0" xfId="0" applyFont="1" applyFill="1" applyAlignment="1">
      <alignment horizontal="center" vertical="center"/>
    </xf>
    <xf numFmtId="0" fontId="65" fillId="0" borderId="0" xfId="0" applyFont="1" applyFill="1" applyAlignment="1">
      <alignment vertical="center" wrapText="1"/>
    </xf>
    <xf numFmtId="0" fontId="18" fillId="0" borderId="0" xfId="0" applyFont="1" applyFill="1" applyAlignment="1">
      <alignment horizontal="left" vertical="center"/>
    </xf>
    <xf numFmtId="0" fontId="18" fillId="0" borderId="0" xfId="0" applyFont="1" applyFill="1" applyAlignment="1">
      <alignment vertical="center"/>
    </xf>
    <xf numFmtId="0" fontId="65" fillId="0" borderId="0" xfId="0" applyFont="1" applyFill="1">
      <alignment vertical="center"/>
    </xf>
    <xf numFmtId="0" fontId="18" fillId="0" borderId="0" xfId="0" applyFont="1">
      <alignment vertical="center"/>
    </xf>
    <xf numFmtId="183" fontId="4" fillId="3" borderId="186" xfId="60" applyNumberFormat="1" applyFont="1" applyFill="1" applyBorder="1" applyAlignment="1" applyProtection="1">
      <alignment horizontal="center" vertical="center" wrapText="1"/>
    </xf>
    <xf numFmtId="183" fontId="4" fillId="3" borderId="187" xfId="60" applyNumberFormat="1" applyFont="1" applyFill="1" applyBorder="1" applyAlignment="1" applyProtection="1">
      <alignment horizontal="center" vertical="center"/>
    </xf>
    <xf numFmtId="183" fontId="4" fillId="3" borderId="188" xfId="60" applyNumberFormat="1" applyFont="1" applyFill="1" applyBorder="1" applyAlignment="1" applyProtection="1">
      <alignment horizontal="center" vertical="center"/>
    </xf>
    <xf numFmtId="183" fontId="4" fillId="3" borderId="82" xfId="60" applyNumberFormat="1" applyFont="1" applyFill="1" applyBorder="1" applyAlignment="1" applyProtection="1">
      <alignment horizontal="center" vertical="center"/>
    </xf>
    <xf numFmtId="183" fontId="4" fillId="3" borderId="83" xfId="60" applyNumberFormat="1" applyFont="1" applyFill="1" applyBorder="1" applyAlignment="1" applyProtection="1">
      <alignment horizontal="center" vertical="center"/>
    </xf>
    <xf numFmtId="183" fontId="4" fillId="3" borderId="78" xfId="60" applyNumberFormat="1" applyFont="1" applyFill="1" applyBorder="1" applyAlignment="1" applyProtection="1">
      <alignment horizontal="center" vertical="center"/>
    </xf>
    <xf numFmtId="183" fontId="4" fillId="3" borderId="79" xfId="60" applyNumberFormat="1" applyFont="1" applyFill="1" applyBorder="1" applyAlignment="1" applyProtection="1">
      <alignment horizontal="center" vertical="center"/>
    </xf>
    <xf numFmtId="183" fontId="4" fillId="3" borderId="80" xfId="60" applyNumberFormat="1" applyFont="1" applyFill="1" applyBorder="1" applyAlignment="1" applyProtection="1">
      <alignment horizontal="center" vertical="center"/>
    </xf>
    <xf numFmtId="183" fontId="36" fillId="0" borderId="189" xfId="60" applyNumberFormat="1" applyFont="1" applyFill="1" applyBorder="1" applyAlignment="1" applyProtection="1">
      <alignment horizontal="center" vertical="center"/>
    </xf>
    <xf numFmtId="183" fontId="36" fillId="0" borderId="190" xfId="60" applyNumberFormat="1" applyFont="1" applyFill="1" applyBorder="1" applyAlignment="1" applyProtection="1">
      <alignment horizontal="center" vertical="center"/>
    </xf>
    <xf numFmtId="183" fontId="36" fillId="0" borderId="191" xfId="60" applyNumberFormat="1" applyFont="1" applyFill="1" applyBorder="1" applyAlignment="1" applyProtection="1">
      <alignment horizontal="center" vertical="center"/>
    </xf>
    <xf numFmtId="183" fontId="36" fillId="0" borderId="192" xfId="60" applyNumberFormat="1" applyFont="1" applyFill="1" applyBorder="1" applyAlignment="1" applyProtection="1">
      <alignment horizontal="center" vertical="center"/>
    </xf>
    <xf numFmtId="183" fontId="36" fillId="0" borderId="193" xfId="60" applyNumberFormat="1" applyFont="1" applyFill="1" applyBorder="1" applyAlignment="1" applyProtection="1">
      <alignment horizontal="center" vertical="center"/>
    </xf>
    <xf numFmtId="183" fontId="36" fillId="0" borderId="17" xfId="60" applyNumberFormat="1" applyFont="1" applyFill="1" applyBorder="1" applyAlignment="1" applyProtection="1">
      <alignment horizontal="center" vertical="center"/>
    </xf>
    <xf numFmtId="0" fontId="5" fillId="2" borderId="194" xfId="0" applyFont="1" applyFill="1" applyBorder="1" applyAlignment="1">
      <alignment horizontal="left" vertical="center"/>
    </xf>
    <xf numFmtId="183" fontId="5" fillId="2" borderId="195" xfId="60" applyNumberFormat="1" applyFont="1" applyFill="1" applyBorder="1" applyAlignment="1" applyProtection="1">
      <alignment horizontal="center" vertical="center" wrapText="1"/>
    </xf>
    <xf numFmtId="0" fontId="5" fillId="2" borderId="195" xfId="0" applyFont="1" applyFill="1" applyBorder="1" applyAlignment="1">
      <alignment horizontal="center" vertical="center"/>
    </xf>
    <xf numFmtId="0" fontId="5" fillId="2" borderId="196" xfId="0" applyFont="1" applyFill="1" applyBorder="1" applyAlignment="1">
      <alignment horizontal="center" vertical="center"/>
    </xf>
    <xf numFmtId="0" fontId="5" fillId="2" borderId="98" xfId="0" applyFont="1" applyFill="1" applyBorder="1" applyAlignment="1">
      <alignment horizontal="center" vertical="center"/>
    </xf>
    <xf numFmtId="0" fontId="5" fillId="2" borderId="197" xfId="0" applyFont="1" applyFill="1" applyBorder="1" applyAlignment="1">
      <alignment horizontal="center" vertical="center"/>
    </xf>
    <xf numFmtId="0" fontId="5" fillId="2" borderId="198" xfId="0" applyFont="1" applyFill="1" applyBorder="1" applyAlignment="1">
      <alignment horizontal="left" vertical="center"/>
    </xf>
    <xf numFmtId="0" fontId="15" fillId="4" borderId="199" xfId="0" applyFont="1" applyFill="1" applyBorder="1" applyAlignment="1">
      <alignment horizontal="center" vertical="center" wrapText="1"/>
    </xf>
    <xf numFmtId="0" fontId="15" fillId="4" borderId="200" xfId="0" applyFont="1" applyFill="1" applyBorder="1" applyAlignment="1">
      <alignment horizontal="center" vertical="center" wrapText="1"/>
    </xf>
    <xf numFmtId="0" fontId="15" fillId="4" borderId="201" xfId="0" applyFont="1" applyFill="1" applyBorder="1" applyAlignment="1">
      <alignment horizontal="center" vertical="center" wrapText="1"/>
    </xf>
    <xf numFmtId="0" fontId="15" fillId="4" borderId="202" xfId="0" applyFont="1" applyFill="1" applyBorder="1" applyAlignment="1">
      <alignment horizontal="center" vertical="center" wrapText="1"/>
    </xf>
    <xf numFmtId="0" fontId="5" fillId="2" borderId="203" xfId="0" applyFont="1" applyFill="1" applyBorder="1" applyAlignment="1">
      <alignment horizontal="left" vertical="center"/>
    </xf>
    <xf numFmtId="0" fontId="15" fillId="4" borderId="88" xfId="0" applyFont="1" applyFill="1" applyBorder="1" applyAlignment="1">
      <alignment horizontal="center" vertical="center"/>
    </xf>
    <xf numFmtId="0" fontId="15" fillId="4" borderId="204" xfId="0" applyFont="1" applyFill="1" applyBorder="1" applyAlignment="1">
      <alignment horizontal="center" vertical="center"/>
    </xf>
    <xf numFmtId="0" fontId="15" fillId="4" borderId="89" xfId="0" applyFont="1" applyFill="1" applyBorder="1" applyAlignment="1">
      <alignment horizontal="center" vertical="center"/>
    </xf>
    <xf numFmtId="0" fontId="15" fillId="3" borderId="23" xfId="0" applyFont="1" applyFill="1" applyBorder="1" applyAlignment="1">
      <alignment horizontal="center" vertical="center"/>
    </xf>
    <xf numFmtId="0" fontId="15" fillId="3" borderId="205" xfId="0" applyFont="1" applyFill="1" applyBorder="1" applyAlignment="1">
      <alignment horizontal="center" vertical="center"/>
    </xf>
    <xf numFmtId="0" fontId="15" fillId="3" borderId="206" xfId="0" applyFont="1" applyFill="1" applyBorder="1" applyAlignment="1">
      <alignment horizontal="center" vertical="center"/>
    </xf>
    <xf numFmtId="0" fontId="5" fillId="2" borderId="207" xfId="0" applyFont="1" applyFill="1" applyBorder="1" applyAlignment="1">
      <alignment horizontal="left" vertical="center"/>
    </xf>
    <xf numFmtId="0" fontId="15" fillId="4" borderId="98" xfId="0" applyFont="1" applyFill="1" applyBorder="1" applyAlignment="1">
      <alignment horizontal="center" vertical="center" wrapText="1"/>
    </xf>
    <xf numFmtId="0" fontId="15" fillId="4" borderId="195" xfId="0" applyFont="1" applyFill="1" applyBorder="1" applyAlignment="1">
      <alignment horizontal="center" vertical="center"/>
    </xf>
    <xf numFmtId="0" fontId="15" fillId="4" borderId="208" xfId="0" applyFont="1" applyFill="1" applyBorder="1" applyAlignment="1">
      <alignment horizontal="center" vertical="center"/>
    </xf>
    <xf numFmtId="0" fontId="15" fillId="4" borderId="209" xfId="0" applyFont="1" applyFill="1" applyBorder="1" applyAlignment="1">
      <alignment horizontal="center" vertical="center"/>
    </xf>
    <xf numFmtId="0" fontId="15" fillId="4" borderId="197" xfId="0" applyFont="1" applyFill="1" applyBorder="1" applyAlignment="1">
      <alignment horizontal="center" vertical="center"/>
    </xf>
    <xf numFmtId="0" fontId="5" fillId="2" borderId="207" xfId="0" applyFont="1" applyFill="1" applyBorder="1" applyAlignment="1">
      <alignment horizontal="center" vertical="center"/>
    </xf>
    <xf numFmtId="0" fontId="15" fillId="9" borderId="98" xfId="0" applyFont="1" applyFill="1" applyBorder="1" applyAlignment="1">
      <alignment horizontal="left" vertical="center" wrapText="1"/>
    </xf>
    <xf numFmtId="0" fontId="15" fillId="9" borderId="195" xfId="0" applyFont="1" applyFill="1" applyBorder="1" applyAlignment="1">
      <alignment horizontal="left" vertical="center" wrapText="1"/>
    </xf>
    <xf numFmtId="0" fontId="15" fillId="9" borderId="197" xfId="0" applyFont="1" applyFill="1" applyBorder="1" applyAlignment="1">
      <alignment horizontal="left" vertical="center" wrapText="1"/>
    </xf>
    <xf numFmtId="0" fontId="15" fillId="9" borderId="0" xfId="0" applyFont="1" applyFill="1" applyAlignment="1">
      <alignment horizontal="left" vertical="center" wrapText="1"/>
    </xf>
    <xf numFmtId="0" fontId="15" fillId="9" borderId="17" xfId="0" applyFont="1" applyFill="1" applyBorder="1" applyAlignment="1">
      <alignment horizontal="left" vertical="center" wrapText="1"/>
    </xf>
    <xf numFmtId="0" fontId="66" fillId="3" borderId="98" xfId="0" applyFont="1" applyFill="1" applyBorder="1" applyAlignment="1">
      <alignment horizontal="left" vertical="center"/>
    </xf>
    <xf numFmtId="0" fontId="66" fillId="3" borderId="195" xfId="0" applyFont="1" applyFill="1" applyBorder="1" applyAlignment="1">
      <alignment horizontal="left" vertical="center"/>
    </xf>
    <xf numFmtId="0" fontId="66" fillId="3" borderId="197" xfId="0" applyFont="1" applyFill="1" applyBorder="1" applyAlignment="1">
      <alignment horizontal="left" vertical="center"/>
    </xf>
    <xf numFmtId="0" fontId="66" fillId="3" borderId="0" xfId="0" applyFont="1" applyFill="1" applyAlignment="1">
      <alignment horizontal="left" vertical="center"/>
    </xf>
    <xf numFmtId="0" fontId="66" fillId="3" borderId="17" xfId="0" applyFont="1" applyFill="1" applyBorder="1" applyAlignment="1">
      <alignment horizontal="left" vertical="center"/>
    </xf>
    <xf numFmtId="0" fontId="67" fillId="0" borderId="0" xfId="0" applyFont="1" applyFill="1" applyAlignment="1">
      <alignment vertical="center"/>
    </xf>
    <xf numFmtId="0" fontId="5" fillId="2" borderId="210" xfId="0" applyFont="1" applyFill="1" applyBorder="1" applyAlignment="1">
      <alignment horizontal="center" vertical="center"/>
    </xf>
    <xf numFmtId="0" fontId="15" fillId="4" borderId="211" xfId="0" applyFont="1" applyFill="1" applyBorder="1" applyAlignment="1">
      <alignment horizontal="left" vertical="center" wrapText="1"/>
    </xf>
    <xf numFmtId="0" fontId="15" fillId="4" borderId="91" xfId="0" applyFont="1" applyFill="1" applyBorder="1" applyAlignment="1">
      <alignment horizontal="left" vertical="center" wrapText="1"/>
    </xf>
    <xf numFmtId="0" fontId="15" fillId="4" borderId="92" xfId="0" applyFont="1" applyFill="1" applyBorder="1" applyAlignment="1">
      <alignment horizontal="left" vertical="center" wrapText="1"/>
    </xf>
    <xf numFmtId="0" fontId="15" fillId="4" borderId="103" xfId="0" applyFont="1" applyFill="1" applyBorder="1" applyAlignment="1">
      <alignment horizontal="left" vertical="center" wrapText="1"/>
    </xf>
    <xf numFmtId="0" fontId="15" fillId="4" borderId="55" xfId="0" applyFont="1" applyFill="1" applyBorder="1" applyAlignment="1">
      <alignment horizontal="left" vertical="center" wrapText="1"/>
    </xf>
    <xf numFmtId="0" fontId="18" fillId="0" borderId="0" xfId="0" applyFont="1" applyFill="1" applyAlignment="1">
      <alignment horizontal="center" vertical="center"/>
    </xf>
    <xf numFmtId="0" fontId="68" fillId="0" borderId="0" xfId="0" applyFont="1" applyAlignment="1">
      <alignment horizontal="center"/>
    </xf>
    <xf numFmtId="0" fontId="0" fillId="0" borderId="0" xfId="0" applyAlignment="1">
      <alignment horizontal="center" vertical="center"/>
    </xf>
    <xf numFmtId="183" fontId="4" fillId="0" borderId="212" xfId="60" applyNumberFormat="1" applyFont="1" applyFill="1" applyBorder="1" applyAlignment="1" applyProtection="1">
      <alignment horizontal="center" vertical="center" wrapText="1"/>
    </xf>
    <xf numFmtId="183" fontId="69" fillId="0" borderId="213" xfId="60" applyNumberFormat="1" applyFont="1" applyFill="1" applyBorder="1" applyAlignment="1" applyProtection="1">
      <alignment horizontal="center" vertical="center" wrapText="1"/>
    </xf>
    <xf numFmtId="0" fontId="70" fillId="0" borderId="21" xfId="0" applyFont="1" applyFill="1" applyBorder="1" applyAlignment="1" applyProtection="1">
      <alignment horizontal="center" vertical="center" shrinkToFit="1"/>
      <protection locked="0"/>
    </xf>
    <xf numFmtId="0" fontId="71" fillId="0" borderId="21" xfId="0" applyFont="1" applyBorder="1" applyAlignment="1">
      <alignment horizontal="center"/>
    </xf>
    <xf numFmtId="183" fontId="69" fillId="0" borderId="214" xfId="60" applyNumberFormat="1" applyFont="1" applyFill="1" applyBorder="1" applyAlignment="1" applyProtection="1">
      <alignment horizontal="center" vertical="center" wrapText="1"/>
    </xf>
    <xf numFmtId="183" fontId="69" fillId="0" borderId="0" xfId="60" applyNumberFormat="1" applyFont="1" applyFill="1" applyBorder="1" applyAlignment="1" applyProtection="1">
      <alignment horizontal="center" vertical="center" wrapText="1"/>
    </xf>
    <xf numFmtId="0" fontId="72" fillId="0" borderId="21" xfId="0" applyFont="1" applyFill="1" applyBorder="1" applyAlignment="1">
      <alignment horizontal="center" vertical="center" shrinkToFit="1"/>
    </xf>
    <xf numFmtId="183" fontId="69" fillId="0" borderId="215" xfId="60" applyNumberFormat="1" applyFont="1" applyFill="1" applyBorder="1" applyAlignment="1" applyProtection="1">
      <alignment horizontal="center" vertical="center" wrapText="1"/>
    </xf>
    <xf numFmtId="183" fontId="69" fillId="0" borderId="216" xfId="60" applyNumberFormat="1" applyFont="1" applyFill="1" applyBorder="1" applyAlignment="1" applyProtection="1">
      <alignment horizontal="center" vertical="center" wrapText="1"/>
    </xf>
    <xf numFmtId="188" fontId="73" fillId="0" borderId="217" xfId="73" applyNumberFormat="1" applyFont="1" applyFill="1" applyBorder="1" applyAlignment="1" applyProtection="1">
      <alignment horizontal="center" wrapText="1"/>
    </xf>
    <xf numFmtId="0" fontId="72" fillId="0" borderId="31" xfId="0" applyFont="1" applyFill="1" applyBorder="1" applyAlignment="1" applyProtection="1">
      <alignment horizontal="center" vertical="center" shrinkToFit="1"/>
      <protection locked="0"/>
    </xf>
    <xf numFmtId="188" fontId="73" fillId="0" borderId="31" xfId="73" applyNumberFormat="1" applyFont="1" applyFill="1" applyBorder="1" applyAlignment="1" applyProtection="1">
      <alignment horizontal="center" wrapText="1"/>
    </xf>
    <xf numFmtId="0" fontId="5" fillId="2" borderId="218"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219"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20" xfId="0" applyFont="1" applyFill="1" applyBorder="1" applyAlignment="1">
      <alignment horizontal="center" vertical="center" wrapText="1"/>
    </xf>
    <xf numFmtId="0" fontId="15" fillId="3" borderId="65"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61" xfId="0" applyFont="1" applyFill="1" applyBorder="1" applyAlignment="1">
      <alignment horizontal="center" vertical="center" wrapText="1"/>
    </xf>
    <xf numFmtId="0" fontId="32" fillId="0" borderId="21" xfId="0" applyFont="1" applyFill="1" applyBorder="1" applyAlignment="1">
      <alignment horizontal="center" vertical="center" wrapText="1"/>
    </xf>
    <xf numFmtId="0" fontId="74" fillId="0" borderId="21" xfId="0" applyFont="1" applyBorder="1" applyAlignment="1">
      <alignment horizontal="center" vertical="center"/>
    </xf>
    <xf numFmtId="0" fontId="20" fillId="3" borderId="61" xfId="0" applyFont="1" applyFill="1" applyBorder="1" applyAlignment="1">
      <alignment horizontal="center" vertical="center"/>
    </xf>
    <xf numFmtId="0" fontId="20" fillId="3" borderId="61" xfId="0" applyFont="1" applyFill="1" applyBorder="1" applyAlignment="1">
      <alignment horizontal="center" vertical="center" wrapText="1"/>
    </xf>
    <xf numFmtId="0" fontId="14" fillId="3" borderId="61" xfId="0" applyFont="1" applyFill="1" applyBorder="1" applyAlignment="1">
      <alignment horizontal="center" vertical="center"/>
    </xf>
    <xf numFmtId="189" fontId="0" fillId="0" borderId="0" xfId="0" applyNumberFormat="1" applyAlignment="1"/>
    <xf numFmtId="0" fontId="0" fillId="0" borderId="0" xfId="0" applyAlignment="1">
      <alignment horizontal="center"/>
    </xf>
    <xf numFmtId="183" fontId="4" fillId="0" borderId="21" xfId="60" applyNumberFormat="1" applyFont="1" applyFill="1" applyBorder="1" applyAlignment="1" applyProtection="1">
      <alignment horizontal="center" vertical="center" wrapText="1"/>
    </xf>
    <xf numFmtId="189" fontId="4" fillId="0" borderId="21" xfId="60" applyNumberFormat="1" applyFont="1" applyFill="1" applyBorder="1" applyAlignment="1" applyProtection="1">
      <alignment horizontal="center" vertical="center" wrapText="1"/>
    </xf>
    <xf numFmtId="0" fontId="75" fillId="2" borderId="16" xfId="0" applyFont="1" applyFill="1" applyBorder="1" applyAlignment="1">
      <alignment horizontal="center" vertical="center" wrapText="1"/>
    </xf>
    <xf numFmtId="0" fontId="75" fillId="2" borderId="0" xfId="0" applyFont="1" applyFill="1" applyBorder="1" applyAlignment="1">
      <alignment horizontal="center" vertical="center" wrapText="1"/>
    </xf>
    <xf numFmtId="189" fontId="75" fillId="2" borderId="221" xfId="0" applyNumberFormat="1" applyFont="1" applyFill="1" applyBorder="1" applyAlignment="1">
      <alignment horizontal="center" vertical="center" wrapText="1"/>
    </xf>
    <xf numFmtId="0" fontId="75" fillId="2" borderId="221" xfId="0" applyFont="1" applyFill="1" applyBorder="1" applyAlignment="1">
      <alignment horizontal="center" vertical="center" wrapText="1"/>
    </xf>
    <xf numFmtId="0" fontId="75" fillId="2" borderId="222" xfId="0" applyFont="1" applyFill="1" applyBorder="1" applyAlignment="1">
      <alignment horizontal="center" vertical="center" wrapText="1"/>
    </xf>
    <xf numFmtId="0" fontId="76" fillId="23" borderId="21" xfId="0" applyFont="1" applyFill="1" applyBorder="1" applyAlignment="1">
      <alignment horizontal="center" vertical="center" wrapText="1"/>
    </xf>
    <xf numFmtId="0" fontId="76" fillId="24" borderId="21" xfId="6" applyFont="1" applyFill="1" applyBorder="1" applyAlignment="1">
      <alignment horizontal="center" vertical="center" wrapText="1"/>
    </xf>
    <xf numFmtId="189" fontId="77" fillId="0" borderId="223" xfId="0" applyNumberFormat="1" applyFont="1" applyFill="1" applyBorder="1" applyAlignment="1">
      <alignment horizontal="center" vertical="center"/>
    </xf>
    <xf numFmtId="189" fontId="24" fillId="0" borderId="223" xfId="0" applyNumberFormat="1" applyFont="1" applyFill="1" applyBorder="1" applyAlignment="1">
      <alignment horizontal="center" vertical="center" wrapText="1"/>
    </xf>
    <xf numFmtId="189" fontId="77" fillId="0" borderId="223" xfId="0" applyNumberFormat="1" applyFont="1" applyFill="1" applyBorder="1" applyAlignment="1">
      <alignment horizontal="center" vertical="center" wrapText="1"/>
    </xf>
    <xf numFmtId="189" fontId="24" fillId="0" borderId="224" xfId="0" applyNumberFormat="1" applyFont="1" applyFill="1" applyBorder="1" applyAlignment="1">
      <alignment horizontal="center" vertical="center"/>
    </xf>
    <xf numFmtId="189" fontId="24" fillId="0" borderId="224" xfId="0" applyNumberFormat="1" applyFont="1" applyFill="1" applyBorder="1" applyAlignment="1">
      <alignment horizontal="center" vertical="center" wrapText="1"/>
    </xf>
    <xf numFmtId="22" fontId="77" fillId="0" borderId="223" xfId="0" applyNumberFormat="1" applyFont="1" applyFill="1" applyBorder="1" applyAlignment="1">
      <alignment horizontal="center" vertical="center" wrapText="1"/>
    </xf>
    <xf numFmtId="22" fontId="24" fillId="0" borderId="224" xfId="0" applyNumberFormat="1" applyFont="1" applyFill="1" applyBorder="1" applyAlignment="1">
      <alignment horizontal="center" vertical="center" wrapText="1"/>
    </xf>
    <xf numFmtId="22" fontId="77" fillId="0" borderId="225" xfId="0" applyNumberFormat="1" applyFont="1" applyFill="1" applyBorder="1" applyAlignment="1">
      <alignment horizontal="center" vertical="center" wrapText="1"/>
    </xf>
    <xf numFmtId="189" fontId="24" fillId="0" borderId="226" xfId="0" applyNumberFormat="1" applyFont="1" applyFill="1" applyBorder="1" applyAlignment="1">
      <alignment horizontal="center" vertical="center" wrapText="1"/>
    </xf>
    <xf numFmtId="189" fontId="77" fillId="0" borderId="55" xfId="0" applyNumberFormat="1" applyFont="1" applyFill="1" applyBorder="1" applyAlignment="1">
      <alignment horizontal="center" vertical="center"/>
    </xf>
    <xf numFmtId="0" fontId="24" fillId="0" borderId="227" xfId="0" applyFont="1" applyFill="1" applyBorder="1" applyAlignment="1">
      <alignment horizontal="center" vertical="center" wrapText="1"/>
    </xf>
    <xf numFmtId="189" fontId="24" fillId="0" borderId="55" xfId="0" applyNumberFormat="1" applyFont="1" applyFill="1" applyBorder="1" applyAlignment="1">
      <alignment horizontal="center" vertical="center" wrapText="1"/>
    </xf>
    <xf numFmtId="0" fontId="24" fillId="0" borderId="224" xfId="0" applyFont="1" applyFill="1" applyBorder="1" applyAlignment="1">
      <alignment horizontal="center" vertical="center" wrapText="1"/>
    </xf>
    <xf numFmtId="22" fontId="24" fillId="0" borderId="226" xfId="0" applyNumberFormat="1" applyFont="1" applyFill="1" applyBorder="1" applyAlignment="1">
      <alignment horizontal="center" vertical="center" wrapText="1"/>
    </xf>
    <xf numFmtId="0" fontId="76" fillId="23" borderId="21" xfId="0" applyFont="1" applyFill="1" applyBorder="1" applyAlignment="1">
      <alignment vertical="center" wrapText="1"/>
    </xf>
    <xf numFmtId="189" fontId="77" fillId="0" borderId="226" xfId="0" applyNumberFormat="1" applyFont="1" applyFill="1" applyBorder="1" applyAlignment="1">
      <alignment horizontal="center" vertical="center"/>
    </xf>
    <xf numFmtId="0" fontId="76" fillId="23" borderId="61" xfId="0" applyFont="1" applyFill="1" applyBorder="1" applyAlignment="1">
      <alignment horizontal="center" vertical="center" wrapText="1"/>
    </xf>
    <xf numFmtId="0" fontId="78" fillId="0" borderId="0" xfId="0" applyFont="1" applyFill="1" applyAlignment="1">
      <alignment vertical="center"/>
    </xf>
    <xf numFmtId="0" fontId="42" fillId="0" borderId="0" xfId="0" applyFont="1" applyFill="1" applyAlignment="1"/>
    <xf numFmtId="0" fontId="79" fillId="0" borderId="0" xfId="0" applyFont="1" applyFill="1" applyAlignment="1"/>
    <xf numFmtId="0" fontId="80" fillId="0" borderId="0" xfId="0" applyFont="1" applyFill="1" applyAlignment="1"/>
    <xf numFmtId="0" fontId="74" fillId="0" borderId="0" xfId="0" applyFont="1" applyFill="1" applyAlignment="1"/>
    <xf numFmtId="0" fontId="0" fillId="0" borderId="0" xfId="0" applyFont="1" applyFill="1" applyAlignment="1">
      <alignment horizontal="center"/>
    </xf>
    <xf numFmtId="0" fontId="4" fillId="0" borderId="228" xfId="0" applyFont="1" applyFill="1" applyBorder="1" applyAlignment="1">
      <alignment horizontal="center" vertical="center" wrapText="1"/>
    </xf>
    <xf numFmtId="0" fontId="4" fillId="0" borderId="229" xfId="0" applyFont="1" applyFill="1" applyBorder="1" applyAlignment="1">
      <alignment horizontal="center" vertical="center" wrapText="1"/>
    </xf>
    <xf numFmtId="0" fontId="4" fillId="0" borderId="230" xfId="0" applyFont="1" applyFill="1" applyBorder="1" applyAlignment="1">
      <alignment horizontal="center" vertical="center" wrapText="1"/>
    </xf>
    <xf numFmtId="0" fontId="5" fillId="2" borderId="231" xfId="0" applyFont="1" applyFill="1" applyBorder="1" applyAlignment="1">
      <alignment horizontal="center" vertical="center" textRotation="255" wrapText="1"/>
    </xf>
    <xf numFmtId="0" fontId="5" fillId="2" borderId="232" xfId="0" applyFont="1" applyFill="1" applyBorder="1" applyAlignment="1">
      <alignment horizontal="center" vertical="center" wrapText="1"/>
    </xf>
    <xf numFmtId="0" fontId="80" fillId="0" borderId="233" xfId="0" applyFont="1" applyFill="1" applyBorder="1" applyAlignment="1"/>
    <xf numFmtId="0" fontId="4" fillId="0" borderId="234" xfId="0" applyFont="1" applyFill="1" applyBorder="1" applyAlignment="1">
      <alignment horizontal="center" vertical="center" wrapText="1"/>
    </xf>
    <xf numFmtId="0" fontId="4" fillId="0" borderId="235" xfId="0" applyFont="1" applyFill="1" applyBorder="1" applyAlignment="1">
      <alignment horizontal="center" vertical="center" wrapText="1"/>
    </xf>
    <xf numFmtId="0" fontId="4" fillId="0" borderId="236" xfId="0" applyFont="1" applyFill="1" applyBorder="1" applyAlignment="1">
      <alignment horizontal="center" vertical="center" wrapText="1"/>
    </xf>
    <xf numFmtId="0" fontId="80" fillId="0" borderId="237" xfId="0" applyFont="1" applyFill="1" applyBorder="1" applyAlignment="1"/>
    <xf numFmtId="0" fontId="75" fillId="2" borderId="238" xfId="0" applyFont="1" applyFill="1" applyBorder="1" applyAlignment="1">
      <alignment horizontal="center" vertical="center" wrapText="1"/>
    </xf>
    <xf numFmtId="0" fontId="75" fillId="2" borderId="239" xfId="0" applyFont="1" applyFill="1" applyBorder="1" applyAlignment="1">
      <alignment horizontal="center" vertical="center" wrapText="1"/>
    </xf>
    <xf numFmtId="0" fontId="75" fillId="2" borderId="240" xfId="0" applyFont="1" applyFill="1" applyBorder="1" applyAlignment="1">
      <alignment horizontal="center" vertical="center" wrapText="1"/>
    </xf>
    <xf numFmtId="0" fontId="15" fillId="0" borderId="136" xfId="0" applyFont="1" applyFill="1" applyBorder="1" applyAlignment="1">
      <alignment horizontal="center" vertical="center" wrapText="1"/>
    </xf>
    <xf numFmtId="0" fontId="15" fillId="0" borderId="136" xfId="0" applyNumberFormat="1" applyFont="1" applyFill="1" applyBorder="1" applyAlignment="1">
      <alignment horizontal="center" vertical="center" wrapText="1"/>
    </xf>
    <xf numFmtId="0" fontId="15" fillId="0" borderId="232" xfId="0" applyNumberFormat="1" applyFont="1" applyFill="1" applyBorder="1" applyAlignment="1">
      <alignment horizontal="center" vertical="center" wrapText="1"/>
    </xf>
    <xf numFmtId="0" fontId="75" fillId="2" borderId="241" xfId="0" applyFont="1" applyFill="1" applyBorder="1" applyAlignment="1">
      <alignment horizontal="center" vertical="center" wrapText="1"/>
    </xf>
    <xf numFmtId="0" fontId="81" fillId="0" borderId="5" xfId="0" applyFont="1" applyFill="1" applyBorder="1" applyAlignment="1">
      <alignment horizontal="center" vertical="center" wrapText="1"/>
    </xf>
    <xf numFmtId="0" fontId="81" fillId="0" borderId="6" xfId="0" applyFont="1" applyFill="1" applyBorder="1" applyAlignment="1">
      <alignment horizontal="center" vertical="center" wrapText="1"/>
    </xf>
    <xf numFmtId="0" fontId="81" fillId="0" borderId="242" xfId="0" applyFont="1" applyFill="1" applyBorder="1" applyAlignment="1">
      <alignment horizontal="center" vertical="center" wrapText="1"/>
    </xf>
    <xf numFmtId="0" fontId="15" fillId="0" borderId="232" xfId="0" applyFont="1" applyFill="1" applyBorder="1" applyAlignment="1">
      <alignment horizontal="center" vertical="center" wrapText="1"/>
    </xf>
    <xf numFmtId="0" fontId="75" fillId="2" borderId="220" xfId="0" applyFont="1" applyFill="1" applyBorder="1" applyAlignment="1">
      <alignment horizontal="center" vertical="center" wrapText="1"/>
    </xf>
    <xf numFmtId="0" fontId="81" fillId="0" borderId="9" xfId="0" applyFont="1" applyFill="1" applyBorder="1" applyAlignment="1">
      <alignment horizontal="center" vertical="center" wrapText="1"/>
    </xf>
    <xf numFmtId="0" fontId="81" fillId="0" borderId="10" xfId="0" applyFont="1" applyFill="1" applyBorder="1" applyAlignment="1">
      <alignment horizontal="center" vertical="center" wrapText="1"/>
    </xf>
    <xf numFmtId="0" fontId="81" fillId="0" borderId="243" xfId="0" applyFont="1" applyFill="1" applyBorder="1" applyAlignment="1">
      <alignment horizontal="center" vertical="center" wrapText="1"/>
    </xf>
    <xf numFmtId="0" fontId="75" fillId="2" borderId="244" xfId="0" applyFont="1" applyFill="1" applyBorder="1" applyAlignment="1">
      <alignment horizontal="center" vertical="center" wrapText="1"/>
    </xf>
    <xf numFmtId="0" fontId="81" fillId="0" borderId="245" xfId="0" applyFont="1" applyFill="1" applyBorder="1" applyAlignment="1">
      <alignment horizontal="center" vertical="center" wrapText="1"/>
    </xf>
    <xf numFmtId="0" fontId="81" fillId="0" borderId="246" xfId="0" applyFont="1" applyFill="1" applyBorder="1" applyAlignment="1">
      <alignment horizontal="center" vertical="center" wrapText="1"/>
    </xf>
    <xf numFmtId="0" fontId="81" fillId="0" borderId="247" xfId="0" applyFont="1" applyFill="1" applyBorder="1" applyAlignment="1">
      <alignment horizontal="center" vertical="center" wrapText="1"/>
    </xf>
    <xf numFmtId="0" fontId="79" fillId="0" borderId="0" xfId="0" applyFont="1" applyFill="1" applyAlignment="1">
      <alignment horizontal="center"/>
    </xf>
    <xf numFmtId="0" fontId="66" fillId="0" borderId="136" xfId="0" applyFont="1" applyFill="1" applyBorder="1" applyAlignment="1">
      <alignment horizontal="center" vertical="center" wrapText="1"/>
    </xf>
    <xf numFmtId="0" fontId="66" fillId="0" borderId="136" xfId="0" applyNumberFormat="1" applyFont="1" applyFill="1" applyBorder="1" applyAlignment="1">
      <alignment horizontal="center" vertical="center" wrapText="1"/>
    </xf>
    <xf numFmtId="0" fontId="66" fillId="0" borderId="232" xfId="0" applyNumberFormat="1" applyFont="1" applyFill="1" applyBorder="1" applyAlignment="1">
      <alignment horizontal="center" vertical="center" wrapText="1"/>
    </xf>
    <xf numFmtId="0" fontId="79" fillId="0" borderId="0" xfId="0" applyFont="1" applyFill="1" applyAlignment="1">
      <alignment horizontal="center" wrapText="1"/>
    </xf>
    <xf numFmtId="0" fontId="15" fillId="0" borderId="136" xfId="0" applyNumberFormat="1" applyFont="1" applyFill="1" applyBorder="1" applyAlignment="1">
      <alignment horizontal="left" vertical="center" wrapText="1"/>
    </xf>
    <xf numFmtId="0" fontId="15" fillId="0" borderId="232" xfId="0" applyNumberFormat="1" applyFont="1" applyFill="1" applyBorder="1" applyAlignment="1">
      <alignment horizontal="left" vertical="center" wrapText="1"/>
    </xf>
    <xf numFmtId="0" fontId="15" fillId="0" borderId="136" xfId="0" applyFont="1" applyFill="1" applyBorder="1" applyAlignment="1">
      <alignment horizontal="left" vertical="center" wrapText="1"/>
    </xf>
    <xf numFmtId="0" fontId="15" fillId="0" borderId="232" xfId="0" applyFont="1" applyFill="1" applyBorder="1" applyAlignment="1">
      <alignment horizontal="left" vertical="center" wrapText="1"/>
    </xf>
    <xf numFmtId="0" fontId="5" fillId="2" borderId="231" xfId="0" applyFont="1" applyFill="1" applyBorder="1" applyAlignment="1">
      <alignment horizontal="center" vertical="center" wrapText="1"/>
    </xf>
    <xf numFmtId="0" fontId="15" fillId="0" borderId="136" xfId="6" applyNumberFormat="1" applyFont="1" applyFill="1" applyBorder="1" applyAlignment="1">
      <alignment horizontal="left" vertical="center" wrapText="1"/>
    </xf>
    <xf numFmtId="0" fontId="15" fillId="0" borderId="232" xfId="6" applyNumberFormat="1" applyFont="1" applyFill="1" applyBorder="1" applyAlignment="1">
      <alignment horizontal="left" vertical="center" wrapText="1"/>
    </xf>
    <xf numFmtId="0" fontId="5" fillId="2" borderId="231" xfId="0" applyFont="1" applyFill="1" applyBorder="1" applyAlignment="1">
      <alignment horizontal="center" vertical="center" textRotation="255"/>
    </xf>
    <xf numFmtId="0" fontId="79" fillId="0" borderId="0" xfId="0" applyFont="1" applyFill="1" applyAlignment="1">
      <alignment horizontal="left"/>
    </xf>
    <xf numFmtId="0" fontId="5" fillId="2" borderId="248" xfId="0" applyFont="1" applyFill="1" applyBorder="1" applyAlignment="1">
      <alignment horizontal="center" vertical="center"/>
    </xf>
    <xf numFmtId="0" fontId="15" fillId="4" borderId="249" xfId="0" applyFont="1" applyFill="1" applyBorder="1" applyAlignment="1">
      <alignment horizontal="center" vertical="center"/>
    </xf>
    <xf numFmtId="0" fontId="15" fillId="4" borderId="250" xfId="0" applyFont="1" applyFill="1" applyBorder="1" applyAlignment="1">
      <alignment horizontal="center" vertical="center"/>
    </xf>
    <xf numFmtId="0" fontId="0" fillId="0" borderId="0" xfId="0" applyAlignment="1">
      <alignment horizontal="left" vertical="center"/>
    </xf>
    <xf numFmtId="183" fontId="69" fillId="0" borderId="251" xfId="60" applyNumberFormat="1" applyFont="1" applyFill="1" applyBorder="1" applyAlignment="1" applyProtection="1">
      <alignment horizontal="center" vertical="center" wrapText="1"/>
    </xf>
    <xf numFmtId="183" fontId="69" fillId="0" borderId="169" xfId="60" applyNumberFormat="1" applyFont="1" applyFill="1" applyBorder="1" applyAlignment="1" applyProtection="1">
      <alignment horizontal="center" vertical="center" wrapText="1"/>
    </xf>
    <xf numFmtId="183" fontId="69" fillId="0" borderId="252" xfId="60" applyNumberFormat="1" applyFont="1" applyFill="1" applyBorder="1" applyAlignment="1" applyProtection="1">
      <alignment horizontal="center" vertical="center" wrapText="1"/>
    </xf>
    <xf numFmtId="0" fontId="5" fillId="2" borderId="253" xfId="0" applyFont="1" applyFill="1" applyBorder="1" applyAlignment="1">
      <alignment horizontal="center" vertical="center" wrapText="1"/>
    </xf>
    <xf numFmtId="0" fontId="5" fillId="2" borderId="241"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3" borderId="6" xfId="0" applyFont="1" applyFill="1" applyBorder="1" applyAlignment="1">
      <alignment horizontal="center" vertical="center" wrapText="1"/>
    </xf>
    <xf numFmtId="0" fontId="82" fillId="3" borderId="6" xfId="6" applyFont="1" applyFill="1" applyBorder="1" applyAlignment="1">
      <alignment horizontal="center" vertical="center" wrapText="1"/>
    </xf>
    <xf numFmtId="58" fontId="15" fillId="3" borderId="242" xfId="0" applyNumberFormat="1"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82" fillId="3" borderId="10" xfId="6" applyFont="1" applyFill="1" applyBorder="1" applyAlignment="1">
      <alignment horizontal="center" vertical="center" wrapText="1"/>
    </xf>
    <xf numFmtId="58" fontId="82" fillId="3" borderId="10" xfId="6" applyNumberFormat="1" applyFont="1" applyFill="1" applyBorder="1" applyAlignment="1">
      <alignment horizontal="center" vertical="center" wrapText="1"/>
    </xf>
    <xf numFmtId="0" fontId="5" fillId="2" borderId="244" xfId="0" applyFont="1" applyFill="1" applyBorder="1" applyAlignment="1">
      <alignment horizontal="center" vertical="center" wrapText="1"/>
    </xf>
    <xf numFmtId="0" fontId="15" fillId="3" borderId="245" xfId="0" applyFont="1" applyFill="1" applyBorder="1" applyAlignment="1">
      <alignment horizontal="center" vertical="center" wrapText="1"/>
    </xf>
    <xf numFmtId="0" fontId="15" fillId="3" borderId="246" xfId="0" applyFont="1" applyFill="1" applyBorder="1" applyAlignment="1">
      <alignment horizontal="center" vertical="center" wrapText="1"/>
    </xf>
    <xf numFmtId="0" fontId="82" fillId="3" borderId="246" xfId="6" applyFont="1" applyFill="1" applyBorder="1" applyAlignment="1">
      <alignment horizontal="center" vertical="center" wrapText="1"/>
    </xf>
    <xf numFmtId="0" fontId="25" fillId="3" borderId="25" xfId="0" applyNumberFormat="1" applyFont="1" applyFill="1" applyBorder="1" applyAlignment="1" quotePrefix="1">
      <alignment horizontal="center" vertical="center" wrapText="1" shrinkToFit="1"/>
    </xf>
    <xf numFmtId="0" fontId="13" fillId="3" borderId="25" xfId="0" applyNumberFormat="1" applyFont="1" applyFill="1" applyBorder="1" applyAlignment="1" applyProtection="1" quotePrefix="1">
      <alignment horizontal="center" vertical="center" wrapText="1"/>
    </xf>
  </cellXfs>
  <cellStyles count="7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1 2 2" xfId="49"/>
    <cellStyle name="Comma 3" xfId="50"/>
    <cellStyle name="普通 2" xfId="51"/>
    <cellStyle name="常规 137" xfId="52"/>
    <cellStyle name="百分比 6" xfId="53"/>
    <cellStyle name="常规 2 2 3 3" xfId="54"/>
    <cellStyle name="超链接 2 11" xfId="55"/>
    <cellStyle name="常规 2_PSP最新联邦价" xfId="56"/>
    <cellStyle name="常规_加拿大-亚马逊" xfId="57"/>
    <cellStyle name="常规 2 11 10" xfId="58"/>
    <cellStyle name="样式 1" xfId="59"/>
    <cellStyle name="㼿㼿㼿" xfId="60"/>
    <cellStyle name="常规 5" xfId="61"/>
    <cellStyle name="常规 13" xfId="62"/>
    <cellStyle name="9" xfId="63"/>
    <cellStyle name="常规 18 2 2" xfId="64"/>
    <cellStyle name="常规 11 2 3 5" xfId="65"/>
    <cellStyle name="超链接 10" xfId="66"/>
    <cellStyle name="常规 8" xfId="67"/>
    <cellStyle name="Normal_AU 2007 Zone Chart" xfId="68"/>
    <cellStyle name="一般_Sheet2" xfId="69"/>
    <cellStyle name="超链接 13" xfId="70"/>
    <cellStyle name="千位分隔 4" xfId="71"/>
    <cellStyle name="常规 11 3" xfId="72"/>
    <cellStyle name="常规 3" xfId="73"/>
    <cellStyle name="Normal_CNO_IPEXPT_Special_LL" xfId="74"/>
    <cellStyle name="常规 8 2" xfId="75"/>
    <cellStyle name="常规 2" xfId="76"/>
  </cellStyles>
  <dxfs count="99">
    <dxf>
      <font>
        <color rgb="FF9C0006"/>
      </font>
      <fill>
        <patternFill patternType="solid">
          <bgColor rgb="FFFFC7CE"/>
        </patternFill>
      </fill>
    </dxf>
    <dxf>
      <numFmt numFmtId="0" formatCode="General"/>
    </dxf>
    <dxf>
      <font>
        <color rgb="FF9C0006"/>
      </font>
    </dxf>
    <dxf>
      <fill>
        <patternFill patternType="solid">
          <bgColor rgb="FFFF9900"/>
        </patternFill>
      </fill>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font>
        <b val="1"/>
        <i val="0"/>
        <u val="none"/>
        <sz val="11"/>
        <color theme="0"/>
      </font>
      <fill>
        <patternFill patternType="solid">
          <bgColor theme="8"/>
        </patternFill>
      </fill>
      <border>
        <left style="thin">
          <color theme="8"/>
        </left>
        <right style="thin">
          <color theme="8" tint="0.6"/>
        </right>
        <top style="thin">
          <color theme="8"/>
        </top>
        <bottom style="thin">
          <color theme="8" tint="0.6"/>
        </bottom>
        <vertical/>
        <horizontal/>
      </border>
    </dxf>
    <dxf>
      <fill>
        <patternFill patternType="solid">
          <bgColor theme="8" tint="0.9"/>
        </patternFill>
      </fill>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rgb="FFFFFFFF"/>
        </patternFill>
      </fill>
      <border>
        <left/>
        <right style="thin">
          <color theme="8"/>
        </right>
        <top style="thin">
          <color theme="8"/>
        </top>
        <bottom style="thin">
          <color theme="8"/>
        </bottom>
        <vertical/>
        <horizontal/>
      </border>
    </dxf>
    <dxf>
      <font>
        <b val="1"/>
        <i val="0"/>
        <u val="none"/>
        <sz val="11"/>
        <color theme="8"/>
      </font>
      <fill>
        <patternFill patternType="solid">
          <bgColor rgb="FFFFFFFF"/>
        </patternFill>
      </fill>
      <border>
        <left style="thin">
          <color theme="8"/>
        </left>
        <right/>
        <top style="thin">
          <color theme="8"/>
        </top>
        <bottom style="thin">
          <color theme="8"/>
        </bottom>
        <vertical/>
        <horizontal/>
      </border>
    </dxf>
    <dxf>
      <font>
        <b val="1"/>
        <i val="0"/>
        <u val="none"/>
        <sz val="11"/>
        <color theme="0"/>
      </font>
      <fill>
        <patternFill patternType="solid">
          <bgColor theme="8"/>
        </patternFill>
      </fill>
      <border>
        <left style="thin">
          <color theme="8"/>
        </left>
        <right style="thin">
          <color theme="8" tint="0.6"/>
        </right>
        <top style="thin">
          <color theme="8"/>
        </top>
        <bottom style="thin">
          <color theme="8" tint="0.6"/>
        </bottom>
        <vertical/>
        <horizontal/>
      </border>
    </dxf>
    <dxf>
      <border>
        <left style="thin">
          <color theme="8" tint="0.6"/>
        </left>
        <right style="thin">
          <color theme="8" tint="0.6"/>
        </right>
        <top style="thin">
          <color theme="8"/>
        </top>
        <bottom style="thin">
          <color theme="8"/>
        </bottom>
        <vertical/>
        <horizontal style="thin">
          <color theme="8" tint="0.6"/>
        </horizontal>
      </border>
    </dxf>
    <dxf>
      <fill>
        <patternFill patternType="solid">
          <bgColor theme="8" tint="0.9"/>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theme="8" tint="0.9"/>
        </patternFill>
      </fill>
    </dxf>
    <dxf>
      <font>
        <b val="1"/>
        <i val="0"/>
        <u val="none"/>
        <sz val="11"/>
        <color rgb="FF08090C"/>
      </font>
      <fill>
        <patternFill patternType="solid">
          <bgColor theme="8" tint="0.8"/>
        </patternFill>
      </fill>
      <border>
        <left style="thin">
          <color theme="8" tint="0.6"/>
        </left>
        <right style="thin">
          <color theme="8"/>
        </right>
        <top style="thin">
          <color theme="8"/>
        </top>
        <bottom style="thin">
          <color theme="8"/>
        </bottom>
        <vertical/>
        <horizontal style="thin">
          <color theme="8" tint="0.6"/>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horizontal style="thin">
          <color theme="8" tint="0.6"/>
        </horizontal>
      </border>
    </dxf>
    <dxf>
      <font>
        <b val="1"/>
        <i val="0"/>
        <u val="none"/>
        <sz val="11"/>
        <color theme="8"/>
      </font>
      <fill>
        <patternFill patternType="solid">
          <bgColor rgb="FFFFFFFF"/>
        </patternFill>
      </fill>
      <border>
        <left style="thin">
          <color theme="8"/>
        </left>
        <right style="thin">
          <color theme="8"/>
        </right>
        <top style="thin">
          <color theme="8"/>
        </top>
        <bottom style="thin">
          <color theme="8"/>
        </bottom>
        <vertical/>
        <horizontal/>
      </border>
    </dxf>
    <dxf>
      <font>
        <b val="1"/>
        <i val="0"/>
        <u val="none"/>
        <sz val="11"/>
        <color rgb="FFFFFFFF"/>
      </font>
      <fill>
        <patternFill patternType="solid">
          <bgColor theme="8"/>
        </patternFill>
      </fill>
      <border>
        <left style="thin">
          <color theme="8"/>
        </left>
        <right style="thin">
          <color theme="8"/>
        </right>
        <top style="thin">
          <color theme="8"/>
        </top>
        <bottom style="thin">
          <color theme="8"/>
        </bottom>
        <vertical style="thin">
          <color theme="8" tint="0.6"/>
        </vertical>
        <horizontal/>
      </border>
    </dxf>
    <dxf>
      <font>
        <b val="0"/>
        <i val="0"/>
        <u val="none"/>
        <sz val="11"/>
        <color rgb="FF000000"/>
      </font>
      <fill>
        <patternFill patternType="solid">
          <bgColor rgb="FFFFFFFF"/>
        </patternFill>
      </fill>
      <border>
        <left style="thin">
          <color theme="8"/>
        </left>
        <right style="thin">
          <color theme="8"/>
        </right>
        <top style="thin">
          <color theme="8"/>
        </top>
        <bottom style="thin">
          <color theme="8"/>
        </bottom>
        <vertical style="thin">
          <color theme="8" tint="0.6"/>
        </vertical>
        <horizontal style="thin">
          <color theme="8" tint="0.6"/>
        </horizontal>
      </border>
    </dxf>
    <dxf>
      <fill>
        <patternFill patternType="solid">
          <bgColor rgb="FFFFFFFF"/>
        </patternFill>
      </fill>
      <border>
        <left/>
        <right style="medium">
          <color theme="8"/>
        </right>
        <top style="thin">
          <color theme="8"/>
        </top>
        <bottom style="medium">
          <color theme="8"/>
        </bottom>
        <vertical/>
        <horizontal/>
      </border>
    </dxf>
    <dxf>
      <font>
        <b val="1"/>
        <i val="0"/>
        <u val="none"/>
        <sz val="11"/>
        <color theme="0"/>
      </font>
      <fill>
        <patternFill patternType="solid">
          <bgColor theme="8"/>
        </patternFill>
      </fill>
      <border>
        <left style="medium">
          <color theme="8"/>
        </left>
        <right/>
        <top style="thin">
          <color theme="8" tint="0.6"/>
        </top>
        <bottom style="medium">
          <color theme="8"/>
        </bottom>
        <vertical/>
        <horizontal/>
      </border>
    </dxf>
    <dxf>
      <fill>
        <patternFill patternType="solid">
          <bgColor theme="8"/>
        </patternFill>
      </fill>
      <border>
        <left style="thin">
          <color theme="8" tint="0.6"/>
        </left>
        <right style="medium">
          <color theme="8"/>
        </right>
        <top style="medium">
          <color theme="8"/>
        </top>
        <bottom style="thin">
          <color theme="8" tint="0.6"/>
        </bottom>
        <vertical/>
        <horizontal/>
      </border>
    </dxf>
    <dxf>
      <font>
        <b val="1"/>
        <i val="0"/>
        <u val="none"/>
        <sz val="11"/>
        <color theme="0"/>
      </font>
      <fill>
        <patternFill patternType="solid">
          <bgColor theme="8"/>
        </patternFill>
      </fill>
      <border>
        <left style="medium">
          <color theme="8"/>
        </left>
        <right style="thin">
          <color theme="8" tint="0.6"/>
        </right>
        <top style="medium">
          <color theme="8"/>
        </top>
        <bottom style="thin">
          <color theme="8" tint="0.6"/>
        </bottom>
        <vertical/>
        <horizontal/>
      </border>
    </dxf>
    <dxf>
      <fill>
        <patternFill patternType="solid">
          <bgColor theme="0"/>
        </patternFill>
      </fill>
      <border>
        <left/>
        <right/>
        <top style="medium">
          <color theme="8"/>
        </top>
        <bottom style="medium">
          <color theme="8"/>
        </bottom>
        <vertical/>
        <horizontal style="thin">
          <color theme="8" tint="0.6"/>
        </horizontal>
      </border>
    </dxf>
    <dxf>
      <fill>
        <patternFill patternType="solid">
          <bgColor theme="8" tint="0.9"/>
        </patternFill>
      </fill>
      <border>
        <left style="medium">
          <color theme="8"/>
        </left>
        <right style="medium">
          <color theme="8"/>
        </right>
        <top style="medium">
          <color theme="8"/>
        </top>
        <bottom style="medium">
          <color theme="8"/>
        </bottom>
        <vertical/>
        <horizontal style="thin">
          <color theme="8" tint="0.6"/>
        </horizontal>
      </border>
    </dxf>
    <dxf>
      <fill>
        <patternFill patternType="solid">
          <bgColor theme="8" tint="0.9"/>
        </patternFill>
      </fill>
    </dxf>
    <dxf>
      <font>
        <b val="1"/>
        <i val="0"/>
        <u val="none"/>
        <sz val="11"/>
        <color theme="1"/>
      </font>
      <fill>
        <patternFill patternType="solid">
          <bgColor theme="8" tint="0.8"/>
        </patternFill>
      </fill>
      <border>
        <left/>
        <right style="medium">
          <color theme="8"/>
        </right>
        <top style="medium">
          <color theme="8"/>
        </top>
        <bottom style="medium">
          <color theme="8"/>
        </bottom>
        <vertical/>
        <horizontal style="thin">
          <color theme="8" tint="0.6"/>
        </horizontal>
      </border>
    </dxf>
    <dxf>
      <font>
        <b val="1"/>
        <i val="0"/>
        <u val="none"/>
        <sz val="11"/>
        <color rgb="FFFFFFFF"/>
      </font>
      <fill>
        <patternFill patternType="solid">
          <bgColor theme="8"/>
        </patternFill>
      </fill>
      <border>
        <left style="medium">
          <color theme="8"/>
        </left>
        <right/>
        <top style="medium">
          <color theme="8"/>
        </top>
        <bottom style="medium">
          <color theme="8"/>
        </bottom>
        <vertical/>
        <horizontal style="thin">
          <color theme="8" tint="0.6"/>
        </horizontal>
      </border>
    </dxf>
    <dxf>
      <font>
        <b val="1"/>
        <i val="0"/>
        <u val="none"/>
        <sz val="11"/>
        <color theme="8"/>
      </font>
      <fill>
        <patternFill patternType="solid">
          <bgColor rgb="FFFFFFFF"/>
        </patternFill>
      </fill>
      <border>
        <left style="medium">
          <color theme="8"/>
        </left>
        <right style="medium">
          <color theme="8"/>
        </right>
        <top style="thin">
          <color theme="8"/>
        </top>
        <bottom style="medium">
          <color theme="8"/>
        </bottom>
        <vertical/>
        <horizontal/>
      </border>
    </dxf>
    <dxf>
      <font>
        <b val="1"/>
        <i val="0"/>
        <u val="none"/>
        <sz val="11"/>
        <color rgb="FFFFFFFF"/>
      </font>
      <fill>
        <patternFill patternType="solid">
          <bgColor theme="8"/>
        </patternFill>
      </fill>
      <border>
        <left style="medium">
          <color theme="8"/>
        </left>
        <right style="medium">
          <color theme="8"/>
        </right>
        <top style="medium">
          <color theme="8"/>
        </top>
        <bottom style="thin">
          <color theme="8"/>
        </bottom>
        <vertical style="thin">
          <color theme="8" tint="0.6"/>
        </vertical>
        <horizontal/>
      </border>
    </dxf>
    <dxf>
      <font>
        <b val="0"/>
        <i val="0"/>
        <u val="none"/>
        <sz val="11"/>
        <color rgb="FF000000"/>
      </font>
      <fill>
        <patternFill patternType="solid">
          <bgColor rgb="FFFFFFFF"/>
        </patternFill>
      </fill>
      <border>
        <left style="medium">
          <color theme="8"/>
        </left>
        <right style="medium">
          <color theme="8"/>
        </right>
        <top style="medium">
          <color theme="8"/>
        </top>
        <bottom style="medium">
          <color theme="8"/>
        </bottom>
        <vertical/>
        <horizontal style="thin">
          <color theme="8" tint="0.6"/>
        </horizontal>
      </border>
    </dxf>
    <dxf>
      <fill>
        <patternFill patternType="solid">
          <bgColor rgb="FFFFFFFF"/>
        </patternFill>
      </fill>
      <border>
        <left/>
        <right style="thin">
          <color theme="6"/>
        </right>
        <top style="thin">
          <color theme="6"/>
        </top>
        <bottom style="thin">
          <color theme="6"/>
        </bottom>
        <vertical/>
        <horizontal/>
      </border>
    </dxf>
    <dxf>
      <font>
        <b val="1"/>
        <i val="0"/>
        <u val="none"/>
        <sz val="11"/>
        <color theme="6"/>
      </font>
      <fill>
        <patternFill patternType="solid">
          <bgColor rgb="FFFFFFFF"/>
        </patternFill>
      </fill>
      <border>
        <left style="thin">
          <color theme="6"/>
        </left>
        <right/>
        <top style="thin">
          <color theme="6"/>
        </top>
        <bottom style="thin">
          <color theme="6"/>
        </bottom>
        <vertical/>
        <horizontal/>
      </border>
    </dxf>
    <dxf>
      <font>
        <b val="1"/>
        <i val="0"/>
        <u val="none"/>
        <sz val="11"/>
        <color theme="0"/>
      </font>
      <fill>
        <patternFill patternType="solid">
          <bgColor theme="6"/>
        </patternFill>
      </fill>
      <border>
        <left style="thin">
          <color theme="6"/>
        </left>
        <right style="thin">
          <color theme="6" tint="0.6"/>
        </right>
        <top style="thin">
          <color theme="6"/>
        </top>
        <bottom style="thin">
          <color theme="6" tint="0.6"/>
        </bottom>
        <vertical/>
        <horizontal/>
      </border>
    </dxf>
    <dxf>
      <border>
        <left style="thin">
          <color theme="6" tint="0.6"/>
        </left>
        <right style="thin">
          <color theme="6" tint="0.6"/>
        </right>
        <top style="thin">
          <color theme="6"/>
        </top>
        <bottom style="thin">
          <color theme="6"/>
        </bottom>
        <vertical/>
        <horizontal style="thin">
          <color theme="6" tint="0.6"/>
        </horizontal>
      </border>
    </dxf>
    <dxf>
      <fill>
        <patternFill patternType="solid">
          <bgColor theme="6" tint="0.9"/>
        </patternFill>
      </fill>
      <border>
        <left style="thin">
          <color theme="6"/>
        </left>
        <right style="thin">
          <color theme="6"/>
        </right>
        <top style="thin">
          <color theme="6"/>
        </top>
        <bottom style="thin">
          <color theme="6"/>
        </bottom>
        <vertical style="thin">
          <color theme="6" tint="0.6"/>
        </vertical>
        <horizontal style="thin">
          <color theme="6" tint="0.6"/>
        </horizontal>
      </border>
    </dxf>
    <dxf>
      <fill>
        <patternFill patternType="solid">
          <bgColor theme="6" tint="0.9"/>
        </patternFill>
      </fill>
    </dxf>
    <dxf>
      <font>
        <b val="1"/>
        <i val="0"/>
        <u val="none"/>
        <sz val="11"/>
        <color rgb="FF08090C"/>
      </font>
      <fill>
        <patternFill patternType="solid">
          <bgColor theme="6" tint="0.8"/>
        </patternFill>
      </fill>
      <border>
        <left style="thin">
          <color theme="6" tint="0.6"/>
        </left>
        <right style="thin">
          <color theme="6"/>
        </right>
        <top style="thin">
          <color theme="6"/>
        </top>
        <bottom style="thin">
          <color theme="6"/>
        </bottom>
        <vertical/>
        <horizontal style="thin">
          <color theme="6" tint="0.6"/>
        </horizontal>
      </border>
    </dxf>
    <dxf>
      <font>
        <b val="1"/>
        <i val="0"/>
        <u val="none"/>
        <sz val="11"/>
        <color rgb="FFFFFFFF"/>
      </font>
      <fill>
        <patternFill patternType="solid">
          <bgColor theme="6"/>
        </patternFill>
      </fill>
      <border>
        <left style="thin">
          <color theme="6"/>
        </left>
        <right style="thin">
          <color theme="6"/>
        </right>
        <top style="thin">
          <color theme="6"/>
        </top>
        <bottom style="thin">
          <color theme="6"/>
        </bottom>
        <vertical/>
        <horizontal style="thin">
          <color theme="6" tint="0.6"/>
        </horizontal>
      </border>
    </dxf>
    <dxf>
      <font>
        <b val="1"/>
        <i val="0"/>
        <u val="none"/>
        <sz val="11"/>
        <color theme="6"/>
      </font>
      <fill>
        <patternFill patternType="solid">
          <bgColor rgb="FFFFFFFF"/>
        </patternFill>
      </fill>
      <border>
        <left style="thin">
          <color theme="6"/>
        </left>
        <right style="thin">
          <color theme="6"/>
        </right>
        <top style="thin">
          <color theme="6"/>
        </top>
        <bottom style="thin">
          <color theme="6"/>
        </bottom>
        <vertical/>
        <horizontal/>
      </border>
    </dxf>
    <dxf>
      <font>
        <b val="1"/>
        <i val="0"/>
        <u val="none"/>
        <sz val="11"/>
        <color rgb="FFFFFFFF"/>
      </font>
      <fill>
        <patternFill patternType="solid">
          <bgColor theme="6"/>
        </patternFill>
      </fill>
      <border>
        <left style="thin">
          <color theme="6"/>
        </left>
        <right style="thin">
          <color theme="6"/>
        </right>
        <top style="thin">
          <color theme="6"/>
        </top>
        <bottom style="thin">
          <color theme="6"/>
        </bottom>
        <vertical style="thin">
          <color theme="6" tint="0.6"/>
        </vertical>
        <horizontal/>
      </border>
    </dxf>
    <dxf>
      <font>
        <b val="0"/>
        <i val="0"/>
        <u val="none"/>
        <sz val="11"/>
        <color rgb="FF000000"/>
      </font>
      <fill>
        <patternFill patternType="solid">
          <bgColor rgb="FFFFFFFF"/>
        </patternFill>
      </fill>
      <border>
        <left style="thin">
          <color theme="6"/>
        </left>
        <right style="thin">
          <color theme="6"/>
        </right>
        <top style="thin">
          <color theme="6"/>
        </top>
        <bottom style="thin">
          <color theme="6"/>
        </bottom>
        <vertical style="thin">
          <color theme="6" tint="0.6"/>
        </vertical>
        <horizontal style="thin">
          <color theme="6" tint="0.6"/>
        </horizontal>
      </border>
    </dxf>
    <dxf>
      <fill>
        <patternFill patternType="solid">
          <bgColor theme="4"/>
        </patternFill>
      </fill>
    </dxf>
    <dxf>
      <border>
        <left style="thin">
          <color theme="4" tint="0.6"/>
        </left>
        <right style="thin">
          <color theme="4" tint="0.6"/>
        </right>
        <top style="thin">
          <color theme="4"/>
        </top>
        <bottom style="thin">
          <color theme="4"/>
        </bottom>
        <vertical/>
        <horizontal/>
      </border>
    </dxf>
    <dxf>
      <fill>
        <patternFill patternType="solid">
          <bgColor theme="4" tint="0.9"/>
        </patternFill>
      </fill>
      <border>
        <left/>
        <right/>
        <top style="thin">
          <color theme="4"/>
        </top>
        <bottom style="thin">
          <color theme="4"/>
        </bottom>
        <vertical style="thin">
          <color theme="4" tint="0.6"/>
        </vertical>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top style="thin">
          <color theme="4"/>
        </top>
        <bottom style="thin">
          <color theme="4"/>
        </bottom>
        <vertical/>
        <horizontal/>
      </border>
    </dxf>
    <dxf>
      <font>
        <b val="1"/>
        <i val="0"/>
        <u val="none"/>
        <sz val="11"/>
        <color rgb="FFFFFFFF"/>
      </font>
      <fill>
        <patternFill patternType="solid">
          <bgColor theme="4"/>
        </patternFill>
      </fill>
      <border>
        <left/>
        <right style="thin">
          <color theme="4" tint="0.6"/>
        </right>
        <top style="thin">
          <color theme="4"/>
        </top>
        <bottom style="thin">
          <color theme="4"/>
        </bottom>
        <vertical/>
        <horizontal/>
      </border>
    </dxf>
    <dxf>
      <font>
        <b val="1"/>
        <i val="0"/>
        <u val="none"/>
        <sz val="11"/>
        <color rgb="FFFFFFFF"/>
      </font>
      <fill>
        <patternFill patternType="solid">
          <bgColor theme="4"/>
        </patternFill>
      </fill>
      <border>
        <left/>
        <right/>
        <top/>
        <bottom/>
        <vertical/>
        <horizontal/>
      </border>
    </dxf>
    <dxf>
      <font>
        <b val="1"/>
        <i val="0"/>
        <u val="none"/>
        <sz val="11"/>
        <color rgb="FFFFFFFF"/>
      </font>
      <fill>
        <patternFill patternType="solid">
          <bgColor theme="4"/>
        </patternFill>
      </fill>
      <border>
        <left/>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right/>
        <top style="thin">
          <color theme="4"/>
        </top>
        <bottom style="thin">
          <color theme="4"/>
        </bottom>
        <vertical style="thin">
          <color theme="4" tint="0.6"/>
        </vertical>
        <horizontal/>
      </border>
    </dxf>
    <dxf>
      <fill>
        <patternFill patternType="solid">
          <bgColor theme="4" tint="0.9"/>
        </patternFill>
      </fill>
    </dxf>
    <dxf>
      <fill>
        <patternFill patternType="solid">
          <bgColor theme="4" tint="0.9"/>
        </patternFill>
      </fill>
    </dxf>
    <dxf>
      <font>
        <b val="1"/>
        <u val="none"/>
        <color rgb="FFFFFFFF"/>
      </font>
      <fill>
        <patternFill patternType="solid">
          <bgColor theme="4"/>
        </patternFill>
      </fill>
      <border>
        <left style="thin">
          <color theme="4"/>
        </left>
        <right style="thin">
          <color theme="4"/>
        </right>
        <top style="thin">
          <color theme="4"/>
        </top>
        <bottom style="thin">
          <color theme="4"/>
        </bottom>
        <vertical/>
        <horizontal style="thin">
          <color theme="0" tint="-0.08"/>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horizontal style="thin">
          <color theme="4" tint="0.7"/>
        </horizontal>
      </border>
    </dxf>
    <dxf>
      <fill>
        <patternFill patternType="solid">
          <bgColor theme="4" tint="0.9"/>
        </patternFill>
      </fill>
    </dxf>
    <dxf>
      <fill>
        <patternFill patternType="solid">
          <bgColor theme="4" tint="0.9"/>
        </patternFill>
      </fill>
    </dxf>
    <dxf>
      <font>
        <b val="1"/>
        <u val="none"/>
        <color rgb="FFFFFFFF"/>
      </font>
      <fill>
        <patternFill patternType="solid">
          <bgColor theme="4"/>
        </patternFill>
      </fill>
      <border>
        <left style="thin">
          <color theme="4"/>
        </left>
        <right style="thin">
          <color theme="4"/>
        </right>
        <top style="thin">
          <color theme="4"/>
        </top>
        <bottom style="thin">
          <color theme="4"/>
        </bottom>
        <vertical/>
        <horizontal style="thin">
          <color theme="0" tint="-0.08"/>
        </horizontal>
      </border>
    </dxf>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horizontal style="thin">
          <color theme="4" tint="0.7"/>
        </horizontal>
      </border>
    </dxf>
    <dxf>
      <fill>
        <patternFill patternType="solid">
          <bgColor rgb="FFFFFFFF"/>
        </patternFill>
      </fill>
      <border>
        <left/>
        <right style="medium">
          <color theme="4"/>
        </right>
        <top style="thin">
          <color theme="4"/>
        </top>
        <bottom style="medium">
          <color theme="4"/>
        </bottom>
        <vertical/>
        <horizontal/>
      </border>
    </dxf>
    <dxf>
      <font>
        <b val="1"/>
        <i val="0"/>
        <u val="none"/>
        <sz val="11"/>
        <color theme="0"/>
      </font>
      <fill>
        <patternFill patternType="solid">
          <bgColor theme="4"/>
        </patternFill>
      </fill>
      <border>
        <left style="medium">
          <color theme="4"/>
        </left>
        <right/>
        <top style="thin">
          <color theme="4" tint="0.6"/>
        </top>
        <bottom style="medium">
          <color theme="4"/>
        </bottom>
        <vertical/>
        <horizontal/>
      </border>
    </dxf>
    <dxf>
      <fill>
        <patternFill patternType="solid">
          <bgColor theme="4"/>
        </patternFill>
      </fill>
      <border>
        <left style="thin">
          <color theme="4" tint="0.6"/>
        </left>
        <right style="medium">
          <color theme="4"/>
        </right>
        <top style="medium">
          <color theme="4"/>
        </top>
        <bottom style="thin">
          <color theme="4" tint="0.6"/>
        </bottom>
        <vertical/>
        <horizontal/>
      </border>
    </dxf>
    <dxf>
      <font>
        <b val="1"/>
        <i val="0"/>
        <u val="none"/>
        <sz val="11"/>
        <color theme="0"/>
      </font>
      <fill>
        <patternFill patternType="solid">
          <bgColor theme="4"/>
        </patternFill>
      </fill>
      <border>
        <left style="medium">
          <color theme="4"/>
        </left>
        <right style="thin">
          <color theme="4" tint="0.6"/>
        </right>
        <top style="medium">
          <color theme="4"/>
        </top>
        <bottom style="thin">
          <color theme="4" tint="0.6"/>
        </bottom>
        <vertical/>
        <horizontal/>
      </border>
    </dxf>
    <dxf>
      <fill>
        <patternFill patternType="solid">
          <bgColor theme="0"/>
        </patternFill>
      </fill>
      <border>
        <left/>
        <right/>
        <top style="medium">
          <color theme="4"/>
        </top>
        <bottom style="medium">
          <color theme="4"/>
        </bottom>
        <vertical/>
        <horizontal style="thin">
          <color theme="4" tint="0.6"/>
        </horizontal>
      </border>
    </dxf>
    <dxf>
      <fill>
        <patternFill patternType="solid">
          <bgColor theme="4" tint="0.9"/>
        </patternFill>
      </fill>
      <border>
        <left style="medium">
          <color theme="4"/>
        </left>
        <right style="medium">
          <color theme="4"/>
        </right>
        <top style="medium">
          <color theme="4"/>
        </top>
        <bottom style="medium">
          <color theme="4"/>
        </bottom>
        <vertical/>
        <horizontal style="thin">
          <color theme="4" tint="0.6"/>
        </horizontal>
      </border>
    </dxf>
    <dxf>
      <fill>
        <patternFill patternType="solid">
          <bgColor theme="4" tint="0.9"/>
        </patternFill>
      </fill>
    </dxf>
    <dxf>
      <font>
        <b val="1"/>
        <i val="0"/>
        <u val="none"/>
        <sz val="11"/>
        <color theme="1"/>
      </font>
      <fill>
        <patternFill patternType="solid">
          <bgColor theme="4" tint="0.8"/>
        </patternFill>
      </fill>
      <border>
        <left/>
        <right style="medium">
          <color theme="4"/>
        </right>
        <top style="medium">
          <color theme="4"/>
        </top>
        <bottom style="medium">
          <color theme="4"/>
        </bottom>
        <vertical/>
        <horizontal style="thin">
          <color theme="4" tint="0.6"/>
        </horizontal>
      </border>
    </dxf>
    <dxf>
      <font>
        <b val="1"/>
        <i val="0"/>
        <u val="none"/>
        <sz val="11"/>
        <color rgb="FFFFFFFF"/>
      </font>
      <fill>
        <patternFill patternType="solid">
          <bgColor theme="4"/>
        </patternFill>
      </fill>
      <border>
        <left style="medium">
          <color theme="4"/>
        </left>
        <right/>
        <top style="medium">
          <color theme="4"/>
        </top>
        <bottom style="medium">
          <color theme="4"/>
        </bottom>
        <vertical/>
        <horizontal style="thin">
          <color theme="4" tint="0.6"/>
        </horizontal>
      </border>
    </dxf>
    <dxf>
      <font>
        <b val="1"/>
        <i val="0"/>
        <u val="none"/>
        <sz val="11"/>
        <color theme="4"/>
      </font>
      <fill>
        <patternFill patternType="solid">
          <bgColor rgb="FFFFFFFF"/>
        </patternFill>
      </fill>
      <border>
        <left style="medium">
          <color theme="4"/>
        </left>
        <right style="medium">
          <color theme="4"/>
        </right>
        <top style="thin">
          <color theme="4"/>
        </top>
        <bottom style="medium">
          <color theme="4"/>
        </bottom>
        <vertical/>
        <horizontal/>
      </border>
    </dxf>
    <dxf>
      <font>
        <b val="1"/>
        <i val="0"/>
        <u val="none"/>
        <sz val="11"/>
        <color rgb="FFFFFFFF"/>
      </font>
      <fill>
        <patternFill patternType="solid">
          <bgColor theme="4"/>
        </patternFill>
      </fill>
      <border>
        <left style="medium">
          <color theme="4"/>
        </left>
        <right style="medium">
          <color theme="4"/>
        </right>
        <top style="medium">
          <color theme="4"/>
        </top>
        <bottom style="thin">
          <color theme="4"/>
        </bottom>
        <vertical style="thin">
          <color theme="4" tint="0.6"/>
        </vertical>
        <horizontal/>
      </border>
    </dxf>
    <dxf>
      <font>
        <b val="0"/>
        <i val="0"/>
        <u val="none"/>
        <sz val="11"/>
        <color rgb="FF000000"/>
      </font>
      <fill>
        <patternFill patternType="solid">
          <bgColor rgb="FFFFFFFF"/>
        </patternFill>
      </fill>
      <border>
        <left style="medium">
          <color theme="4"/>
        </left>
        <right style="medium">
          <color theme="4"/>
        </right>
        <top style="medium">
          <color theme="4"/>
        </top>
        <bottom style="medium">
          <color theme="4"/>
        </bottom>
        <vertical/>
        <horizontal style="thin">
          <color theme="4" tint="0.6"/>
        </horizontal>
      </border>
    </dxf>
    <dxf>
      <border>
        <left/>
        <right style="thin">
          <color theme="4"/>
        </right>
        <top style="thin">
          <color theme="4"/>
        </top>
        <bottom style="thin">
          <color theme="4"/>
        </bottom>
        <vertical/>
        <horizontal/>
      </border>
    </dxf>
    <dxf>
      <border>
        <left style="thin">
          <color theme="4"/>
        </left>
        <right/>
        <top style="thin">
          <color theme="4"/>
        </top>
        <bottom style="thin">
          <color theme="4"/>
        </bottom>
        <vertical/>
        <horizontal/>
      </border>
    </dxf>
    <dxf/>
    <dxf>
      <fill>
        <patternFill patternType="solid">
          <bgColor theme="4" tint="0.9"/>
        </patternFill>
      </fill>
    </dxf>
    <dxf>
      <fill>
        <patternFill patternType="solid">
          <bgColor theme="4" tint="0.9"/>
        </patternFill>
      </fill>
    </dxf>
    <dxf>
      <font>
        <b val="1"/>
        <i val="0"/>
        <u val="none"/>
        <sz val="11"/>
        <color rgb="FF08090C"/>
      </font>
      <fill>
        <patternFill patternType="solid">
          <bgColor theme="4" tint="0.8"/>
        </patternFill>
      </fill>
      <border>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font>
        <b val="1"/>
        <i val="0"/>
        <u val="none"/>
        <sz val="11"/>
        <color theme="0"/>
      </font>
      <fill>
        <patternFill patternType="solid">
          <bgColor theme="4"/>
        </patternFill>
      </fill>
      <border>
        <left style="thin">
          <color theme="4"/>
        </left>
        <right style="thin">
          <color theme="4" tint="0.6"/>
        </right>
        <top style="thin">
          <color theme="4"/>
        </top>
        <bottom style="thin">
          <color theme="4" tint="0.6"/>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0" defaultTableStyle="TableStyleMedium2">
    <tableStyle name="中色系标题行标题列镶边列表格样式_15eaa5" count="10" xr9:uid="{3215FB9C-AF50-4617-A493-EF0A14E92121}">
      <tableStyleElement type="wholeTable" dxfId="13"/>
      <tableStyleElement type="headerRow" dxfId="12"/>
      <tableStyleElement type="totalRow" dxfId="11"/>
      <tableStyleElement type="firstColumn" dxfId="10"/>
      <tableStyleElement type="lastColumn" dxfId="9"/>
      <tableStyleElement type="secondRowStripe" dxfId="8"/>
      <tableStyleElement type="firstColumnStripe" dxfId="7"/>
      <tableStyleElement type="firstHeaderCell" dxfId="6"/>
      <tableStyleElement type="firstTotalCell" dxfId="5"/>
      <tableStyleElement type="lastTotalCell" dxfId="4"/>
    </tableStyle>
    <tableStyle name="中色系标题行标题列镶边行表格样式_4dbb89" count="11" xr9:uid="{F12E1381-7EE8-4A3E-A49F-EB7BDE0B2D89}">
      <tableStyleElement type="wholeTable" dxfId="24"/>
      <tableStyleElement type="headerRow" dxfId="23"/>
      <tableStyleElement type="totalRow" dxfId="22"/>
      <tableStyleElement type="firstColumn" dxfId="21"/>
      <tableStyleElement type="lastColumn" dxfId="20"/>
      <tableStyleElement type="secondRowStripe" dxfId="19"/>
      <tableStyleElement type="firstColumnStripe" dxfId="18"/>
      <tableStyleElement type="secondColumnStripe" dxfId="17"/>
      <tableStyleElement type="firstHeaderCell" dxfId="16"/>
      <tableStyleElement type="firstTotalCell" dxfId="15"/>
      <tableStyleElement type="lastTotalCell" dxfId="14"/>
    </tableStyle>
    <tableStyle name="中色系标题行标题列表格样式_0a0849" count="12" xr9:uid="{DDFADE28-C581-4BB6-BDA9-D94302BD8DAC}">
      <tableStyleElement type="wholeTable" dxfId="36"/>
      <tableStyleElement type="headerRow" dxfId="35"/>
      <tableStyleElement type="totalRow" dxfId="34"/>
      <tableStyleElement type="firstColumn" dxfId="33"/>
      <tableStyleElement type="lastColumn" dxfId="32"/>
      <tableStyleElement type="secondRowStripe" dxfId="31"/>
      <tableStyleElement type="firstColumnStripe" dxfId="30"/>
      <tableStyleElement type="secondColumnStripe" dxfId="29"/>
      <tableStyleElement type="firstHeaderCell" dxfId="28"/>
      <tableStyleElement type="lastHeaderCell" dxfId="27"/>
      <tableStyleElement type="firstTotalCell" dxfId="26"/>
      <tableStyleElement type="lastTotalCell" dxfId="25"/>
    </tableStyle>
    <tableStyle name="中色系标题行标题列镶边行表格样式_e8ecbc" count="11" xr9:uid="{4E59AC59-82B2-43DA-8F16-D62BF54F866B}">
      <tableStyleElement type="wholeTable" dxfId="47"/>
      <tableStyleElement type="headerRow" dxfId="46"/>
      <tableStyleElement type="totalRow" dxfId="45"/>
      <tableStyleElement type="firstColumn" dxfId="44"/>
      <tableStyleElement type="lastColumn" dxfId="43"/>
      <tableStyleElement type="secondRowStripe" dxfId="42"/>
      <tableStyleElement type="firstColumnStripe" dxfId="41"/>
      <tableStyleElement type="secondColumnStripe" dxfId="40"/>
      <tableStyleElement type="firstHeaderCell" dxfId="39"/>
      <tableStyleElement type="firstTotalCell" dxfId="38"/>
      <tableStyleElement type="lastTotalCell" dxfId="37"/>
    </tableStyle>
    <tableStyle name="中色系标题行镶边列标题列表格样式_06b553" count="9" xr9:uid="{B920D042-12D9-4B14-897E-493FA91B572D}">
      <tableStyleElement type="wholeTable" dxfId="56"/>
      <tableStyleElement type="headerRow" dxfId="55"/>
      <tableStyleElement type="totalRow" dxfId="54"/>
      <tableStyleElement type="firstColumn" dxfId="53"/>
      <tableStyleElement type="lastColumn" dxfId="52"/>
      <tableStyleElement type="secondRowStripe" dxfId="51"/>
      <tableStyleElement type="firstColumnStripe" dxfId="50"/>
      <tableStyleElement type="secondColumnStripe" dxfId="49"/>
      <tableStyleElement type="firstHeaderCell" dxfId="48"/>
    </tableStyle>
    <tableStyle name="简约中色系首列表格样式_878e0d" count="4" xr9:uid="{8DAC5AE8-8C6A-418E-B8DD-D5403D1B43CF}">
      <tableStyleElement type="wholeTable" dxfId="60"/>
      <tableStyleElement type="firstColumn" dxfId="59"/>
      <tableStyleElement type="firstRowStripe" dxfId="58"/>
      <tableStyleElement type="firstColumnStripe" dxfId="57"/>
    </tableStyle>
    <tableStyle name="简约中色系首列镶边行表格样式_691a8d" count="5" xr9:uid="{C47AECB7-4ED3-4345-8953-42BB7F2F2080}">
      <tableStyleElement type="wholeTable" dxfId="65"/>
      <tableStyleElement type="headerRow" dxfId="64"/>
      <tableStyleElement type="firstColumn" dxfId="63"/>
      <tableStyleElement type="firstRowStripe" dxfId="62"/>
      <tableStyleElement type="firstColumnStripe" dxfId="61"/>
    </tableStyle>
    <tableStyle name="中色系标题行标题列表格样式_008c58" count="12" xr9:uid="{08B82DF3-7AE0-43B5-90B9-7A5634341E3C}">
      <tableStyleElement type="wholeTable" dxfId="77"/>
      <tableStyleElement type="headerRow" dxfId="76"/>
      <tableStyleElement type="totalRow" dxfId="75"/>
      <tableStyleElement type="firstColumn" dxfId="74"/>
      <tableStyleElement type="lastColumn" dxfId="73"/>
      <tableStyleElement type="secondRowStripe" dxfId="72"/>
      <tableStyleElement type="firstColumnStripe" dxfId="71"/>
      <tableStyleElement type="secondColumnStripe" dxfId="70"/>
      <tableStyleElement type="firstHeaderCell" dxfId="69"/>
      <tableStyleElement type="lastHeaderCell" dxfId="68"/>
      <tableStyleElement type="firstTotalCell" dxfId="67"/>
      <tableStyleElement type="lastTotalCell" dxfId="66"/>
    </tableStyle>
    <tableStyle name="中色系标题行镶边列首列表格样式_983bdf" count="10" xr9:uid="{8AB251E9-C643-4044-A4A4-465D279A0086}">
      <tableStyleElement type="wholeTable" dxfId="87"/>
      <tableStyleElement type="headerRow" dxfId="86"/>
      <tableStyleElement type="totalRow" dxfId="85"/>
      <tableStyleElement type="firstColumn" dxfId="84"/>
      <tableStyleElement type="lastColumn" dxfId="83"/>
      <tableStyleElement type="secondRowStripe" dxfId="82"/>
      <tableStyleElement type="firstColumnStripe" dxfId="81"/>
      <tableStyleElement type="secondColumnStripe" dxfId="80"/>
      <tableStyleElement type="firstTotalCell" dxfId="79"/>
      <tableStyleElement type="lastTotalCell" dxfId="78"/>
    </tableStyle>
    <tableStyle name="中色系标题行标题列镶边行表格样式_29c806" count="11" xr9:uid="{7C59F39B-B768-438F-8686-C5C90CD36BB1}">
      <tableStyleElement type="wholeTable" dxfId="98"/>
      <tableStyleElement type="headerRow" dxfId="97"/>
      <tableStyleElement type="totalRow" dxfId="96"/>
      <tableStyleElement type="firstColumn" dxfId="95"/>
      <tableStyleElement type="lastColumn" dxfId="94"/>
      <tableStyleElement type="secondRowStripe" dxfId="93"/>
      <tableStyleElement type="firstColumnStripe" dxfId="92"/>
      <tableStyleElement type="secondColumnStripe" dxfId="91"/>
      <tableStyleElement type="firstHeaderCell" dxfId="90"/>
      <tableStyleElement type="firstTotalCell" dxfId="89"/>
      <tableStyleElement type="lastTotalCell" dxfId="88"/>
    </tableStyle>
  </tableStyles>
  <colors>
    <mruColors>
      <color rgb="0035ACC7"/>
      <color rgb="00FD8008"/>
      <color rgb="002247A6"/>
      <color rgb="001F42A9"/>
      <color rgb="001E0CBB"/>
      <color rgb="00170994"/>
      <color rgb="00FFFF00"/>
      <color rgb="00FFFFFF"/>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customXml" Target="../customXml/item3.xml"/><Relationship Id="rId20" Type="http://schemas.openxmlformats.org/officeDocument/2006/relationships/customXml" Target="../customXml/item2.xml"/><Relationship Id="rId2" Type="http://schemas.openxmlformats.org/officeDocument/2006/relationships/worksheet" Target="worksheets/sheet2.xml"/><Relationship Id="rId19" Type="http://schemas.openxmlformats.org/officeDocument/2006/relationships/customXml" Target="../customXml/item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30446;&#24405;!A1"/></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30446;&#24405;!A1"/></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30446;&#24405;!A1"/></Relationships>
</file>

<file path=xl/drawings/_rels/drawing15.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hyperlink" Target="#&#30446;&#24405;!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hyperlink" Target="#&#21457;&#36135;&#24517;&#35835;!A1"/></Relationships>
</file>

<file path=xl/drawings/_rels/drawing18.xml.rels><?xml version="1.0" encoding="UTF-8" standalone="yes"?>
<Relationships xmlns="http://schemas.openxmlformats.org/package/2006/relationships"><Relationship Id="rId1" Type="http://schemas.openxmlformats.org/officeDocument/2006/relationships/hyperlink" Target="#&#30446;&#24405;!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307340</xdr:colOff>
      <xdr:row>2</xdr:row>
      <xdr:rowOff>222250</xdr:rowOff>
    </xdr:to>
    <xdr:pic>
      <xdr:nvPicPr>
        <xdr:cNvPr id="2" name="图片 1" descr="LOGO-透明"/>
        <xdr:cNvPicPr>
          <a:picLocks noChangeAspect="1"/>
        </xdr:cNvPicPr>
      </xdr:nvPicPr>
      <xdr:blipFill>
        <a:blip r:embed="rId1"/>
        <a:stretch>
          <a:fillRect/>
        </a:stretch>
      </xdr:blipFill>
      <xdr:spPr>
        <a:xfrm>
          <a:off x="9525" y="9525"/>
          <a:ext cx="1060450" cy="74612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127000</xdr:colOff>
      <xdr:row>0</xdr:row>
      <xdr:rowOff>200025</xdr:rowOff>
    </xdr:from>
    <xdr:to>
      <xdr:col>6</xdr:col>
      <xdr:colOff>1014095</xdr:colOff>
      <xdr:row>1</xdr:row>
      <xdr:rowOff>274955</xdr:rowOff>
    </xdr:to>
    <xdr:sp>
      <xdr:nvSpPr>
        <xdr:cNvPr id="4" name="左箭头 3">
          <a:hlinkClick xmlns:r="http://schemas.openxmlformats.org/officeDocument/2006/relationships" r:id="rId1"/>
        </xdr:cNvPr>
        <xdr:cNvSpPr/>
      </xdr:nvSpPr>
      <xdr:spPr>
        <a:xfrm>
          <a:off x="11882120" y="200025"/>
          <a:ext cx="8966200" cy="1103630"/>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800">
              <a:solidFill>
                <a:sysClr val="windowText" lastClr="000000"/>
              </a:solidFill>
              <a:latin typeface="黑体" panose="02010609060101010101" charset="-122"/>
              <a:ea typeface="黑体" panose="02010609060101010101" charset="-122"/>
              <a:sym typeface="+mn-ea"/>
            </a:rPr>
            <a:t>返回目录</a:t>
          </a:r>
          <a:endParaRPr lang="zh-CN" altLang="en-US" sz="2800">
            <a:solidFill>
              <a:sysClr val="windowText" lastClr="000000"/>
            </a:solidFill>
            <a:latin typeface="黑体" panose="02010609060101010101" charset="-122"/>
            <a:ea typeface="黑体" panose="02010609060101010101" charset="-122"/>
            <a:sym typeface="+mn-ea"/>
          </a:endParaRPr>
        </a:p>
      </xdr:txBody>
    </xdr:sp>
    <xdr:clientData/>
  </xdr:twoCellAnchor>
  <xdr:twoCellAnchor editAs="oneCell">
    <xdr:from>
      <xdr:col>0</xdr:col>
      <xdr:colOff>360045</xdr:colOff>
      <xdr:row>0</xdr:row>
      <xdr:rowOff>24130</xdr:rowOff>
    </xdr:from>
    <xdr:to>
      <xdr:col>1</xdr:col>
      <xdr:colOff>19050</xdr:colOff>
      <xdr:row>1</xdr:row>
      <xdr:rowOff>5715</xdr:rowOff>
    </xdr:to>
    <xdr:pic>
      <xdr:nvPicPr>
        <xdr:cNvPr id="7" name="图片 6" descr="LOGO-透明"/>
        <xdr:cNvPicPr>
          <a:picLocks noChangeAspect="1"/>
        </xdr:cNvPicPr>
      </xdr:nvPicPr>
      <xdr:blipFill>
        <a:blip r:embed="rId2"/>
        <a:stretch>
          <a:fillRect/>
        </a:stretch>
      </xdr:blipFill>
      <xdr:spPr>
        <a:xfrm>
          <a:off x="360045" y="24130"/>
          <a:ext cx="1440815" cy="10102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1069975</xdr:colOff>
      <xdr:row>2</xdr:row>
      <xdr:rowOff>298450</xdr:rowOff>
    </xdr:to>
    <xdr:pic>
      <xdr:nvPicPr>
        <xdr:cNvPr id="2" name="图片 1" descr="LOGO-透明"/>
        <xdr:cNvPicPr>
          <a:picLocks noChangeAspect="1"/>
        </xdr:cNvPicPr>
      </xdr:nvPicPr>
      <xdr:blipFill>
        <a:blip r:embed="rId1"/>
        <a:stretch>
          <a:fillRect/>
        </a:stretch>
      </xdr:blipFill>
      <xdr:spPr>
        <a:xfrm>
          <a:off x="9525" y="9525"/>
          <a:ext cx="1060450" cy="74612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285750</xdr:rowOff>
    </xdr:from>
    <xdr:to>
      <xdr:col>0</xdr:col>
      <xdr:colOff>743585</xdr:colOff>
      <xdr:row>1</xdr:row>
      <xdr:rowOff>268605</xdr:rowOff>
    </xdr:to>
    <xdr:pic>
      <xdr:nvPicPr>
        <xdr:cNvPr id="2" name="图片 1" descr="LOGO-透明"/>
        <xdr:cNvPicPr>
          <a:picLocks noChangeAspect="1"/>
        </xdr:cNvPicPr>
      </xdr:nvPicPr>
      <xdr:blipFill>
        <a:blip r:embed="rId1"/>
        <a:stretch>
          <a:fillRect/>
        </a:stretch>
      </xdr:blipFill>
      <xdr:spPr>
        <a:xfrm>
          <a:off x="635" y="285750"/>
          <a:ext cx="742950" cy="554355"/>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227330</xdr:colOff>
      <xdr:row>0</xdr:row>
      <xdr:rowOff>38100</xdr:rowOff>
    </xdr:from>
    <xdr:to>
      <xdr:col>0</xdr:col>
      <xdr:colOff>1360170</xdr:colOff>
      <xdr:row>1</xdr:row>
      <xdr:rowOff>260350</xdr:rowOff>
    </xdr:to>
    <xdr:pic>
      <xdr:nvPicPr>
        <xdr:cNvPr id="2" name="图片 1" descr="LOGO-透明"/>
        <xdr:cNvPicPr>
          <a:picLocks noChangeAspect="1"/>
        </xdr:cNvPicPr>
      </xdr:nvPicPr>
      <xdr:blipFill>
        <a:blip r:embed="rId1"/>
        <a:stretch>
          <a:fillRect/>
        </a:stretch>
      </xdr:blipFill>
      <xdr:spPr>
        <a:xfrm>
          <a:off x="227330" y="38100"/>
          <a:ext cx="1132840" cy="793750"/>
        </a:xfrm>
        <a:prstGeom prst="rect">
          <a:avLst/>
        </a:prstGeom>
      </xdr:spPr>
    </xdr:pic>
    <xdr:clientData/>
  </xdr:twoCellAnchor>
  <xdr:twoCellAnchor>
    <xdr:from>
      <xdr:col>9</xdr:col>
      <xdr:colOff>150495</xdr:colOff>
      <xdr:row>0</xdr:row>
      <xdr:rowOff>504190</xdr:rowOff>
    </xdr:from>
    <xdr:to>
      <xdr:col>9</xdr:col>
      <xdr:colOff>1921510</xdr:colOff>
      <xdr:row>2</xdr:row>
      <xdr:rowOff>276860</xdr:rowOff>
    </xdr:to>
    <xdr:sp>
      <xdr:nvSpPr>
        <xdr:cNvPr id="3" name="左箭头 2">
          <a:hlinkClick xmlns:r="http://schemas.openxmlformats.org/officeDocument/2006/relationships" r:id="rId2"/>
        </xdr:cNvPr>
        <xdr:cNvSpPr/>
      </xdr:nvSpPr>
      <xdr:spPr>
        <a:xfrm>
          <a:off x="15411450" y="504190"/>
          <a:ext cx="1771015" cy="915670"/>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400">
              <a:solidFill>
                <a:sysClr val="windowText" lastClr="000000"/>
              </a:solidFill>
              <a:latin typeface="黑体" panose="02010609060101010101" charset="-122"/>
              <a:ea typeface="黑体" panose="02010609060101010101" charset="-122"/>
              <a:sym typeface="+mn-ea"/>
            </a:rPr>
            <a:t>返回目录</a:t>
          </a:r>
          <a:endParaRPr lang="zh-CN" altLang="en-US" sz="24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335915</xdr:colOff>
      <xdr:row>0</xdr:row>
      <xdr:rowOff>91440</xdr:rowOff>
    </xdr:from>
    <xdr:to>
      <xdr:col>1</xdr:col>
      <xdr:colOff>943610</xdr:colOff>
      <xdr:row>1</xdr:row>
      <xdr:rowOff>497205</xdr:rowOff>
    </xdr:to>
    <xdr:pic>
      <xdr:nvPicPr>
        <xdr:cNvPr id="2" name="图片 1" descr="LOGO-透明"/>
        <xdr:cNvPicPr>
          <a:picLocks noChangeAspect="1"/>
        </xdr:cNvPicPr>
      </xdr:nvPicPr>
      <xdr:blipFill>
        <a:blip r:embed="rId1"/>
        <a:stretch>
          <a:fillRect/>
        </a:stretch>
      </xdr:blipFill>
      <xdr:spPr>
        <a:xfrm>
          <a:off x="335915" y="91440"/>
          <a:ext cx="1549400" cy="1078865"/>
        </a:xfrm>
        <a:prstGeom prst="rect">
          <a:avLst/>
        </a:prstGeom>
      </xdr:spPr>
    </xdr:pic>
    <xdr:clientData/>
  </xdr:twoCellAnchor>
  <xdr:twoCellAnchor>
    <xdr:from>
      <xdr:col>19</xdr:col>
      <xdr:colOff>357505</xdr:colOff>
      <xdr:row>1</xdr:row>
      <xdr:rowOff>24130</xdr:rowOff>
    </xdr:from>
    <xdr:to>
      <xdr:col>21</xdr:col>
      <xdr:colOff>178435</xdr:colOff>
      <xdr:row>2</xdr:row>
      <xdr:rowOff>321945</xdr:rowOff>
    </xdr:to>
    <xdr:sp>
      <xdr:nvSpPr>
        <xdr:cNvPr id="3" name="左箭头 2">
          <a:hlinkClick xmlns:r="http://schemas.openxmlformats.org/officeDocument/2006/relationships" r:id="rId2"/>
        </xdr:cNvPr>
        <xdr:cNvSpPr/>
      </xdr:nvSpPr>
      <xdr:spPr>
        <a:xfrm>
          <a:off x="18879820" y="697230"/>
          <a:ext cx="1704340" cy="818515"/>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400">
              <a:solidFill>
                <a:sysClr val="windowText" lastClr="000000"/>
              </a:solidFill>
              <a:latin typeface="黑体" panose="02010609060101010101" charset="-122"/>
              <a:ea typeface="黑体" panose="02010609060101010101" charset="-122"/>
              <a:sym typeface="+mn-ea"/>
            </a:rPr>
            <a:t>返回目录</a:t>
          </a:r>
          <a:endParaRPr lang="zh-CN" altLang="en-US" sz="24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286385</xdr:colOff>
      <xdr:row>0</xdr:row>
      <xdr:rowOff>635</xdr:rowOff>
    </xdr:from>
    <xdr:to>
      <xdr:col>0</xdr:col>
      <xdr:colOff>1449705</xdr:colOff>
      <xdr:row>2</xdr:row>
      <xdr:rowOff>98425</xdr:rowOff>
    </xdr:to>
    <xdr:pic>
      <xdr:nvPicPr>
        <xdr:cNvPr id="4" name="图片 3" descr="LOGO-透明"/>
        <xdr:cNvPicPr>
          <a:picLocks noChangeAspect="1"/>
        </xdr:cNvPicPr>
      </xdr:nvPicPr>
      <xdr:blipFill>
        <a:blip r:embed="rId1"/>
        <a:stretch>
          <a:fillRect/>
        </a:stretch>
      </xdr:blipFill>
      <xdr:spPr>
        <a:xfrm>
          <a:off x="286385" y="635"/>
          <a:ext cx="1163320" cy="821690"/>
        </a:xfrm>
        <a:prstGeom prst="rect">
          <a:avLst/>
        </a:prstGeom>
      </xdr:spPr>
    </xdr:pic>
    <xdr:clientData/>
  </xdr:twoCellAnchor>
  <xdr:twoCellAnchor>
    <xdr:from>
      <xdr:col>7</xdr:col>
      <xdr:colOff>140970</xdr:colOff>
      <xdr:row>2</xdr:row>
      <xdr:rowOff>222250</xdr:rowOff>
    </xdr:from>
    <xdr:to>
      <xdr:col>8</xdr:col>
      <xdr:colOff>172720</xdr:colOff>
      <xdr:row>5</xdr:row>
      <xdr:rowOff>127000</xdr:rowOff>
    </xdr:to>
    <xdr:sp>
      <xdr:nvSpPr>
        <xdr:cNvPr id="5" name="左箭头 4">
          <a:hlinkClick xmlns:r="http://schemas.openxmlformats.org/officeDocument/2006/relationships" r:id="rId2"/>
        </xdr:cNvPr>
        <xdr:cNvSpPr/>
      </xdr:nvSpPr>
      <xdr:spPr>
        <a:xfrm>
          <a:off x="12142470" y="946150"/>
          <a:ext cx="1746250" cy="866775"/>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400">
              <a:solidFill>
                <a:sysClr val="windowText" lastClr="000000"/>
              </a:solidFill>
              <a:latin typeface="黑体" panose="02010609060101010101" charset="-122"/>
              <a:ea typeface="黑体" panose="02010609060101010101" charset="-122"/>
              <a:sym typeface="+mn-ea"/>
            </a:rPr>
            <a:t>返回目录</a:t>
          </a:r>
          <a:endParaRPr lang="zh-CN" altLang="en-US" sz="24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1707515</xdr:colOff>
      <xdr:row>2</xdr:row>
      <xdr:rowOff>220345</xdr:rowOff>
    </xdr:to>
    <xdr:pic>
      <xdr:nvPicPr>
        <xdr:cNvPr id="2" name="图片 1" descr="LOGO-透明"/>
        <xdr:cNvPicPr>
          <a:picLocks noChangeAspect="1"/>
        </xdr:cNvPicPr>
      </xdr:nvPicPr>
      <xdr:blipFill>
        <a:blip r:embed="rId1"/>
        <a:stretch>
          <a:fillRect/>
        </a:stretch>
      </xdr:blipFill>
      <xdr:spPr>
        <a:xfrm>
          <a:off x="9525" y="9525"/>
          <a:ext cx="1697990" cy="1176020"/>
        </a:xfrm>
        <a:prstGeom prst="rect">
          <a:avLst/>
        </a:prstGeom>
      </xdr:spPr>
    </xdr:pic>
    <xdr:clientData/>
  </xdr:twoCellAnchor>
  <xdr:twoCellAnchor>
    <xdr:from>
      <xdr:col>9</xdr:col>
      <xdr:colOff>171450</xdr:colOff>
      <xdr:row>2</xdr:row>
      <xdr:rowOff>181610</xdr:rowOff>
    </xdr:from>
    <xdr:to>
      <xdr:col>9</xdr:col>
      <xdr:colOff>1797685</xdr:colOff>
      <xdr:row>4</xdr:row>
      <xdr:rowOff>208280</xdr:rowOff>
    </xdr:to>
    <xdr:sp>
      <xdr:nvSpPr>
        <xdr:cNvPr id="3" name="左箭头 2">
          <a:hlinkClick xmlns:r="http://schemas.openxmlformats.org/officeDocument/2006/relationships" r:id="rId2"/>
        </xdr:cNvPr>
        <xdr:cNvSpPr/>
      </xdr:nvSpPr>
      <xdr:spPr>
        <a:xfrm>
          <a:off x="17109440" y="1146810"/>
          <a:ext cx="1626235" cy="991870"/>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000">
              <a:solidFill>
                <a:schemeClr val="tx1"/>
              </a:solidFill>
              <a:latin typeface="黑体" panose="02010609060101010101" charset="-122"/>
              <a:ea typeface="黑体" panose="02010609060101010101" charset="-122"/>
              <a:sym typeface="+mn-ea"/>
            </a:rPr>
            <a:t>返回目录</a:t>
          </a:r>
          <a:endParaRPr lang="zh-CN" altLang="en-US" sz="2000">
            <a:solidFill>
              <a:schemeClr val="tx1"/>
            </a:solidFill>
            <a:latin typeface="黑体" panose="02010609060101010101" charset="-122"/>
            <a:ea typeface="黑体" panose="02010609060101010101" charset="-122"/>
            <a:sym typeface="+mn-ea"/>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800735</xdr:colOff>
      <xdr:row>2</xdr:row>
      <xdr:rowOff>518795</xdr:rowOff>
    </xdr:to>
    <xdr:pic>
      <xdr:nvPicPr>
        <xdr:cNvPr id="2" name="图片 1" descr="LOGO-透明"/>
        <xdr:cNvPicPr>
          <a:picLocks noChangeAspect="1"/>
        </xdr:cNvPicPr>
      </xdr:nvPicPr>
      <xdr:blipFill>
        <a:blip r:embed="rId1"/>
        <a:stretch>
          <a:fillRect/>
        </a:stretch>
      </xdr:blipFill>
      <xdr:spPr>
        <a:xfrm>
          <a:off x="9525" y="9525"/>
          <a:ext cx="1922145" cy="1220470"/>
        </a:xfrm>
        <a:prstGeom prst="rect">
          <a:avLst/>
        </a:prstGeom>
      </xdr:spPr>
    </xdr:pic>
    <xdr:clientData/>
  </xdr:twoCellAnchor>
  <xdr:twoCellAnchor>
    <xdr:from>
      <xdr:col>20</xdr:col>
      <xdr:colOff>201295</xdr:colOff>
      <xdr:row>3</xdr:row>
      <xdr:rowOff>227330</xdr:rowOff>
    </xdr:from>
    <xdr:to>
      <xdr:col>21</xdr:col>
      <xdr:colOff>940435</xdr:colOff>
      <xdr:row>5</xdr:row>
      <xdr:rowOff>362585</xdr:rowOff>
    </xdr:to>
    <xdr:sp>
      <xdr:nvSpPr>
        <xdr:cNvPr id="4" name="左箭头 3">
          <a:hlinkClick xmlns:r="http://schemas.openxmlformats.org/officeDocument/2006/relationships" r:id="rId2"/>
        </xdr:cNvPr>
        <xdr:cNvSpPr/>
      </xdr:nvSpPr>
      <xdr:spPr>
        <a:xfrm>
          <a:off x="20807680" y="1459230"/>
          <a:ext cx="1679575" cy="839470"/>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400">
              <a:solidFill>
                <a:sysClr val="windowText" lastClr="000000"/>
              </a:solidFill>
              <a:latin typeface="黑体" panose="02010609060101010101" charset="-122"/>
              <a:ea typeface="黑体" panose="02010609060101010101" charset="-122"/>
              <a:sym typeface="+mn-ea"/>
            </a:rPr>
            <a:t>返回目录</a:t>
          </a:r>
          <a:endParaRPr lang="zh-CN" altLang="en-US" sz="24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27940</xdr:rowOff>
    </xdr:from>
    <xdr:to>
      <xdr:col>1</xdr:col>
      <xdr:colOff>489585</xdr:colOff>
      <xdr:row>2</xdr:row>
      <xdr:rowOff>321945</xdr:rowOff>
    </xdr:to>
    <xdr:pic>
      <xdr:nvPicPr>
        <xdr:cNvPr id="2" name="图片 1" descr="LOGO-透明"/>
        <xdr:cNvPicPr>
          <a:picLocks noChangeAspect="1"/>
        </xdr:cNvPicPr>
      </xdr:nvPicPr>
      <xdr:blipFill>
        <a:blip r:embed="rId1"/>
        <a:stretch>
          <a:fillRect/>
        </a:stretch>
      </xdr:blipFill>
      <xdr:spPr>
        <a:xfrm>
          <a:off x="9525" y="27940"/>
          <a:ext cx="1379855" cy="979805"/>
        </a:xfrm>
        <a:prstGeom prst="rect">
          <a:avLst/>
        </a:prstGeom>
      </xdr:spPr>
    </xdr:pic>
    <xdr:clientData/>
  </xdr:twoCellAnchor>
  <xdr:twoCellAnchor>
    <xdr:from>
      <xdr:col>20</xdr:col>
      <xdr:colOff>278130</xdr:colOff>
      <xdr:row>2</xdr:row>
      <xdr:rowOff>290830</xdr:rowOff>
    </xdr:from>
    <xdr:to>
      <xdr:col>22</xdr:col>
      <xdr:colOff>93980</xdr:colOff>
      <xdr:row>4</xdr:row>
      <xdr:rowOff>188595</xdr:rowOff>
    </xdr:to>
    <xdr:sp>
      <xdr:nvSpPr>
        <xdr:cNvPr id="3" name="左箭头 2">
          <a:hlinkClick xmlns:r="http://schemas.openxmlformats.org/officeDocument/2006/relationships" r:id="rId2"/>
        </xdr:cNvPr>
        <xdr:cNvSpPr/>
      </xdr:nvSpPr>
      <xdr:spPr>
        <a:xfrm>
          <a:off x="18580735" y="976630"/>
          <a:ext cx="1615440" cy="710565"/>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1800">
              <a:solidFill>
                <a:sysClr val="windowText" lastClr="000000"/>
              </a:solidFill>
              <a:latin typeface="黑体" panose="02010609060101010101" charset="-122"/>
              <a:ea typeface="黑体" panose="02010609060101010101" charset="-122"/>
              <a:sym typeface="+mn-ea"/>
            </a:rPr>
            <a:t>返回目录</a:t>
          </a:r>
          <a:endParaRPr lang="zh-CN" altLang="en-US" sz="18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551180</xdr:colOff>
      <xdr:row>2</xdr:row>
      <xdr:rowOff>371475</xdr:rowOff>
    </xdr:to>
    <xdr:pic>
      <xdr:nvPicPr>
        <xdr:cNvPr id="2" name="图片 1" descr="LOGO-透明"/>
        <xdr:cNvPicPr>
          <a:picLocks noChangeAspect="1"/>
        </xdr:cNvPicPr>
      </xdr:nvPicPr>
      <xdr:blipFill>
        <a:blip r:embed="rId1"/>
        <a:stretch>
          <a:fillRect/>
        </a:stretch>
      </xdr:blipFill>
      <xdr:spPr>
        <a:xfrm>
          <a:off x="9525" y="9525"/>
          <a:ext cx="1661795" cy="996950"/>
        </a:xfrm>
        <a:prstGeom prst="rect">
          <a:avLst/>
        </a:prstGeom>
      </xdr:spPr>
    </xdr:pic>
    <xdr:clientData/>
  </xdr:twoCellAnchor>
  <xdr:twoCellAnchor>
    <xdr:from>
      <xdr:col>8</xdr:col>
      <xdr:colOff>281940</xdr:colOff>
      <xdr:row>3</xdr:row>
      <xdr:rowOff>52070</xdr:rowOff>
    </xdr:from>
    <xdr:to>
      <xdr:col>11</xdr:col>
      <xdr:colOff>204470</xdr:colOff>
      <xdr:row>5</xdr:row>
      <xdr:rowOff>168275</xdr:rowOff>
    </xdr:to>
    <xdr:sp>
      <xdr:nvSpPr>
        <xdr:cNvPr id="3" name="左箭头 2">
          <a:hlinkClick xmlns:r="http://schemas.openxmlformats.org/officeDocument/2006/relationships" r:id="rId2"/>
        </xdr:cNvPr>
        <xdr:cNvSpPr/>
      </xdr:nvSpPr>
      <xdr:spPr>
        <a:xfrm>
          <a:off x="10867390" y="1169670"/>
          <a:ext cx="1538605" cy="751205"/>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000">
              <a:solidFill>
                <a:sysClr val="windowText" lastClr="000000"/>
              </a:solidFill>
              <a:latin typeface="黑体" panose="02010609060101010101" charset="-122"/>
              <a:ea typeface="黑体" panose="02010609060101010101" charset="-122"/>
              <a:sym typeface="+mn-ea"/>
            </a:rPr>
            <a:t>返回目录</a:t>
          </a:r>
          <a:endParaRPr lang="zh-CN" altLang="en-US" sz="20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9</xdr:col>
      <xdr:colOff>24765</xdr:colOff>
      <xdr:row>5</xdr:row>
      <xdr:rowOff>217805</xdr:rowOff>
    </xdr:from>
    <xdr:to>
      <xdr:col>13</xdr:col>
      <xdr:colOff>368300</xdr:colOff>
      <xdr:row>13</xdr:row>
      <xdr:rowOff>149225</xdr:rowOff>
    </xdr:to>
    <xdr:sp>
      <xdr:nvSpPr>
        <xdr:cNvPr id="2" name="矩形标注 2"/>
        <xdr:cNvSpPr/>
      </xdr:nvSpPr>
      <xdr:spPr>
        <a:xfrm>
          <a:off x="8978265" y="1536065"/>
          <a:ext cx="2496185" cy="1859280"/>
        </a:xfrm>
        <a:prstGeom prst="wedgeRectCallout">
          <a:avLst>
            <a:gd name="adj1" fmla="val -66026"/>
            <a:gd name="adj2" fmla="val 25721"/>
          </a:avLst>
        </a:prstGeom>
      </xdr:spPr>
      <xdr:style>
        <a:lnRef idx="3">
          <a:schemeClr val="lt1"/>
        </a:lnRef>
        <a:fillRef idx="1">
          <a:schemeClr val="accent6"/>
        </a:fillRef>
        <a:effectRef idx="1">
          <a:schemeClr val="accent6"/>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收疫情影响，部分仓库无法提柜</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，如因亚马逊仓库原因不能提柜</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的，丢失我司不接受理赔。目前较大概率不提供</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的仓库有：</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ONT8&gt;LGB8</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FTW1</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LAX9</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CLT2</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IND9&gt;MEM1</a:t>
          </a:r>
          <a:endPar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endParaRPr>
        </a:p>
      </xdr:txBody>
    </xdr:sp>
    <xdr:clientData/>
  </xdr:twoCellAnchor>
  <xdr:twoCellAnchor>
    <xdr:from>
      <xdr:col>7</xdr:col>
      <xdr:colOff>0</xdr:colOff>
      <xdr:row>0</xdr:row>
      <xdr:rowOff>196850</xdr:rowOff>
    </xdr:from>
    <xdr:to>
      <xdr:col>7</xdr:col>
      <xdr:colOff>928370</xdr:colOff>
      <xdr:row>1</xdr:row>
      <xdr:rowOff>163830</xdr:rowOff>
    </xdr:to>
    <xdr:sp>
      <xdr:nvSpPr>
        <xdr:cNvPr id="3" name="AutoShape 2">
          <a:hlinkClick xmlns:r="http://schemas.openxmlformats.org/officeDocument/2006/relationships" r:id="rId1"/>
        </xdr:cNvPr>
        <xdr:cNvSpPr/>
      </xdr:nvSpPr>
      <xdr:spPr>
        <a:xfrm>
          <a:off x="7467600" y="196850"/>
          <a:ext cx="928370" cy="290830"/>
        </a:xfrm>
        <a:prstGeom prst="flowChartAlternateProcess">
          <a:avLst/>
        </a:prstGeom>
        <a:gradFill rotWithShape="1">
          <a:gsLst>
            <a:gs pos="0">
              <a:srgbClr val="FFDE80">
                <a:alpha val="100000"/>
              </a:srgbClr>
            </a:gs>
            <a:gs pos="50000">
              <a:srgbClr val="FFE8B3">
                <a:alpha val="100000"/>
              </a:srgbClr>
            </a:gs>
            <a:gs pos="100000">
              <a:srgbClr val="FFF3DA">
                <a:alpha val="100000"/>
              </a:srgbClr>
            </a:gs>
          </a:gsLst>
          <a:lin ang="18900000" scaled="1"/>
          <a:tileRect/>
        </a:gradFill>
        <a:ln w="9525" cap="flat" cmpd="sng">
          <a:solidFill>
            <a:srgbClr val="FF000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b="1">
              <a:solidFill>
                <a:srgbClr val="FF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返回首页</a:t>
          </a:r>
          <a:endParaRPr lang="zh-CN" altLang="en-US" sz="1200" b="1">
            <a:solidFill>
              <a:srgbClr val="FF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0</xdr:col>
      <xdr:colOff>8255</xdr:colOff>
      <xdr:row>0</xdr:row>
      <xdr:rowOff>38100</xdr:rowOff>
    </xdr:from>
    <xdr:to>
      <xdr:col>1</xdr:col>
      <xdr:colOff>252095</xdr:colOff>
      <xdr:row>2</xdr:row>
      <xdr:rowOff>189865</xdr:rowOff>
    </xdr:to>
    <xdr:pic>
      <xdr:nvPicPr>
        <xdr:cNvPr id="4" name="图片 1" descr="WechatIMG133"/>
        <xdr:cNvPicPr>
          <a:picLocks noChangeAspect="1"/>
        </xdr:cNvPicPr>
      </xdr:nvPicPr>
      <xdr:blipFill>
        <a:blip r:embed="rId2"/>
        <a:srcRect l="14153" t="27933" r="14812" b="30226"/>
        <a:stretch>
          <a:fillRect/>
        </a:stretch>
      </xdr:blipFill>
      <xdr:spPr>
        <a:xfrm>
          <a:off x="8255" y="38100"/>
          <a:ext cx="2063115" cy="692785"/>
        </a:xfrm>
        <a:prstGeom prst="rect">
          <a:avLst/>
        </a:prstGeom>
        <a:noFill/>
        <a:ln w="9525">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7</xdr:col>
      <xdr:colOff>44450</xdr:colOff>
      <xdr:row>0</xdr:row>
      <xdr:rowOff>186690</xdr:rowOff>
    </xdr:from>
    <xdr:to>
      <xdr:col>7</xdr:col>
      <xdr:colOff>892810</xdr:colOff>
      <xdr:row>1</xdr:row>
      <xdr:rowOff>152400</xdr:rowOff>
    </xdr:to>
    <xdr:sp>
      <xdr:nvSpPr>
        <xdr:cNvPr id="2" name="AutoShape 2">
          <a:hlinkClick xmlns:r="http://schemas.openxmlformats.org/officeDocument/2006/relationships" r:id="rId1"/>
        </xdr:cNvPr>
        <xdr:cNvSpPr/>
      </xdr:nvSpPr>
      <xdr:spPr>
        <a:xfrm>
          <a:off x="7598410" y="186690"/>
          <a:ext cx="848360" cy="289560"/>
        </a:xfrm>
        <a:prstGeom prst="flowChartAlternateProcess">
          <a:avLst/>
        </a:prstGeom>
        <a:gradFill rotWithShape="1">
          <a:gsLst>
            <a:gs pos="0">
              <a:srgbClr val="FFDE80">
                <a:alpha val="100000"/>
              </a:srgbClr>
            </a:gs>
            <a:gs pos="50000">
              <a:srgbClr val="FFE8B3">
                <a:alpha val="100000"/>
              </a:srgbClr>
            </a:gs>
            <a:gs pos="100000">
              <a:srgbClr val="FFF3DA">
                <a:alpha val="100000"/>
              </a:srgbClr>
            </a:gs>
          </a:gsLst>
          <a:lin ang="18900000" scaled="1"/>
          <a:tileRect/>
        </a:gradFill>
        <a:ln w="9525" cap="flat" cmpd="sng">
          <a:solidFill>
            <a:srgbClr val="FF000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b="1">
              <a:solidFill>
                <a:srgbClr val="FF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返回首页</a:t>
          </a:r>
          <a:endParaRPr lang="zh-CN" altLang="en-US" sz="1200" b="1">
            <a:solidFill>
              <a:srgbClr val="FF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0</xdr:col>
      <xdr:colOff>42545</xdr:colOff>
      <xdr:row>0</xdr:row>
      <xdr:rowOff>8255</xdr:rowOff>
    </xdr:from>
    <xdr:to>
      <xdr:col>1</xdr:col>
      <xdr:colOff>387985</xdr:colOff>
      <xdr:row>2</xdr:row>
      <xdr:rowOff>179705</xdr:rowOff>
    </xdr:to>
    <xdr:pic>
      <xdr:nvPicPr>
        <xdr:cNvPr id="1429794" name="图片 1" descr="WechatIMG133"/>
        <xdr:cNvPicPr>
          <a:picLocks noChangeAspect="1"/>
        </xdr:cNvPicPr>
      </xdr:nvPicPr>
      <xdr:blipFill>
        <a:blip r:embed="rId2"/>
        <a:srcRect l="14153" t="27933" r="14812" b="30226"/>
        <a:stretch>
          <a:fillRect/>
        </a:stretch>
      </xdr:blipFill>
      <xdr:spPr>
        <a:xfrm>
          <a:off x="42545" y="8255"/>
          <a:ext cx="2298065" cy="712470"/>
        </a:xfrm>
        <a:prstGeom prst="rect">
          <a:avLst/>
        </a:prstGeom>
        <a:noFill/>
        <a:ln w="9525">
          <a:noFill/>
        </a:ln>
      </xdr:spPr>
    </xdr:pic>
    <xdr:clientData/>
  </xdr:twoCellAnchor>
  <xdr:twoCellAnchor>
    <xdr:from>
      <xdr:col>9</xdr:col>
      <xdr:colOff>247015</xdr:colOff>
      <xdr:row>5</xdr:row>
      <xdr:rowOff>185420</xdr:rowOff>
    </xdr:from>
    <xdr:to>
      <xdr:col>13</xdr:col>
      <xdr:colOff>84455</xdr:colOff>
      <xdr:row>12</xdr:row>
      <xdr:rowOff>187325</xdr:rowOff>
    </xdr:to>
    <xdr:sp>
      <xdr:nvSpPr>
        <xdr:cNvPr id="3" name="矩形标注 2"/>
        <xdr:cNvSpPr/>
      </xdr:nvSpPr>
      <xdr:spPr>
        <a:xfrm>
          <a:off x="9363075" y="1527175"/>
          <a:ext cx="1971675" cy="1602105"/>
        </a:xfrm>
        <a:prstGeom prst="wedgeRectCallout">
          <a:avLst>
            <a:gd name="adj1" fmla="val -66026"/>
            <a:gd name="adj2" fmla="val 25721"/>
          </a:avLst>
        </a:prstGeom>
      </xdr:spPr>
      <xdr:style>
        <a:lnRef idx="3">
          <a:schemeClr val="lt1"/>
        </a:lnRef>
        <a:fillRef idx="1">
          <a:schemeClr val="accent6"/>
        </a:fillRef>
        <a:effectRef idx="1">
          <a:schemeClr val="accent6"/>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收疫情影响，部分仓库无法提柜</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，如因亚马逊仓库原因不能提柜</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的，丢失我司不接受理赔。目前较大概率不提供</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的仓库有：</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ONT8&gt;LGB8</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FTW1</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LAX9</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CLT2</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IND9&gt;MEM1</a:t>
          </a:r>
          <a:endPar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endParaRPr>
        </a:p>
      </xdr:txBody>
    </xdr:sp>
    <xdr:clientData/>
  </xdr:twoCellAnchor>
  <xdr:twoCellAnchor>
    <xdr:from>
      <xdr:col>3</xdr:col>
      <xdr:colOff>6985</xdr:colOff>
      <xdr:row>7</xdr:row>
      <xdr:rowOff>92710</xdr:rowOff>
    </xdr:from>
    <xdr:to>
      <xdr:col>4</xdr:col>
      <xdr:colOff>363220</xdr:colOff>
      <xdr:row>10</xdr:row>
      <xdr:rowOff>41275</xdr:rowOff>
    </xdr:to>
    <xdr:sp>
      <xdr:nvSpPr>
        <xdr:cNvPr id="5" name="圆角矩形标注 4"/>
        <xdr:cNvSpPr/>
      </xdr:nvSpPr>
      <xdr:spPr>
        <a:xfrm>
          <a:off x="3636010" y="1891665"/>
          <a:ext cx="1194435" cy="634365"/>
        </a:xfrm>
        <a:prstGeom prst="wedgeRoundRectCallout">
          <a:avLst>
            <a:gd name="adj1" fmla="val -64597"/>
            <a:gd name="adj2" fmla="val 42092"/>
            <a:gd name="adj3" fmla="val 16667"/>
          </a:avLst>
        </a:prstGeom>
        <a:solidFill>
          <a:srgbClr val="FF0000"/>
        </a:solidFill>
      </xdr:spPr>
      <xdr:style>
        <a:lnRef idx="2">
          <a:schemeClr val="accent2">
            <a:shade val="50000"/>
          </a:schemeClr>
        </a:lnRef>
        <a:fillRef idx="1">
          <a:schemeClr val="accent2"/>
        </a:fillRef>
        <a:effectRef idx="0">
          <a:schemeClr val="accent2"/>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sz="1600" b="1">
              <a:solidFill>
                <a:srgbClr val="FFFF00"/>
              </a:solidFill>
            </a:rPr>
            <a:t>暂停</a:t>
          </a:r>
          <a:endParaRPr lang="en-US" altLang="zh-CN" sz="1600" b="1">
            <a:solidFill>
              <a:srgbClr val="FFFF00"/>
            </a:solidFill>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7</xdr:col>
      <xdr:colOff>44450</xdr:colOff>
      <xdr:row>0</xdr:row>
      <xdr:rowOff>186690</xdr:rowOff>
    </xdr:from>
    <xdr:to>
      <xdr:col>7</xdr:col>
      <xdr:colOff>892810</xdr:colOff>
      <xdr:row>1</xdr:row>
      <xdr:rowOff>152400</xdr:rowOff>
    </xdr:to>
    <xdr:sp>
      <xdr:nvSpPr>
        <xdr:cNvPr id="2" name="AutoShape 2">
          <a:hlinkClick xmlns:r="http://schemas.openxmlformats.org/officeDocument/2006/relationships" r:id="rId1"/>
        </xdr:cNvPr>
        <xdr:cNvSpPr/>
      </xdr:nvSpPr>
      <xdr:spPr>
        <a:xfrm>
          <a:off x="7874635" y="186690"/>
          <a:ext cx="848360" cy="289560"/>
        </a:xfrm>
        <a:prstGeom prst="flowChartAlternateProcess">
          <a:avLst/>
        </a:prstGeom>
        <a:gradFill rotWithShape="1">
          <a:gsLst>
            <a:gs pos="0">
              <a:srgbClr val="FFDE80">
                <a:alpha val="100000"/>
              </a:srgbClr>
            </a:gs>
            <a:gs pos="50000">
              <a:srgbClr val="FFE8B3">
                <a:alpha val="100000"/>
              </a:srgbClr>
            </a:gs>
            <a:gs pos="100000">
              <a:srgbClr val="FFF3DA">
                <a:alpha val="100000"/>
              </a:srgbClr>
            </a:gs>
          </a:gsLst>
          <a:lin ang="18900000" scaled="1"/>
          <a:tileRect/>
        </a:gradFill>
        <a:ln w="9525" cap="flat" cmpd="sng">
          <a:solidFill>
            <a:srgbClr val="FF0000"/>
          </a:solidFill>
          <a:prstDash val="solid"/>
          <a:miter/>
          <a:headEnd type="none" w="med" len="med"/>
          <a:tailEnd type="none" w="med" len="med"/>
        </a:ln>
      </xdr:spPr>
      <xdr:txBody>
        <a:bodyPr vertOverflow="clip" vert="horz" wrap="square" lIns="27432" tIns="18288" rIns="0" bIns="0" anchor="ctr" anchorCtr="0"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r>
            <a:rPr lang="zh-CN" altLang="en-US" sz="1200" b="1">
              <a:solidFill>
                <a:srgbClr val="FF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返回首页</a:t>
          </a:r>
          <a:endParaRPr lang="zh-CN" altLang="en-US" sz="1200" b="1">
            <a:solidFill>
              <a:srgbClr val="FF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xdr:twoCellAnchor>
  <xdr:twoCellAnchor editAs="oneCell">
    <xdr:from>
      <xdr:col>0</xdr:col>
      <xdr:colOff>41910</xdr:colOff>
      <xdr:row>0</xdr:row>
      <xdr:rowOff>8255</xdr:rowOff>
    </xdr:from>
    <xdr:to>
      <xdr:col>1</xdr:col>
      <xdr:colOff>285115</xdr:colOff>
      <xdr:row>2</xdr:row>
      <xdr:rowOff>179705</xdr:rowOff>
    </xdr:to>
    <xdr:pic>
      <xdr:nvPicPr>
        <xdr:cNvPr id="1428779" name="图片 1" descr="WechatIMG133"/>
        <xdr:cNvPicPr>
          <a:picLocks noChangeAspect="1"/>
        </xdr:cNvPicPr>
      </xdr:nvPicPr>
      <xdr:blipFill>
        <a:blip r:embed="rId2"/>
        <a:srcRect l="14153" t="27933" r="14812" b="30226"/>
        <a:stretch>
          <a:fillRect/>
        </a:stretch>
      </xdr:blipFill>
      <xdr:spPr>
        <a:xfrm>
          <a:off x="41910" y="8255"/>
          <a:ext cx="2434590" cy="712470"/>
        </a:xfrm>
        <a:prstGeom prst="rect">
          <a:avLst/>
        </a:prstGeom>
        <a:noFill/>
        <a:ln w="9525">
          <a:noFill/>
        </a:ln>
      </xdr:spPr>
    </xdr:pic>
    <xdr:clientData/>
  </xdr:twoCellAnchor>
  <xdr:twoCellAnchor>
    <xdr:from>
      <xdr:col>9</xdr:col>
      <xdr:colOff>247650</xdr:colOff>
      <xdr:row>5</xdr:row>
      <xdr:rowOff>185420</xdr:rowOff>
    </xdr:from>
    <xdr:to>
      <xdr:col>13</xdr:col>
      <xdr:colOff>84455</xdr:colOff>
      <xdr:row>13</xdr:row>
      <xdr:rowOff>26035</xdr:rowOff>
    </xdr:to>
    <xdr:sp>
      <xdr:nvSpPr>
        <xdr:cNvPr id="3" name="矩形标注 3"/>
        <xdr:cNvSpPr/>
      </xdr:nvSpPr>
      <xdr:spPr>
        <a:xfrm>
          <a:off x="9764395" y="1527175"/>
          <a:ext cx="1960880" cy="1669415"/>
        </a:xfrm>
        <a:prstGeom prst="wedgeRectCallout">
          <a:avLst>
            <a:gd name="adj1" fmla="val -66026"/>
            <a:gd name="adj2" fmla="val 25721"/>
          </a:avLst>
        </a:prstGeom>
      </xdr:spPr>
      <xdr:style>
        <a:lnRef idx="3">
          <a:schemeClr val="lt1"/>
        </a:lnRef>
        <a:fillRef idx="1">
          <a:schemeClr val="accent6"/>
        </a:fillRef>
        <a:effectRef idx="1">
          <a:schemeClr val="accent6"/>
        </a:effectRef>
        <a:fontRef idx="minor">
          <a:schemeClr val="lt1"/>
        </a:fontRef>
      </xdr:style>
      <xdr:txBody>
        <a:bodyPr/>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收疫情影响，部分仓库无法提柜</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，如因亚马逊仓库原因不能提柜</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的，丢失我司不接受理赔。目前较大概率不提供</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POD</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的仓库有：</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ONT8&gt;LGB8</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FTW1</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LAX9</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CLT2</a:t>
          </a:r>
          <a:r>
            <a:rPr lang="zh-CN" altLang="en-US">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a:t>
          </a:r>
          <a:r>
            <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rPr>
            <a:t>IND9&gt;MEM1</a:t>
          </a:r>
          <a:endParaRPr lang="en-US" altLang="zh-CN">
            <a:solidFill>
              <a:sysClr val="windowText" lastClr="000000"/>
            </a:solidFill>
            <a:latin typeface="Microsoft YaHei Regular" panose="020B0503020204020204" charset="-122"/>
            <a:ea typeface="Microsoft YaHei Regular" panose="020B0503020204020204" charset="-122"/>
            <a:cs typeface="Microsoft YaHei Regular" panose="020B0503020204020204" charset="-122"/>
          </a:endParaRPr>
        </a:p>
      </xdr:txBody>
    </xdr:sp>
    <xdr:clientData/>
  </xdr:twoCellAnchor>
  <xdr:twoCellAnchor>
    <xdr:from>
      <xdr:col>1</xdr:col>
      <xdr:colOff>403860</xdr:colOff>
      <xdr:row>7</xdr:row>
      <xdr:rowOff>27305</xdr:rowOff>
    </xdr:from>
    <xdr:to>
      <xdr:col>5</xdr:col>
      <xdr:colOff>222250</xdr:colOff>
      <xdr:row>15</xdr:row>
      <xdr:rowOff>201295</xdr:rowOff>
    </xdr:to>
    <xdr:sp>
      <xdr:nvSpPr>
        <xdr:cNvPr id="4" name="爆炸形 1 3"/>
        <xdr:cNvSpPr/>
      </xdr:nvSpPr>
      <xdr:spPr>
        <a:xfrm>
          <a:off x="2595245" y="1826260"/>
          <a:ext cx="3485515" cy="2002790"/>
        </a:xfrm>
        <a:prstGeom prst="irregularSeal1">
          <a:avLst/>
        </a:prstGeom>
        <a:gradFill rotWithShape="0">
          <a:gsLst>
            <a:gs pos="0">
              <a:srgbClr val="BBD5F0"/>
            </a:gs>
            <a:gs pos="100000">
              <a:srgbClr val="9CBEE0"/>
            </a:gs>
          </a:gsLst>
          <a:lin ang="5400000" scaled="0"/>
        </a:gradFill>
        <a:ln w="15875" cap="flat" cmpd="sng" algn="ctr">
          <a:solidFill>
            <a:srgbClr val="739CC3"/>
          </a:solidFill>
          <a:prstDash val="solid"/>
          <a:miter lim="200000"/>
        </a:ln>
      </xdr:spPr>
      <xdr:txBody>
        <a:bodyPr anchor="ctr" anchorCtr="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r>
            <a:rPr lang="zh-CN" altLang="en-US" sz="2400" b="1">
              <a:solidFill>
                <a:srgbClr val="FF0000"/>
              </a:solidFill>
            </a:rPr>
            <a:t>暂停</a:t>
          </a:r>
          <a:endParaRPr lang="zh-CN" altLang="en-US" sz="2400" b="1">
            <a:solidFill>
              <a:srgbClr val="FF0000"/>
            </a:solidFill>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0</xdr:col>
      <xdr:colOff>969010</xdr:colOff>
      <xdr:row>1</xdr:row>
      <xdr:rowOff>379730</xdr:rowOff>
    </xdr:to>
    <xdr:pic>
      <xdr:nvPicPr>
        <xdr:cNvPr id="2" name="图片 1" descr="LOGO-透明"/>
        <xdr:cNvPicPr>
          <a:picLocks noChangeAspect="1"/>
        </xdr:cNvPicPr>
      </xdr:nvPicPr>
      <xdr:blipFill>
        <a:blip r:embed="rId1"/>
        <a:stretch>
          <a:fillRect/>
        </a:stretch>
      </xdr:blipFill>
      <xdr:spPr>
        <a:xfrm>
          <a:off x="9525" y="9525"/>
          <a:ext cx="959485" cy="751205"/>
        </a:xfrm>
        <a:prstGeom prst="rect">
          <a:avLst/>
        </a:prstGeom>
      </xdr:spPr>
    </xdr:pic>
    <xdr:clientData/>
  </xdr:twoCellAnchor>
  <xdr:twoCellAnchor>
    <xdr:from>
      <xdr:col>5</xdr:col>
      <xdr:colOff>142875</xdr:colOff>
      <xdr:row>2</xdr:row>
      <xdr:rowOff>160020</xdr:rowOff>
    </xdr:from>
    <xdr:to>
      <xdr:col>6</xdr:col>
      <xdr:colOff>86995</xdr:colOff>
      <xdr:row>4</xdr:row>
      <xdr:rowOff>232410</xdr:rowOff>
    </xdr:to>
    <xdr:sp>
      <xdr:nvSpPr>
        <xdr:cNvPr id="3" name="左箭头 2">
          <a:hlinkClick xmlns:r="http://schemas.openxmlformats.org/officeDocument/2006/relationships" r:id="rId2"/>
        </xdr:cNvPr>
        <xdr:cNvSpPr/>
      </xdr:nvSpPr>
      <xdr:spPr>
        <a:xfrm>
          <a:off x="10198100" y="922020"/>
          <a:ext cx="1955165" cy="834390"/>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800">
              <a:solidFill>
                <a:sysClr val="windowText" lastClr="000000"/>
              </a:solidFill>
              <a:latin typeface="黑体" panose="02010609060101010101" charset="-122"/>
              <a:ea typeface="黑体" panose="02010609060101010101" charset="-122"/>
              <a:sym typeface="+mn-ea"/>
            </a:rPr>
            <a:t>返回目录</a:t>
          </a:r>
          <a:endParaRPr lang="zh-CN" altLang="en-US" sz="28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xdr:col>
      <xdr:colOff>607695</xdr:colOff>
      <xdr:row>2</xdr:row>
      <xdr:rowOff>188595</xdr:rowOff>
    </xdr:to>
    <xdr:pic>
      <xdr:nvPicPr>
        <xdr:cNvPr id="8" name="图片 7" descr="LOGO-透明"/>
        <xdr:cNvPicPr>
          <a:picLocks noChangeAspect="1"/>
        </xdr:cNvPicPr>
      </xdr:nvPicPr>
      <xdr:blipFill>
        <a:blip r:embed="rId1"/>
        <a:stretch>
          <a:fillRect/>
        </a:stretch>
      </xdr:blipFill>
      <xdr:spPr>
        <a:xfrm>
          <a:off x="9525" y="9525"/>
          <a:ext cx="1922145" cy="1220470"/>
        </a:xfrm>
        <a:prstGeom prst="rect">
          <a:avLst/>
        </a:prstGeom>
      </xdr:spPr>
    </xdr:pic>
    <xdr:clientData/>
  </xdr:twoCellAnchor>
  <xdr:twoCellAnchor>
    <xdr:from>
      <xdr:col>9</xdr:col>
      <xdr:colOff>0</xdr:colOff>
      <xdr:row>1</xdr:row>
      <xdr:rowOff>0</xdr:rowOff>
    </xdr:from>
    <xdr:to>
      <xdr:col>10</xdr:col>
      <xdr:colOff>361950</xdr:colOff>
      <xdr:row>2</xdr:row>
      <xdr:rowOff>302260</xdr:rowOff>
    </xdr:to>
    <xdr:sp>
      <xdr:nvSpPr>
        <xdr:cNvPr id="9" name="左箭头 8">
          <a:hlinkClick xmlns:r="http://schemas.openxmlformats.org/officeDocument/2006/relationships" r:id="rId2"/>
        </xdr:cNvPr>
        <xdr:cNvSpPr/>
      </xdr:nvSpPr>
      <xdr:spPr>
        <a:xfrm>
          <a:off x="12651740" y="520700"/>
          <a:ext cx="1685925" cy="822960"/>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400">
              <a:solidFill>
                <a:sysClr val="windowText" lastClr="000000"/>
              </a:solidFill>
              <a:latin typeface="黑体" panose="02010609060101010101" charset="-122"/>
              <a:ea typeface="黑体" panose="02010609060101010101" charset="-122"/>
              <a:sym typeface="+mn-ea"/>
            </a:rPr>
            <a:t>返回目录</a:t>
          </a:r>
          <a:endParaRPr lang="zh-CN" altLang="en-US" sz="24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4</xdr:col>
      <xdr:colOff>1504950</xdr:colOff>
      <xdr:row>65</xdr:row>
      <xdr:rowOff>399415</xdr:rowOff>
    </xdr:from>
    <xdr:to>
      <xdr:col>5</xdr:col>
      <xdr:colOff>1051560</xdr:colOff>
      <xdr:row>65</xdr:row>
      <xdr:rowOff>748665</xdr:rowOff>
    </xdr:to>
    <xdr:sp>
      <xdr:nvSpPr>
        <xdr:cNvPr id="5" name="线形标注 1(无边框) 4">
          <a:hlinkClick xmlns:r="http://schemas.openxmlformats.org/officeDocument/2006/relationships" r:id="rId1"/>
        </xdr:cNvPr>
        <xdr:cNvSpPr/>
      </xdr:nvSpPr>
      <xdr:spPr>
        <a:xfrm>
          <a:off x="8797290" y="20890865"/>
          <a:ext cx="1369695" cy="349250"/>
        </a:xfrm>
        <a:prstGeom prst="callout1">
          <a:avLst>
            <a:gd name="adj1" fmla="val 18750"/>
            <a:gd name="adj2" fmla="val -8333"/>
            <a:gd name="adj3" fmla="val 118363"/>
            <a:gd name="adj4" fmla="val -160304"/>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发货必读</a:t>
          </a:r>
          <a:endParaRPr lang="zh-CN" altLang="en-US" sz="1100"/>
        </a:p>
      </xdr:txBody>
    </xdr:sp>
    <xdr:clientData/>
  </xdr:twoCellAnchor>
  <xdr:twoCellAnchor>
    <xdr:from>
      <xdr:col>8</xdr:col>
      <xdr:colOff>1170305</xdr:colOff>
      <xdr:row>98</xdr:row>
      <xdr:rowOff>439420</xdr:rowOff>
    </xdr:from>
    <xdr:to>
      <xdr:col>10</xdr:col>
      <xdr:colOff>331470</xdr:colOff>
      <xdr:row>98</xdr:row>
      <xdr:rowOff>788670</xdr:rowOff>
    </xdr:to>
    <xdr:sp>
      <xdr:nvSpPr>
        <xdr:cNvPr id="7" name="线形标注 1(无边框) 6">
          <a:hlinkClick xmlns:r="http://schemas.openxmlformats.org/officeDocument/2006/relationships" r:id="rId1"/>
        </xdr:cNvPr>
        <xdr:cNvSpPr/>
      </xdr:nvSpPr>
      <xdr:spPr>
        <a:xfrm>
          <a:off x="15754985" y="33668970"/>
          <a:ext cx="2037715" cy="349250"/>
        </a:xfrm>
        <a:prstGeom prst="callout1">
          <a:avLst>
            <a:gd name="adj1" fmla="val 18750"/>
            <a:gd name="adj2" fmla="val -8333"/>
            <a:gd name="adj3" fmla="val 118363"/>
            <a:gd name="adj4" fmla="val -160304"/>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发货必读</a:t>
          </a:r>
          <a:endParaRPr lang="zh-CN" altLang="en-US" sz="1100"/>
        </a:p>
      </xdr:txBody>
    </xdr:sp>
    <xdr:clientData/>
  </xdr:twoCellAnchor>
  <xdr:twoCellAnchor>
    <xdr:from>
      <xdr:col>8</xdr:col>
      <xdr:colOff>1090295</xdr:colOff>
      <xdr:row>123</xdr:row>
      <xdr:rowOff>53975</xdr:rowOff>
    </xdr:from>
    <xdr:to>
      <xdr:col>9</xdr:col>
      <xdr:colOff>543560</xdr:colOff>
      <xdr:row>123</xdr:row>
      <xdr:rowOff>695325</xdr:rowOff>
    </xdr:to>
    <xdr:sp>
      <xdr:nvSpPr>
        <xdr:cNvPr id="9" name="线形标注 1(无边框) 8">
          <a:hlinkClick xmlns:r="http://schemas.openxmlformats.org/officeDocument/2006/relationships" r:id="rId1"/>
        </xdr:cNvPr>
        <xdr:cNvSpPr/>
      </xdr:nvSpPr>
      <xdr:spPr>
        <a:xfrm>
          <a:off x="15674975" y="47228125"/>
          <a:ext cx="891540" cy="641350"/>
        </a:xfrm>
        <a:prstGeom prst="callout1">
          <a:avLst>
            <a:gd name="adj1" fmla="val 18750"/>
            <a:gd name="adj2" fmla="val -8333"/>
            <a:gd name="adj3" fmla="val 118363"/>
            <a:gd name="adj4" fmla="val -160304"/>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发货必读</a:t>
          </a:r>
          <a:endParaRPr lang="zh-CN" altLang="en-US" sz="1100"/>
        </a:p>
      </xdr:txBody>
    </xdr:sp>
    <xdr:clientData/>
  </xdr:twoCellAnchor>
  <xdr:twoCellAnchor>
    <xdr:from>
      <xdr:col>6</xdr:col>
      <xdr:colOff>1354455</xdr:colOff>
      <xdr:row>143</xdr:row>
      <xdr:rowOff>477520</xdr:rowOff>
    </xdr:from>
    <xdr:to>
      <xdr:col>7</xdr:col>
      <xdr:colOff>422910</xdr:colOff>
      <xdr:row>144</xdr:row>
      <xdr:rowOff>610870</xdr:rowOff>
    </xdr:to>
    <xdr:sp>
      <xdr:nvSpPr>
        <xdr:cNvPr id="10" name="线形标注 1(无边框) 9">
          <a:hlinkClick xmlns:r="http://schemas.openxmlformats.org/officeDocument/2006/relationships" r:id="rId1"/>
        </xdr:cNvPr>
        <xdr:cNvSpPr/>
      </xdr:nvSpPr>
      <xdr:spPr>
        <a:xfrm>
          <a:off x="12292965" y="58961020"/>
          <a:ext cx="891540" cy="641350"/>
        </a:xfrm>
        <a:prstGeom prst="callout1">
          <a:avLst>
            <a:gd name="adj1" fmla="val 18750"/>
            <a:gd name="adj2" fmla="val -8333"/>
            <a:gd name="adj3" fmla="val 118363"/>
            <a:gd name="adj4" fmla="val -160304"/>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发货必读</a:t>
          </a:r>
          <a:endParaRPr lang="zh-CN" altLang="en-US" sz="1100"/>
        </a:p>
      </xdr:txBody>
    </xdr:sp>
    <xdr:clientData/>
  </xdr:twoCellAnchor>
  <xdr:twoCellAnchor>
    <xdr:from>
      <xdr:col>1</xdr:col>
      <xdr:colOff>0</xdr:colOff>
      <xdr:row>175</xdr:row>
      <xdr:rowOff>0</xdr:rowOff>
    </xdr:from>
    <xdr:to>
      <xdr:col>1</xdr:col>
      <xdr:colOff>891540</xdr:colOff>
      <xdr:row>175</xdr:row>
      <xdr:rowOff>641350</xdr:rowOff>
    </xdr:to>
    <xdr:sp>
      <xdr:nvSpPr>
        <xdr:cNvPr id="12" name="线形标注 1(无边框) 11">
          <a:hlinkClick xmlns:r="http://schemas.openxmlformats.org/officeDocument/2006/relationships" r:id="rId1"/>
        </xdr:cNvPr>
        <xdr:cNvSpPr/>
      </xdr:nvSpPr>
      <xdr:spPr>
        <a:xfrm>
          <a:off x="1823085" y="70710425"/>
          <a:ext cx="891540" cy="641350"/>
        </a:xfrm>
        <a:prstGeom prst="callout1">
          <a:avLst>
            <a:gd name="adj1" fmla="val 18750"/>
            <a:gd name="adj2" fmla="val -8333"/>
            <a:gd name="adj3" fmla="val 118363"/>
            <a:gd name="adj4" fmla="val -160304"/>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发货必读</a:t>
          </a:r>
          <a:endParaRPr lang="zh-CN" altLang="en-US" sz="1100"/>
        </a:p>
      </xdr:txBody>
    </xdr:sp>
    <xdr:clientData/>
  </xdr:twoCellAnchor>
  <xdr:twoCellAnchor>
    <xdr:from>
      <xdr:col>4</xdr:col>
      <xdr:colOff>870585</xdr:colOff>
      <xdr:row>175</xdr:row>
      <xdr:rowOff>0</xdr:rowOff>
    </xdr:from>
    <xdr:to>
      <xdr:col>4</xdr:col>
      <xdr:colOff>1762125</xdr:colOff>
      <xdr:row>175</xdr:row>
      <xdr:rowOff>641350</xdr:rowOff>
    </xdr:to>
    <xdr:sp>
      <xdr:nvSpPr>
        <xdr:cNvPr id="13" name="线形标注 1(无边框) 12">
          <a:hlinkClick xmlns:r="http://schemas.openxmlformats.org/officeDocument/2006/relationships" r:id="rId1"/>
        </xdr:cNvPr>
        <xdr:cNvSpPr/>
      </xdr:nvSpPr>
      <xdr:spPr>
        <a:xfrm>
          <a:off x="8162925" y="70710425"/>
          <a:ext cx="891540" cy="641350"/>
        </a:xfrm>
        <a:prstGeom prst="callout1">
          <a:avLst>
            <a:gd name="adj1" fmla="val 18750"/>
            <a:gd name="adj2" fmla="val -8333"/>
            <a:gd name="adj3" fmla="val 118363"/>
            <a:gd name="adj4" fmla="val -160304"/>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100"/>
            <a:t>发货必读</a:t>
          </a:r>
          <a:endParaRPr lang="zh-CN" altLang="en-US" sz="1100"/>
        </a:p>
      </xdr:txBody>
    </xdr:sp>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xdr:from>
      <xdr:col>5</xdr:col>
      <xdr:colOff>190500</xdr:colOff>
      <xdr:row>2</xdr:row>
      <xdr:rowOff>28575</xdr:rowOff>
    </xdr:from>
    <xdr:to>
      <xdr:col>7</xdr:col>
      <xdr:colOff>671830</xdr:colOff>
      <xdr:row>3</xdr:row>
      <xdr:rowOff>650240</xdr:rowOff>
    </xdr:to>
    <xdr:sp>
      <xdr:nvSpPr>
        <xdr:cNvPr id="2" name="左箭头 1">
          <a:hlinkClick xmlns:r="http://schemas.openxmlformats.org/officeDocument/2006/relationships" r:id="rId1"/>
        </xdr:cNvPr>
        <xdr:cNvSpPr/>
      </xdr:nvSpPr>
      <xdr:spPr>
        <a:xfrm>
          <a:off x="19701510" y="571500"/>
          <a:ext cx="1852930" cy="1002665"/>
        </a:xfrm>
        <a:prstGeom prst="leftArrow">
          <a:avLst/>
        </a:prstGeom>
        <a:solidFill>
          <a:schemeClr val="tx2">
            <a:lumMod val="40000"/>
            <a:lumOff val="60000"/>
          </a:schemeClr>
        </a:solidFill>
        <a:effectLst>
          <a:softEdge rad="50800"/>
        </a:effectLst>
      </xdr:spPr>
      <xdr:style>
        <a:lnRef idx="0">
          <a:srgbClr val="FFFFFF"/>
        </a:lnRef>
        <a:fillRef idx="1">
          <a:schemeClr val="accent3"/>
        </a:fillRef>
        <a:effectRef idx="0">
          <a:srgbClr val="FFFFFF"/>
        </a:effectRef>
        <a:fontRef idx="minor">
          <a:schemeClr val="dk1"/>
        </a:fontRef>
      </xdr:style>
      <xdr:txBody>
        <a:bodyPr/>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r>
            <a:rPr lang="zh-CN" altLang="en-US" sz="2400">
              <a:solidFill>
                <a:sysClr val="windowText" lastClr="000000"/>
              </a:solidFill>
              <a:latin typeface="黑体" panose="02010609060101010101" charset="-122"/>
              <a:ea typeface="黑体" panose="02010609060101010101" charset="-122"/>
              <a:sym typeface="+mn-ea"/>
            </a:rPr>
            <a:t>返回目录</a:t>
          </a:r>
          <a:endParaRPr lang="zh-CN" altLang="en-US" sz="2400">
            <a:solidFill>
              <a:sysClr val="windowText" lastClr="000000"/>
            </a:solidFill>
            <a:latin typeface="黑体" panose="02010609060101010101" charset="-122"/>
            <a:ea typeface="黑体" panose="02010609060101010101" charset="-122"/>
            <a:sym typeface="+mn-ea"/>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7.xml"/><Relationship Id="rId1" Type="http://schemas.openxmlformats.org/officeDocument/2006/relationships/comments" Target="../comments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28"/>
  <sheetViews>
    <sheetView zoomScale="110" zoomScaleNormal="110" workbookViewId="0">
      <selection activeCell="G22" sqref="G22"/>
    </sheetView>
  </sheetViews>
  <sheetFormatPr defaultColWidth="31.7583333333333" defaultRowHeight="21" customHeight="1" outlineLevelCol="5"/>
  <cols>
    <col min="1" max="1" width="10.0083333333333" style="623" customWidth="1"/>
    <col min="2" max="2" width="15.0083333333333" style="623" customWidth="1"/>
    <col min="3" max="3" width="16.675" style="623" customWidth="1"/>
    <col min="4" max="4" width="13.3416666666667" customWidth="1"/>
    <col min="5" max="5" width="48.0083333333333" style="729" customWidth="1"/>
    <col min="6" max="6" width="20.1916666666667" customWidth="1"/>
    <col min="7" max="16384" width="31.7583333333333" customWidth="1"/>
  </cols>
  <sheetData>
    <row r="1" customHeight="1" spans="1:6">
      <c r="A1" s="624" t="s">
        <v>0</v>
      </c>
      <c r="B1" s="625"/>
      <c r="C1" s="625"/>
      <c r="D1" s="625"/>
      <c r="E1" s="625"/>
      <c r="F1" s="730"/>
    </row>
    <row r="2" customHeight="1" spans="1:6">
      <c r="A2" s="628"/>
      <c r="B2" s="629"/>
      <c r="C2" s="629"/>
      <c r="D2" s="629"/>
      <c r="E2" s="629"/>
      <c r="F2" s="731"/>
    </row>
    <row r="3" customHeight="1" spans="1:6">
      <c r="A3" s="631"/>
      <c r="B3" s="632"/>
      <c r="C3" s="632"/>
      <c r="D3" s="632"/>
      <c r="E3" s="632"/>
      <c r="F3" s="732"/>
    </row>
    <row r="4" s="622" customFormat="1" ht="22.5" customHeight="1" spans="1:6">
      <c r="A4" s="636" t="s">
        <v>1</v>
      </c>
      <c r="B4" s="637" t="s">
        <v>2</v>
      </c>
      <c r="C4" s="637" t="s">
        <v>3</v>
      </c>
      <c r="D4" s="637" t="s">
        <v>4</v>
      </c>
      <c r="E4" s="637" t="s">
        <v>5</v>
      </c>
      <c r="F4" s="733" t="s">
        <v>6</v>
      </c>
    </row>
    <row r="5" ht="23" customHeight="1" spans="1:6">
      <c r="A5" s="734" t="s">
        <v>7</v>
      </c>
      <c r="B5" s="735" t="s">
        <v>8</v>
      </c>
      <c r="C5" s="736" t="s">
        <v>9</v>
      </c>
      <c r="D5" s="737" t="s">
        <v>10</v>
      </c>
      <c r="E5" s="736" t="s">
        <v>11</v>
      </c>
      <c r="F5" s="738"/>
    </row>
    <row r="6" ht="22.5" customHeight="1" spans="1:6">
      <c r="A6" s="640"/>
      <c r="B6" s="739"/>
      <c r="C6" s="740" t="s">
        <v>12</v>
      </c>
      <c r="D6" s="741"/>
      <c r="E6" s="740" t="s">
        <v>13</v>
      </c>
      <c r="F6" s="738"/>
    </row>
    <row r="7" ht="22.5" customHeight="1" spans="1:6">
      <c r="A7" s="640"/>
      <c r="B7" s="739"/>
      <c r="C7" s="740" t="s">
        <v>14</v>
      </c>
      <c r="D7" s="741"/>
      <c r="E7" s="740" t="s">
        <v>15</v>
      </c>
      <c r="F7" s="738"/>
    </row>
    <row r="8" ht="22.5" customHeight="1" spans="1:6">
      <c r="A8" s="640"/>
      <c r="B8" s="739" t="s">
        <v>16</v>
      </c>
      <c r="C8" s="740" t="s">
        <v>17</v>
      </c>
      <c r="D8" s="742" t="s">
        <v>10</v>
      </c>
      <c r="E8" s="740" t="s">
        <v>18</v>
      </c>
      <c r="F8" s="738"/>
    </row>
    <row r="9" ht="22.5" customHeight="1" spans="1:6">
      <c r="A9" s="640"/>
      <c r="B9" s="739" t="s">
        <v>19</v>
      </c>
      <c r="C9" s="740" t="s">
        <v>20</v>
      </c>
      <c r="D9" s="742" t="s">
        <v>10</v>
      </c>
      <c r="E9" s="740" t="s">
        <v>21</v>
      </c>
      <c r="F9" s="738"/>
    </row>
    <row r="10" ht="22.5" customHeight="1" spans="1:6">
      <c r="A10" s="640"/>
      <c r="B10" s="739"/>
      <c r="C10" s="740" t="s">
        <v>22</v>
      </c>
      <c r="D10" s="741" t="s">
        <v>10</v>
      </c>
      <c r="E10" s="740" t="s">
        <v>23</v>
      </c>
      <c r="F10" s="738"/>
    </row>
    <row r="11" ht="22.5" customHeight="1" spans="1:6">
      <c r="A11" s="640"/>
      <c r="B11" s="739" t="s">
        <v>24</v>
      </c>
      <c r="C11" s="740" t="s">
        <v>25</v>
      </c>
      <c r="D11" s="741" t="s">
        <v>10</v>
      </c>
      <c r="E11" s="740" t="s">
        <v>26</v>
      </c>
      <c r="F11" s="738"/>
    </row>
    <row r="12" ht="22.5" customHeight="1" spans="1:6">
      <c r="A12" s="640"/>
      <c r="B12" s="739"/>
      <c r="C12" s="740" t="s">
        <v>27</v>
      </c>
      <c r="D12" s="741"/>
      <c r="E12" s="740" t="s">
        <v>28</v>
      </c>
      <c r="F12" s="738"/>
    </row>
    <row r="13" ht="22.5" customHeight="1" spans="1:6">
      <c r="A13" s="640"/>
      <c r="B13" s="739" t="s">
        <v>29</v>
      </c>
      <c r="C13" s="740" t="s">
        <v>29</v>
      </c>
      <c r="D13" s="742" t="s">
        <v>10</v>
      </c>
      <c r="E13" s="740" t="s">
        <v>30</v>
      </c>
      <c r="F13" s="738"/>
    </row>
    <row r="14" ht="22.5" customHeight="1" spans="1:6">
      <c r="A14" s="640"/>
      <c r="B14" s="739" t="s">
        <v>31</v>
      </c>
      <c r="C14" s="740" t="s">
        <v>9</v>
      </c>
      <c r="D14" s="741" t="s">
        <v>10</v>
      </c>
      <c r="E14" s="740" t="s">
        <v>11</v>
      </c>
      <c r="F14" s="738"/>
    </row>
    <row r="15" ht="22.5" customHeight="1" spans="1:6">
      <c r="A15" s="640"/>
      <c r="B15" s="739"/>
      <c r="C15" s="740" t="s">
        <v>12</v>
      </c>
      <c r="D15" s="741"/>
      <c r="E15" s="740" t="s">
        <v>13</v>
      </c>
      <c r="F15" s="738"/>
    </row>
    <row r="16" ht="22.5" customHeight="1" spans="1:6">
      <c r="A16" s="640"/>
      <c r="B16" s="739"/>
      <c r="C16" s="740" t="s">
        <v>14</v>
      </c>
      <c r="D16" s="741"/>
      <c r="E16" s="740" t="s">
        <v>15</v>
      </c>
      <c r="F16" s="738"/>
    </row>
    <row r="17" ht="22.5" customHeight="1" spans="1:6">
      <c r="A17" s="640" t="s">
        <v>32</v>
      </c>
      <c r="B17" s="739" t="s">
        <v>33</v>
      </c>
      <c r="C17" s="740" t="s">
        <v>34</v>
      </c>
      <c r="D17" s="741" t="s">
        <v>10</v>
      </c>
      <c r="E17" s="740" t="s">
        <v>35</v>
      </c>
      <c r="F17" s="738"/>
    </row>
    <row r="18" ht="22.5" customHeight="1" spans="1:6">
      <c r="A18" s="640"/>
      <c r="B18" s="739"/>
      <c r="C18" s="740" t="s">
        <v>36</v>
      </c>
      <c r="D18" s="741"/>
      <c r="E18" s="740"/>
      <c r="F18" s="738"/>
    </row>
    <row r="19" ht="22.5" customHeight="1" spans="1:6">
      <c r="A19" s="640"/>
      <c r="B19" s="739"/>
      <c r="C19" s="740" t="s">
        <v>37</v>
      </c>
      <c r="D19" s="742"/>
      <c r="E19" s="740"/>
      <c r="F19" s="738"/>
    </row>
    <row r="20" ht="22.5" customHeight="1" spans="1:6">
      <c r="A20" s="640"/>
      <c r="B20" s="739" t="s">
        <v>38</v>
      </c>
      <c r="C20" s="740" t="s">
        <v>9</v>
      </c>
      <c r="D20" s="741" t="s">
        <v>10</v>
      </c>
      <c r="E20" s="740" t="s">
        <v>39</v>
      </c>
      <c r="F20" s="738"/>
    </row>
    <row r="21" ht="22.5" customHeight="1" spans="1:6">
      <c r="A21" s="640"/>
      <c r="B21" s="739"/>
      <c r="C21" s="740" t="s">
        <v>12</v>
      </c>
      <c r="D21" s="741"/>
      <c r="E21" s="740"/>
      <c r="F21" s="738"/>
    </row>
    <row r="22" ht="22.5" customHeight="1" spans="1:6">
      <c r="A22" s="640"/>
      <c r="B22" s="739"/>
      <c r="C22" s="740" t="s">
        <v>14</v>
      </c>
      <c r="D22" s="742"/>
      <c r="E22" s="740"/>
      <c r="F22" s="738"/>
    </row>
    <row r="23" ht="22.5" customHeight="1" spans="1:6">
      <c r="A23" s="640"/>
      <c r="B23" s="739" t="s">
        <v>40</v>
      </c>
      <c r="C23" s="740" t="s">
        <v>9</v>
      </c>
      <c r="D23" s="741" t="s">
        <v>10</v>
      </c>
      <c r="E23" s="740" t="s">
        <v>35</v>
      </c>
      <c r="F23" s="738"/>
    </row>
    <row r="24" ht="22.5" customHeight="1" spans="1:6">
      <c r="A24" s="640"/>
      <c r="B24" s="739"/>
      <c r="C24" s="740" t="s">
        <v>12</v>
      </c>
      <c r="D24" s="741"/>
      <c r="E24" s="740" t="s">
        <v>39</v>
      </c>
      <c r="F24" s="738"/>
    </row>
    <row r="25" ht="22.5" customHeight="1" spans="1:6">
      <c r="A25" s="640"/>
      <c r="B25" s="739"/>
      <c r="C25" s="740" t="s">
        <v>14</v>
      </c>
      <c r="D25" s="742"/>
      <c r="E25" s="740"/>
      <c r="F25" s="738"/>
    </row>
    <row r="26" ht="22.5" customHeight="1" spans="1:6">
      <c r="A26" s="640" t="s">
        <v>41</v>
      </c>
      <c r="B26" s="739" t="s">
        <v>42</v>
      </c>
      <c r="C26" s="740"/>
      <c r="D26" s="741" t="s">
        <v>43</v>
      </c>
      <c r="E26" s="740" t="s">
        <v>44</v>
      </c>
      <c r="F26" s="738"/>
    </row>
    <row r="27" ht="22.5" customHeight="1" spans="1:6">
      <c r="A27" s="640"/>
      <c r="B27" s="739" t="s">
        <v>45</v>
      </c>
      <c r="C27" s="740"/>
      <c r="D27" s="741" t="s">
        <v>43</v>
      </c>
      <c r="E27" s="740" t="s">
        <v>46</v>
      </c>
      <c r="F27" s="738"/>
    </row>
    <row r="28" ht="22.5" customHeight="1" spans="1:6">
      <c r="A28" s="743"/>
      <c r="B28" s="744" t="s">
        <v>47</v>
      </c>
      <c r="C28" s="745"/>
      <c r="D28" s="746" t="s">
        <v>43</v>
      </c>
      <c r="E28" s="745" t="s">
        <v>44</v>
      </c>
      <c r="F28" s="738"/>
    </row>
  </sheetData>
  <mergeCells count="20">
    <mergeCell ref="A5:A16"/>
    <mergeCell ref="A17:A25"/>
    <mergeCell ref="A26:A28"/>
    <mergeCell ref="B5:B7"/>
    <mergeCell ref="B9:B10"/>
    <mergeCell ref="B11:B12"/>
    <mergeCell ref="B14:B16"/>
    <mergeCell ref="B17:B19"/>
    <mergeCell ref="B20:B22"/>
    <mergeCell ref="B23:B25"/>
    <mergeCell ref="D5:D7"/>
    <mergeCell ref="D11:D12"/>
    <mergeCell ref="D14:D16"/>
    <mergeCell ref="D17:D19"/>
    <mergeCell ref="D20:D22"/>
    <mergeCell ref="D23:D25"/>
    <mergeCell ref="E17:E19"/>
    <mergeCell ref="E20:E22"/>
    <mergeCell ref="E24:E25"/>
    <mergeCell ref="A1:F3"/>
  </mergeCells>
  <conditionalFormatting sqref="F5:F28">
    <cfRule type="containsText" dxfId="0" priority="51" operator="between" text="*">
      <formula>NOT(ISERROR(SEARCH("*",F5)))</formula>
    </cfRule>
    <cfRule type="colorScale" priority="52">
      <colorScale>
        <cfvo type="min"/>
        <cfvo type="max"/>
        <color rgb="FFFF7128"/>
        <color rgb="FFFFEF9C"/>
      </colorScale>
    </cfRule>
  </conditionalFormatting>
  <hyperlinks>
    <hyperlink ref="D5:D7" location="海派专线!A1" display="进入报价表"/>
    <hyperlink ref="D8" location="美西慢线!A1" display="进入报价表"/>
    <hyperlink ref="D9" location="休斯顿专线!A1" display="进入报价表"/>
    <hyperlink ref="D10" location="芝加哥专线!A1" display="进入报价表"/>
    <hyperlink ref="D11:D12" location="美东专线!A1" display="进入报价表"/>
    <hyperlink ref="D13" location="萨瓦纳专线!A1" display="进入报价表"/>
    <hyperlink ref="D14:D16" location="美西快线!A1" display="进入报价表"/>
    <hyperlink ref="D17:D19" location="加拿大直航!A1" display="进入报价表"/>
    <hyperlink ref="D20:D22" location="美转加!A1" display="进入报价表"/>
    <hyperlink ref="D23:D25" location="美转加海派!A1" display="进入报价表"/>
    <hyperlink ref="D28" location="反倾销系列!A1" display="点击进入"/>
    <hyperlink ref="D26" location="发货必读!A1" display="点击进入"/>
    <hyperlink ref="D27" location="船期表!A1" display="点击进入"/>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N58"/>
  <sheetViews>
    <sheetView zoomScale="85" zoomScaleNormal="85" topLeftCell="A2" workbookViewId="0">
      <selection activeCell="C27" sqref="C27:E27"/>
    </sheetView>
  </sheetViews>
  <sheetFormatPr defaultColWidth="9.125" defaultRowHeight="13.5"/>
  <cols>
    <col min="1" max="1" width="23.3833333333333" style="681" customWidth="1"/>
    <col min="2" max="2" width="25.8833333333333" style="1" customWidth="1"/>
    <col min="3" max="5" width="35" style="1" customWidth="1"/>
    <col min="6" max="6" width="106.025" style="1" customWidth="1"/>
    <col min="7" max="8" width="14.4416666666667" style="1" customWidth="1"/>
    <col min="9" max="9" width="23.2583333333333" style="1" customWidth="1"/>
    <col min="10" max="10" width="23.575" style="682" customWidth="1"/>
    <col min="11" max="11" width="21.2583333333333" style="677" customWidth="1"/>
    <col min="12" max="12" width="11.925" style="677"/>
    <col min="13" max="13" width="13.375" style="677" customWidth="1"/>
    <col min="14" max="16383" width="9.125" style="677"/>
  </cols>
  <sheetData>
    <row r="1" s="677" customFormat="1" ht="81" customHeight="1" spans="1:14">
      <c r="A1" s="683" t="s">
        <v>42</v>
      </c>
      <c r="B1" s="684"/>
      <c r="C1" s="684"/>
      <c r="D1" s="684"/>
      <c r="E1" s="685"/>
      <c r="F1" s="680"/>
      <c r="G1" s="680"/>
      <c r="H1" s="680"/>
      <c r="I1" s="680"/>
      <c r="J1" s="680"/>
      <c r="K1" s="680"/>
      <c r="L1" s="680"/>
      <c r="M1" s="680"/>
      <c r="N1" s="680"/>
    </row>
    <row r="2" s="678" customFormat="1" ht="31" customHeight="1" spans="1:14">
      <c r="A2" s="686" t="s">
        <v>48</v>
      </c>
      <c r="B2" s="530" t="s">
        <v>49</v>
      </c>
      <c r="C2" s="530" t="s">
        <v>50</v>
      </c>
      <c r="D2" s="530" t="s">
        <v>51</v>
      </c>
      <c r="E2" s="687" t="s">
        <v>52</v>
      </c>
      <c r="F2" s="688"/>
      <c r="G2" s="689" t="s">
        <v>53</v>
      </c>
      <c r="H2" s="690"/>
      <c r="I2" s="690"/>
      <c r="J2" s="690"/>
      <c r="K2" s="690"/>
      <c r="L2" s="691"/>
      <c r="M2" s="680"/>
      <c r="N2" s="680"/>
    </row>
    <row r="3" s="678" customFormat="1" ht="28" customHeight="1" spans="1:14">
      <c r="A3" s="686"/>
      <c r="B3" s="530" t="s">
        <v>54</v>
      </c>
      <c r="C3" s="530" t="s">
        <v>55</v>
      </c>
      <c r="D3" s="530"/>
      <c r="E3" s="687" t="s">
        <v>56</v>
      </c>
      <c r="F3" s="692"/>
      <c r="G3" s="693" t="s">
        <v>57</v>
      </c>
      <c r="H3" s="694" t="s">
        <v>58</v>
      </c>
      <c r="I3" s="694" t="s">
        <v>59</v>
      </c>
      <c r="J3" s="694" t="s">
        <v>60</v>
      </c>
      <c r="K3" s="694" t="s">
        <v>61</v>
      </c>
      <c r="L3" s="695"/>
      <c r="M3" s="680"/>
      <c r="N3" s="680"/>
    </row>
    <row r="4" s="679" customFormat="1" ht="22.5" customHeight="1" spans="1:14">
      <c r="A4" s="686" t="s">
        <v>62</v>
      </c>
      <c r="B4" s="696" t="s">
        <v>63</v>
      </c>
      <c r="C4" s="697">
        <v>0</v>
      </c>
      <c r="D4" s="697"/>
      <c r="E4" s="698"/>
      <c r="F4" s="680"/>
      <c r="G4" s="699" t="s">
        <v>64</v>
      </c>
      <c r="H4" s="700">
        <v>10</v>
      </c>
      <c r="I4" s="701" t="s">
        <v>65</v>
      </c>
      <c r="J4" s="701">
        <v>20</v>
      </c>
      <c r="K4" s="701" t="s">
        <v>66</v>
      </c>
      <c r="L4" s="702"/>
      <c r="M4" s="680"/>
      <c r="N4" s="680"/>
    </row>
    <row r="5" s="679" customFormat="1" ht="22.5" customHeight="1" spans="1:14">
      <c r="A5" s="686"/>
      <c r="B5" s="696" t="s">
        <v>67</v>
      </c>
      <c r="C5" s="696" t="s">
        <v>68</v>
      </c>
      <c r="D5" s="696"/>
      <c r="E5" s="703"/>
      <c r="F5" s="680"/>
      <c r="G5" s="704" t="s">
        <v>69</v>
      </c>
      <c r="H5" s="705">
        <v>0.5</v>
      </c>
      <c r="I5" s="706" t="s">
        <v>70</v>
      </c>
      <c r="J5" s="706">
        <v>20</v>
      </c>
      <c r="K5" s="706" t="s">
        <v>71</v>
      </c>
      <c r="L5" s="707"/>
      <c r="M5" s="680"/>
      <c r="N5" s="680"/>
    </row>
    <row r="6" s="679" customFormat="1" ht="22.5" customHeight="1" spans="1:14">
      <c r="A6" s="686"/>
      <c r="B6" s="696" t="s">
        <v>72</v>
      </c>
      <c r="C6" s="697" t="s">
        <v>73</v>
      </c>
      <c r="D6" s="697"/>
      <c r="E6" s="698"/>
      <c r="F6" s="680"/>
      <c r="G6" s="704" t="s">
        <v>74</v>
      </c>
      <c r="H6" s="705">
        <v>1</v>
      </c>
      <c r="I6" s="706" t="s">
        <v>70</v>
      </c>
      <c r="J6" s="706">
        <v>20</v>
      </c>
      <c r="K6" s="706" t="s">
        <v>71</v>
      </c>
      <c r="L6" s="707"/>
      <c r="M6" s="680"/>
      <c r="N6" s="680"/>
    </row>
    <row r="7" s="679" customFormat="1" ht="22.5" customHeight="1" spans="1:14">
      <c r="A7" s="686" t="s">
        <v>75</v>
      </c>
      <c r="B7" s="696" t="s">
        <v>76</v>
      </c>
      <c r="C7" s="696" t="s">
        <v>77</v>
      </c>
      <c r="D7" s="696">
        <v>0</v>
      </c>
      <c r="E7" s="703" t="s">
        <v>77</v>
      </c>
      <c r="F7" s="680"/>
      <c r="G7" s="704" t="s">
        <v>78</v>
      </c>
      <c r="H7" s="705">
        <v>1</v>
      </c>
      <c r="I7" s="706" t="s">
        <v>65</v>
      </c>
      <c r="J7" s="706">
        <v>20</v>
      </c>
      <c r="K7" s="706"/>
      <c r="L7" s="707"/>
      <c r="M7" s="680"/>
      <c r="N7" s="680"/>
    </row>
    <row r="8" s="679" customFormat="1" ht="22.5" customHeight="1" spans="1:14">
      <c r="A8" s="686"/>
      <c r="B8" s="696" t="s">
        <v>79</v>
      </c>
      <c r="C8" s="696" t="s">
        <v>80</v>
      </c>
      <c r="D8" s="696">
        <v>0</v>
      </c>
      <c r="E8" s="703" t="s">
        <v>80</v>
      </c>
      <c r="F8" s="680"/>
      <c r="G8" s="704" t="s">
        <v>81</v>
      </c>
      <c r="H8" s="705">
        <v>30</v>
      </c>
      <c r="I8" s="706" t="s">
        <v>65</v>
      </c>
      <c r="J8" s="706">
        <v>30</v>
      </c>
      <c r="K8" s="706" t="s">
        <v>82</v>
      </c>
      <c r="L8" s="707"/>
      <c r="M8" s="680"/>
      <c r="N8" s="680"/>
    </row>
    <row r="9" s="679" customFormat="1" ht="22.5" customHeight="1" spans="1:14">
      <c r="A9" s="686"/>
      <c r="B9" s="696" t="s">
        <v>83</v>
      </c>
      <c r="C9" s="696" t="s">
        <v>77</v>
      </c>
      <c r="D9" s="696">
        <v>0</v>
      </c>
      <c r="E9" s="703" t="s">
        <v>77</v>
      </c>
      <c r="F9" s="680"/>
      <c r="G9" s="704" t="s">
        <v>84</v>
      </c>
      <c r="H9" s="705">
        <v>10</v>
      </c>
      <c r="I9" s="706" t="s">
        <v>85</v>
      </c>
      <c r="J9" s="706">
        <v>10</v>
      </c>
      <c r="K9" s="706" t="s">
        <v>86</v>
      </c>
      <c r="L9" s="707"/>
      <c r="M9" s="680"/>
      <c r="N9" s="680"/>
    </row>
    <row r="10" s="679" customFormat="1" ht="22.5" customHeight="1" spans="1:14">
      <c r="A10" s="686"/>
      <c r="B10" s="696" t="s">
        <v>87</v>
      </c>
      <c r="C10" s="696" t="s">
        <v>77</v>
      </c>
      <c r="D10" s="696">
        <v>0</v>
      </c>
      <c r="E10" s="703" t="s">
        <v>77</v>
      </c>
      <c r="F10" s="680"/>
      <c r="G10" s="704" t="s">
        <v>88</v>
      </c>
      <c r="H10" s="705">
        <v>1</v>
      </c>
      <c r="I10" s="706" t="s">
        <v>65</v>
      </c>
      <c r="J10" s="706">
        <v>20</v>
      </c>
      <c r="K10" s="706" t="s">
        <v>89</v>
      </c>
      <c r="L10" s="707"/>
      <c r="M10" s="680"/>
      <c r="N10" s="680"/>
    </row>
    <row r="11" s="679" customFormat="1" ht="22.5" customHeight="1" spans="1:14">
      <c r="A11" s="686"/>
      <c r="B11" s="696" t="s">
        <v>90</v>
      </c>
      <c r="C11" s="696" t="s">
        <v>80</v>
      </c>
      <c r="D11" s="696">
        <v>0</v>
      </c>
      <c r="E11" s="703" t="s">
        <v>80</v>
      </c>
      <c r="F11" s="680"/>
      <c r="G11" s="704" t="s">
        <v>91</v>
      </c>
      <c r="H11" s="705">
        <v>2</v>
      </c>
      <c r="I11" s="706" t="s">
        <v>65</v>
      </c>
      <c r="J11" s="706">
        <v>10</v>
      </c>
      <c r="K11" s="706" t="s">
        <v>92</v>
      </c>
      <c r="L11" s="707"/>
      <c r="M11" s="680"/>
      <c r="N11" s="680"/>
    </row>
    <row r="12" s="679" customFormat="1" ht="22.5" customHeight="1" spans="1:14">
      <c r="A12" s="686"/>
      <c r="B12" s="696" t="s">
        <v>93</v>
      </c>
      <c r="C12" s="697" t="s">
        <v>77</v>
      </c>
      <c r="D12" s="696" t="s">
        <v>94</v>
      </c>
      <c r="E12" s="698" t="s">
        <v>77</v>
      </c>
      <c r="F12" s="680"/>
      <c r="G12" s="704" t="s">
        <v>95</v>
      </c>
      <c r="H12" s="705" t="s">
        <v>96</v>
      </c>
      <c r="I12" s="706" t="s">
        <v>97</v>
      </c>
      <c r="J12" s="706" t="s">
        <v>98</v>
      </c>
      <c r="K12" s="706" t="s">
        <v>99</v>
      </c>
      <c r="L12" s="707"/>
      <c r="M12" s="680"/>
      <c r="N12" s="680"/>
    </row>
    <row r="13" s="679" customFormat="1" ht="22.5" customHeight="1" spans="1:14">
      <c r="A13" s="686"/>
      <c r="B13" s="696" t="s">
        <v>100</v>
      </c>
      <c r="C13" s="696" t="s">
        <v>101</v>
      </c>
      <c r="D13" s="696"/>
      <c r="E13" s="703"/>
      <c r="F13" s="680"/>
      <c r="G13" s="704" t="s">
        <v>95</v>
      </c>
      <c r="H13" s="705" t="s">
        <v>102</v>
      </c>
      <c r="I13" s="706" t="s">
        <v>97</v>
      </c>
      <c r="J13" s="706"/>
      <c r="K13" s="706" t="s">
        <v>103</v>
      </c>
      <c r="L13" s="707"/>
      <c r="M13" s="680"/>
      <c r="N13" s="680"/>
    </row>
    <row r="14" s="679" customFormat="1" ht="22.5" customHeight="1" spans="1:14">
      <c r="A14" s="686"/>
      <c r="B14" s="696" t="s">
        <v>104</v>
      </c>
      <c r="C14" s="697" t="s">
        <v>105</v>
      </c>
      <c r="D14" s="697"/>
      <c r="E14" s="698"/>
      <c r="F14" s="680"/>
      <c r="G14" s="708" t="s">
        <v>95</v>
      </c>
      <c r="H14" s="709" t="s">
        <v>106</v>
      </c>
      <c r="I14" s="710" t="s">
        <v>97</v>
      </c>
      <c r="J14" s="710"/>
      <c r="K14" s="710" t="s">
        <v>107</v>
      </c>
      <c r="L14" s="711"/>
      <c r="M14" s="680"/>
      <c r="N14" s="680"/>
    </row>
    <row r="15" s="679" customFormat="1" ht="22.5" customHeight="1" spans="1:14">
      <c r="A15" s="686"/>
      <c r="B15" s="696" t="s">
        <v>108</v>
      </c>
      <c r="C15" s="697" t="s">
        <v>109</v>
      </c>
      <c r="D15" s="697"/>
      <c r="E15" s="698"/>
      <c r="F15" s="680"/>
      <c r="G15" s="680"/>
      <c r="H15" s="680"/>
      <c r="I15" s="680"/>
      <c r="J15" s="680"/>
      <c r="K15" s="680"/>
      <c r="L15" s="680"/>
      <c r="M15" s="680"/>
      <c r="N15" s="680"/>
    </row>
    <row r="16" s="679" customFormat="1" ht="20" customHeight="1" spans="1:14">
      <c r="A16" s="686"/>
      <c r="B16" s="696" t="s">
        <v>110</v>
      </c>
      <c r="C16" s="696" t="s">
        <v>77</v>
      </c>
      <c r="D16" s="696" t="s">
        <v>111</v>
      </c>
      <c r="E16" s="703" t="s">
        <v>77</v>
      </c>
      <c r="J16" s="712"/>
    </row>
    <row r="17" s="679" customFormat="1" ht="20" customHeight="1" spans="1:10">
      <c r="A17" s="686"/>
      <c r="B17" s="696" t="s">
        <v>112</v>
      </c>
      <c r="C17" s="696" t="s">
        <v>77</v>
      </c>
      <c r="D17" s="696" t="s">
        <v>111</v>
      </c>
      <c r="E17" s="703" t="s">
        <v>77</v>
      </c>
      <c r="J17" s="712"/>
    </row>
    <row r="18" s="679" customFormat="1" ht="20" customHeight="1" spans="1:10">
      <c r="A18" s="686" t="s">
        <v>113</v>
      </c>
      <c r="B18" s="696" t="s">
        <v>114</v>
      </c>
      <c r="C18" s="696">
        <v>0</v>
      </c>
      <c r="D18" s="696"/>
      <c r="E18" s="703" t="s">
        <v>115</v>
      </c>
    </row>
    <row r="19" s="680" customFormat="1" ht="20" customHeight="1" spans="1:10">
      <c r="A19" s="686"/>
      <c r="B19" s="697" t="s">
        <v>116</v>
      </c>
      <c r="C19" s="697" t="s">
        <v>77</v>
      </c>
      <c r="D19" s="697" t="s">
        <v>117</v>
      </c>
      <c r="E19" s="698" t="s">
        <v>115</v>
      </c>
    </row>
    <row r="20" s="680" customFormat="1" ht="20" customHeight="1" spans="1:10">
      <c r="A20" s="686"/>
      <c r="B20" s="697" t="s">
        <v>118</v>
      </c>
      <c r="C20" s="696" t="s">
        <v>119</v>
      </c>
      <c r="D20" s="696"/>
      <c r="E20" s="703" t="s">
        <v>101</v>
      </c>
    </row>
    <row r="21" s="679" customFormat="1" ht="20" customHeight="1" spans="1:10">
      <c r="A21" s="686"/>
      <c r="B21" s="696" t="s">
        <v>120</v>
      </c>
      <c r="C21" s="696">
        <v>0</v>
      </c>
      <c r="D21" s="696"/>
      <c r="E21" s="703" t="s">
        <v>115</v>
      </c>
    </row>
    <row r="22" s="679" customFormat="1" ht="20" customHeight="1" spans="1:10">
      <c r="A22" s="686"/>
      <c r="B22" s="696" t="s">
        <v>121</v>
      </c>
      <c r="C22" s="697">
        <v>0</v>
      </c>
      <c r="D22" s="697"/>
      <c r="E22" s="698" t="s">
        <v>122</v>
      </c>
    </row>
    <row r="23" s="679" customFormat="1" ht="20" customHeight="1" spans="1:10">
      <c r="A23" s="686"/>
      <c r="B23" s="696" t="s">
        <v>123</v>
      </c>
      <c r="C23" s="696" t="s">
        <v>119</v>
      </c>
      <c r="D23" s="696"/>
      <c r="E23" s="703" t="s">
        <v>101</v>
      </c>
    </row>
    <row r="24" s="679" customFormat="1" ht="20" customHeight="1" spans="1:10">
      <c r="A24" s="686"/>
      <c r="B24" s="696" t="s">
        <v>124</v>
      </c>
      <c r="C24" s="697">
        <v>0</v>
      </c>
      <c r="D24" s="697"/>
      <c r="E24" s="698" t="s">
        <v>115</v>
      </c>
    </row>
    <row r="25" s="679" customFormat="1" ht="20" customHeight="1" spans="1:10">
      <c r="A25" s="686"/>
      <c r="B25" s="696" t="s">
        <v>125</v>
      </c>
      <c r="C25" s="696" t="s">
        <v>119</v>
      </c>
      <c r="D25" s="696"/>
      <c r="E25" s="703" t="s">
        <v>101</v>
      </c>
    </row>
    <row r="26" s="679" customFormat="1" ht="20" customHeight="1" spans="1:10">
      <c r="A26" s="686"/>
      <c r="B26" s="696" t="s">
        <v>126</v>
      </c>
      <c r="C26" s="697" t="s">
        <v>101</v>
      </c>
      <c r="D26" s="697"/>
      <c r="E26" s="698"/>
    </row>
    <row r="27" s="679" customFormat="1" ht="20" customHeight="1" spans="1:10">
      <c r="A27" s="686"/>
      <c r="B27" s="713" t="s">
        <v>127</v>
      </c>
      <c r="C27" s="714" t="s">
        <v>77</v>
      </c>
      <c r="D27" s="714"/>
      <c r="E27" s="715"/>
    </row>
    <row r="28" s="679" customFormat="1" ht="20" customHeight="1" spans="1:10">
      <c r="A28" s="686"/>
      <c r="B28" s="713" t="s">
        <v>128</v>
      </c>
      <c r="C28" s="714" t="s">
        <v>129</v>
      </c>
      <c r="D28" s="714"/>
      <c r="E28" s="715"/>
    </row>
    <row r="29" s="679" customFormat="1" ht="20" customHeight="1" spans="1:10">
      <c r="A29" s="686" t="s">
        <v>130</v>
      </c>
      <c r="B29" s="696" t="s">
        <v>131</v>
      </c>
      <c r="C29" s="697" t="s">
        <v>132</v>
      </c>
      <c r="D29" s="697"/>
      <c r="E29" s="698"/>
    </row>
    <row r="30" s="679" customFormat="1" ht="72" customHeight="1" spans="1:10">
      <c r="A30" s="686"/>
      <c r="B30" s="713" t="s">
        <v>133</v>
      </c>
      <c r="C30" s="714" t="s">
        <v>134</v>
      </c>
      <c r="D30" s="714"/>
      <c r="E30" s="715"/>
    </row>
    <row r="31" s="679" customFormat="1" ht="67" customHeight="1" spans="1:10">
      <c r="A31" s="686"/>
      <c r="B31" s="696" t="s">
        <v>135</v>
      </c>
      <c r="C31" s="697" t="s">
        <v>136</v>
      </c>
      <c r="D31" s="697" t="s">
        <v>137</v>
      </c>
      <c r="E31" s="698"/>
    </row>
    <row r="32" s="679" customFormat="1" ht="78" customHeight="1" spans="1:10">
      <c r="A32" s="686"/>
      <c r="B32" s="696"/>
      <c r="C32" s="697" t="s">
        <v>138</v>
      </c>
      <c r="D32" s="697" t="s">
        <v>139</v>
      </c>
      <c r="E32" s="698"/>
    </row>
    <row r="33" s="679" customFormat="1" ht="56" customHeight="1" spans="1:10">
      <c r="A33" s="686"/>
      <c r="B33" s="696" t="s">
        <v>140</v>
      </c>
      <c r="C33" s="696" t="s">
        <v>141</v>
      </c>
      <c r="D33" s="696"/>
      <c r="E33" s="703" t="s">
        <v>142</v>
      </c>
    </row>
    <row r="34" s="679" customFormat="1" ht="91" customHeight="1" spans="1:10">
      <c r="A34" s="686"/>
      <c r="B34" s="696" t="s">
        <v>143</v>
      </c>
      <c r="C34" s="696" t="s">
        <v>144</v>
      </c>
      <c r="D34" s="696"/>
      <c r="E34" s="703"/>
      <c r="F34" s="716"/>
    </row>
    <row r="35" s="679" customFormat="1" ht="66" customHeight="1" spans="1:10">
      <c r="A35" s="686"/>
      <c r="B35" s="696" t="s">
        <v>145</v>
      </c>
      <c r="C35" s="717" t="s">
        <v>146</v>
      </c>
      <c r="D35" s="717"/>
      <c r="E35" s="718"/>
      <c r="F35" s="677"/>
      <c r="J35" s="712"/>
    </row>
    <row r="36" s="679" customFormat="1" ht="31" customHeight="1" spans="1:10">
      <c r="A36" s="686" t="s">
        <v>147</v>
      </c>
      <c r="B36" s="696"/>
      <c r="C36" s="697" t="s">
        <v>148</v>
      </c>
      <c r="D36" s="717" t="s">
        <v>149</v>
      </c>
      <c r="E36" s="698" t="s">
        <v>148</v>
      </c>
      <c r="J36" s="712"/>
    </row>
    <row r="37" s="679" customFormat="1" ht="27" customHeight="1" spans="1:10">
      <c r="A37" s="686" t="s">
        <v>150</v>
      </c>
      <c r="B37" s="696"/>
      <c r="C37" s="697" t="s">
        <v>148</v>
      </c>
      <c r="D37" s="717" t="s">
        <v>151</v>
      </c>
      <c r="E37" s="698" t="s">
        <v>148</v>
      </c>
      <c r="J37" s="712"/>
    </row>
    <row r="38" s="679" customFormat="1" ht="52" customHeight="1" spans="1:10">
      <c r="A38" s="686" t="s">
        <v>152</v>
      </c>
      <c r="B38" s="719" t="s">
        <v>153</v>
      </c>
      <c r="C38" s="719"/>
      <c r="D38" s="719"/>
      <c r="E38" s="720"/>
      <c r="J38" s="712"/>
    </row>
    <row r="39" s="679" customFormat="1" ht="49" customHeight="1" spans="1:10">
      <c r="A39" s="686"/>
      <c r="B39" s="719" t="s">
        <v>154</v>
      </c>
      <c r="C39" s="719"/>
      <c r="D39" s="719"/>
      <c r="E39" s="720"/>
      <c r="J39" s="712"/>
    </row>
    <row r="40" s="679" customFormat="1" ht="43" customHeight="1" spans="1:10">
      <c r="A40" s="686"/>
      <c r="B40" s="719" t="s">
        <v>155</v>
      </c>
      <c r="C40" s="719"/>
      <c r="D40" s="719"/>
      <c r="E40" s="720"/>
      <c r="J40" s="712"/>
    </row>
    <row r="41" s="679" customFormat="1" ht="43" customHeight="1" spans="1:10">
      <c r="A41" s="686"/>
      <c r="B41" s="719" t="s">
        <v>156</v>
      </c>
      <c r="C41" s="719"/>
      <c r="D41" s="719"/>
      <c r="E41" s="720"/>
      <c r="J41" s="712"/>
    </row>
    <row r="42" s="679" customFormat="1" ht="29" customHeight="1" spans="1:10">
      <c r="A42" s="686"/>
      <c r="B42" s="719" t="s">
        <v>157</v>
      </c>
      <c r="C42" s="719"/>
      <c r="D42" s="719"/>
      <c r="E42" s="720"/>
      <c r="J42" s="712"/>
    </row>
    <row r="43" s="679" customFormat="1" ht="22" customHeight="1" spans="1:10">
      <c r="A43" s="686"/>
      <c r="B43" s="719" t="s">
        <v>158</v>
      </c>
      <c r="C43" s="719"/>
      <c r="D43" s="719"/>
      <c r="E43" s="720"/>
      <c r="J43" s="712"/>
    </row>
    <row r="44" s="679" customFormat="1" ht="45" customHeight="1" spans="1:10">
      <c r="A44" s="721" t="s">
        <v>159</v>
      </c>
      <c r="B44" s="722" t="s">
        <v>160</v>
      </c>
      <c r="C44" s="722"/>
      <c r="D44" s="722"/>
      <c r="E44" s="723"/>
      <c r="J44" s="712"/>
    </row>
    <row r="45" s="679" customFormat="1" ht="37" customHeight="1" spans="1:10">
      <c r="A45" s="721" t="s">
        <v>161</v>
      </c>
      <c r="B45" s="719" t="s">
        <v>162</v>
      </c>
      <c r="C45" s="719"/>
      <c r="D45" s="719"/>
      <c r="E45" s="720"/>
      <c r="J45" s="712"/>
    </row>
    <row r="46" s="679" customFormat="1" ht="38" customHeight="1" spans="1:10">
      <c r="A46" s="721" t="s">
        <v>163</v>
      </c>
      <c r="B46" s="719" t="s">
        <v>164</v>
      </c>
      <c r="C46" s="719"/>
      <c r="D46" s="719"/>
      <c r="E46" s="720"/>
      <c r="J46" s="712"/>
    </row>
    <row r="47" s="679" customFormat="1" ht="43" customHeight="1" spans="1:10">
      <c r="A47" s="721" t="s">
        <v>165</v>
      </c>
      <c r="B47" s="719" t="s">
        <v>166</v>
      </c>
      <c r="C47" s="719"/>
      <c r="D47" s="719"/>
      <c r="E47" s="720"/>
      <c r="J47" s="712"/>
    </row>
    <row r="48" s="679" customFormat="1" ht="49" customHeight="1" spans="1:10">
      <c r="A48" s="724" t="s">
        <v>167</v>
      </c>
      <c r="B48" s="719" t="s">
        <v>168</v>
      </c>
      <c r="C48" s="719"/>
      <c r="D48" s="719"/>
      <c r="E48" s="720"/>
      <c r="J48" s="712"/>
    </row>
    <row r="49" s="679" customFormat="1" ht="47" customHeight="1" spans="1:11">
      <c r="A49" s="724"/>
      <c r="B49" s="719" t="s">
        <v>169</v>
      </c>
      <c r="C49" s="719"/>
      <c r="D49" s="719"/>
      <c r="E49" s="720"/>
      <c r="H49" s="725"/>
      <c r="J49" s="712"/>
    </row>
    <row r="50" s="679" customFormat="1" ht="44" customHeight="1" spans="1:11">
      <c r="A50" s="724"/>
      <c r="B50" s="719" t="s">
        <v>170</v>
      </c>
      <c r="C50" s="719"/>
      <c r="D50" s="719"/>
      <c r="E50" s="720"/>
      <c r="J50" s="712"/>
    </row>
    <row r="51" s="679" customFormat="1" ht="45" customHeight="1" spans="1:11">
      <c r="A51" s="724"/>
      <c r="B51" s="719" t="s">
        <v>171</v>
      </c>
      <c r="C51" s="719"/>
      <c r="D51" s="719"/>
      <c r="E51" s="720"/>
      <c r="J51" s="712"/>
    </row>
    <row r="52" s="679" customFormat="1" ht="55" customHeight="1" spans="1:11">
      <c r="A52" s="724"/>
      <c r="B52" s="719" t="s">
        <v>172</v>
      </c>
      <c r="C52" s="719"/>
      <c r="D52" s="719"/>
      <c r="E52" s="720"/>
      <c r="J52" s="712"/>
    </row>
    <row r="53" s="679" customFormat="1" ht="66" customHeight="1" spans="1:11">
      <c r="A53" s="724"/>
      <c r="B53" s="719" t="s">
        <v>173</v>
      </c>
      <c r="C53" s="719"/>
      <c r="D53" s="719"/>
      <c r="E53" s="720"/>
      <c r="J53" s="712"/>
    </row>
    <row r="54" s="679" customFormat="1" ht="65" customHeight="1" spans="1:11">
      <c r="A54" s="724"/>
      <c r="B54" s="719" t="s">
        <v>174</v>
      </c>
      <c r="C54" s="719"/>
      <c r="D54" s="719"/>
      <c r="E54" s="720"/>
      <c r="J54" s="712"/>
    </row>
    <row r="55" s="679" customFormat="1" ht="34" customHeight="1" spans="1:11">
      <c r="A55" s="726" t="s">
        <v>175</v>
      </c>
      <c r="B55" s="727"/>
      <c r="C55" s="727"/>
      <c r="D55" s="727"/>
      <c r="E55" s="728"/>
      <c r="J55" s="712"/>
    </row>
    <row r="56" s="677" customFormat="1" ht="16.5" spans="1:11">
      <c r="A56" s="681"/>
      <c r="B56" s="1"/>
      <c r="C56" s="1"/>
      <c r="D56" s="1"/>
      <c r="E56" s="1"/>
      <c r="F56" s="679"/>
      <c r="G56" s="679"/>
      <c r="H56" s="679"/>
      <c r="I56" s="679"/>
      <c r="J56" s="712"/>
      <c r="K56" s="679"/>
    </row>
    <row r="57" s="677" customFormat="1" ht="16.5" spans="1:11">
      <c r="A57" s="681"/>
      <c r="B57" s="1"/>
      <c r="C57" s="1"/>
      <c r="D57" s="1"/>
      <c r="E57" s="1"/>
      <c r="F57" s="679"/>
      <c r="G57" s="679"/>
      <c r="H57" s="679"/>
      <c r="I57" s="679"/>
      <c r="J57" s="712"/>
      <c r="K57" s="679"/>
    </row>
    <row r="58" s="677" customFormat="1" ht="16.5" spans="1:11">
      <c r="A58" s="681"/>
      <c r="B58" s="1"/>
      <c r="C58" s="1"/>
      <c r="D58" s="1"/>
      <c r="E58" s="1"/>
      <c r="F58" s="679"/>
      <c r="G58" s="679"/>
      <c r="H58" s="679"/>
      <c r="I58" s="679"/>
      <c r="J58" s="712"/>
      <c r="K58" s="679"/>
    </row>
  </sheetData>
  <mergeCells count="65">
    <mergeCell ref="A1:E1"/>
    <mergeCell ref="G2:L2"/>
    <mergeCell ref="C3:D3"/>
    <mergeCell ref="K3:L3"/>
    <mergeCell ref="C4:E4"/>
    <mergeCell ref="K4:L4"/>
    <mergeCell ref="C5:E5"/>
    <mergeCell ref="K5:L5"/>
    <mergeCell ref="C6:E6"/>
    <mergeCell ref="K6:L6"/>
    <mergeCell ref="K7:L7"/>
    <mergeCell ref="K8:L8"/>
    <mergeCell ref="K9:L9"/>
    <mergeCell ref="K10:L10"/>
    <mergeCell ref="K11:L11"/>
    <mergeCell ref="K12:L12"/>
    <mergeCell ref="C13:E13"/>
    <mergeCell ref="K13:L13"/>
    <mergeCell ref="C14:E14"/>
    <mergeCell ref="K14:L14"/>
    <mergeCell ref="C15:E15"/>
    <mergeCell ref="C18:D18"/>
    <mergeCell ref="C20:D20"/>
    <mergeCell ref="C21:D21"/>
    <mergeCell ref="C22:D22"/>
    <mergeCell ref="C23:D23"/>
    <mergeCell ref="C24:D24"/>
    <mergeCell ref="C25:D25"/>
    <mergeCell ref="C26:E26"/>
    <mergeCell ref="C27:E27"/>
    <mergeCell ref="C28:E28"/>
    <mergeCell ref="C29:E29"/>
    <mergeCell ref="C30:E30"/>
    <mergeCell ref="D31:E31"/>
    <mergeCell ref="D32:E32"/>
    <mergeCell ref="C33:D33"/>
    <mergeCell ref="C34:E34"/>
    <mergeCell ref="C35:E35"/>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A55:E55"/>
    <mergeCell ref="A2:A3"/>
    <mergeCell ref="A4:A6"/>
    <mergeCell ref="A7:A17"/>
    <mergeCell ref="A18:A26"/>
    <mergeCell ref="A29:A35"/>
    <mergeCell ref="A38:A43"/>
    <mergeCell ref="A48:A54"/>
    <mergeCell ref="B31:B32"/>
    <mergeCell ref="J12:J14"/>
  </mergeCells>
  <hyperlinks>
    <hyperlink ref="B43:D43" location="反倾销列表!A1" display="6、反倾销产品（点我看清单）"/>
  </hyperlinks>
  <pageMargins left="0.75" right="0.75" top="1" bottom="1" header="0.5" footer="0.5"/>
  <pageSetup paperSize="9" orientation="portrait"/>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L35"/>
  <sheetViews>
    <sheetView zoomScale="85" zoomScaleNormal="85" workbookViewId="0">
      <selection activeCell="C41" sqref="C41"/>
    </sheetView>
  </sheetViews>
  <sheetFormatPr defaultColWidth="18.7583333333333" defaultRowHeight="18" customHeight="1"/>
  <cols>
    <col min="1" max="1" width="18.7583333333333" customWidth="1"/>
    <col min="2" max="2" width="20.2833333333333" customWidth="1"/>
    <col min="3" max="4" width="18.7583333333333" customWidth="1"/>
    <col min="5" max="5" width="18.7583333333333" style="649" customWidth="1"/>
    <col min="6" max="6" width="43.9416666666667" style="650" customWidth="1"/>
    <col min="7" max="16372" width="18.7583333333333" customWidth="1"/>
  </cols>
  <sheetData>
    <row r="1" customHeight="1" spans="1:8">
      <c r="A1" s="651" t="s">
        <v>0</v>
      </c>
      <c r="B1" s="651"/>
      <c r="C1" s="651"/>
      <c r="D1" s="651"/>
      <c r="E1" s="652"/>
      <c r="F1" s="651"/>
      <c r="G1" s="651"/>
      <c r="H1" s="651"/>
    </row>
    <row r="2" customHeight="1" spans="1:8">
      <c r="A2" s="651"/>
      <c r="B2" s="651"/>
      <c r="C2" s="651"/>
      <c r="D2" s="651"/>
      <c r="E2" s="652"/>
      <c r="F2" s="651"/>
      <c r="G2" s="651"/>
      <c r="H2" s="651"/>
    </row>
    <row r="3" ht="27" customHeight="1" spans="1:8">
      <c r="A3" s="651"/>
      <c r="B3" s="651"/>
      <c r="C3" s="651"/>
      <c r="D3" s="651"/>
      <c r="E3" s="652"/>
      <c r="F3" s="651"/>
      <c r="G3" s="651"/>
      <c r="H3" s="651"/>
    </row>
    <row r="4" customHeight="1" spans="1:8">
      <c r="A4" s="653" t="s">
        <v>3</v>
      </c>
      <c r="B4" s="654"/>
      <c r="C4" s="654" t="s">
        <v>176</v>
      </c>
      <c r="D4" s="654" t="s">
        <v>177</v>
      </c>
      <c r="E4" s="655" t="s">
        <v>178</v>
      </c>
      <c r="F4" s="656" t="s">
        <v>179</v>
      </c>
      <c r="G4" s="656" t="s">
        <v>180</v>
      </c>
      <c r="H4" s="657" t="s">
        <v>181</v>
      </c>
    </row>
    <row r="5" customHeight="1" spans="1:8">
      <c r="A5" s="658" t="s">
        <v>182</v>
      </c>
      <c r="B5" s="658" t="s">
        <v>183</v>
      </c>
      <c r="C5" s="659" t="s">
        <v>184</v>
      </c>
      <c r="D5" s="659" t="s">
        <v>185</v>
      </c>
      <c r="E5" s="660">
        <v>46207</v>
      </c>
      <c r="F5" s="661" t="s">
        <v>186</v>
      </c>
      <c r="G5" s="662">
        <v>46211</v>
      </c>
      <c r="H5" s="662">
        <v>46222</v>
      </c>
    </row>
    <row r="6" customHeight="1" spans="1:8">
      <c r="A6" s="658"/>
      <c r="B6" s="658"/>
      <c r="C6" s="659" t="s">
        <v>187</v>
      </c>
      <c r="D6" s="659" t="s">
        <v>185</v>
      </c>
      <c r="E6" s="663">
        <v>46207</v>
      </c>
      <c r="F6" s="664" t="s">
        <v>186</v>
      </c>
      <c r="G6" s="664">
        <v>46211</v>
      </c>
      <c r="H6" s="664">
        <v>46222</v>
      </c>
    </row>
    <row r="7" ht="38" customHeight="1" spans="1:8">
      <c r="A7" s="658"/>
      <c r="B7" s="658" t="s">
        <v>188</v>
      </c>
      <c r="C7" s="659" t="s">
        <v>184</v>
      </c>
      <c r="D7" s="659" t="s">
        <v>189</v>
      </c>
      <c r="E7" s="660">
        <v>46207</v>
      </c>
      <c r="F7" s="665" t="s">
        <v>190</v>
      </c>
      <c r="G7" s="662">
        <v>46211</v>
      </c>
      <c r="H7" s="664">
        <v>46224</v>
      </c>
    </row>
    <row r="8" customHeight="1" spans="1:8">
      <c r="A8" s="658"/>
      <c r="B8" s="658"/>
      <c r="C8" s="659" t="s">
        <v>187</v>
      </c>
      <c r="D8" s="659" t="s">
        <v>191</v>
      </c>
      <c r="E8" s="663">
        <v>46207</v>
      </c>
      <c r="F8" s="666" t="s">
        <v>192</v>
      </c>
      <c r="G8" s="664">
        <v>46212</v>
      </c>
      <c r="H8" s="664">
        <v>46225</v>
      </c>
    </row>
    <row r="9" ht="55" customHeight="1" spans="1:8">
      <c r="A9" s="658"/>
      <c r="B9" s="658" t="s">
        <v>193</v>
      </c>
      <c r="C9" s="659" t="s">
        <v>184</v>
      </c>
      <c r="D9" s="659" t="s">
        <v>194</v>
      </c>
      <c r="E9" s="660">
        <v>46207</v>
      </c>
      <c r="F9" s="665" t="s">
        <v>195</v>
      </c>
      <c r="G9" s="662">
        <v>46211</v>
      </c>
      <c r="H9" s="662">
        <v>46225</v>
      </c>
    </row>
    <row r="10" ht="33" customHeight="1" spans="1:8">
      <c r="A10" s="658"/>
      <c r="B10" s="658"/>
      <c r="C10" s="659" t="s">
        <v>187</v>
      </c>
      <c r="D10" s="659" t="s">
        <v>196</v>
      </c>
      <c r="E10" s="663">
        <v>46207</v>
      </c>
      <c r="F10" s="664" t="s">
        <v>197</v>
      </c>
      <c r="G10" s="664">
        <v>46212</v>
      </c>
      <c r="H10" s="664">
        <v>46227</v>
      </c>
    </row>
    <row r="11" ht="28" customHeight="1" spans="1:8">
      <c r="A11" s="658"/>
      <c r="B11" s="658" t="s">
        <v>14</v>
      </c>
      <c r="C11" s="659" t="s">
        <v>184</v>
      </c>
      <c r="D11" s="659" t="s">
        <v>198</v>
      </c>
      <c r="E11" s="660">
        <v>46207</v>
      </c>
      <c r="F11" s="667" t="s">
        <v>199</v>
      </c>
      <c r="G11" s="668">
        <v>46212</v>
      </c>
      <c r="H11" s="668">
        <v>46227</v>
      </c>
    </row>
    <row r="12" ht="44" customHeight="1" spans="1:8">
      <c r="A12" s="658"/>
      <c r="B12" s="658"/>
      <c r="C12" s="659"/>
      <c r="D12" s="659"/>
      <c r="E12" s="669">
        <v>46212</v>
      </c>
      <c r="F12" s="670" t="s">
        <v>200</v>
      </c>
      <c r="G12" s="671">
        <v>46217</v>
      </c>
      <c r="H12" s="671">
        <v>46227</v>
      </c>
    </row>
    <row r="13" ht="67" customHeight="1" spans="1:8">
      <c r="A13" s="658"/>
      <c r="B13" s="658"/>
      <c r="C13" s="659" t="s">
        <v>187</v>
      </c>
      <c r="D13" s="659" t="s">
        <v>198</v>
      </c>
      <c r="E13" s="663">
        <v>46207</v>
      </c>
      <c r="F13" s="672" t="s">
        <v>201</v>
      </c>
      <c r="G13" s="664">
        <v>46212</v>
      </c>
      <c r="H13" s="664">
        <v>46227</v>
      </c>
    </row>
    <row r="14" ht="32" customHeight="1" spans="1:8">
      <c r="A14" s="658" t="s">
        <v>19</v>
      </c>
      <c r="B14" s="658" t="s">
        <v>202</v>
      </c>
      <c r="C14" s="659" t="s">
        <v>184</v>
      </c>
      <c r="D14" s="659" t="s">
        <v>198</v>
      </c>
      <c r="E14" s="660">
        <v>46207</v>
      </c>
      <c r="F14" s="673" t="s">
        <v>203</v>
      </c>
      <c r="G14" s="668">
        <v>46212</v>
      </c>
      <c r="H14" s="668">
        <v>46238</v>
      </c>
    </row>
    <row r="15" ht="38" customHeight="1" spans="1:8">
      <c r="A15" s="658"/>
      <c r="B15" s="674"/>
      <c r="C15" s="659" t="s">
        <v>187</v>
      </c>
      <c r="D15" s="659" t="s">
        <v>204</v>
      </c>
      <c r="E15" s="663">
        <v>46207</v>
      </c>
      <c r="F15" s="664" t="s">
        <v>205</v>
      </c>
      <c r="G15" s="664">
        <v>46212</v>
      </c>
      <c r="H15" s="664">
        <v>46238</v>
      </c>
    </row>
    <row r="16" customHeight="1" spans="1:8">
      <c r="A16" s="658"/>
      <c r="B16" s="658" t="s">
        <v>206</v>
      </c>
      <c r="C16" s="659" t="s">
        <v>184</v>
      </c>
      <c r="D16" s="659" t="s">
        <v>207</v>
      </c>
      <c r="E16" s="660">
        <v>46207</v>
      </c>
      <c r="F16" s="671" t="s">
        <v>208</v>
      </c>
      <c r="G16" s="671">
        <v>46211</v>
      </c>
      <c r="H16" s="671">
        <v>46231</v>
      </c>
    </row>
    <row r="17" customHeight="1" spans="1:12">
      <c r="A17" s="658"/>
      <c r="B17" s="674"/>
      <c r="C17" s="659" t="s">
        <v>187</v>
      </c>
      <c r="D17" s="659" t="s">
        <v>207</v>
      </c>
      <c r="E17" s="663">
        <v>46206</v>
      </c>
      <c r="F17" s="663" t="s">
        <v>208</v>
      </c>
      <c r="G17" s="664">
        <v>46211</v>
      </c>
      <c r="H17" s="664">
        <v>46233</v>
      </c>
    </row>
    <row r="18" customHeight="1" spans="1:12">
      <c r="A18" s="658"/>
      <c r="B18" s="658" t="s">
        <v>209</v>
      </c>
      <c r="C18" s="659" t="s">
        <v>184</v>
      </c>
      <c r="D18" s="659" t="s">
        <v>210</v>
      </c>
      <c r="E18" s="675">
        <v>46209</v>
      </c>
      <c r="F18" s="668" t="s">
        <v>211</v>
      </c>
      <c r="G18" s="668">
        <v>46215</v>
      </c>
      <c r="H18" s="668">
        <v>46243</v>
      </c>
    </row>
    <row r="19" ht="30" customHeight="1" spans="1:12">
      <c r="A19" s="658"/>
      <c r="B19" s="674"/>
      <c r="C19" s="659" t="s">
        <v>187</v>
      </c>
      <c r="D19" s="659" t="s">
        <v>204</v>
      </c>
      <c r="E19" s="663">
        <v>46206</v>
      </c>
      <c r="F19" s="672" t="s">
        <v>212</v>
      </c>
      <c r="G19" s="664">
        <v>46215</v>
      </c>
      <c r="H19" s="664">
        <v>46248</v>
      </c>
    </row>
    <row r="20" customHeight="1" spans="1:12">
      <c r="A20" s="676" t="s">
        <v>213</v>
      </c>
      <c r="B20" s="658" t="s">
        <v>213</v>
      </c>
      <c r="C20" s="659" t="s">
        <v>184</v>
      </c>
      <c r="D20" s="659" t="s">
        <v>210</v>
      </c>
      <c r="E20" s="675">
        <v>46209</v>
      </c>
      <c r="F20" s="668" t="s">
        <v>214</v>
      </c>
      <c r="G20" s="668">
        <v>46213</v>
      </c>
      <c r="H20" s="668">
        <v>46245</v>
      </c>
    </row>
    <row r="21" ht="54" customHeight="1" spans="1:12">
      <c r="A21" s="658"/>
      <c r="B21" s="658"/>
      <c r="C21" s="659" t="s">
        <v>187</v>
      </c>
      <c r="D21" s="659" t="s">
        <v>204</v>
      </c>
      <c r="E21" s="663">
        <v>46206</v>
      </c>
      <c r="F21" s="664" t="s">
        <v>215</v>
      </c>
      <c r="G21" s="664">
        <v>46216</v>
      </c>
      <c r="H21" s="664">
        <v>46246</v>
      </c>
    </row>
    <row r="22" customHeight="1" spans="1:12">
      <c r="A22" s="676" t="s">
        <v>24</v>
      </c>
      <c r="B22" s="658" t="s">
        <v>216</v>
      </c>
      <c r="C22" s="659" t="s">
        <v>184</v>
      </c>
      <c r="D22" s="659" t="s">
        <v>210</v>
      </c>
      <c r="E22" s="675">
        <v>46209</v>
      </c>
      <c r="F22" s="668" t="s">
        <v>217</v>
      </c>
      <c r="G22" s="668">
        <v>46215</v>
      </c>
      <c r="H22" s="668">
        <v>46247</v>
      </c>
    </row>
    <row r="23" ht="32" customHeight="1" spans="1:12">
      <c r="A23" s="658"/>
      <c r="B23" s="658"/>
      <c r="C23" s="659" t="s">
        <v>187</v>
      </c>
      <c r="D23" s="659" t="s">
        <v>204</v>
      </c>
      <c r="E23" s="663">
        <v>46206</v>
      </c>
      <c r="F23" s="664" t="s">
        <v>218</v>
      </c>
      <c r="G23" s="664">
        <v>46213</v>
      </c>
      <c r="H23" s="664">
        <v>46239</v>
      </c>
    </row>
    <row r="24" customHeight="1" spans="1:12">
      <c r="A24" s="676"/>
      <c r="B24" s="658" t="s">
        <v>219</v>
      </c>
      <c r="C24" s="659" t="s">
        <v>184</v>
      </c>
      <c r="D24" s="659" t="s">
        <v>204</v>
      </c>
      <c r="E24" s="675">
        <v>46207</v>
      </c>
      <c r="F24" s="668" t="s">
        <v>199</v>
      </c>
      <c r="G24" s="668">
        <v>46212</v>
      </c>
      <c r="H24" s="668">
        <v>46232</v>
      </c>
    </row>
    <row r="25" customHeight="1" spans="1:12">
      <c r="A25" s="658"/>
      <c r="B25" s="658"/>
      <c r="C25" s="659" t="s">
        <v>187</v>
      </c>
      <c r="D25" s="659" t="s">
        <v>204</v>
      </c>
      <c r="E25" s="663">
        <v>46205</v>
      </c>
      <c r="F25" s="664" t="s">
        <v>199</v>
      </c>
      <c r="G25" s="664">
        <v>46212</v>
      </c>
      <c r="H25" s="664">
        <v>46232</v>
      </c>
    </row>
    <row r="26" customHeight="1" spans="1:12">
      <c r="A26" s="676"/>
      <c r="B26" s="658" t="s">
        <v>220</v>
      </c>
      <c r="C26" s="659" t="s">
        <v>184</v>
      </c>
      <c r="D26" s="659" t="s">
        <v>207</v>
      </c>
      <c r="E26" s="675">
        <v>46207</v>
      </c>
      <c r="F26" s="668" t="s">
        <v>208</v>
      </c>
      <c r="G26" s="668">
        <v>46211</v>
      </c>
      <c r="H26" s="668">
        <v>46231</v>
      </c>
      <c r="L26" t="s">
        <v>221</v>
      </c>
    </row>
    <row r="27" customHeight="1" spans="1:12">
      <c r="A27" s="658"/>
      <c r="B27" s="658"/>
      <c r="C27" s="659" t="s">
        <v>187</v>
      </c>
      <c r="D27" s="659" t="s">
        <v>207</v>
      </c>
      <c r="E27" s="663">
        <v>46206</v>
      </c>
      <c r="F27" s="664" t="s">
        <v>208</v>
      </c>
      <c r="G27" s="664">
        <v>46211</v>
      </c>
      <c r="H27" s="664">
        <v>46231</v>
      </c>
    </row>
    <row r="28" ht="17" customHeight="1" spans="1:12">
      <c r="A28" s="676" t="s">
        <v>33</v>
      </c>
      <c r="B28" s="658" t="s">
        <v>222</v>
      </c>
      <c r="C28" s="659" t="s">
        <v>184</v>
      </c>
      <c r="D28" s="659" t="s">
        <v>204</v>
      </c>
      <c r="E28" s="675">
        <v>46209</v>
      </c>
      <c r="F28" s="668" t="s">
        <v>223</v>
      </c>
      <c r="G28" s="668">
        <v>46213</v>
      </c>
      <c r="H28" s="668">
        <v>46233</v>
      </c>
    </row>
    <row r="29" ht="17" customHeight="1" spans="1:12">
      <c r="A29" s="658"/>
      <c r="B29" s="658"/>
      <c r="C29" s="659" t="s">
        <v>187</v>
      </c>
      <c r="D29" s="659" t="s">
        <v>204</v>
      </c>
      <c r="E29" s="675">
        <v>46208</v>
      </c>
      <c r="F29" s="668" t="s">
        <v>223</v>
      </c>
      <c r="G29" s="668">
        <v>46213</v>
      </c>
      <c r="H29" s="668">
        <v>46233</v>
      </c>
    </row>
    <row r="30" ht="17" customHeight="1" spans="1:12">
      <c r="A30" s="676"/>
      <c r="B30" s="658" t="s">
        <v>224</v>
      </c>
      <c r="C30" s="659" t="s">
        <v>184</v>
      </c>
      <c r="D30" s="659" t="s">
        <v>204</v>
      </c>
      <c r="E30" s="675">
        <v>46209</v>
      </c>
      <c r="F30" s="668" t="s">
        <v>225</v>
      </c>
      <c r="G30" s="668">
        <v>46211</v>
      </c>
      <c r="H30" s="668">
        <v>46239</v>
      </c>
    </row>
    <row r="31" ht="36" customHeight="1" spans="1:12">
      <c r="A31" s="658"/>
      <c r="B31" s="658" t="s">
        <v>224</v>
      </c>
      <c r="C31" s="659" t="s">
        <v>187</v>
      </c>
      <c r="D31" s="659" t="s">
        <v>204</v>
      </c>
      <c r="E31" s="675">
        <v>46208</v>
      </c>
      <c r="F31" s="668" t="s">
        <v>226</v>
      </c>
      <c r="G31" s="668">
        <v>46211</v>
      </c>
      <c r="H31" s="668">
        <v>46239</v>
      </c>
    </row>
    <row r="32" ht="27" customHeight="1" spans="1:12">
      <c r="A32" s="676"/>
      <c r="B32" s="658" t="s">
        <v>227</v>
      </c>
      <c r="C32" s="659" t="s">
        <v>184</v>
      </c>
      <c r="D32" s="659" t="s">
        <v>204</v>
      </c>
      <c r="E32" s="675">
        <v>46209</v>
      </c>
      <c r="F32" s="668" t="s">
        <v>223</v>
      </c>
      <c r="G32" s="668">
        <v>46213</v>
      </c>
      <c r="H32" s="668">
        <v>46241</v>
      </c>
    </row>
    <row r="33" ht="28" customHeight="1" spans="1:8">
      <c r="A33" s="658"/>
      <c r="B33" s="658"/>
      <c r="C33" s="659" t="s">
        <v>187</v>
      </c>
      <c r="D33" s="659" t="s">
        <v>204</v>
      </c>
      <c r="E33" s="663">
        <v>46208</v>
      </c>
      <c r="F33" s="668" t="s">
        <v>223</v>
      </c>
      <c r="G33" s="668">
        <v>46213</v>
      </c>
      <c r="H33" s="664">
        <v>46241</v>
      </c>
    </row>
    <row r="34" customHeight="1" spans="1:8">
      <c r="F34"/>
    </row>
    <row r="35" customHeight="1" spans="1:8">
      <c r="F35"/>
    </row>
  </sheetData>
  <autoFilter xmlns:etc="http://www.wps.cn/officeDocument/2017/etCustomData" ref="A4:H33" etc:filterBottomFollowUsedRange="0">
    <extLst/>
  </autoFilter>
  <mergeCells count="22">
    <mergeCell ref="A4:B4"/>
    <mergeCell ref="A5:A13"/>
    <mergeCell ref="A14:A19"/>
    <mergeCell ref="A20:A21"/>
    <mergeCell ref="A22:A27"/>
    <mergeCell ref="A28:A33"/>
    <mergeCell ref="B5:B6"/>
    <mergeCell ref="B7:B8"/>
    <mergeCell ref="B9:B10"/>
    <mergeCell ref="B11:B13"/>
    <mergeCell ref="B14:B15"/>
    <mergeCell ref="B16:B17"/>
    <mergeCell ref="B18:B19"/>
    <mergeCell ref="B20:B21"/>
    <mergeCell ref="B22:B23"/>
    <mergeCell ref="B24:B25"/>
    <mergeCell ref="B26:B27"/>
    <mergeCell ref="B28:B29"/>
    <mergeCell ref="B32:B33"/>
    <mergeCell ref="C11:C12"/>
    <mergeCell ref="D11:D12"/>
    <mergeCell ref="A1:H3"/>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FF00"/>
  </sheetPr>
  <dimension ref="A1:G21"/>
  <sheetViews>
    <sheetView zoomScale="115" zoomScaleNormal="115" workbookViewId="0">
      <pane ySplit="4" topLeftCell="A5" activePane="bottomLeft" state="frozen"/>
      <selection/>
      <selection pane="bottomLeft" activeCell="E3" sqref="E3"/>
    </sheetView>
  </sheetViews>
  <sheetFormatPr defaultColWidth="31.7583333333333" defaultRowHeight="21" customHeight="1" outlineLevelCol="6"/>
  <cols>
    <col min="1" max="1" width="19.6833333333333" style="623" customWidth="1"/>
    <col min="2" max="2" width="23.6333333333333" style="623" customWidth="1"/>
    <col min="3" max="3" width="21.975" style="623" customWidth="1"/>
    <col min="4" max="4" width="34.0083333333333" style="623" customWidth="1"/>
    <col min="5" max="5" width="19.8166666666667" customWidth="1"/>
    <col min="6" max="6" width="19.375" customWidth="1"/>
    <col min="7" max="16382" width="31.7583333333333" customWidth="1"/>
  </cols>
  <sheetData>
    <row r="1" customFormat="1" ht="45" customHeight="1" spans="1:7">
      <c r="A1" s="624" t="s">
        <v>0</v>
      </c>
      <c r="B1" s="625"/>
      <c r="C1" s="625"/>
      <c r="D1" s="626" t="s">
        <v>228</v>
      </c>
      <c r="E1" s="626"/>
      <c r="F1" s="626"/>
      <c r="G1" s="627"/>
    </row>
    <row r="2" customFormat="1" ht="29" customHeight="1" spans="1:7">
      <c r="A2" s="628"/>
      <c r="B2" s="629"/>
      <c r="C2" s="629"/>
      <c r="D2" s="630" t="s">
        <v>229</v>
      </c>
      <c r="E2" s="630" t="s">
        <v>230</v>
      </c>
      <c r="F2" s="630" t="s">
        <v>231</v>
      </c>
      <c r="G2" s="627"/>
    </row>
    <row r="3" customFormat="1" ht="29" customHeight="1" spans="1:7">
      <c r="A3" s="631"/>
      <c r="B3" s="632"/>
      <c r="C3" s="632"/>
      <c r="D3" s="633" t="s">
        <v>184</v>
      </c>
      <c r="E3" s="634" t="s">
        <v>232</v>
      </c>
      <c r="F3" s="635" t="s">
        <v>233</v>
      </c>
      <c r="G3" s="627"/>
    </row>
    <row r="4" s="622" customFormat="1" ht="22.5" customHeight="1" spans="1:7">
      <c r="A4" s="636" t="s">
        <v>1</v>
      </c>
      <c r="B4" s="637" t="s">
        <v>2</v>
      </c>
      <c r="C4" s="637" t="s">
        <v>3</v>
      </c>
      <c r="D4" s="638" t="s">
        <v>234</v>
      </c>
      <c r="E4" s="639" t="s">
        <v>235</v>
      </c>
      <c r="F4" s="639"/>
      <c r="G4" s="639" t="s">
        <v>236</v>
      </c>
    </row>
    <row r="5" customFormat="1" ht="31" customHeight="1" spans="1:7">
      <c r="A5" s="640" t="s">
        <v>7</v>
      </c>
      <c r="B5" s="641" t="s">
        <v>16</v>
      </c>
      <c r="C5" s="642" t="s">
        <v>17</v>
      </c>
      <c r="D5" s="643" t="s">
        <v>237</v>
      </c>
      <c r="E5" s="644" cm="1">
        <f t="array" ref="E5">IFERROR(INDEX(经济线!C6:F34,MATCH(E3,经济线!A6:A34,0),IF(D3="深圳",IF(F3="包税",1,2),IF(D3="义乌/宁波",IF(F3="包税",3,4)))),"*")</f>
        <v>8.9</v>
      </c>
      <c r="F5" s="644"/>
      <c r="G5" s="645" t="str">
        <f>IFERROR(VLOOKUP(E3,经济线!A:H,7,0),"*")</f>
        <v>30~38</v>
      </c>
    </row>
    <row r="6" customFormat="1" ht="31" customHeight="1" spans="1:7">
      <c r="A6" s="640"/>
      <c r="B6" s="641" t="s">
        <v>19</v>
      </c>
      <c r="C6" s="642" t="s">
        <v>20</v>
      </c>
      <c r="D6" s="643" t="s">
        <v>238</v>
      </c>
      <c r="E6" s="644" t="str" cm="1">
        <f t="array" ref="E6">IFERROR(INDEX(美中专线!O7:R31,MATCH(E3,美中专线!N7:N31,0),IF(D3="深圳",IF(F3="包税",1,2),IF(D3="义乌/宁波",IF(F3="包税",3,4)))),"*")</f>
        <v>*</v>
      </c>
      <c r="F6" s="644"/>
      <c r="G6" s="645" t="str">
        <f>IFERROR(VLOOKUP(E3,美中专线!N:T,7,0),"*")</f>
        <v>*</v>
      </c>
    </row>
    <row r="7" customFormat="1" ht="31" customHeight="1" spans="1:7">
      <c r="A7" s="640"/>
      <c r="B7" s="641"/>
      <c r="C7" s="642" t="s">
        <v>22</v>
      </c>
      <c r="D7" s="643" t="s">
        <v>239</v>
      </c>
      <c r="E7" s="644" cm="1">
        <f t="array" ref="E7">IFERROR(INDEX(美中专线!B7:E26,MATCH(E3,美中专线!A7:A26,0),IF(D3="深圳",IF(F3="包税",1,2),IF(D3="义乌/宁波",IF(F3="包税",3,4)))),"*")</f>
        <v>9.4</v>
      </c>
      <c r="F7" s="644"/>
      <c r="G7" s="645" t="str">
        <f>IFERROR(VLOOKUP(E3,美中专线!A:G,7,0),"*")</f>
        <v>39~46</v>
      </c>
    </row>
    <row r="8" customFormat="1" ht="31" customHeight="1" spans="1:7">
      <c r="A8" s="640"/>
      <c r="B8" s="641" t="s">
        <v>24</v>
      </c>
      <c r="C8" s="642" t="s">
        <v>216</v>
      </c>
      <c r="D8" s="643" t="s">
        <v>240</v>
      </c>
      <c r="E8" s="644" t="str" cm="1">
        <f t="array" ref="E8">IFERROR(INDEX(美东专线!B7:E63,MATCH(E3,美东专线!A7:A63,0),IF(D3="深圳",IF(F3="包税",1,2),IF(D3="义乌/宁波",IF(F3="包税",3,4)))),"*")</f>
        <v>*</v>
      </c>
      <c r="F8" s="644"/>
      <c r="G8" s="645" t="str">
        <f>IFERROR(VLOOKUP(E3,美东专线!A:G,7,0),"*")</f>
        <v>*</v>
      </c>
    </row>
    <row r="9" customFormat="1" ht="31" customHeight="1" spans="1:7">
      <c r="A9" s="640"/>
      <c r="B9" s="641"/>
      <c r="C9" s="642" t="s">
        <v>219</v>
      </c>
      <c r="D9" s="643" t="s">
        <v>241</v>
      </c>
      <c r="E9" s="644" t="str" cm="1">
        <f t="array" ref="E9">IFERROR(INDEX(美东专线!H7:K63,MATCH(E3,美东专线!A7:A63,0),IF(D3="深圳",IF(F3="包税",1,2),IF(D3="义乌/宁波",IF(F3="包税",3,4)))),"*")</f>
        <v>*</v>
      </c>
      <c r="F9" s="644"/>
      <c r="G9" s="645" t="str">
        <f>IFERROR(VLOOKUP(E3,美东专线!A:M,13,0),"*")</f>
        <v>*</v>
      </c>
    </row>
    <row r="10" customFormat="1" ht="31" customHeight="1" spans="1:7">
      <c r="A10" s="640"/>
      <c r="B10" s="641"/>
      <c r="C10" s="642" t="s">
        <v>220</v>
      </c>
      <c r="D10" s="643" t="s">
        <v>242</v>
      </c>
      <c r="E10" s="644" t="str" cm="1">
        <f t="array" ref="E10">IFERROR(INDEX(美东专线!N7:Q63,MATCH(E3,美东专线!A7:A63,0),IF(D3="深圳",IF(F3="包税",1,2),IF(D3="义乌/宁波",IF(F3="包税",3,4)))),"*")</f>
        <v>*</v>
      </c>
      <c r="F10" s="644"/>
      <c r="G10" s="645" t="str">
        <f>IFERROR(VLOOKUP(E3,美东专线!A:S,19,0),"*")</f>
        <v>*</v>
      </c>
    </row>
    <row r="11" customFormat="1" ht="31" customHeight="1" spans="1:7">
      <c r="A11" s="640"/>
      <c r="B11" s="641" t="s">
        <v>29</v>
      </c>
      <c r="C11" s="642" t="s">
        <v>29</v>
      </c>
      <c r="D11" s="643" t="s">
        <v>243</v>
      </c>
      <c r="E11" s="644" t="str" cm="1">
        <f t="array" ref="E11">IFERROR(INDEX(萨瓦纳专线!B7:E28,MATCH(E3,萨瓦纳专线!A7:A28,0),IF(D3="深圳",IF(F3="包税",1,2),IF(D3="义乌/宁波",IF(F3="包税",3,4)))),"*")</f>
        <v>*</v>
      </c>
      <c r="F11" s="644"/>
      <c r="G11" s="645" t="str">
        <f>IFERROR(VLOOKUP(E3,萨瓦纳专线!A:G,7,0),"*")</f>
        <v>*</v>
      </c>
    </row>
    <row r="12" customFormat="1" ht="31" customHeight="1" spans="1:7">
      <c r="A12" s="640"/>
      <c r="B12" s="641" t="s">
        <v>31</v>
      </c>
      <c r="C12" s="642" t="s">
        <v>9</v>
      </c>
      <c r="D12" s="643" t="s">
        <v>244</v>
      </c>
      <c r="E12" s="644" cm="1">
        <f t="array" ref="E12">IFERROR(INDEX(王牌渠道!B6:E63,MATCH(E3,王牌渠道!A6:A63,0),IF(D3="深圳",IF(F3="包税",1,2),IF(D3="义乌/宁波",IF(F3="包税",3,4)))),"*")</f>
        <v>14.5</v>
      </c>
      <c r="F12" s="644"/>
      <c r="G12" s="645" t="str">
        <f>IFERROR(VLOOKUP(E3,王牌渠道!A:F,6,0),"*")</f>
        <v>19~24</v>
      </c>
    </row>
    <row r="13" customFormat="1" ht="31" customHeight="1" spans="1:7">
      <c r="A13" s="640"/>
      <c r="B13" s="641"/>
      <c r="C13" s="642" t="s">
        <v>12</v>
      </c>
      <c r="D13" s="643" t="s">
        <v>245</v>
      </c>
      <c r="E13" s="644" cm="1">
        <f t="array" ref="E13">IFERROR(INDEX(王牌渠道!G6:K63,MATCH(E3,王牌渠道!A6:A63,0),IF(D3="深圳",IF(F3="包税",1,2),IF(D3="义乌/宁波",IF(F3="包税",3,4)))),"*")</f>
        <v>32.02</v>
      </c>
      <c r="F13" s="644"/>
      <c r="G13" s="645" t="str">
        <f>IFERROR(VLOOKUP(E3,王牌渠道!A:L,12,0),"*")</f>
        <v>20~25</v>
      </c>
    </row>
    <row r="14" customFormat="1" ht="31" customHeight="1" spans="1:7">
      <c r="A14" s="640"/>
      <c r="B14" s="641"/>
      <c r="C14" s="642" t="s">
        <v>193</v>
      </c>
      <c r="D14" s="643" t="s">
        <v>246</v>
      </c>
      <c r="E14" s="644" cm="1">
        <f t="array" ref="E14">IFERROR(INDEX(王牌渠道!N6:Q63,MATCH(E3,王牌渠道!A6:A63,0),IF(D3="深圳",IF(F3="包税",1,2),IF(D3="义乌/宁波",IF(F3="包税",3,4)))),"*")</f>
        <v>10.6</v>
      </c>
      <c r="F14" s="644"/>
      <c r="G14" s="645" t="str">
        <f>IFERROR(VLOOKUP(E3,王牌渠道!A:R,18,0),"*")</f>
        <v>20~25</v>
      </c>
    </row>
    <row r="15" customFormat="1" ht="31" customHeight="1" spans="1:7">
      <c r="A15" s="640"/>
      <c r="B15" s="641"/>
      <c r="C15" s="642" t="s">
        <v>14</v>
      </c>
      <c r="D15" s="643" t="s">
        <v>247</v>
      </c>
      <c r="E15" s="644" cm="1">
        <f t="array" ref="E15">IFERROR(INDEX(美西专线!B7:E72,MATCH(E3,美西专线!A7:A72,0),IF(D3="深圳",IF(F3="包税",1,2),IF(D3="义乌/宁波",IF(F3="包税",3,4)))),"*")</f>
        <v>10.2</v>
      </c>
      <c r="F15" s="644"/>
      <c r="G15" s="645" t="str">
        <f>IFERROR(VLOOKUP(E3,美西专线!A:G,7,0),"*")</f>
        <v>23~29</v>
      </c>
    </row>
    <row r="16" customFormat="1" ht="42" customHeight="1" spans="1:7">
      <c r="A16" s="640" t="s">
        <v>32</v>
      </c>
      <c r="B16" s="641" t="s">
        <v>33</v>
      </c>
      <c r="C16" s="643" t="s">
        <v>248</v>
      </c>
      <c r="D16" s="646" t="s">
        <v>249</v>
      </c>
      <c r="E16" s="644" t="str">
        <f>IFERROR(IF(F3="包税",IF(D3="深圳",_xlfn.XLOOKUP(E3,加拿大直航!A6:A30,加拿大直航!B6:B30,"*"),IF(D3="义乌/宁波",_xlfn.XLOOKUP(E3,加拿大直航!A6:A30,加拿大直航!C6:C30,"*"),"*")),"*"),"*")</f>
        <v>*</v>
      </c>
      <c r="F16" s="644"/>
      <c r="G16" s="645" t="str">
        <f>IFERROR(VLOOKUP(E3,加拿大直航!A:D,4,0),"*")</f>
        <v>*</v>
      </c>
    </row>
    <row r="17" customFormat="1" ht="50" customHeight="1" spans="1:7">
      <c r="A17" s="640"/>
      <c r="B17" s="641" t="s">
        <v>38</v>
      </c>
      <c r="C17" s="643" t="s">
        <v>9</v>
      </c>
      <c r="D17" s="646" t="s">
        <v>250</v>
      </c>
      <c r="E17" s="644" t="str">
        <f>IFERROR(IF(F3="包税",IF(D3="深圳",_xlfn.XLOOKUP(E3,#REF!,#REF!,"*"),IF(D3="义乌/宁波",_xlfn.XLOOKUP(E3,#REF!,#REF!,"*"),"*")),"*"),"*")</f>
        <v>*</v>
      </c>
      <c r="F17" s="644"/>
      <c r="G17" s="645" t="str">
        <f>IFERROR(VLOOKUP(E3,#REF!,8,0),"*")</f>
        <v>*</v>
      </c>
    </row>
    <row r="18" customFormat="1" ht="31" customHeight="1" spans="1:7">
      <c r="A18" s="640"/>
      <c r="B18" s="641"/>
      <c r="C18" s="643" t="s">
        <v>12</v>
      </c>
      <c r="D18" s="647" t="s">
        <v>251</v>
      </c>
      <c r="E18" s="644" t="str">
        <f>IFERROR(IF(F3="包税",IF(D3="深圳",_xlfn.XLOOKUP(E3,#REF!,#REF!,"*"),IF(D3="义乌/宁波",_xlfn.XLOOKUP(E3,#REF!,#REF!,"*"),"*")),"*"),"*")</f>
        <v>*</v>
      </c>
      <c r="F18" s="644"/>
      <c r="G18" s="645" t="str">
        <f>IFERROR(VLOOKUP(E3,#REF!,4,0),"*")</f>
        <v>*</v>
      </c>
    </row>
    <row r="19" customFormat="1" ht="31" customHeight="1" spans="1:7">
      <c r="A19" s="640"/>
      <c r="B19" s="641" t="s">
        <v>40</v>
      </c>
      <c r="C19" s="643" t="s">
        <v>9</v>
      </c>
      <c r="D19" s="648" t="s">
        <v>252</v>
      </c>
      <c r="E19" s="644" t="str">
        <f>IFERROR(IF(F3="包税",IF(D3="深圳",_xlfn.XLOOKUP(E3,#REF!,#REF!,"*"),IF(D3="义乌/宁波",_xlfn.XLOOKUP(E3,#REF!,#REF!,"*"),IF(D3="山东/青岛",_xlfn.XLOOKUP(E3,#REF!,#REF!,"*"),"*"))),"*"),"*")</f>
        <v>*</v>
      </c>
      <c r="F19" s="644"/>
      <c r="G19" s="645" t="s">
        <v>253</v>
      </c>
    </row>
    <row r="20" customFormat="1" ht="31" customHeight="1" spans="1:7">
      <c r="A20" s="640"/>
      <c r="B20" s="641"/>
      <c r="C20" s="643" t="s">
        <v>12</v>
      </c>
      <c r="D20" s="643" t="s">
        <v>254</v>
      </c>
      <c r="E20" s="644" t="str">
        <f>IFERROR(IF(F3="包税",IF(D3="深圳",_xlfn.XLOOKUP(E3,#REF!,#REF!,"*"),IF(D3="义乌/宁波",_xlfn.XLOOKUP(E3,#REF!,#REF!,"*"),IF(D3="山东/青岛",_xlfn.XLOOKUP(E3,#REF!,#REF!,"*"),"*"))),"*"),"*")</f>
        <v>*</v>
      </c>
      <c r="F20" s="644"/>
      <c r="G20" s="645" t="s">
        <v>253</v>
      </c>
    </row>
    <row r="21" customFormat="1" ht="31" customHeight="1" spans="1:7">
      <c r="A21" s="640"/>
      <c r="B21" s="641"/>
      <c r="C21" s="643" t="s">
        <v>14</v>
      </c>
      <c r="D21" s="643" t="s">
        <v>255</v>
      </c>
      <c r="E21" s="644" t="str">
        <f>IFERROR(IF(F3="包税",IF(D3="深圳",_xlfn.XLOOKUP(E3,#REF!,#REF!,"*"),IF(D3="义乌/宁波",_xlfn.XLOOKUP(E3,#REF!,#REF!,"*"),IF(D3="山东/青岛",_xlfn.XLOOKUP(E3,#REF!,#REF!,"*"),"*"))),"*"),"*")</f>
        <v>*</v>
      </c>
      <c r="F21" s="644"/>
      <c r="G21" s="645" t="s">
        <v>253</v>
      </c>
    </row>
  </sheetData>
  <mergeCells count="28">
    <mergeCell ref="D1:F1"/>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A5:A15"/>
    <mergeCell ref="A16:A21"/>
    <mergeCell ref="B6:B7"/>
    <mergeCell ref="B8:B10"/>
    <mergeCell ref="B12:B15"/>
    <mergeCell ref="B17:B18"/>
    <mergeCell ref="B19:B21"/>
    <mergeCell ref="G1:G3"/>
    <mergeCell ref="A1:C3"/>
  </mergeCells>
  <conditionalFormatting sqref="G$1:G$1048576">
    <cfRule type="containsText" dxfId="1" priority="2" operator="between" text="#N/A">
      <formula>NOT(ISERROR(SEARCH("#N/A",G1)))</formula>
    </cfRule>
    <cfRule type="containsText" dxfId="2" priority="1" operator="between" text="#N/A">
      <formula>NOT(ISERROR(SEARCH("#N/A",G1)))</formula>
    </cfRule>
  </conditionalFormatting>
  <dataValidations count="2">
    <dataValidation type="list" allowBlank="1" showInputMessage="1" showErrorMessage="1" sqref="D3">
      <formula1>"山东/青岛,义乌/宁波,深圳"</formula1>
    </dataValidation>
    <dataValidation type="list" allowBlank="1" showInputMessage="1" showErrorMessage="1" sqref="F3">
      <formula1>"包税,不包税"</formula1>
    </dataValidation>
  </dataValidation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L17"/>
  <sheetViews>
    <sheetView workbookViewId="0">
      <selection activeCell="F4" sqref="F4:G4"/>
    </sheetView>
  </sheetViews>
  <sheetFormatPr defaultColWidth="26.9416666666667" defaultRowHeight="45" customHeight="1"/>
  <cols>
    <col min="1" max="1" width="26.9416666666667" style="561" customWidth="1"/>
    <col min="2" max="7" width="21.6666666666667" style="562" customWidth="1"/>
    <col min="8" max="9" width="21.6666666666667" style="558" customWidth="1"/>
    <col min="10" max="16359" width="26.9416666666667" style="558" customWidth="1"/>
    <col min="16360" max="16363" width="26.9416666666667" style="563" customWidth="1"/>
    <col min="16364" max="16384" width="26.9416666666667" style="564" customWidth="1"/>
  </cols>
  <sheetData>
    <row r="1" s="556" customFormat="1" customHeight="1" spans="1:12">
      <c r="A1" s="565" t="s">
        <v>256</v>
      </c>
      <c r="B1" s="566"/>
      <c r="C1" s="566"/>
      <c r="D1" s="566"/>
      <c r="E1" s="566"/>
      <c r="F1" s="566"/>
      <c r="G1" s="567"/>
      <c r="H1" s="568"/>
      <c r="I1" s="569"/>
    </row>
    <row r="2" s="556" customFormat="1" customHeight="1" spans="1:12">
      <c r="A2" s="570"/>
      <c r="B2" s="571"/>
      <c r="C2" s="571"/>
      <c r="D2" s="571"/>
      <c r="E2" s="571"/>
      <c r="F2" s="571"/>
      <c r="G2" s="572"/>
      <c r="H2" s="571"/>
      <c r="I2" s="572"/>
    </row>
    <row r="3" s="556" customFormat="1" ht="27" customHeight="1" spans="1:12">
      <c r="A3" s="573" t="s">
        <v>8</v>
      </c>
      <c r="B3" s="574"/>
      <c r="C3" s="574"/>
      <c r="D3" s="574"/>
      <c r="E3" s="574"/>
      <c r="F3" s="575"/>
      <c r="G3" s="576"/>
      <c r="H3" s="577"/>
      <c r="I3" s="578"/>
    </row>
    <row r="4" s="557" customFormat="1" ht="44" customHeight="1" spans="1:12">
      <c r="A4" s="579" t="s">
        <v>257</v>
      </c>
      <c r="B4" s="580" t="s">
        <v>252</v>
      </c>
      <c r="C4" s="580"/>
      <c r="D4" s="581" t="s">
        <v>258</v>
      </c>
      <c r="E4" s="581"/>
      <c r="F4" s="581" t="s">
        <v>259</v>
      </c>
      <c r="G4" s="582"/>
      <c r="H4" s="583" t="s">
        <v>255</v>
      </c>
      <c r="I4" s="584"/>
      <c r="J4" s="558"/>
      <c r="K4" s="558"/>
      <c r="L4" s="558"/>
    </row>
    <row r="5" s="558" customFormat="1" ht="32" customHeight="1" spans="1:12">
      <c r="A5" s="585"/>
      <c r="B5" s="586" t="s">
        <v>184</v>
      </c>
      <c r="C5" s="587" t="s">
        <v>260</v>
      </c>
      <c r="D5" s="587" t="s">
        <v>184</v>
      </c>
      <c r="E5" s="587" t="s">
        <v>260</v>
      </c>
      <c r="F5" s="587" t="s">
        <v>184</v>
      </c>
      <c r="G5" s="588" t="s">
        <v>260</v>
      </c>
      <c r="H5" s="587" t="s">
        <v>184</v>
      </c>
      <c r="I5" s="589" t="s">
        <v>260</v>
      </c>
    </row>
    <row r="6" s="559" customFormat="1" ht="35" customHeight="1" spans="1:12">
      <c r="A6" s="590"/>
      <c r="B6" s="591" t="s">
        <v>261</v>
      </c>
      <c r="C6" s="591" t="s">
        <v>261</v>
      </c>
      <c r="D6" s="591" t="s">
        <v>261</v>
      </c>
      <c r="E6" s="591" t="s">
        <v>261</v>
      </c>
      <c r="F6" s="591" t="s">
        <v>261</v>
      </c>
      <c r="G6" s="591" t="s">
        <v>261</v>
      </c>
      <c r="H6" s="592" t="s">
        <v>261</v>
      </c>
      <c r="I6" s="593" t="s">
        <v>261</v>
      </c>
      <c r="J6" s="558"/>
      <c r="K6" s="558"/>
      <c r="L6" s="558"/>
    </row>
    <row r="7" s="558" customFormat="1" customHeight="1" spans="1:12">
      <c r="A7" s="590" t="s">
        <v>262</v>
      </c>
      <c r="B7" s="591">
        <v>15.6</v>
      </c>
      <c r="C7" s="591">
        <v>15.1</v>
      </c>
      <c r="D7" s="591">
        <v>13</v>
      </c>
      <c r="E7" s="591">
        <v>12.7</v>
      </c>
      <c r="F7" s="591">
        <v>12</v>
      </c>
      <c r="G7" s="591">
        <v>12.2</v>
      </c>
      <c r="H7" s="591">
        <v>11.2</v>
      </c>
      <c r="I7" s="591">
        <v>11.2</v>
      </c>
    </row>
    <row r="8" s="558" customFormat="1" customHeight="1" spans="1:12">
      <c r="A8" s="590" t="s">
        <v>263</v>
      </c>
      <c r="B8" s="591">
        <v>16.6</v>
      </c>
      <c r="C8" s="591">
        <v>16.1</v>
      </c>
      <c r="D8" s="591">
        <v>14</v>
      </c>
      <c r="E8" s="591">
        <v>13.7</v>
      </c>
      <c r="F8" s="591">
        <v>13</v>
      </c>
      <c r="G8" s="591">
        <v>13.2</v>
      </c>
      <c r="H8" s="591">
        <v>12.2</v>
      </c>
      <c r="I8" s="591">
        <v>12.2</v>
      </c>
    </row>
    <row r="9" s="558" customFormat="1" customHeight="1" spans="1:12">
      <c r="A9" s="590" t="s">
        <v>264</v>
      </c>
      <c r="B9" s="591">
        <v>17.6</v>
      </c>
      <c r="C9" s="591">
        <v>17.1</v>
      </c>
      <c r="D9" s="591">
        <v>15.5</v>
      </c>
      <c r="E9" s="591">
        <v>15.2</v>
      </c>
      <c r="F9" s="591">
        <v>14.5</v>
      </c>
      <c r="G9" s="591">
        <v>14.7</v>
      </c>
      <c r="H9" s="591">
        <v>13.7</v>
      </c>
      <c r="I9" s="591">
        <v>13.7</v>
      </c>
    </row>
    <row r="10" s="558" customFormat="1" customHeight="1" spans="1:12">
      <c r="A10" s="590" t="s">
        <v>265</v>
      </c>
      <c r="B10" s="591">
        <v>19.1</v>
      </c>
      <c r="C10" s="591">
        <v>18.6</v>
      </c>
      <c r="D10" s="591">
        <v>17</v>
      </c>
      <c r="E10" s="591">
        <v>16.7</v>
      </c>
      <c r="F10" s="591">
        <v>16</v>
      </c>
      <c r="G10" s="591">
        <v>16.2</v>
      </c>
      <c r="H10" s="591">
        <v>15.2</v>
      </c>
      <c r="I10" s="591">
        <v>15.2</v>
      </c>
    </row>
    <row r="11" s="558" customFormat="1" customHeight="1" spans="1:12">
      <c r="A11" s="590" t="s">
        <v>266</v>
      </c>
      <c r="B11" s="594" t="s">
        <v>267</v>
      </c>
      <c r="C11" s="594"/>
      <c r="D11" s="594" t="s">
        <v>268</v>
      </c>
      <c r="E11" s="594"/>
      <c r="F11" s="594" t="s">
        <v>269</v>
      </c>
      <c r="G11" s="595"/>
      <c r="H11" s="594" t="s">
        <v>270</v>
      </c>
      <c r="I11" s="596"/>
    </row>
    <row r="12" s="558" customFormat="1" customHeight="1" spans="1:12">
      <c r="A12" s="597" t="s">
        <v>271</v>
      </c>
      <c r="B12" s="598" t="s">
        <v>272</v>
      </c>
      <c r="C12" s="599"/>
      <c r="D12" s="599" t="s">
        <v>273</v>
      </c>
      <c r="E12" s="599"/>
      <c r="F12" s="599" t="s">
        <v>274</v>
      </c>
      <c r="G12" s="600"/>
      <c r="H12" s="601" t="s">
        <v>275</v>
      </c>
      <c r="I12" s="602"/>
    </row>
    <row r="13" s="558" customFormat="1" ht="147" customHeight="1" spans="1:12">
      <c r="A13" s="603" t="s">
        <v>276</v>
      </c>
      <c r="B13" s="604" t="s">
        <v>277</v>
      </c>
      <c r="C13" s="605"/>
      <c r="D13" s="605"/>
      <c r="E13" s="605"/>
      <c r="F13" s="605"/>
      <c r="G13" s="606"/>
      <c r="H13" s="607"/>
      <c r="I13" s="608"/>
    </row>
    <row r="14" s="558" customFormat="1" ht="147" customHeight="1" spans="1:12">
      <c r="A14" s="603" t="s">
        <v>278</v>
      </c>
      <c r="B14" s="609" t="s">
        <v>279</v>
      </c>
      <c r="C14" s="610"/>
      <c r="D14" s="610"/>
      <c r="E14" s="610"/>
      <c r="F14" s="610"/>
      <c r="G14" s="611"/>
      <c r="H14" s="612"/>
      <c r="I14" s="613"/>
      <c r="J14" s="614"/>
    </row>
    <row r="15" s="558" customFormat="1" ht="147" customHeight="1" spans="1:12">
      <c r="A15" s="603" t="s">
        <v>252</v>
      </c>
      <c r="B15" s="604" t="s">
        <v>280</v>
      </c>
      <c r="C15" s="605"/>
      <c r="D15" s="605"/>
      <c r="E15" s="605"/>
      <c r="F15" s="605"/>
      <c r="G15" s="606"/>
      <c r="H15" s="607"/>
      <c r="I15" s="608"/>
    </row>
    <row r="16" s="560" customFormat="1" ht="147" customHeight="1" spans="1:12">
      <c r="A16" s="615" t="s">
        <v>254</v>
      </c>
      <c r="B16" s="616" t="s">
        <v>281</v>
      </c>
      <c r="C16" s="617"/>
      <c r="D16" s="617"/>
      <c r="E16" s="617"/>
      <c r="F16" s="617"/>
      <c r="G16" s="618"/>
      <c r="H16" s="619"/>
      <c r="I16" s="620"/>
      <c r="J16" s="558"/>
    </row>
    <row r="17" customHeight="1" spans="2:8">
      <c r="B17" s="621"/>
      <c r="C17" s="621"/>
      <c r="D17" s="621"/>
      <c r="E17" s="621"/>
      <c r="F17" s="621"/>
      <c r="G17" s="621"/>
      <c r="H17" s="562"/>
    </row>
  </sheetData>
  <mergeCells count="20">
    <mergeCell ref="A3:I3"/>
    <mergeCell ref="B4:C4"/>
    <mergeCell ref="D4:E4"/>
    <mergeCell ref="F4:G4"/>
    <mergeCell ref="H4:I4"/>
    <mergeCell ref="B11:C11"/>
    <mergeCell ref="D11:E11"/>
    <mergeCell ref="F11:G11"/>
    <mergeCell ref="H11:I11"/>
    <mergeCell ref="B12:C12"/>
    <mergeCell ref="D12:E12"/>
    <mergeCell ref="F12:G12"/>
    <mergeCell ref="H12:I12"/>
    <mergeCell ref="B13:I13"/>
    <mergeCell ref="B14:I14"/>
    <mergeCell ref="B15:I15"/>
    <mergeCell ref="B16:I16"/>
    <mergeCell ref="B17:G17"/>
    <mergeCell ref="A4:A6"/>
    <mergeCell ref="A1:I2"/>
  </mergeCells>
  <pageMargins left="0.75" right="0.75" top="1" bottom="1" header="0.5" footer="0.5"/>
  <pageSetup paperSize="9" orientation="portrait"/>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S68"/>
  <sheetViews>
    <sheetView zoomScale="55" zoomScaleNormal="55" topLeftCell="A3" workbookViewId="0">
      <selection activeCell="N6" sqref="N6:Q64"/>
    </sheetView>
  </sheetViews>
  <sheetFormatPr defaultColWidth="12.3583333333333" defaultRowHeight="16.5"/>
  <cols>
    <col min="1" max="1" width="12.3583333333333" style="521" customWidth="1"/>
    <col min="2" max="2" width="20.625" style="243" customWidth="1"/>
    <col min="3" max="16301" width="12.3583333333333" style="243" customWidth="1"/>
    <col min="16302" max="16329" width="12.3583333333333" customWidth="1"/>
    <col min="16330" max="16350" width="12.3583333333333" style="522" customWidth="1"/>
    <col min="16351" max="16384" width="12.3583333333333" style="522"/>
  </cols>
  <sheetData>
    <row r="1" s="519" customFormat="1" ht="53" customHeight="1" spans="1:19">
      <c r="A1" s="194" t="s">
        <v>282</v>
      </c>
      <c r="B1" s="195"/>
      <c r="C1" s="195"/>
      <c r="D1" s="195"/>
      <c r="E1" s="195"/>
      <c r="F1" s="195"/>
      <c r="G1" s="195"/>
      <c r="H1" s="195"/>
      <c r="I1" s="195"/>
      <c r="J1" s="195"/>
      <c r="K1" s="195"/>
      <c r="L1" s="195"/>
      <c r="M1" s="195"/>
      <c r="N1" s="195"/>
      <c r="O1" s="195"/>
      <c r="P1" s="195"/>
      <c r="Q1" s="195"/>
      <c r="R1" s="195"/>
      <c r="S1" s="196"/>
    </row>
    <row r="2" s="519" customFormat="1" ht="41" customHeight="1" spans="1:19">
      <c r="A2" s="523" t="s">
        <v>283</v>
      </c>
      <c r="B2" s="524"/>
      <c r="C2" s="524"/>
      <c r="D2" s="524"/>
      <c r="E2" s="524"/>
      <c r="F2" s="524"/>
      <c r="G2" s="524"/>
      <c r="H2" s="524"/>
      <c r="I2" s="524"/>
      <c r="J2" s="524"/>
      <c r="K2" s="524"/>
      <c r="L2" s="524"/>
      <c r="M2" s="524"/>
      <c r="N2" s="524"/>
      <c r="O2" s="524"/>
      <c r="P2" s="524"/>
      <c r="Q2" s="524"/>
      <c r="R2" s="524"/>
      <c r="S2" s="525"/>
    </row>
    <row r="3" s="243" customFormat="1" ht="37" customHeight="1" spans="1:19">
      <c r="A3" s="526" t="s">
        <v>284</v>
      </c>
      <c r="B3" s="527"/>
      <c r="C3" s="527"/>
      <c r="D3" s="527"/>
      <c r="E3" s="527"/>
      <c r="F3" s="527"/>
      <c r="G3" s="527"/>
      <c r="H3" s="527" t="s">
        <v>285</v>
      </c>
      <c r="I3" s="527"/>
      <c r="J3" s="527"/>
      <c r="K3" s="527"/>
      <c r="L3" s="527"/>
      <c r="M3" s="527"/>
      <c r="N3" s="527" t="s">
        <v>286</v>
      </c>
      <c r="O3" s="527"/>
      <c r="P3" s="527"/>
      <c r="Q3" s="527"/>
      <c r="R3" s="527"/>
      <c r="S3" s="528"/>
    </row>
    <row r="4" s="243" customFormat="1" ht="30.75" customHeight="1" spans="1:19">
      <c r="A4" s="529" t="s">
        <v>287</v>
      </c>
      <c r="B4" s="530" t="s">
        <v>184</v>
      </c>
      <c r="C4" s="530"/>
      <c r="D4" s="530" t="s">
        <v>260</v>
      </c>
      <c r="E4" s="530"/>
      <c r="F4" s="530" t="s">
        <v>288</v>
      </c>
      <c r="G4" s="530" t="s">
        <v>289</v>
      </c>
      <c r="H4" s="531" t="s">
        <v>184</v>
      </c>
      <c r="I4" s="531"/>
      <c r="J4" s="531" t="s">
        <v>260</v>
      </c>
      <c r="K4" s="531"/>
      <c r="L4" s="531" t="s">
        <v>288</v>
      </c>
      <c r="M4" s="531" t="s">
        <v>289</v>
      </c>
      <c r="N4" s="531" t="s">
        <v>184</v>
      </c>
      <c r="O4" s="531"/>
      <c r="P4" s="531" t="s">
        <v>260</v>
      </c>
      <c r="Q4" s="531"/>
      <c r="R4" s="531" t="s">
        <v>288</v>
      </c>
      <c r="S4" s="532" t="s">
        <v>289</v>
      </c>
    </row>
    <row r="5" s="520" customFormat="1" ht="30.75" customHeight="1" spans="1:19">
      <c r="A5" s="529"/>
      <c r="B5" s="533" t="s">
        <v>290</v>
      </c>
      <c r="C5" s="533" t="s">
        <v>291</v>
      </c>
      <c r="D5" s="533" t="s">
        <v>290</v>
      </c>
      <c r="E5" s="533" t="s">
        <v>291</v>
      </c>
      <c r="F5" s="533"/>
      <c r="G5" s="533"/>
      <c r="H5" s="534" t="s">
        <v>290</v>
      </c>
      <c r="I5" s="534" t="s">
        <v>291</v>
      </c>
      <c r="J5" s="534" t="s">
        <v>290</v>
      </c>
      <c r="K5" s="534" t="s">
        <v>291</v>
      </c>
      <c r="L5" s="534"/>
      <c r="M5" s="534"/>
      <c r="N5" s="534" t="s">
        <v>290</v>
      </c>
      <c r="O5" s="534" t="s">
        <v>291</v>
      </c>
      <c r="P5" s="534" t="s">
        <v>290</v>
      </c>
      <c r="Q5" s="534" t="s">
        <v>291</v>
      </c>
      <c r="R5" s="534"/>
      <c r="S5" s="535"/>
    </row>
    <row r="6" s="520" customFormat="1" ht="22.5" customHeight="1" spans="1:19">
      <c r="A6" s="536" t="s">
        <v>292</v>
      </c>
      <c r="B6" s="537">
        <v>11.6</v>
      </c>
      <c r="C6" s="538">
        <v>1940</v>
      </c>
      <c r="D6" s="539">
        <v>11.1</v>
      </c>
      <c r="E6" s="538">
        <v>1845</v>
      </c>
      <c r="F6" s="540" t="s">
        <v>293</v>
      </c>
      <c r="G6" s="538">
        <v>19.02</v>
      </c>
      <c r="H6" s="539">
        <v>9</v>
      </c>
      <c r="I6" s="539">
        <v>1430</v>
      </c>
      <c r="J6" s="537">
        <v>8.5</v>
      </c>
      <c r="K6" s="539">
        <v>1330</v>
      </c>
      <c r="L6" s="539" t="s">
        <v>294</v>
      </c>
      <c r="M6" s="539">
        <v>22.02</v>
      </c>
      <c r="N6" s="539">
        <v>7.8</v>
      </c>
      <c r="O6" s="539">
        <v>1250</v>
      </c>
      <c r="P6" s="539">
        <v>8</v>
      </c>
      <c r="Q6" s="539">
        <v>1290</v>
      </c>
      <c r="R6" s="539" t="s">
        <v>295</v>
      </c>
      <c r="S6" s="539">
        <v>24.02</v>
      </c>
    </row>
    <row r="7" s="520" customFormat="1" ht="22.5" customHeight="1" spans="1:19">
      <c r="A7" s="536" t="s">
        <v>296</v>
      </c>
      <c r="B7" s="539">
        <v>11.6</v>
      </c>
      <c r="C7" s="538">
        <v>1940</v>
      </c>
      <c r="D7" s="539">
        <v>11.1</v>
      </c>
      <c r="E7" s="538">
        <v>1845</v>
      </c>
      <c r="F7" s="538" t="s">
        <v>293</v>
      </c>
      <c r="G7" s="538">
        <v>19.02</v>
      </c>
      <c r="H7" s="539">
        <v>9</v>
      </c>
      <c r="I7" s="539">
        <v>1430</v>
      </c>
      <c r="J7" s="539">
        <v>8.5</v>
      </c>
      <c r="K7" s="539">
        <v>1330</v>
      </c>
      <c r="L7" s="539" t="s">
        <v>294</v>
      </c>
      <c r="M7" s="539">
        <v>22.02</v>
      </c>
      <c r="N7" s="539">
        <v>7.8</v>
      </c>
      <c r="O7" s="539">
        <v>1250</v>
      </c>
      <c r="P7" s="539">
        <v>8</v>
      </c>
      <c r="Q7" s="539">
        <v>1290</v>
      </c>
      <c r="R7" s="539" t="s">
        <v>295</v>
      </c>
      <c r="S7" s="539">
        <v>24.02</v>
      </c>
    </row>
    <row r="8" s="520" customFormat="1" ht="22.5" customHeight="1" spans="1:19">
      <c r="A8" s="536" t="s">
        <v>297</v>
      </c>
      <c r="B8" s="539">
        <v>11.6</v>
      </c>
      <c r="C8" s="538">
        <v>1940</v>
      </c>
      <c r="D8" s="539">
        <v>11.1</v>
      </c>
      <c r="E8" s="538">
        <v>1845</v>
      </c>
      <c r="F8" s="538" t="s">
        <v>293</v>
      </c>
      <c r="G8" s="538">
        <v>19.02</v>
      </c>
      <c r="H8" s="539">
        <v>9</v>
      </c>
      <c r="I8" s="539">
        <v>1430</v>
      </c>
      <c r="J8" s="539">
        <v>8.5</v>
      </c>
      <c r="K8" s="539">
        <v>1330</v>
      </c>
      <c r="L8" s="539" t="s">
        <v>294</v>
      </c>
      <c r="M8" s="539">
        <v>22.02</v>
      </c>
      <c r="N8" s="539">
        <v>7.8</v>
      </c>
      <c r="O8" s="539">
        <v>1250</v>
      </c>
      <c r="P8" s="539">
        <v>8</v>
      </c>
      <c r="Q8" s="539">
        <v>1290</v>
      </c>
      <c r="R8" s="539" t="s">
        <v>295</v>
      </c>
      <c r="S8" s="539">
        <v>24.02</v>
      </c>
    </row>
    <row r="9" s="520" customFormat="1" ht="22.5" customHeight="1" spans="1:19">
      <c r="A9" s="536" t="s">
        <v>298</v>
      </c>
      <c r="B9" s="539">
        <v>11.6</v>
      </c>
      <c r="C9" s="538">
        <v>1940</v>
      </c>
      <c r="D9" s="539">
        <v>11.1</v>
      </c>
      <c r="E9" s="538">
        <v>1845</v>
      </c>
      <c r="F9" s="538" t="s">
        <v>293</v>
      </c>
      <c r="G9" s="538">
        <v>19.02</v>
      </c>
      <c r="H9" s="539">
        <v>9</v>
      </c>
      <c r="I9" s="539">
        <v>1430</v>
      </c>
      <c r="J9" s="539">
        <v>8.5</v>
      </c>
      <c r="K9" s="539">
        <v>1330</v>
      </c>
      <c r="L9" s="539" t="s">
        <v>294</v>
      </c>
      <c r="M9" s="539">
        <v>22.02</v>
      </c>
      <c r="N9" s="539">
        <v>7.8</v>
      </c>
      <c r="O9" s="539">
        <v>1250</v>
      </c>
      <c r="P9" s="539">
        <v>8</v>
      </c>
      <c r="Q9" s="539">
        <v>1290</v>
      </c>
      <c r="R9" s="539" t="s">
        <v>295</v>
      </c>
      <c r="S9" s="539">
        <v>24.02</v>
      </c>
    </row>
    <row r="10" s="520" customFormat="1" ht="22.5" customHeight="1" spans="1:19">
      <c r="A10" s="536" t="s">
        <v>299</v>
      </c>
      <c r="B10" s="539">
        <v>11.9</v>
      </c>
      <c r="C10" s="538">
        <v>1950</v>
      </c>
      <c r="D10" s="539">
        <v>11.4</v>
      </c>
      <c r="E10" s="538">
        <v>1855</v>
      </c>
      <c r="F10" s="538" t="s">
        <v>300</v>
      </c>
      <c r="G10" s="538" t="s">
        <v>148</v>
      </c>
      <c r="H10" s="539">
        <v>9</v>
      </c>
      <c r="I10" s="539">
        <v>1440</v>
      </c>
      <c r="J10" s="539">
        <v>8.5</v>
      </c>
      <c r="K10" s="539">
        <v>1340</v>
      </c>
      <c r="L10" s="539" t="s">
        <v>301</v>
      </c>
      <c r="M10" s="539">
        <v>24.02</v>
      </c>
      <c r="N10" s="539">
        <v>7.8</v>
      </c>
      <c r="O10" s="539">
        <v>1280</v>
      </c>
      <c r="P10" s="539">
        <v>8</v>
      </c>
      <c r="Q10" s="539">
        <v>1320</v>
      </c>
      <c r="R10" s="539" t="s">
        <v>302</v>
      </c>
      <c r="S10" s="539" t="s">
        <v>148</v>
      </c>
    </row>
    <row r="11" s="520" customFormat="1" ht="22.5" customHeight="1" spans="1:19">
      <c r="A11" s="536" t="s">
        <v>303</v>
      </c>
      <c r="B11" s="539">
        <v>11.9</v>
      </c>
      <c r="C11" s="538">
        <v>1950</v>
      </c>
      <c r="D11" s="539">
        <v>11.4</v>
      </c>
      <c r="E11" s="538">
        <v>1855</v>
      </c>
      <c r="F11" s="538" t="s">
        <v>300</v>
      </c>
      <c r="G11" s="538" t="s">
        <v>148</v>
      </c>
      <c r="H11" s="539">
        <v>9</v>
      </c>
      <c r="I11" s="539">
        <v>1440</v>
      </c>
      <c r="J11" s="539">
        <v>8.5</v>
      </c>
      <c r="K11" s="539">
        <v>1340</v>
      </c>
      <c r="L11" s="539" t="s">
        <v>301</v>
      </c>
      <c r="M11" s="539">
        <v>24.02</v>
      </c>
      <c r="N11" s="539">
        <v>7.8</v>
      </c>
      <c r="O11" s="539">
        <v>1280</v>
      </c>
      <c r="P11" s="539">
        <v>8</v>
      </c>
      <c r="Q11" s="539">
        <v>1320</v>
      </c>
      <c r="R11" s="539" t="s">
        <v>302</v>
      </c>
      <c r="S11" s="539" t="s">
        <v>148</v>
      </c>
    </row>
    <row r="12" s="520" customFormat="1" ht="22.5" customHeight="1" spans="1:19">
      <c r="A12" s="536" t="s">
        <v>304</v>
      </c>
      <c r="B12" s="539">
        <v>11.9</v>
      </c>
      <c r="C12" s="538">
        <v>1950</v>
      </c>
      <c r="D12" s="539">
        <v>11.4</v>
      </c>
      <c r="E12" s="538">
        <v>1855</v>
      </c>
      <c r="F12" s="538" t="s">
        <v>300</v>
      </c>
      <c r="G12" s="538" t="s">
        <v>148</v>
      </c>
      <c r="H12" s="539">
        <v>9</v>
      </c>
      <c r="I12" s="539">
        <v>1440</v>
      </c>
      <c r="J12" s="539">
        <v>8.5</v>
      </c>
      <c r="K12" s="539">
        <v>1340</v>
      </c>
      <c r="L12" s="539" t="s">
        <v>301</v>
      </c>
      <c r="M12" s="539">
        <v>24.02</v>
      </c>
      <c r="N12" s="539">
        <v>7.8</v>
      </c>
      <c r="O12" s="539">
        <v>1280</v>
      </c>
      <c r="P12" s="539">
        <v>8</v>
      </c>
      <c r="Q12" s="539">
        <v>1320</v>
      </c>
      <c r="R12" s="539" t="s">
        <v>302</v>
      </c>
      <c r="S12" s="539" t="s">
        <v>148</v>
      </c>
    </row>
    <row r="13" s="520" customFormat="1" ht="22.5" customHeight="1" spans="1:19">
      <c r="A13" s="536" t="s">
        <v>305</v>
      </c>
      <c r="B13" s="539">
        <v>12.1</v>
      </c>
      <c r="C13" s="538">
        <v>1970</v>
      </c>
      <c r="D13" s="539">
        <v>11.6</v>
      </c>
      <c r="E13" s="538">
        <v>1875</v>
      </c>
      <c r="F13" s="538" t="s">
        <v>294</v>
      </c>
      <c r="G13" s="538" t="s">
        <v>148</v>
      </c>
      <c r="H13" s="539">
        <v>9.1</v>
      </c>
      <c r="I13" s="539">
        <v>1490</v>
      </c>
      <c r="J13" s="539">
        <v>8.6</v>
      </c>
      <c r="K13" s="539">
        <v>1390</v>
      </c>
      <c r="L13" s="539" t="s">
        <v>306</v>
      </c>
      <c r="M13" s="539">
        <v>26.02</v>
      </c>
      <c r="N13" s="539">
        <v>7.9</v>
      </c>
      <c r="O13" s="539">
        <v>1290</v>
      </c>
      <c r="P13" s="539">
        <v>7.9</v>
      </c>
      <c r="Q13" s="539">
        <v>1290</v>
      </c>
      <c r="R13" s="539" t="s">
        <v>307</v>
      </c>
      <c r="S13" s="539">
        <v>28.02</v>
      </c>
    </row>
    <row r="14" s="520" customFormat="1" ht="22.5" customHeight="1" spans="1:19">
      <c r="A14" s="536" t="s">
        <v>308</v>
      </c>
      <c r="B14" s="208" t="s">
        <v>253</v>
      </c>
      <c r="C14" s="208" t="s">
        <v>253</v>
      </c>
      <c r="D14" s="208" t="s">
        <v>253</v>
      </c>
      <c r="E14" s="208" t="s">
        <v>253</v>
      </c>
      <c r="F14" s="208" t="s">
        <v>253</v>
      </c>
      <c r="G14" s="208" t="s">
        <v>253</v>
      </c>
      <c r="H14" s="539">
        <v>9.1</v>
      </c>
      <c r="I14" s="539">
        <v>1450</v>
      </c>
      <c r="J14" s="539">
        <v>8.6</v>
      </c>
      <c r="K14" s="539">
        <v>1350</v>
      </c>
      <c r="L14" s="539" t="s">
        <v>301</v>
      </c>
      <c r="M14" s="539" t="s">
        <v>148</v>
      </c>
      <c r="N14" s="539">
        <v>8.1</v>
      </c>
      <c r="O14" s="539">
        <v>1330</v>
      </c>
      <c r="P14" s="539">
        <v>8.3</v>
      </c>
      <c r="Q14" s="539">
        <v>1370</v>
      </c>
      <c r="R14" s="539" t="s">
        <v>302</v>
      </c>
      <c r="S14" s="539" t="s">
        <v>148</v>
      </c>
    </row>
    <row r="15" s="520" customFormat="1" ht="22.5" customHeight="1" spans="1:19">
      <c r="A15" s="536" t="s">
        <v>309</v>
      </c>
      <c r="B15" s="208" t="s">
        <v>253</v>
      </c>
      <c r="C15" s="208" t="s">
        <v>253</v>
      </c>
      <c r="D15" s="208" t="s">
        <v>253</v>
      </c>
      <c r="E15" s="208" t="s">
        <v>253</v>
      </c>
      <c r="F15" s="208" t="s">
        <v>253</v>
      </c>
      <c r="G15" s="208" t="s">
        <v>253</v>
      </c>
      <c r="H15" s="539">
        <v>9.4</v>
      </c>
      <c r="I15" s="539">
        <v>1530</v>
      </c>
      <c r="J15" s="539">
        <v>8.9</v>
      </c>
      <c r="K15" s="539">
        <v>1430</v>
      </c>
      <c r="L15" s="539" t="s">
        <v>301</v>
      </c>
      <c r="M15" s="539" t="s">
        <v>148</v>
      </c>
      <c r="N15" s="539">
        <v>8.2</v>
      </c>
      <c r="O15" s="539">
        <v>1350</v>
      </c>
      <c r="P15" s="539">
        <v>8.4</v>
      </c>
      <c r="Q15" s="539">
        <v>1390</v>
      </c>
      <c r="R15" s="539" t="s">
        <v>302</v>
      </c>
      <c r="S15" s="539" t="s">
        <v>148</v>
      </c>
    </row>
    <row r="16" s="520" customFormat="1" ht="22.5" customHeight="1" spans="1:19">
      <c r="A16" s="536" t="s">
        <v>310</v>
      </c>
      <c r="B16" s="208" t="s">
        <v>253</v>
      </c>
      <c r="C16" s="208" t="s">
        <v>253</v>
      </c>
      <c r="D16" s="208" t="s">
        <v>253</v>
      </c>
      <c r="E16" s="208" t="s">
        <v>253</v>
      </c>
      <c r="F16" s="208" t="s">
        <v>253</v>
      </c>
      <c r="G16" s="208" t="s">
        <v>253</v>
      </c>
      <c r="H16" s="539">
        <v>9.8</v>
      </c>
      <c r="I16" s="539">
        <v>1570</v>
      </c>
      <c r="J16" s="539">
        <v>9.3</v>
      </c>
      <c r="K16" s="539">
        <v>1470</v>
      </c>
      <c r="L16" s="539" t="s">
        <v>301</v>
      </c>
      <c r="M16" s="539">
        <v>24.02</v>
      </c>
      <c r="N16" s="539">
        <v>8.3</v>
      </c>
      <c r="O16" s="539">
        <v>1380</v>
      </c>
      <c r="P16" s="539">
        <v>8.5</v>
      </c>
      <c r="Q16" s="539">
        <v>1420</v>
      </c>
      <c r="R16" s="539" t="s">
        <v>302</v>
      </c>
      <c r="S16" s="539" t="s">
        <v>148</v>
      </c>
    </row>
    <row r="17" s="520" customFormat="1" ht="22.5" customHeight="1" spans="1:19">
      <c r="A17" s="536" t="s">
        <v>311</v>
      </c>
      <c r="B17" s="208" t="s">
        <v>253</v>
      </c>
      <c r="C17" s="208" t="s">
        <v>253</v>
      </c>
      <c r="D17" s="208" t="s">
        <v>253</v>
      </c>
      <c r="E17" s="208" t="s">
        <v>253</v>
      </c>
      <c r="F17" s="208" t="s">
        <v>253</v>
      </c>
      <c r="G17" s="208" t="s">
        <v>253</v>
      </c>
      <c r="H17" s="539">
        <v>9.4</v>
      </c>
      <c r="I17" s="539">
        <v>1530</v>
      </c>
      <c r="J17" s="539">
        <v>8.9</v>
      </c>
      <c r="K17" s="539">
        <v>1430</v>
      </c>
      <c r="L17" s="539" t="s">
        <v>301</v>
      </c>
      <c r="M17" s="539">
        <v>24.02</v>
      </c>
      <c r="N17" s="539">
        <v>8.3</v>
      </c>
      <c r="O17" s="539">
        <v>1350</v>
      </c>
      <c r="P17" s="539">
        <v>8.5</v>
      </c>
      <c r="Q17" s="539">
        <v>1390</v>
      </c>
      <c r="R17" s="539" t="s">
        <v>302</v>
      </c>
      <c r="S17" s="539" t="s">
        <v>148</v>
      </c>
    </row>
    <row r="18" s="520" customFormat="1" ht="22.5" customHeight="1" spans="1:19">
      <c r="A18" s="536" t="s">
        <v>312</v>
      </c>
      <c r="B18" s="208" t="s">
        <v>253</v>
      </c>
      <c r="C18" s="208" t="s">
        <v>253</v>
      </c>
      <c r="D18" s="208" t="s">
        <v>253</v>
      </c>
      <c r="E18" s="208" t="s">
        <v>253</v>
      </c>
      <c r="F18" s="208" t="s">
        <v>253</v>
      </c>
      <c r="G18" s="208" t="s">
        <v>253</v>
      </c>
      <c r="H18" s="539">
        <v>9.4</v>
      </c>
      <c r="I18" s="539">
        <v>1530</v>
      </c>
      <c r="J18" s="539">
        <v>8.9</v>
      </c>
      <c r="K18" s="539">
        <v>1430</v>
      </c>
      <c r="L18" s="539" t="s">
        <v>301</v>
      </c>
      <c r="M18" s="539">
        <v>24.02</v>
      </c>
      <c r="N18" s="539">
        <v>8.3</v>
      </c>
      <c r="O18" s="539">
        <v>1350</v>
      </c>
      <c r="P18" s="539">
        <v>8.5</v>
      </c>
      <c r="Q18" s="539">
        <v>1390</v>
      </c>
      <c r="R18" s="539" t="s">
        <v>302</v>
      </c>
      <c r="S18" s="539" t="s">
        <v>148</v>
      </c>
    </row>
    <row r="19" s="520" customFormat="1" ht="22.5" customHeight="1" spans="1:19">
      <c r="A19" s="536" t="s">
        <v>313</v>
      </c>
      <c r="B19" s="208" t="s">
        <v>253</v>
      </c>
      <c r="C19" s="208" t="s">
        <v>253</v>
      </c>
      <c r="D19" s="208" t="s">
        <v>253</v>
      </c>
      <c r="E19" s="208" t="s">
        <v>253</v>
      </c>
      <c r="F19" s="208" t="s">
        <v>253</v>
      </c>
      <c r="G19" s="208" t="s">
        <v>253</v>
      </c>
      <c r="H19" s="539">
        <v>9</v>
      </c>
      <c r="I19" s="539">
        <v>1490</v>
      </c>
      <c r="J19" s="539">
        <v>8.5</v>
      </c>
      <c r="K19" s="539">
        <v>1390</v>
      </c>
      <c r="L19" s="539" t="s">
        <v>302</v>
      </c>
      <c r="M19" s="539" t="s">
        <v>148</v>
      </c>
      <c r="N19" s="539">
        <v>7.9</v>
      </c>
      <c r="O19" s="539">
        <v>1290</v>
      </c>
      <c r="P19" s="539">
        <v>8.1</v>
      </c>
      <c r="Q19" s="539">
        <v>1330</v>
      </c>
      <c r="R19" s="539" t="s">
        <v>307</v>
      </c>
      <c r="S19" s="539" t="s">
        <v>148</v>
      </c>
    </row>
    <row r="20" s="520" customFormat="1" ht="22.5" customHeight="1" spans="1:19">
      <c r="A20" s="536" t="s">
        <v>314</v>
      </c>
      <c r="B20" s="208" t="s">
        <v>253</v>
      </c>
      <c r="C20" s="208" t="s">
        <v>253</v>
      </c>
      <c r="D20" s="208" t="s">
        <v>253</v>
      </c>
      <c r="E20" s="208" t="s">
        <v>253</v>
      </c>
      <c r="F20" s="208" t="s">
        <v>253</v>
      </c>
      <c r="G20" s="208" t="s">
        <v>253</v>
      </c>
      <c r="H20" s="539">
        <v>10</v>
      </c>
      <c r="I20" s="539">
        <v>1650</v>
      </c>
      <c r="J20" s="539">
        <v>9.5</v>
      </c>
      <c r="K20" s="539">
        <v>1550</v>
      </c>
      <c r="L20" s="539" t="s">
        <v>302</v>
      </c>
      <c r="M20" s="539">
        <v>24.02</v>
      </c>
      <c r="N20" s="539">
        <v>8.9</v>
      </c>
      <c r="O20" s="539">
        <v>1450</v>
      </c>
      <c r="P20" s="539">
        <v>9.1</v>
      </c>
      <c r="Q20" s="539">
        <v>1490</v>
      </c>
      <c r="R20" s="539" t="s">
        <v>302</v>
      </c>
      <c r="S20" s="539">
        <v>26.02</v>
      </c>
    </row>
    <row r="21" s="520" customFormat="1" ht="22.5" customHeight="1" spans="1:19">
      <c r="A21" s="536" t="s">
        <v>315</v>
      </c>
      <c r="B21" s="208" t="s">
        <v>253</v>
      </c>
      <c r="C21" s="208" t="s">
        <v>253</v>
      </c>
      <c r="D21" s="208" t="s">
        <v>253</v>
      </c>
      <c r="E21" s="208" t="s">
        <v>253</v>
      </c>
      <c r="F21" s="208" t="s">
        <v>253</v>
      </c>
      <c r="G21" s="208" t="s">
        <v>253</v>
      </c>
      <c r="H21" s="539">
        <v>10.2</v>
      </c>
      <c r="I21" s="539">
        <v>1650</v>
      </c>
      <c r="J21" s="539">
        <v>9.7</v>
      </c>
      <c r="K21" s="539">
        <v>1550</v>
      </c>
      <c r="L21" s="539" t="s">
        <v>302</v>
      </c>
      <c r="M21" s="539">
        <v>24.02</v>
      </c>
      <c r="N21" s="539">
        <v>9</v>
      </c>
      <c r="O21" s="539">
        <v>1480</v>
      </c>
      <c r="P21" s="539">
        <v>9.2</v>
      </c>
      <c r="Q21" s="539">
        <v>1520</v>
      </c>
      <c r="R21" s="539" t="s">
        <v>302</v>
      </c>
      <c r="S21" s="539">
        <v>26.02</v>
      </c>
    </row>
    <row r="22" s="520" customFormat="1" ht="22.5" customHeight="1" spans="1:19">
      <c r="A22" s="536" t="s">
        <v>316</v>
      </c>
      <c r="B22" s="208" t="s">
        <v>253</v>
      </c>
      <c r="C22" s="208" t="s">
        <v>253</v>
      </c>
      <c r="D22" s="208" t="s">
        <v>253</v>
      </c>
      <c r="E22" s="208" t="s">
        <v>253</v>
      </c>
      <c r="F22" s="208" t="s">
        <v>253</v>
      </c>
      <c r="G22" s="208" t="s">
        <v>253</v>
      </c>
      <c r="H22" s="539">
        <v>10.2</v>
      </c>
      <c r="I22" s="539">
        <v>1650</v>
      </c>
      <c r="J22" s="539">
        <v>9.7</v>
      </c>
      <c r="K22" s="539">
        <v>1550</v>
      </c>
      <c r="L22" s="539" t="s">
        <v>317</v>
      </c>
      <c r="M22" s="539">
        <v>24.02</v>
      </c>
      <c r="N22" s="539">
        <v>9</v>
      </c>
      <c r="O22" s="539">
        <v>1480</v>
      </c>
      <c r="P22" s="539">
        <v>9.2</v>
      </c>
      <c r="Q22" s="539">
        <v>1520</v>
      </c>
      <c r="R22" s="539" t="s">
        <v>317</v>
      </c>
      <c r="S22" s="539">
        <v>26.02</v>
      </c>
    </row>
    <row r="23" s="520" customFormat="1" ht="22.5" customHeight="1" spans="1:19">
      <c r="A23" s="536" t="s">
        <v>318</v>
      </c>
      <c r="B23" s="208" t="s">
        <v>253</v>
      </c>
      <c r="C23" s="208" t="s">
        <v>253</v>
      </c>
      <c r="D23" s="208" t="s">
        <v>253</v>
      </c>
      <c r="E23" s="208" t="s">
        <v>253</v>
      </c>
      <c r="F23" s="208" t="s">
        <v>253</v>
      </c>
      <c r="G23" s="208" t="s">
        <v>253</v>
      </c>
      <c r="H23" s="539">
        <v>9.6</v>
      </c>
      <c r="I23" s="539">
        <v>1550</v>
      </c>
      <c r="J23" s="539">
        <v>9.1</v>
      </c>
      <c r="K23" s="539">
        <v>1450</v>
      </c>
      <c r="L23" s="539" t="s">
        <v>317</v>
      </c>
      <c r="M23" s="539">
        <v>24.02</v>
      </c>
      <c r="N23" s="539">
        <v>8.7</v>
      </c>
      <c r="O23" s="539">
        <v>1450</v>
      </c>
      <c r="P23" s="539">
        <v>8.9</v>
      </c>
      <c r="Q23" s="539">
        <v>1490</v>
      </c>
      <c r="R23" s="539" t="s">
        <v>317</v>
      </c>
      <c r="S23" s="539">
        <v>26.02</v>
      </c>
    </row>
    <row r="24" s="520" customFormat="1" ht="22.5" customHeight="1" spans="1:19">
      <c r="A24" s="536" t="s">
        <v>319</v>
      </c>
      <c r="B24" s="539">
        <v>12.6</v>
      </c>
      <c r="C24" s="538">
        <v>2070</v>
      </c>
      <c r="D24" s="539">
        <v>12.1</v>
      </c>
      <c r="E24" s="538">
        <v>1975</v>
      </c>
      <c r="F24" s="538" t="s">
        <v>320</v>
      </c>
      <c r="G24" s="538">
        <v>23.02</v>
      </c>
      <c r="H24" s="539">
        <v>9.7</v>
      </c>
      <c r="I24" s="539">
        <v>1570</v>
      </c>
      <c r="J24" s="539">
        <v>9.2</v>
      </c>
      <c r="K24" s="539">
        <v>1470</v>
      </c>
      <c r="L24" s="539" t="s">
        <v>317</v>
      </c>
      <c r="M24" s="539">
        <v>24.02</v>
      </c>
      <c r="N24" s="539">
        <v>8.6</v>
      </c>
      <c r="O24" s="539">
        <v>1380</v>
      </c>
      <c r="P24" s="539">
        <v>8.8</v>
      </c>
      <c r="Q24" s="539">
        <v>1420</v>
      </c>
      <c r="R24" s="539" t="s">
        <v>317</v>
      </c>
      <c r="S24" s="539">
        <v>26.02</v>
      </c>
    </row>
    <row r="25" s="520" customFormat="1" ht="22.5" customHeight="1" spans="1:19">
      <c r="A25" s="536" t="s">
        <v>321</v>
      </c>
      <c r="B25" s="539">
        <v>12.6</v>
      </c>
      <c r="C25" s="538">
        <v>2070</v>
      </c>
      <c r="D25" s="539">
        <v>12.1</v>
      </c>
      <c r="E25" s="538">
        <v>1975</v>
      </c>
      <c r="F25" s="538" t="s">
        <v>320</v>
      </c>
      <c r="G25" s="538">
        <v>23.02</v>
      </c>
      <c r="H25" s="539">
        <v>9.7</v>
      </c>
      <c r="I25" s="539">
        <v>1570</v>
      </c>
      <c r="J25" s="539">
        <v>9.2</v>
      </c>
      <c r="K25" s="539">
        <v>1470</v>
      </c>
      <c r="L25" s="539" t="s">
        <v>317</v>
      </c>
      <c r="M25" s="539">
        <v>24.02</v>
      </c>
      <c r="N25" s="539">
        <v>8.6</v>
      </c>
      <c r="O25" s="539">
        <v>1380</v>
      </c>
      <c r="P25" s="539">
        <v>8.8</v>
      </c>
      <c r="Q25" s="539">
        <v>1420</v>
      </c>
      <c r="R25" s="539" t="s">
        <v>317</v>
      </c>
      <c r="S25" s="539">
        <v>26.02</v>
      </c>
    </row>
    <row r="26" s="520" customFormat="1" ht="22.5" customHeight="1" spans="1:19">
      <c r="A26" s="536" t="s">
        <v>322</v>
      </c>
      <c r="B26" s="539">
        <v>12.6</v>
      </c>
      <c r="C26" s="538">
        <v>2070</v>
      </c>
      <c r="D26" s="539">
        <v>12.1</v>
      </c>
      <c r="E26" s="538">
        <v>1975</v>
      </c>
      <c r="F26" s="538" t="s">
        <v>320</v>
      </c>
      <c r="G26" s="538">
        <v>23.02</v>
      </c>
      <c r="H26" s="539">
        <v>9.7</v>
      </c>
      <c r="I26" s="539">
        <v>1570</v>
      </c>
      <c r="J26" s="539">
        <v>9.2</v>
      </c>
      <c r="K26" s="539">
        <v>1470</v>
      </c>
      <c r="L26" s="539" t="s">
        <v>317</v>
      </c>
      <c r="M26" s="539">
        <v>24.02</v>
      </c>
      <c r="N26" s="539">
        <v>8.6</v>
      </c>
      <c r="O26" s="539">
        <v>1380</v>
      </c>
      <c r="P26" s="539">
        <v>8.8</v>
      </c>
      <c r="Q26" s="539">
        <v>1420</v>
      </c>
      <c r="R26" s="539" t="s">
        <v>317</v>
      </c>
      <c r="S26" s="539">
        <v>26.02</v>
      </c>
    </row>
    <row r="27" s="520" customFormat="1" ht="22.5" customHeight="1" spans="1:19">
      <c r="A27" s="536" t="s">
        <v>323</v>
      </c>
      <c r="B27" s="539">
        <v>12.6</v>
      </c>
      <c r="C27" s="538">
        <v>2070</v>
      </c>
      <c r="D27" s="539">
        <v>12.1</v>
      </c>
      <c r="E27" s="538">
        <v>1975</v>
      </c>
      <c r="F27" s="538" t="s">
        <v>320</v>
      </c>
      <c r="G27" s="538">
        <v>23.02</v>
      </c>
      <c r="H27" s="539">
        <v>9.7</v>
      </c>
      <c r="I27" s="539">
        <v>1570</v>
      </c>
      <c r="J27" s="539">
        <v>9.2</v>
      </c>
      <c r="K27" s="539">
        <v>1470</v>
      </c>
      <c r="L27" s="539" t="s">
        <v>317</v>
      </c>
      <c r="M27" s="539">
        <v>24.02</v>
      </c>
      <c r="N27" s="539">
        <v>8.6</v>
      </c>
      <c r="O27" s="539">
        <v>1380</v>
      </c>
      <c r="P27" s="539">
        <v>8.8</v>
      </c>
      <c r="Q27" s="539">
        <v>1420</v>
      </c>
      <c r="R27" s="539" t="s">
        <v>317</v>
      </c>
      <c r="S27" s="539">
        <v>26.02</v>
      </c>
    </row>
    <row r="28" s="520" customFormat="1" ht="22.5" customHeight="1" spans="1:19">
      <c r="A28" s="536" t="s">
        <v>324</v>
      </c>
      <c r="B28" s="539">
        <v>12.6</v>
      </c>
      <c r="C28" s="538">
        <v>2070</v>
      </c>
      <c r="D28" s="539">
        <v>12.1</v>
      </c>
      <c r="E28" s="538">
        <v>1975</v>
      </c>
      <c r="F28" s="538" t="s">
        <v>320</v>
      </c>
      <c r="G28" s="538">
        <v>23.02</v>
      </c>
      <c r="H28" s="539">
        <v>9.7</v>
      </c>
      <c r="I28" s="539">
        <v>1580</v>
      </c>
      <c r="J28" s="539">
        <v>9.2</v>
      </c>
      <c r="K28" s="539">
        <v>1480</v>
      </c>
      <c r="L28" s="539" t="s">
        <v>317</v>
      </c>
      <c r="M28" s="539">
        <v>24.02</v>
      </c>
      <c r="N28" s="539">
        <v>8.6</v>
      </c>
      <c r="O28" s="539">
        <v>1380</v>
      </c>
      <c r="P28" s="539">
        <v>8.8</v>
      </c>
      <c r="Q28" s="539">
        <v>1420</v>
      </c>
      <c r="R28" s="539" t="s">
        <v>317</v>
      </c>
      <c r="S28" s="539">
        <v>26.02</v>
      </c>
    </row>
    <row r="29" s="520" customFormat="1" ht="22.5" customHeight="1" spans="1:19">
      <c r="A29" s="536" t="s">
        <v>325</v>
      </c>
      <c r="B29" s="539">
        <v>12.7</v>
      </c>
      <c r="C29" s="538">
        <v>2090</v>
      </c>
      <c r="D29" s="539">
        <v>12.2</v>
      </c>
      <c r="E29" s="538">
        <v>1995</v>
      </c>
      <c r="F29" s="538" t="s">
        <v>320</v>
      </c>
      <c r="G29" s="538" t="s">
        <v>148</v>
      </c>
      <c r="H29" s="539">
        <v>9.8</v>
      </c>
      <c r="I29" s="539">
        <v>1610</v>
      </c>
      <c r="J29" s="539">
        <v>9.3</v>
      </c>
      <c r="K29" s="539">
        <v>1510</v>
      </c>
      <c r="L29" s="539" t="s">
        <v>317</v>
      </c>
      <c r="M29" s="539">
        <v>24.02</v>
      </c>
      <c r="N29" s="539">
        <v>8.6</v>
      </c>
      <c r="O29" s="539">
        <v>1400</v>
      </c>
      <c r="P29" s="539">
        <v>8.8</v>
      </c>
      <c r="Q29" s="539">
        <v>1440</v>
      </c>
      <c r="R29" s="539" t="s">
        <v>317</v>
      </c>
      <c r="S29" s="539" t="s">
        <v>148</v>
      </c>
    </row>
    <row r="30" s="520" customFormat="1" ht="22.5" customHeight="1" spans="1:19">
      <c r="A30" s="536" t="s">
        <v>326</v>
      </c>
      <c r="B30" s="539">
        <v>12.6</v>
      </c>
      <c r="C30" s="538">
        <v>2070</v>
      </c>
      <c r="D30" s="539">
        <v>12.1</v>
      </c>
      <c r="E30" s="538">
        <v>1975</v>
      </c>
      <c r="F30" s="538" t="s">
        <v>320</v>
      </c>
      <c r="G30" s="538">
        <v>23.02</v>
      </c>
      <c r="H30" s="539">
        <v>9.7</v>
      </c>
      <c r="I30" s="539">
        <v>1579</v>
      </c>
      <c r="J30" s="539">
        <v>9.2</v>
      </c>
      <c r="K30" s="539">
        <v>1479</v>
      </c>
      <c r="L30" s="539" t="s">
        <v>317</v>
      </c>
      <c r="M30" s="539">
        <v>24.02</v>
      </c>
      <c r="N30" s="539">
        <v>8.6</v>
      </c>
      <c r="O30" s="539">
        <v>1380</v>
      </c>
      <c r="P30" s="539">
        <v>8.8</v>
      </c>
      <c r="Q30" s="539">
        <v>1420</v>
      </c>
      <c r="R30" s="539" t="s">
        <v>317</v>
      </c>
      <c r="S30" s="539">
        <v>26.02</v>
      </c>
    </row>
    <row r="31" s="520" customFormat="1" ht="22.5" customHeight="1" spans="1:19">
      <c r="A31" s="536" t="s">
        <v>327</v>
      </c>
      <c r="B31" s="539">
        <v>12.6</v>
      </c>
      <c r="C31" s="538">
        <v>2070</v>
      </c>
      <c r="D31" s="539">
        <v>12.1</v>
      </c>
      <c r="E31" s="538">
        <v>1975</v>
      </c>
      <c r="F31" s="538" t="s">
        <v>320</v>
      </c>
      <c r="G31" s="538">
        <v>23.02</v>
      </c>
      <c r="H31" s="539">
        <v>9.7</v>
      </c>
      <c r="I31" s="539">
        <v>1590</v>
      </c>
      <c r="J31" s="539">
        <v>9.2</v>
      </c>
      <c r="K31" s="539">
        <v>1490</v>
      </c>
      <c r="L31" s="539" t="s">
        <v>317</v>
      </c>
      <c r="M31" s="539">
        <v>24.02</v>
      </c>
      <c r="N31" s="539">
        <v>8.6</v>
      </c>
      <c r="O31" s="539">
        <v>1380</v>
      </c>
      <c r="P31" s="539">
        <v>8.8</v>
      </c>
      <c r="Q31" s="539">
        <v>1420</v>
      </c>
      <c r="R31" s="539" t="s">
        <v>317</v>
      </c>
      <c r="S31" s="539">
        <v>26.02</v>
      </c>
    </row>
    <row r="32" s="520" customFormat="1" ht="22.5" customHeight="1" spans="1:19">
      <c r="A32" s="536" t="s">
        <v>328</v>
      </c>
      <c r="B32" s="539">
        <v>12.6</v>
      </c>
      <c r="C32" s="538">
        <v>2070</v>
      </c>
      <c r="D32" s="539">
        <v>12.1</v>
      </c>
      <c r="E32" s="538">
        <v>1975</v>
      </c>
      <c r="F32" s="538" t="s">
        <v>320</v>
      </c>
      <c r="G32" s="538">
        <v>25.02</v>
      </c>
      <c r="H32" s="539">
        <v>9.7</v>
      </c>
      <c r="I32" s="539">
        <v>1590</v>
      </c>
      <c r="J32" s="539">
        <v>9.2</v>
      </c>
      <c r="K32" s="539">
        <v>1490</v>
      </c>
      <c r="L32" s="539" t="s">
        <v>317</v>
      </c>
      <c r="M32" s="539">
        <v>25.02</v>
      </c>
      <c r="N32" s="539">
        <v>8.6</v>
      </c>
      <c r="O32" s="539">
        <v>1380</v>
      </c>
      <c r="P32" s="539">
        <v>8.8</v>
      </c>
      <c r="Q32" s="539">
        <v>1420</v>
      </c>
      <c r="R32" s="539" t="s">
        <v>317</v>
      </c>
      <c r="S32" s="539">
        <v>28.02</v>
      </c>
    </row>
    <row r="33" s="520" customFormat="1" ht="22.5" customHeight="1" spans="1:19">
      <c r="A33" s="536" t="s">
        <v>329</v>
      </c>
      <c r="B33" s="208" t="s">
        <v>253</v>
      </c>
      <c r="C33" s="208" t="s">
        <v>253</v>
      </c>
      <c r="D33" s="208" t="s">
        <v>253</v>
      </c>
      <c r="E33" s="208" t="s">
        <v>253</v>
      </c>
      <c r="F33" s="208" t="s">
        <v>253</v>
      </c>
      <c r="G33" s="208" t="s">
        <v>253</v>
      </c>
      <c r="H33" s="539">
        <v>9.9</v>
      </c>
      <c r="I33" s="539">
        <v>1600</v>
      </c>
      <c r="J33" s="539">
        <v>9.4</v>
      </c>
      <c r="K33" s="539">
        <v>1500</v>
      </c>
      <c r="L33" s="539" t="s">
        <v>302</v>
      </c>
      <c r="M33" s="539">
        <v>25.02</v>
      </c>
      <c r="N33" s="539">
        <v>8.6</v>
      </c>
      <c r="O33" s="539">
        <v>1410</v>
      </c>
      <c r="P33" s="539">
        <v>8.8</v>
      </c>
      <c r="Q33" s="539">
        <v>1450</v>
      </c>
      <c r="R33" s="539" t="s">
        <v>302</v>
      </c>
      <c r="S33" s="539">
        <v>28.02</v>
      </c>
    </row>
    <row r="34" s="520" customFormat="1" ht="22.5" customHeight="1" spans="1:19">
      <c r="A34" s="536" t="s">
        <v>330</v>
      </c>
      <c r="B34" s="208" t="s">
        <v>253</v>
      </c>
      <c r="C34" s="208" t="s">
        <v>253</v>
      </c>
      <c r="D34" s="208" t="s">
        <v>253</v>
      </c>
      <c r="E34" s="208" t="s">
        <v>253</v>
      </c>
      <c r="F34" s="208" t="s">
        <v>253</v>
      </c>
      <c r="G34" s="208" t="s">
        <v>253</v>
      </c>
      <c r="H34" s="539">
        <v>9.9</v>
      </c>
      <c r="I34" s="539">
        <v>1600</v>
      </c>
      <c r="J34" s="539">
        <v>9.4</v>
      </c>
      <c r="K34" s="539">
        <v>1500</v>
      </c>
      <c r="L34" s="539" t="s">
        <v>302</v>
      </c>
      <c r="M34" s="539">
        <v>25.02</v>
      </c>
      <c r="N34" s="539">
        <v>8.6</v>
      </c>
      <c r="O34" s="539">
        <v>1410</v>
      </c>
      <c r="P34" s="539">
        <v>8.8</v>
      </c>
      <c r="Q34" s="539">
        <v>1450</v>
      </c>
      <c r="R34" s="539" t="s">
        <v>302</v>
      </c>
      <c r="S34" s="539">
        <v>28.02</v>
      </c>
    </row>
    <row r="35" s="520" customFormat="1" ht="22.5" customHeight="1" spans="1:19">
      <c r="A35" s="536" t="s">
        <v>331</v>
      </c>
      <c r="B35" s="539">
        <v>12.6</v>
      </c>
      <c r="C35" s="538">
        <v>2070</v>
      </c>
      <c r="D35" s="539">
        <v>12.1</v>
      </c>
      <c r="E35" s="538">
        <v>1975</v>
      </c>
      <c r="F35" s="538" t="s">
        <v>300</v>
      </c>
      <c r="G35" s="538" t="s">
        <v>148</v>
      </c>
      <c r="H35" s="539">
        <v>9.7</v>
      </c>
      <c r="I35" s="539">
        <v>1560</v>
      </c>
      <c r="J35" s="539">
        <v>9.2</v>
      </c>
      <c r="K35" s="539">
        <v>1460</v>
      </c>
      <c r="L35" s="539" t="s">
        <v>302</v>
      </c>
      <c r="M35" s="539" t="s">
        <v>148</v>
      </c>
      <c r="N35" s="539">
        <v>8.4</v>
      </c>
      <c r="O35" s="539">
        <v>1380</v>
      </c>
      <c r="P35" s="539">
        <v>8.6</v>
      </c>
      <c r="Q35" s="539">
        <v>1420</v>
      </c>
      <c r="R35" s="539" t="s">
        <v>302</v>
      </c>
      <c r="S35" s="539" t="s">
        <v>148</v>
      </c>
    </row>
    <row r="36" s="520" customFormat="1" ht="22.5" customHeight="1" spans="1:19">
      <c r="A36" s="536" t="s">
        <v>332</v>
      </c>
      <c r="B36" s="539">
        <v>12.6</v>
      </c>
      <c r="C36" s="538">
        <v>2070</v>
      </c>
      <c r="D36" s="539">
        <v>12.1</v>
      </c>
      <c r="E36" s="538">
        <v>1975</v>
      </c>
      <c r="F36" s="538" t="s">
        <v>320</v>
      </c>
      <c r="G36" s="538">
        <v>25.02</v>
      </c>
      <c r="H36" s="539">
        <v>9.7</v>
      </c>
      <c r="I36" s="539">
        <v>1600</v>
      </c>
      <c r="J36" s="539">
        <v>9.2</v>
      </c>
      <c r="K36" s="539">
        <v>1500</v>
      </c>
      <c r="L36" s="539" t="s">
        <v>317</v>
      </c>
      <c r="M36" s="539">
        <v>26.02</v>
      </c>
      <c r="N36" s="539">
        <v>8.5</v>
      </c>
      <c r="O36" s="539">
        <v>1380</v>
      </c>
      <c r="P36" s="539">
        <v>8.7</v>
      </c>
      <c r="Q36" s="539">
        <v>1420</v>
      </c>
      <c r="R36" s="539" t="s">
        <v>317</v>
      </c>
      <c r="S36" s="539">
        <v>28.02</v>
      </c>
    </row>
    <row r="37" s="520" customFormat="1" ht="22.5" customHeight="1" spans="1:19">
      <c r="A37" s="536" t="s">
        <v>333</v>
      </c>
      <c r="B37" s="539">
        <v>12.6</v>
      </c>
      <c r="C37" s="538">
        <v>2070</v>
      </c>
      <c r="D37" s="539">
        <v>12.1</v>
      </c>
      <c r="E37" s="538">
        <v>1975</v>
      </c>
      <c r="F37" s="538" t="s">
        <v>300</v>
      </c>
      <c r="G37" s="538" t="s">
        <v>148</v>
      </c>
      <c r="H37" s="539">
        <v>9.7</v>
      </c>
      <c r="I37" s="539">
        <v>1600</v>
      </c>
      <c r="J37" s="539">
        <v>9.2</v>
      </c>
      <c r="K37" s="539">
        <v>1500</v>
      </c>
      <c r="L37" s="539" t="s">
        <v>302</v>
      </c>
      <c r="M37" s="539">
        <v>26.02</v>
      </c>
      <c r="N37" s="539">
        <v>8.4</v>
      </c>
      <c r="O37" s="539">
        <v>1380</v>
      </c>
      <c r="P37" s="539">
        <v>8.6</v>
      </c>
      <c r="Q37" s="539">
        <v>1420</v>
      </c>
      <c r="R37" s="539" t="s">
        <v>302</v>
      </c>
      <c r="S37" s="539" t="s">
        <v>148</v>
      </c>
    </row>
    <row r="38" s="520" customFormat="1" ht="22.5" customHeight="1" spans="1:19">
      <c r="A38" s="536" t="s">
        <v>334</v>
      </c>
      <c r="B38" s="539">
        <v>12.6</v>
      </c>
      <c r="C38" s="538">
        <v>2070</v>
      </c>
      <c r="D38" s="539">
        <v>12.1</v>
      </c>
      <c r="E38" s="538">
        <v>1975</v>
      </c>
      <c r="F38" s="538" t="s">
        <v>300</v>
      </c>
      <c r="G38" s="538" t="s">
        <v>148</v>
      </c>
      <c r="H38" s="539">
        <v>9.7</v>
      </c>
      <c r="I38" s="539">
        <v>1600</v>
      </c>
      <c r="J38" s="539">
        <v>9.2</v>
      </c>
      <c r="K38" s="539">
        <v>1500</v>
      </c>
      <c r="L38" s="539" t="s">
        <v>302</v>
      </c>
      <c r="M38" s="539">
        <v>26.02</v>
      </c>
      <c r="N38" s="539">
        <v>8.4</v>
      </c>
      <c r="O38" s="539">
        <v>1380</v>
      </c>
      <c r="P38" s="539">
        <v>8.6</v>
      </c>
      <c r="Q38" s="539">
        <v>1420</v>
      </c>
      <c r="R38" s="539" t="s">
        <v>302</v>
      </c>
      <c r="S38" s="539" t="s">
        <v>148</v>
      </c>
    </row>
    <row r="39" s="520" customFormat="1" ht="22.5" customHeight="1" spans="1:19">
      <c r="A39" s="536" t="s">
        <v>335</v>
      </c>
      <c r="B39" s="539">
        <v>13.2</v>
      </c>
      <c r="C39" s="538">
        <v>2170</v>
      </c>
      <c r="D39" s="539">
        <v>12.7</v>
      </c>
      <c r="E39" s="538">
        <v>2075</v>
      </c>
      <c r="F39" s="538" t="s">
        <v>317</v>
      </c>
      <c r="G39" s="538" t="s">
        <v>148</v>
      </c>
      <c r="H39" s="539">
        <v>10.3</v>
      </c>
      <c r="I39" s="539">
        <v>1690</v>
      </c>
      <c r="J39" s="539">
        <v>9.8</v>
      </c>
      <c r="K39" s="539">
        <v>1590</v>
      </c>
      <c r="L39" s="539" t="s">
        <v>301</v>
      </c>
      <c r="M39" s="539" t="s">
        <v>148</v>
      </c>
      <c r="N39" s="539">
        <v>9</v>
      </c>
      <c r="O39" s="539">
        <v>1470</v>
      </c>
      <c r="P39" s="539">
        <v>9.2</v>
      </c>
      <c r="Q39" s="539">
        <v>1510</v>
      </c>
      <c r="R39" s="539" t="s">
        <v>336</v>
      </c>
      <c r="S39" s="539" t="s">
        <v>148</v>
      </c>
    </row>
    <row r="40" s="520" customFormat="1" ht="22.5" customHeight="1" spans="1:19">
      <c r="A40" s="536" t="s">
        <v>337</v>
      </c>
      <c r="B40" s="539">
        <v>13.2</v>
      </c>
      <c r="C40" s="538">
        <v>2150</v>
      </c>
      <c r="D40" s="539">
        <v>13.2</v>
      </c>
      <c r="E40" s="538">
        <v>2150</v>
      </c>
      <c r="F40" s="538" t="s">
        <v>317</v>
      </c>
      <c r="G40" s="538" t="s">
        <v>148</v>
      </c>
      <c r="H40" s="539">
        <v>10.2</v>
      </c>
      <c r="I40" s="539">
        <v>1670</v>
      </c>
      <c r="J40" s="539">
        <v>10.2</v>
      </c>
      <c r="K40" s="539">
        <v>1670</v>
      </c>
      <c r="L40" s="539" t="s">
        <v>317</v>
      </c>
      <c r="M40" s="539">
        <v>24.02</v>
      </c>
      <c r="N40" s="539">
        <v>9.3</v>
      </c>
      <c r="O40" s="539">
        <v>1490</v>
      </c>
      <c r="P40" s="539">
        <v>9.3</v>
      </c>
      <c r="Q40" s="539">
        <v>1490</v>
      </c>
      <c r="R40" s="539" t="s">
        <v>317</v>
      </c>
      <c r="S40" s="539">
        <v>26.02</v>
      </c>
    </row>
    <row r="41" s="520" customFormat="1" ht="22.5" customHeight="1" spans="1:19">
      <c r="A41" s="536" t="s">
        <v>338</v>
      </c>
      <c r="B41" s="539">
        <v>13.1</v>
      </c>
      <c r="C41" s="538">
        <v>2180</v>
      </c>
      <c r="D41" s="539">
        <v>12.6</v>
      </c>
      <c r="E41" s="538">
        <v>2085</v>
      </c>
      <c r="F41" s="538" t="s">
        <v>300</v>
      </c>
      <c r="G41" s="538">
        <v>26.02</v>
      </c>
      <c r="H41" s="539">
        <v>10</v>
      </c>
      <c r="I41" s="539">
        <v>1660</v>
      </c>
      <c r="J41" s="539">
        <v>9.5</v>
      </c>
      <c r="K41" s="539">
        <v>1560</v>
      </c>
      <c r="L41" s="539" t="s">
        <v>301</v>
      </c>
      <c r="M41" s="539">
        <v>27.02</v>
      </c>
      <c r="N41" s="539">
        <v>9.2</v>
      </c>
      <c r="O41" s="539">
        <v>1490</v>
      </c>
      <c r="P41" s="539">
        <v>9.4</v>
      </c>
      <c r="Q41" s="539">
        <v>1530</v>
      </c>
      <c r="R41" s="539" t="s">
        <v>307</v>
      </c>
      <c r="S41" s="539">
        <v>29.02</v>
      </c>
    </row>
    <row r="42" s="520" customFormat="1" ht="22.5" customHeight="1" spans="1:19">
      <c r="A42" s="536" t="s">
        <v>339</v>
      </c>
      <c r="B42" s="539">
        <v>14</v>
      </c>
      <c r="C42" s="538">
        <v>2360</v>
      </c>
      <c r="D42" s="539">
        <v>13.5</v>
      </c>
      <c r="E42" s="538">
        <v>2265</v>
      </c>
      <c r="F42" s="538" t="s">
        <v>294</v>
      </c>
      <c r="G42" s="538">
        <v>29.02</v>
      </c>
      <c r="H42" s="539">
        <v>11.3</v>
      </c>
      <c r="I42" s="539">
        <v>1870</v>
      </c>
      <c r="J42" s="539">
        <v>10.8</v>
      </c>
      <c r="K42" s="539">
        <v>1770</v>
      </c>
      <c r="L42" s="539" t="s">
        <v>301</v>
      </c>
      <c r="M42" s="539">
        <v>30.02</v>
      </c>
      <c r="N42" s="539">
        <v>10.5</v>
      </c>
      <c r="O42" s="539">
        <v>1750</v>
      </c>
      <c r="P42" s="539">
        <v>10.7</v>
      </c>
      <c r="Q42" s="539">
        <v>1790</v>
      </c>
      <c r="R42" s="539" t="s">
        <v>307</v>
      </c>
      <c r="S42" s="539">
        <v>32.02</v>
      </c>
    </row>
    <row r="43" s="520" customFormat="1" ht="22.5" customHeight="1" spans="1:19">
      <c r="A43" s="536" t="s">
        <v>340</v>
      </c>
      <c r="B43" s="208" t="s">
        <v>253</v>
      </c>
      <c r="C43" s="208" t="s">
        <v>253</v>
      </c>
      <c r="D43" s="208" t="s">
        <v>253</v>
      </c>
      <c r="E43" s="208" t="s">
        <v>253</v>
      </c>
      <c r="F43" s="208" t="s">
        <v>253</v>
      </c>
      <c r="G43" s="208" t="s">
        <v>253</v>
      </c>
      <c r="H43" s="539">
        <v>9.9</v>
      </c>
      <c r="I43" s="539">
        <v>1700</v>
      </c>
      <c r="J43" s="539">
        <v>9.4</v>
      </c>
      <c r="K43" s="539">
        <v>1600</v>
      </c>
      <c r="L43" s="539" t="s">
        <v>301</v>
      </c>
      <c r="M43" s="539" t="s">
        <v>148</v>
      </c>
      <c r="N43" s="539">
        <v>8.9</v>
      </c>
      <c r="O43" s="539">
        <v>1520</v>
      </c>
      <c r="P43" s="539">
        <v>9.1</v>
      </c>
      <c r="Q43" s="539">
        <v>1560</v>
      </c>
      <c r="R43" s="539" t="s">
        <v>307</v>
      </c>
      <c r="S43" s="539" t="s">
        <v>148</v>
      </c>
    </row>
    <row r="44" s="520" customFormat="1" ht="22.5" customHeight="1" spans="1:19">
      <c r="A44" s="536" t="s">
        <v>341</v>
      </c>
      <c r="B44" s="208" t="s">
        <v>253</v>
      </c>
      <c r="C44" s="208" t="s">
        <v>253</v>
      </c>
      <c r="D44" s="208" t="s">
        <v>253</v>
      </c>
      <c r="E44" s="208" t="s">
        <v>253</v>
      </c>
      <c r="F44" s="208" t="s">
        <v>253</v>
      </c>
      <c r="G44" s="208" t="s">
        <v>253</v>
      </c>
      <c r="H44" s="539">
        <v>10.8</v>
      </c>
      <c r="I44" s="539">
        <v>1770</v>
      </c>
      <c r="J44" s="539">
        <v>10.3</v>
      </c>
      <c r="K44" s="539">
        <v>1670</v>
      </c>
      <c r="L44" s="539" t="s">
        <v>342</v>
      </c>
      <c r="M44" s="539">
        <v>30.02</v>
      </c>
      <c r="N44" s="539">
        <v>10</v>
      </c>
      <c r="O44" s="539">
        <v>1650</v>
      </c>
      <c r="P44" s="539">
        <v>10.2</v>
      </c>
      <c r="Q44" s="539">
        <v>1690</v>
      </c>
      <c r="R44" s="539" t="s">
        <v>336</v>
      </c>
      <c r="S44" s="539" t="s">
        <v>148</v>
      </c>
    </row>
    <row r="45" s="520" customFormat="1" ht="22.5" customHeight="1" spans="1:19">
      <c r="A45" s="536" t="s">
        <v>343</v>
      </c>
      <c r="B45" s="539">
        <v>13.6</v>
      </c>
      <c r="C45" s="538">
        <v>2280</v>
      </c>
      <c r="D45" s="539">
        <v>13.1</v>
      </c>
      <c r="E45" s="538">
        <v>2185</v>
      </c>
      <c r="F45" s="538" t="s">
        <v>317</v>
      </c>
      <c r="G45" s="538">
        <v>29.02</v>
      </c>
      <c r="H45" s="539">
        <v>10.9</v>
      </c>
      <c r="I45" s="539">
        <v>1790</v>
      </c>
      <c r="J45" s="539">
        <v>10.4</v>
      </c>
      <c r="K45" s="539">
        <v>1690</v>
      </c>
      <c r="L45" s="539" t="s">
        <v>307</v>
      </c>
      <c r="M45" s="539">
        <v>30.02</v>
      </c>
      <c r="N45" s="539">
        <v>9.7</v>
      </c>
      <c r="O45" s="539">
        <v>1590</v>
      </c>
      <c r="P45" s="539">
        <v>9.9</v>
      </c>
      <c r="Q45" s="539">
        <v>1630</v>
      </c>
      <c r="R45" s="539" t="s">
        <v>336</v>
      </c>
      <c r="S45" s="539">
        <v>32.02</v>
      </c>
    </row>
    <row r="46" s="520" customFormat="1" ht="22.5" customHeight="1" spans="1:19">
      <c r="A46" s="536" t="s">
        <v>344</v>
      </c>
      <c r="B46" s="539">
        <v>13.7</v>
      </c>
      <c r="C46" s="538">
        <v>2290</v>
      </c>
      <c r="D46" s="539">
        <v>13.2</v>
      </c>
      <c r="E46" s="538">
        <v>2195</v>
      </c>
      <c r="F46" s="538" t="s">
        <v>317</v>
      </c>
      <c r="G46" s="538" t="s">
        <v>148</v>
      </c>
      <c r="H46" s="539">
        <v>10.9</v>
      </c>
      <c r="I46" s="539">
        <v>1790</v>
      </c>
      <c r="J46" s="539">
        <v>10.4</v>
      </c>
      <c r="K46" s="539">
        <v>1690</v>
      </c>
      <c r="L46" s="539" t="s">
        <v>307</v>
      </c>
      <c r="M46" s="539" t="s">
        <v>148</v>
      </c>
      <c r="N46" s="539">
        <v>9.7</v>
      </c>
      <c r="O46" s="539">
        <v>1590</v>
      </c>
      <c r="P46" s="539">
        <v>9.9</v>
      </c>
      <c r="Q46" s="539">
        <v>1630</v>
      </c>
      <c r="R46" s="539" t="s">
        <v>336</v>
      </c>
      <c r="S46" s="539" t="s">
        <v>148</v>
      </c>
    </row>
    <row r="47" s="520" customFormat="1" ht="22.5" customHeight="1" spans="1:19">
      <c r="A47" s="536" t="s">
        <v>345</v>
      </c>
      <c r="B47" s="208" t="s">
        <v>253</v>
      </c>
      <c r="C47" s="208" t="s">
        <v>253</v>
      </c>
      <c r="D47" s="208" t="s">
        <v>253</v>
      </c>
      <c r="E47" s="208" t="s">
        <v>253</v>
      </c>
      <c r="F47" s="208" t="s">
        <v>253</v>
      </c>
      <c r="G47" s="208" t="s">
        <v>253</v>
      </c>
      <c r="H47" s="539">
        <v>11.6</v>
      </c>
      <c r="I47" s="539">
        <v>1970</v>
      </c>
      <c r="J47" s="539">
        <v>11.1</v>
      </c>
      <c r="K47" s="539">
        <v>1870</v>
      </c>
      <c r="L47" s="539" t="s">
        <v>307</v>
      </c>
      <c r="M47" s="539" t="s">
        <v>148</v>
      </c>
      <c r="N47" s="539">
        <v>11</v>
      </c>
      <c r="O47" s="539">
        <v>1830</v>
      </c>
      <c r="P47" s="539">
        <v>11.2</v>
      </c>
      <c r="Q47" s="539">
        <v>1870</v>
      </c>
      <c r="R47" s="539" t="s">
        <v>336</v>
      </c>
      <c r="S47" s="539" t="s">
        <v>148</v>
      </c>
    </row>
    <row r="48" s="520" customFormat="1" ht="22.5" customHeight="1" spans="1:19">
      <c r="A48" s="536" t="s">
        <v>346</v>
      </c>
      <c r="B48" s="208" t="s">
        <v>253</v>
      </c>
      <c r="C48" s="208" t="s">
        <v>253</v>
      </c>
      <c r="D48" s="208" t="s">
        <v>253</v>
      </c>
      <c r="E48" s="208" t="s">
        <v>253</v>
      </c>
      <c r="F48" s="208" t="s">
        <v>253</v>
      </c>
      <c r="G48" s="208" t="s">
        <v>253</v>
      </c>
      <c r="H48" s="539">
        <v>11.6</v>
      </c>
      <c r="I48" s="539">
        <v>1970</v>
      </c>
      <c r="J48" s="539">
        <v>11.1</v>
      </c>
      <c r="K48" s="539">
        <v>1870</v>
      </c>
      <c r="L48" s="539" t="s">
        <v>307</v>
      </c>
      <c r="M48" s="539" t="s">
        <v>148</v>
      </c>
      <c r="N48" s="539">
        <v>11</v>
      </c>
      <c r="O48" s="539">
        <v>1860</v>
      </c>
      <c r="P48" s="539">
        <v>11.2</v>
      </c>
      <c r="Q48" s="539">
        <v>1900</v>
      </c>
      <c r="R48" s="539" t="s">
        <v>336</v>
      </c>
      <c r="S48" s="539" t="s">
        <v>148</v>
      </c>
    </row>
    <row r="49" s="520" customFormat="1" ht="22.5" customHeight="1" spans="1:19">
      <c r="A49" s="536" t="s">
        <v>232</v>
      </c>
      <c r="B49" s="539">
        <v>14.5</v>
      </c>
      <c r="C49" s="538">
        <v>2430</v>
      </c>
      <c r="D49" s="539">
        <v>14</v>
      </c>
      <c r="E49" s="538">
        <v>2335</v>
      </c>
      <c r="F49" s="538" t="s">
        <v>336</v>
      </c>
      <c r="G49" s="538">
        <v>32.02</v>
      </c>
      <c r="H49" s="539">
        <v>11.1</v>
      </c>
      <c r="I49" s="539">
        <v>1880</v>
      </c>
      <c r="J49" s="539">
        <v>10.6</v>
      </c>
      <c r="K49" s="539">
        <v>1780</v>
      </c>
      <c r="L49" s="539" t="s">
        <v>342</v>
      </c>
      <c r="M49" s="539">
        <v>33.02</v>
      </c>
      <c r="N49" s="539">
        <v>10.6</v>
      </c>
      <c r="O49" s="539">
        <v>1750</v>
      </c>
      <c r="P49" s="539">
        <v>10.8</v>
      </c>
      <c r="Q49" s="539">
        <v>1790</v>
      </c>
      <c r="R49" s="539" t="s">
        <v>342</v>
      </c>
      <c r="S49" s="539">
        <v>35.02</v>
      </c>
    </row>
    <row r="50" s="520" customFormat="1" ht="22.5" customHeight="1" spans="1:19">
      <c r="A50" s="536" t="s">
        <v>347</v>
      </c>
      <c r="B50" s="539">
        <v>15.3</v>
      </c>
      <c r="C50" s="538">
        <v>2590</v>
      </c>
      <c r="D50" s="539">
        <v>14.8</v>
      </c>
      <c r="E50" s="538">
        <v>2495</v>
      </c>
      <c r="F50" s="538" t="s">
        <v>336</v>
      </c>
      <c r="G50" s="538">
        <v>32.02</v>
      </c>
      <c r="H50" s="539">
        <v>12.2</v>
      </c>
      <c r="I50" s="539">
        <v>2100</v>
      </c>
      <c r="J50" s="539">
        <v>11.7</v>
      </c>
      <c r="K50" s="539">
        <v>2000</v>
      </c>
      <c r="L50" s="539" t="s">
        <v>342</v>
      </c>
      <c r="M50" s="539">
        <v>33.02</v>
      </c>
      <c r="N50" s="539">
        <v>11.4</v>
      </c>
      <c r="O50" s="539">
        <v>1910</v>
      </c>
      <c r="P50" s="539">
        <v>11.6</v>
      </c>
      <c r="Q50" s="539">
        <v>1950</v>
      </c>
      <c r="R50" s="539" t="s">
        <v>342</v>
      </c>
      <c r="S50" s="539">
        <v>35.02</v>
      </c>
    </row>
    <row r="51" s="520" customFormat="1" ht="22.5" customHeight="1" spans="1:19">
      <c r="A51" s="536" t="s">
        <v>348</v>
      </c>
      <c r="B51" s="539">
        <v>14.3</v>
      </c>
      <c r="C51" s="538">
        <v>2390</v>
      </c>
      <c r="D51" s="539">
        <v>13.8</v>
      </c>
      <c r="E51" s="538">
        <v>2295</v>
      </c>
      <c r="F51" s="538" t="s">
        <v>336</v>
      </c>
      <c r="G51" s="538">
        <v>32.02</v>
      </c>
      <c r="H51" s="539">
        <v>11.3</v>
      </c>
      <c r="I51" s="539">
        <v>1890</v>
      </c>
      <c r="J51" s="539">
        <v>10.8</v>
      </c>
      <c r="K51" s="539">
        <v>1790</v>
      </c>
      <c r="L51" s="539" t="s">
        <v>342</v>
      </c>
      <c r="M51" s="539">
        <v>33.02</v>
      </c>
      <c r="N51" s="539">
        <v>10.4</v>
      </c>
      <c r="O51" s="539">
        <v>1710</v>
      </c>
      <c r="P51" s="539">
        <v>10.6</v>
      </c>
      <c r="Q51" s="539">
        <v>1750</v>
      </c>
      <c r="R51" s="539" t="s">
        <v>342</v>
      </c>
      <c r="S51" s="539">
        <v>35.02</v>
      </c>
    </row>
    <row r="52" s="520" customFormat="1" ht="22.5" customHeight="1" spans="1:19">
      <c r="A52" s="536" t="s">
        <v>349</v>
      </c>
      <c r="B52" s="539">
        <v>15.1</v>
      </c>
      <c r="C52" s="538">
        <v>2550</v>
      </c>
      <c r="D52" s="539">
        <v>14.6</v>
      </c>
      <c r="E52" s="538">
        <v>2455</v>
      </c>
      <c r="F52" s="538" t="s">
        <v>336</v>
      </c>
      <c r="G52" s="538">
        <v>32.02</v>
      </c>
      <c r="H52" s="539">
        <v>12.4</v>
      </c>
      <c r="I52" s="539">
        <v>2110</v>
      </c>
      <c r="J52" s="539">
        <v>11.9</v>
      </c>
      <c r="K52" s="539">
        <v>2010</v>
      </c>
      <c r="L52" s="539" t="s">
        <v>342</v>
      </c>
      <c r="M52" s="539">
        <v>33.02</v>
      </c>
      <c r="N52" s="539">
        <v>11.2</v>
      </c>
      <c r="O52" s="539">
        <v>1870</v>
      </c>
      <c r="P52" s="539">
        <v>11.4</v>
      </c>
      <c r="Q52" s="539">
        <v>1910</v>
      </c>
      <c r="R52" s="539" t="s">
        <v>342</v>
      </c>
      <c r="S52" s="539">
        <v>35.02</v>
      </c>
    </row>
    <row r="53" s="520" customFormat="1" ht="22.5" customHeight="1" spans="1:19">
      <c r="A53" s="536" t="s">
        <v>350</v>
      </c>
      <c r="B53" s="538">
        <v>14.9</v>
      </c>
      <c r="C53" s="538">
        <v>2510</v>
      </c>
      <c r="D53" s="538">
        <v>14.4</v>
      </c>
      <c r="E53" s="538">
        <v>2415</v>
      </c>
      <c r="F53" s="538" t="s">
        <v>336</v>
      </c>
      <c r="G53" s="538">
        <v>32.02</v>
      </c>
      <c r="H53" s="539">
        <v>12.2</v>
      </c>
      <c r="I53" s="539">
        <v>2070</v>
      </c>
      <c r="J53" s="539">
        <v>11.7</v>
      </c>
      <c r="K53" s="539">
        <v>1970</v>
      </c>
      <c r="L53" s="539" t="s">
        <v>342</v>
      </c>
      <c r="M53" s="539">
        <v>33.02</v>
      </c>
      <c r="N53" s="539">
        <v>11</v>
      </c>
      <c r="O53" s="539">
        <v>1830</v>
      </c>
      <c r="P53" s="539">
        <v>11.2</v>
      </c>
      <c r="Q53" s="539">
        <v>1870</v>
      </c>
      <c r="R53" s="539" t="s">
        <v>342</v>
      </c>
      <c r="S53" s="539">
        <v>35.02</v>
      </c>
    </row>
    <row r="54" s="520" customFormat="1" ht="22.5" customHeight="1" spans="1:19">
      <c r="A54" s="536" t="s">
        <v>351</v>
      </c>
      <c r="B54" s="208" t="s">
        <v>253</v>
      </c>
      <c r="C54" s="208" t="s">
        <v>253</v>
      </c>
      <c r="D54" s="208" t="s">
        <v>253</v>
      </c>
      <c r="E54" s="208" t="s">
        <v>253</v>
      </c>
      <c r="F54" s="208" t="s">
        <v>253</v>
      </c>
      <c r="G54" s="208" t="s">
        <v>253</v>
      </c>
      <c r="H54" s="539">
        <v>10.9</v>
      </c>
      <c r="I54" s="539">
        <v>1810</v>
      </c>
      <c r="J54" s="539">
        <v>10.4</v>
      </c>
      <c r="K54" s="539">
        <v>1710</v>
      </c>
      <c r="L54" s="539" t="s">
        <v>352</v>
      </c>
      <c r="M54" s="539" t="s">
        <v>148</v>
      </c>
      <c r="N54" s="539">
        <v>10.3</v>
      </c>
      <c r="O54" s="539">
        <v>1710</v>
      </c>
      <c r="P54" s="539">
        <v>10.5</v>
      </c>
      <c r="Q54" s="539">
        <v>1750</v>
      </c>
      <c r="R54" s="539" t="s">
        <v>342</v>
      </c>
      <c r="S54" s="539" t="s">
        <v>148</v>
      </c>
    </row>
    <row r="55" s="520" customFormat="1" ht="22.5" customHeight="1" spans="1:19">
      <c r="A55" s="536" t="s">
        <v>353</v>
      </c>
      <c r="B55" s="208" t="s">
        <v>253</v>
      </c>
      <c r="C55" s="208" t="s">
        <v>253</v>
      </c>
      <c r="D55" s="208" t="s">
        <v>253</v>
      </c>
      <c r="E55" s="208" t="s">
        <v>253</v>
      </c>
      <c r="F55" s="208" t="s">
        <v>253</v>
      </c>
      <c r="G55" s="208" t="s">
        <v>253</v>
      </c>
      <c r="H55" s="539">
        <v>12</v>
      </c>
      <c r="I55" s="539">
        <v>1980</v>
      </c>
      <c r="J55" s="539">
        <v>11.5</v>
      </c>
      <c r="K55" s="539">
        <v>1880</v>
      </c>
      <c r="L55" s="539" t="s">
        <v>354</v>
      </c>
      <c r="M55" s="539">
        <v>34.02</v>
      </c>
      <c r="N55" s="539">
        <v>11.1</v>
      </c>
      <c r="O55" s="539">
        <v>1850</v>
      </c>
      <c r="P55" s="539">
        <v>11.3</v>
      </c>
      <c r="Q55" s="539">
        <v>1890</v>
      </c>
      <c r="R55" s="539" t="s">
        <v>355</v>
      </c>
      <c r="S55" s="539">
        <v>36.02</v>
      </c>
    </row>
    <row r="56" s="520" customFormat="1" ht="22.5" customHeight="1" spans="1:19">
      <c r="A56" s="536" t="s">
        <v>356</v>
      </c>
      <c r="B56" s="208" t="s">
        <v>253</v>
      </c>
      <c r="C56" s="208" t="s">
        <v>253</v>
      </c>
      <c r="D56" s="208" t="s">
        <v>253</v>
      </c>
      <c r="E56" s="208" t="s">
        <v>253</v>
      </c>
      <c r="F56" s="208" t="s">
        <v>253</v>
      </c>
      <c r="G56" s="208" t="s">
        <v>253</v>
      </c>
      <c r="H56" s="539">
        <v>14.9</v>
      </c>
      <c r="I56" s="539">
        <v>2540</v>
      </c>
      <c r="J56" s="539">
        <v>14.4</v>
      </c>
      <c r="K56" s="539">
        <v>2440</v>
      </c>
      <c r="L56" s="539" t="s">
        <v>354</v>
      </c>
      <c r="M56" s="539">
        <v>34.02</v>
      </c>
      <c r="N56" s="539">
        <v>13.7</v>
      </c>
      <c r="O56" s="539">
        <v>2360</v>
      </c>
      <c r="P56" s="539">
        <v>13.9</v>
      </c>
      <c r="Q56" s="539">
        <v>2400</v>
      </c>
      <c r="R56" s="539" t="s">
        <v>355</v>
      </c>
      <c r="S56" s="539">
        <v>36.02</v>
      </c>
    </row>
    <row r="57" s="520" customFormat="1" ht="22.5" customHeight="1" spans="1:19">
      <c r="A57" s="536" t="s">
        <v>357</v>
      </c>
      <c r="B57" s="539">
        <v>15.6</v>
      </c>
      <c r="C57" s="538">
        <v>2600</v>
      </c>
      <c r="D57" s="539">
        <v>15.1</v>
      </c>
      <c r="E57" s="538">
        <v>2505</v>
      </c>
      <c r="F57" s="538" t="s">
        <v>358</v>
      </c>
      <c r="G57" s="538">
        <v>33.02</v>
      </c>
      <c r="H57" s="539">
        <v>12.8</v>
      </c>
      <c r="I57" s="539">
        <v>2130</v>
      </c>
      <c r="J57" s="539">
        <v>12.3</v>
      </c>
      <c r="K57" s="539">
        <v>2030</v>
      </c>
      <c r="L57" s="539" t="s">
        <v>354</v>
      </c>
      <c r="M57" s="539">
        <v>33.02</v>
      </c>
      <c r="N57" s="539">
        <v>12.2</v>
      </c>
      <c r="O57" s="539">
        <v>2070</v>
      </c>
      <c r="P57" s="539">
        <v>12.4</v>
      </c>
      <c r="Q57" s="539">
        <v>2110</v>
      </c>
      <c r="R57" s="539" t="s">
        <v>355</v>
      </c>
      <c r="S57" s="539">
        <v>36.02</v>
      </c>
    </row>
    <row r="58" s="520" customFormat="1" ht="22.5" customHeight="1" spans="1:19">
      <c r="A58" s="536" t="s">
        <v>359</v>
      </c>
      <c r="B58" s="539">
        <v>15.6</v>
      </c>
      <c r="C58" s="538">
        <v>2600</v>
      </c>
      <c r="D58" s="539">
        <v>15.1</v>
      </c>
      <c r="E58" s="538">
        <v>2505</v>
      </c>
      <c r="F58" s="538" t="s">
        <v>358</v>
      </c>
      <c r="G58" s="538">
        <v>33.02</v>
      </c>
      <c r="H58" s="539">
        <v>12.8</v>
      </c>
      <c r="I58" s="539">
        <v>2130</v>
      </c>
      <c r="J58" s="539">
        <v>12.3</v>
      </c>
      <c r="K58" s="539">
        <v>2030</v>
      </c>
      <c r="L58" s="539" t="s">
        <v>354</v>
      </c>
      <c r="M58" s="539">
        <v>33.02</v>
      </c>
      <c r="N58" s="539">
        <v>12.2</v>
      </c>
      <c r="O58" s="539">
        <v>2070</v>
      </c>
      <c r="P58" s="539">
        <v>12.4</v>
      </c>
      <c r="Q58" s="539">
        <v>2110</v>
      </c>
      <c r="R58" s="539" t="s">
        <v>355</v>
      </c>
      <c r="S58" s="539">
        <v>36.02</v>
      </c>
    </row>
    <row r="59" s="520" customFormat="1" ht="22.5" customHeight="1" spans="1:19">
      <c r="A59" s="536" t="s">
        <v>360</v>
      </c>
      <c r="B59" s="539">
        <v>15.4</v>
      </c>
      <c r="C59" s="538">
        <v>2560</v>
      </c>
      <c r="D59" s="539">
        <v>14.9</v>
      </c>
      <c r="E59" s="538">
        <v>2465</v>
      </c>
      <c r="F59" s="538" t="s">
        <v>358</v>
      </c>
      <c r="G59" s="538">
        <v>33.02</v>
      </c>
      <c r="H59" s="539">
        <v>12.6</v>
      </c>
      <c r="I59" s="539">
        <v>2090</v>
      </c>
      <c r="J59" s="539">
        <v>12.1</v>
      </c>
      <c r="K59" s="539">
        <v>1990</v>
      </c>
      <c r="L59" s="539" t="s">
        <v>354</v>
      </c>
      <c r="M59" s="539" t="s">
        <v>148</v>
      </c>
      <c r="N59" s="539">
        <v>11.7</v>
      </c>
      <c r="O59" s="539">
        <v>1970</v>
      </c>
      <c r="P59" s="539">
        <v>11.9</v>
      </c>
      <c r="Q59" s="539">
        <v>2010</v>
      </c>
      <c r="R59" s="539" t="s">
        <v>355</v>
      </c>
      <c r="S59" s="539">
        <v>36.02</v>
      </c>
    </row>
    <row r="60" s="520" customFormat="1" ht="22.5" customHeight="1" spans="1:19">
      <c r="A60" s="536" t="s">
        <v>361</v>
      </c>
      <c r="B60" s="539">
        <v>15.6</v>
      </c>
      <c r="C60" s="538">
        <v>2600</v>
      </c>
      <c r="D60" s="539">
        <v>15.1</v>
      </c>
      <c r="E60" s="538">
        <v>2505</v>
      </c>
      <c r="F60" s="538" t="s">
        <v>358</v>
      </c>
      <c r="G60" s="538">
        <v>33.02</v>
      </c>
      <c r="H60" s="539">
        <v>12.8</v>
      </c>
      <c r="I60" s="539">
        <v>2130</v>
      </c>
      <c r="J60" s="539">
        <v>12.3</v>
      </c>
      <c r="K60" s="539">
        <v>2030</v>
      </c>
      <c r="L60" s="539" t="s">
        <v>354</v>
      </c>
      <c r="M60" s="539">
        <v>33.02</v>
      </c>
      <c r="N60" s="539">
        <v>12.2</v>
      </c>
      <c r="O60" s="539">
        <v>2070</v>
      </c>
      <c r="P60" s="539">
        <v>12.4</v>
      </c>
      <c r="Q60" s="539">
        <v>2110</v>
      </c>
      <c r="R60" s="539" t="s">
        <v>355</v>
      </c>
      <c r="S60" s="539">
        <v>36.02</v>
      </c>
    </row>
    <row r="61" s="520" customFormat="1" ht="22.5" customHeight="1" spans="1:19">
      <c r="A61" s="536" t="s">
        <v>362</v>
      </c>
      <c r="B61" s="539">
        <v>15.6</v>
      </c>
      <c r="C61" s="538">
        <v>2600</v>
      </c>
      <c r="D61" s="539">
        <v>15.1</v>
      </c>
      <c r="E61" s="538">
        <v>2505</v>
      </c>
      <c r="F61" s="538" t="s">
        <v>358</v>
      </c>
      <c r="G61" s="538">
        <v>33.02</v>
      </c>
      <c r="H61" s="539">
        <v>12.8</v>
      </c>
      <c r="I61" s="539">
        <v>2130</v>
      </c>
      <c r="J61" s="539">
        <v>12.3</v>
      </c>
      <c r="K61" s="539">
        <v>2030</v>
      </c>
      <c r="L61" s="539" t="s">
        <v>354</v>
      </c>
      <c r="M61" s="539">
        <v>33.02</v>
      </c>
      <c r="N61" s="539">
        <v>12.2</v>
      </c>
      <c r="O61" s="539">
        <v>2070</v>
      </c>
      <c r="P61" s="539">
        <v>12.4</v>
      </c>
      <c r="Q61" s="539">
        <v>2110</v>
      </c>
      <c r="R61" s="539" t="s">
        <v>355</v>
      </c>
      <c r="S61" s="539">
        <v>36.02</v>
      </c>
    </row>
    <row r="62" s="520" customFormat="1" ht="22.5" customHeight="1" spans="1:19">
      <c r="A62" s="536" t="s">
        <v>363</v>
      </c>
      <c r="B62" s="539">
        <v>15.6</v>
      </c>
      <c r="C62" s="538">
        <v>2600</v>
      </c>
      <c r="D62" s="539">
        <v>15.1</v>
      </c>
      <c r="E62" s="538">
        <v>2505</v>
      </c>
      <c r="F62" s="538" t="s">
        <v>358</v>
      </c>
      <c r="G62" s="538">
        <v>33.02</v>
      </c>
      <c r="H62" s="539">
        <v>12.8</v>
      </c>
      <c r="I62" s="539">
        <v>2130</v>
      </c>
      <c r="J62" s="539">
        <v>12.3</v>
      </c>
      <c r="K62" s="539">
        <v>2030</v>
      </c>
      <c r="L62" s="539" t="s">
        <v>354</v>
      </c>
      <c r="M62" s="539" t="s">
        <v>148</v>
      </c>
      <c r="N62" s="539">
        <v>12.2</v>
      </c>
      <c r="O62" s="539">
        <v>2070</v>
      </c>
      <c r="P62" s="539">
        <v>12.4</v>
      </c>
      <c r="Q62" s="539">
        <v>2110</v>
      </c>
      <c r="R62" s="539" t="s">
        <v>355</v>
      </c>
      <c r="S62" s="539">
        <v>36.02</v>
      </c>
    </row>
    <row r="63" s="520" customFormat="1" ht="22.5" customHeight="1" spans="1:19">
      <c r="A63" s="536" t="s">
        <v>364</v>
      </c>
      <c r="B63" s="539">
        <v>15.9</v>
      </c>
      <c r="C63" s="538">
        <v>2650</v>
      </c>
      <c r="D63" s="539">
        <v>15.4</v>
      </c>
      <c r="E63" s="538">
        <v>2555</v>
      </c>
      <c r="F63" s="538" t="s">
        <v>358</v>
      </c>
      <c r="G63" s="538" t="s">
        <v>148</v>
      </c>
      <c r="H63" s="539">
        <v>12.9</v>
      </c>
      <c r="I63" s="539">
        <v>2150</v>
      </c>
      <c r="J63" s="539">
        <v>12.4</v>
      </c>
      <c r="K63" s="539">
        <v>2050</v>
      </c>
      <c r="L63" s="539" t="s">
        <v>354</v>
      </c>
      <c r="M63" s="539" t="s">
        <v>148</v>
      </c>
      <c r="N63" s="539">
        <v>12.1</v>
      </c>
      <c r="O63" s="539">
        <v>2030</v>
      </c>
      <c r="P63" s="539">
        <v>12.3</v>
      </c>
      <c r="Q63" s="539">
        <v>2070</v>
      </c>
      <c r="R63" s="539" t="s">
        <v>355</v>
      </c>
      <c r="S63" s="539" t="s">
        <v>148</v>
      </c>
    </row>
    <row r="64" s="520" customFormat="1" ht="22.5" customHeight="1" spans="1:19">
      <c r="A64" s="536" t="s">
        <v>365</v>
      </c>
      <c r="B64" s="539">
        <v>15.6</v>
      </c>
      <c r="C64" s="538">
        <v>2600</v>
      </c>
      <c r="D64" s="539">
        <v>15.1</v>
      </c>
      <c r="E64" s="538">
        <v>2505</v>
      </c>
      <c r="F64" s="538" t="s">
        <v>358</v>
      </c>
      <c r="G64" s="538" t="s">
        <v>148</v>
      </c>
      <c r="H64" s="539">
        <v>12.8</v>
      </c>
      <c r="I64" s="539">
        <v>2130</v>
      </c>
      <c r="J64" s="539">
        <v>12.3</v>
      </c>
      <c r="K64" s="539">
        <v>2030</v>
      </c>
      <c r="L64" s="539" t="s">
        <v>354</v>
      </c>
      <c r="M64" s="539" t="s">
        <v>148</v>
      </c>
      <c r="N64" s="539">
        <v>12.2</v>
      </c>
      <c r="O64" s="539">
        <v>2070</v>
      </c>
      <c r="P64" s="539">
        <v>12.4</v>
      </c>
      <c r="Q64" s="539">
        <v>2110</v>
      </c>
      <c r="R64" s="539" t="s">
        <v>355</v>
      </c>
      <c r="S64" s="539" t="s">
        <v>148</v>
      </c>
    </row>
    <row r="65" ht="48" customHeight="1" spans="1:19">
      <c r="A65" s="541" t="s">
        <v>366</v>
      </c>
      <c r="B65" s="542" t="s">
        <v>267</v>
      </c>
      <c r="C65" s="542"/>
      <c r="D65" s="542"/>
      <c r="E65" s="542"/>
      <c r="F65" s="542"/>
      <c r="G65" s="542"/>
      <c r="H65" s="543" t="s">
        <v>367</v>
      </c>
      <c r="I65" s="543"/>
      <c r="J65" s="543"/>
      <c r="K65" s="543"/>
      <c r="L65" s="543"/>
      <c r="M65" s="543"/>
      <c r="N65" s="543" t="s">
        <v>368</v>
      </c>
      <c r="O65" s="543"/>
      <c r="P65" s="543"/>
      <c r="Q65" s="543"/>
      <c r="R65" s="543"/>
      <c r="S65" s="543"/>
    </row>
    <row r="66" spans="1:19">
      <c r="A66" s="529"/>
      <c r="B66" s="544" t="s">
        <v>369</v>
      </c>
      <c r="C66" s="544"/>
      <c r="D66" s="544"/>
      <c r="E66" s="544"/>
      <c r="F66" s="544"/>
      <c r="G66" s="544"/>
      <c r="H66" s="545" t="s">
        <v>370</v>
      </c>
      <c r="I66" s="545"/>
      <c r="J66" s="545"/>
      <c r="K66" s="545"/>
      <c r="L66" s="545"/>
      <c r="M66" s="545"/>
      <c r="N66" s="546" t="s">
        <v>371</v>
      </c>
      <c r="O66" s="546"/>
      <c r="P66" s="546"/>
      <c r="Q66" s="546"/>
      <c r="R66" s="546"/>
      <c r="S66" s="547"/>
    </row>
    <row r="67" ht="48" customHeight="1" spans="1:19">
      <c r="A67" s="529"/>
      <c r="B67" s="548"/>
      <c r="C67" s="548"/>
      <c r="D67" s="548"/>
      <c r="E67" s="548"/>
      <c r="F67" s="548"/>
      <c r="G67" s="548"/>
      <c r="H67" s="549"/>
      <c r="I67" s="549"/>
      <c r="J67" s="549"/>
      <c r="K67" s="549"/>
      <c r="L67" s="549"/>
      <c r="M67" s="549"/>
      <c r="N67" s="550"/>
      <c r="O67" s="550"/>
      <c r="P67" s="550"/>
      <c r="Q67" s="550"/>
      <c r="R67" s="550"/>
      <c r="S67" s="551"/>
    </row>
    <row r="68" ht="229" customHeight="1" spans="1:19">
      <c r="A68" s="552" t="s">
        <v>61</v>
      </c>
      <c r="B68" s="553" t="s">
        <v>372</v>
      </c>
      <c r="C68" s="554"/>
      <c r="D68" s="554"/>
      <c r="E68" s="554"/>
      <c r="F68" s="554"/>
      <c r="G68" s="554"/>
      <c r="H68" s="553" t="s">
        <v>373</v>
      </c>
      <c r="I68" s="554"/>
      <c r="J68" s="554"/>
      <c r="K68" s="554"/>
      <c r="L68" s="554"/>
      <c r="M68" s="554"/>
      <c r="N68" s="553" t="s">
        <v>374</v>
      </c>
      <c r="O68" s="553"/>
      <c r="P68" s="553"/>
      <c r="Q68" s="553"/>
      <c r="R68" s="553"/>
      <c r="S68" s="555"/>
    </row>
  </sheetData>
  <sheetProtection formatCells="0" insertHyperlinks="0" autoFilter="0"/>
  <mergeCells count="28">
    <mergeCell ref="A1:S1"/>
    <mergeCell ref="A2:S2"/>
    <mergeCell ref="A3:G3"/>
    <mergeCell ref="H3:M3"/>
    <mergeCell ref="N3:S3"/>
    <mergeCell ref="B4:C4"/>
    <mergeCell ref="D4:E4"/>
    <mergeCell ref="H4:I4"/>
    <mergeCell ref="J4:K4"/>
    <mergeCell ref="N4:O4"/>
    <mergeCell ref="P4:Q4"/>
    <mergeCell ref="B65:G65"/>
    <mergeCell ref="H65:M65"/>
    <mergeCell ref="N65:S65"/>
    <mergeCell ref="B68:G68"/>
    <mergeCell ref="H68:M68"/>
    <mergeCell ref="N68:S68"/>
    <mergeCell ref="A4:A5"/>
    <mergeCell ref="A65:A67"/>
    <mergeCell ref="F4:F5"/>
    <mergeCell ref="G4:G5"/>
    <mergeCell ref="L4:L5"/>
    <mergeCell ref="M4:M5"/>
    <mergeCell ref="R4:R5"/>
    <mergeCell ref="S4:S5"/>
    <mergeCell ref="B66:G67"/>
    <mergeCell ref="H66:M67"/>
    <mergeCell ref="N66:S67"/>
  </mergeCells>
  <pageMargins left="0.75" right="0.75" top="1" bottom="1" header="0.511805555555556" footer="0.511805555555556"/>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L74"/>
  <sheetViews>
    <sheetView zoomScale="70" zoomScaleNormal="70" workbookViewId="0">
      <selection activeCell="B7" sqref="B7:E72"/>
    </sheetView>
  </sheetViews>
  <sheetFormatPr defaultColWidth="22.5" defaultRowHeight="16.5"/>
  <cols>
    <col min="1" max="1" width="22.5" style="495" customWidth="1"/>
    <col min="2" max="7" width="22.5" style="496" customWidth="1"/>
    <col min="8" max="16384" width="22.5" customWidth="1"/>
  </cols>
  <sheetData>
    <row r="1" ht="28.5" customHeight="1" spans="1:8">
      <c r="A1" s="402" t="s">
        <v>282</v>
      </c>
      <c r="B1" s="497"/>
      <c r="C1" s="497"/>
      <c r="D1" s="497"/>
      <c r="E1" s="497"/>
      <c r="F1" s="497"/>
      <c r="G1" s="498"/>
    </row>
    <row r="2" ht="28.5" customHeight="1" spans="1:8">
      <c r="A2" s="499" t="s">
        <v>283</v>
      </c>
      <c r="B2" s="500"/>
      <c r="C2" s="500"/>
      <c r="D2" s="500"/>
      <c r="E2" s="500"/>
      <c r="F2" s="500"/>
      <c r="G2" s="501"/>
      <c r="H2" s="502"/>
    </row>
    <row r="3" ht="22.5" customHeight="1" spans="1:8">
      <c r="A3" s="503"/>
      <c r="B3" s="504"/>
      <c r="C3" s="504"/>
      <c r="D3" s="504"/>
      <c r="E3" s="504"/>
      <c r="F3" s="504"/>
      <c r="G3" s="505"/>
    </row>
    <row r="4" ht="22.5" customHeight="1" spans="1:8">
      <c r="A4" s="506" t="s">
        <v>375</v>
      </c>
      <c r="B4" s="507"/>
      <c r="C4" s="507"/>
      <c r="D4" s="507"/>
      <c r="E4" s="507"/>
      <c r="F4" s="507"/>
      <c r="G4" s="508"/>
    </row>
    <row r="5" ht="30.75" customHeight="1" spans="1:8">
      <c r="A5" s="509" t="s">
        <v>287</v>
      </c>
      <c r="B5" s="510" t="s">
        <v>184</v>
      </c>
      <c r="C5" s="511"/>
      <c r="D5" s="511" t="s">
        <v>260</v>
      </c>
      <c r="E5" s="511"/>
      <c r="F5" s="511" t="s">
        <v>376</v>
      </c>
      <c r="G5" s="512" t="s">
        <v>288</v>
      </c>
    </row>
    <row r="6" ht="30.75" customHeight="1" spans="1:8">
      <c r="A6" s="509"/>
      <c r="B6" s="410" t="s">
        <v>290</v>
      </c>
      <c r="C6" s="513" t="s">
        <v>291</v>
      </c>
      <c r="D6" s="410" t="s">
        <v>290</v>
      </c>
      <c r="E6" s="513" t="s">
        <v>291</v>
      </c>
      <c r="F6" s="513"/>
      <c r="G6" s="514"/>
    </row>
    <row r="7" ht="22.5" customHeight="1" spans="1:8">
      <c r="A7" s="410" t="s">
        <v>292</v>
      </c>
      <c r="B7" s="413">
        <v>7.2</v>
      </c>
      <c r="C7" s="40">
        <v>1300</v>
      </c>
      <c r="D7" s="413">
        <v>7.2</v>
      </c>
      <c r="E7" s="40">
        <v>1300</v>
      </c>
      <c r="F7" s="40">
        <v>16</v>
      </c>
      <c r="G7" s="40" t="s">
        <v>336</v>
      </c>
    </row>
    <row r="8" ht="22.5" customHeight="1" spans="1:8">
      <c r="A8" s="410" t="s">
        <v>296</v>
      </c>
      <c r="B8" s="413">
        <v>7.2</v>
      </c>
      <c r="C8" s="40">
        <v>1300</v>
      </c>
      <c r="D8" s="413">
        <v>7.2</v>
      </c>
      <c r="E8" s="40">
        <v>1300</v>
      </c>
      <c r="F8" s="40">
        <v>16</v>
      </c>
      <c r="G8" s="40" t="s">
        <v>336</v>
      </c>
    </row>
    <row r="9" ht="22.5" customHeight="1" spans="1:8">
      <c r="A9" s="410" t="s">
        <v>297</v>
      </c>
      <c r="B9" s="413">
        <v>7.2</v>
      </c>
      <c r="C9" s="40">
        <v>1300</v>
      </c>
      <c r="D9" s="413">
        <v>7.2</v>
      </c>
      <c r="E9" s="40">
        <v>1300</v>
      </c>
      <c r="F9" s="40">
        <v>16</v>
      </c>
      <c r="G9" s="40" t="s">
        <v>336</v>
      </c>
    </row>
    <row r="10" ht="22.5" customHeight="1" spans="1:8">
      <c r="A10" s="410" t="s">
        <v>298</v>
      </c>
      <c r="B10" s="413">
        <v>7.2</v>
      </c>
      <c r="C10" s="40">
        <v>1300</v>
      </c>
      <c r="D10" s="413">
        <v>7.2</v>
      </c>
      <c r="E10" s="40">
        <v>1300</v>
      </c>
      <c r="F10" s="40">
        <v>16</v>
      </c>
      <c r="G10" s="40" t="s">
        <v>336</v>
      </c>
    </row>
    <row r="11" ht="22.5" customHeight="1" spans="1:8">
      <c r="A11" s="410" t="s">
        <v>299</v>
      </c>
      <c r="B11" s="413">
        <v>7.3</v>
      </c>
      <c r="C11" s="40">
        <v>1310</v>
      </c>
      <c r="D11" s="413">
        <v>7.3</v>
      </c>
      <c r="E11" s="40">
        <v>1310</v>
      </c>
      <c r="F11" s="40">
        <v>16</v>
      </c>
      <c r="G11" s="40" t="s">
        <v>342</v>
      </c>
    </row>
    <row r="12" ht="22.5" customHeight="1" spans="1:8">
      <c r="A12" s="410" t="s">
        <v>303</v>
      </c>
      <c r="B12" s="413">
        <v>7.3</v>
      </c>
      <c r="C12" s="40">
        <v>1310</v>
      </c>
      <c r="D12" s="413">
        <v>7.3</v>
      </c>
      <c r="E12" s="40">
        <v>1310</v>
      </c>
      <c r="F12" s="40">
        <v>16</v>
      </c>
      <c r="G12" s="40" t="s">
        <v>377</v>
      </c>
    </row>
    <row r="13" ht="22.5" customHeight="1" spans="1:8">
      <c r="A13" s="410" t="s">
        <v>304</v>
      </c>
      <c r="B13" s="413">
        <v>7.3</v>
      </c>
      <c r="C13" s="40">
        <v>1310</v>
      </c>
      <c r="D13" s="413">
        <v>7.3</v>
      </c>
      <c r="E13" s="40">
        <v>1310</v>
      </c>
      <c r="F13" s="40">
        <v>16</v>
      </c>
      <c r="G13" s="40" t="s">
        <v>342</v>
      </c>
    </row>
    <row r="14" ht="22.5" customHeight="1" spans="1:8">
      <c r="A14" s="410" t="s">
        <v>311</v>
      </c>
      <c r="B14" s="413">
        <v>7.7</v>
      </c>
      <c r="C14" s="40">
        <v>1370</v>
      </c>
      <c r="D14" s="413">
        <v>7.7</v>
      </c>
      <c r="E14" s="40">
        <v>1370</v>
      </c>
      <c r="F14" s="40">
        <v>16</v>
      </c>
      <c r="G14" s="40" t="s">
        <v>377</v>
      </c>
    </row>
    <row r="15" ht="22.5" customHeight="1" spans="1:8">
      <c r="A15" s="410" t="s">
        <v>378</v>
      </c>
      <c r="B15" s="413">
        <v>7.9</v>
      </c>
      <c r="C15" s="40">
        <v>1290</v>
      </c>
      <c r="D15" s="413">
        <v>7.9</v>
      </c>
      <c r="E15" s="40">
        <v>1290</v>
      </c>
      <c r="F15" s="40">
        <v>16</v>
      </c>
      <c r="G15" s="40" t="s">
        <v>377</v>
      </c>
    </row>
    <row r="16" ht="22.5" customHeight="1" spans="1:8">
      <c r="A16" s="410" t="s">
        <v>312</v>
      </c>
      <c r="B16" s="413">
        <v>7.7</v>
      </c>
      <c r="C16" s="40">
        <v>1370</v>
      </c>
      <c r="D16" s="413">
        <v>7.7</v>
      </c>
      <c r="E16" s="40">
        <v>1370</v>
      </c>
      <c r="F16" s="40">
        <v>16</v>
      </c>
      <c r="G16" s="40" t="s">
        <v>377</v>
      </c>
    </row>
    <row r="17" ht="22.5" customHeight="1" spans="1:12">
      <c r="A17" s="410" t="s">
        <v>308</v>
      </c>
      <c r="B17" s="413">
        <v>7.7</v>
      </c>
      <c r="C17" s="40">
        <v>1270</v>
      </c>
      <c r="D17" s="413">
        <v>7.7</v>
      </c>
      <c r="E17" s="40">
        <v>1270</v>
      </c>
      <c r="F17" s="40">
        <v>16</v>
      </c>
      <c r="G17" s="40" t="s">
        <v>377</v>
      </c>
    </row>
    <row r="18" ht="22.5" customHeight="1" spans="1:12">
      <c r="A18" s="410" t="s">
        <v>309</v>
      </c>
      <c r="B18" s="413">
        <v>7.7</v>
      </c>
      <c r="C18" s="40">
        <v>1370</v>
      </c>
      <c r="D18" s="413">
        <v>7.7</v>
      </c>
      <c r="E18" s="40">
        <v>1370</v>
      </c>
      <c r="F18" s="40">
        <v>16</v>
      </c>
      <c r="G18" s="40" t="s">
        <v>377</v>
      </c>
    </row>
    <row r="19" ht="22.5" customHeight="1" spans="1:12">
      <c r="A19" s="410" t="s">
        <v>379</v>
      </c>
      <c r="B19" s="413">
        <v>7.6</v>
      </c>
      <c r="C19" s="40">
        <v>1320</v>
      </c>
      <c r="D19" s="413">
        <v>7.6</v>
      </c>
      <c r="E19" s="40">
        <v>1320</v>
      </c>
      <c r="F19" s="40">
        <v>16</v>
      </c>
      <c r="G19" s="40" t="s">
        <v>342</v>
      </c>
    </row>
    <row r="20" ht="22.5" customHeight="1" spans="1:12">
      <c r="A20" s="410" t="s">
        <v>380</v>
      </c>
      <c r="B20" s="413">
        <v>7.6</v>
      </c>
      <c r="C20" s="40">
        <v>1320</v>
      </c>
      <c r="D20" s="413">
        <v>7.6</v>
      </c>
      <c r="E20" s="40">
        <v>1320</v>
      </c>
      <c r="F20" s="40">
        <v>16</v>
      </c>
      <c r="G20" s="40" t="s">
        <v>342</v>
      </c>
      <c r="L20" s="515"/>
    </row>
    <row r="21" ht="22.5" customHeight="1" spans="1:12">
      <c r="A21" s="410" t="s">
        <v>305</v>
      </c>
      <c r="B21" s="413">
        <v>7.6</v>
      </c>
      <c r="C21" s="40">
        <v>1320</v>
      </c>
      <c r="D21" s="413">
        <v>7.6</v>
      </c>
      <c r="E21" s="40">
        <v>1320</v>
      </c>
      <c r="F21" s="40">
        <v>16</v>
      </c>
      <c r="G21" s="40" t="s">
        <v>342</v>
      </c>
    </row>
    <row r="22" ht="22.5" customHeight="1" spans="1:12">
      <c r="A22" s="410" t="s">
        <v>381</v>
      </c>
      <c r="B22" s="413">
        <v>7.6</v>
      </c>
      <c r="C22" s="40">
        <v>1320</v>
      </c>
      <c r="D22" s="413">
        <v>7.6</v>
      </c>
      <c r="E22" s="40">
        <v>1320</v>
      </c>
      <c r="F22" s="40">
        <v>16</v>
      </c>
      <c r="G22" s="40" t="s">
        <v>342</v>
      </c>
    </row>
    <row r="23" ht="22.5" customHeight="1" spans="1:12">
      <c r="A23" s="410" t="s">
        <v>382</v>
      </c>
      <c r="B23" s="413">
        <v>7.6</v>
      </c>
      <c r="C23" s="40">
        <v>1320</v>
      </c>
      <c r="D23" s="413">
        <v>7.6</v>
      </c>
      <c r="E23" s="40">
        <v>1320</v>
      </c>
      <c r="F23" s="40">
        <v>16</v>
      </c>
      <c r="G23" s="40" t="s">
        <v>342</v>
      </c>
    </row>
    <row r="24" ht="22.5" customHeight="1" spans="1:12">
      <c r="A24" s="410" t="s">
        <v>313</v>
      </c>
      <c r="B24" s="413">
        <v>7.6</v>
      </c>
      <c r="C24" s="40">
        <v>1300</v>
      </c>
      <c r="D24" s="413">
        <v>7.6</v>
      </c>
      <c r="E24" s="40">
        <v>1300</v>
      </c>
      <c r="F24" s="40">
        <v>16</v>
      </c>
      <c r="G24" s="40" t="s">
        <v>342</v>
      </c>
    </row>
    <row r="25" ht="22.5" customHeight="1" spans="1:12">
      <c r="A25" s="410" t="s">
        <v>314</v>
      </c>
      <c r="B25" s="413">
        <v>8.3</v>
      </c>
      <c r="C25" s="40">
        <v>1480</v>
      </c>
      <c r="D25" s="413">
        <v>8.3</v>
      </c>
      <c r="E25" s="40">
        <v>1480</v>
      </c>
      <c r="F25" s="40">
        <v>16</v>
      </c>
      <c r="G25" s="40" t="s">
        <v>383</v>
      </c>
    </row>
    <row r="26" ht="22.5" customHeight="1" spans="1:12">
      <c r="A26" s="410" t="s">
        <v>310</v>
      </c>
      <c r="B26" s="413">
        <v>8.1</v>
      </c>
      <c r="C26" s="40">
        <v>1410</v>
      </c>
      <c r="D26" s="413">
        <v>8.1</v>
      </c>
      <c r="E26" s="40">
        <v>1410</v>
      </c>
      <c r="F26" s="40">
        <v>16</v>
      </c>
      <c r="G26" s="40" t="s">
        <v>384</v>
      </c>
    </row>
    <row r="27" ht="22.5" customHeight="1" spans="1:12">
      <c r="A27" s="410" t="s">
        <v>385</v>
      </c>
      <c r="B27" s="413">
        <v>8.3</v>
      </c>
      <c r="C27" s="40">
        <v>1360</v>
      </c>
      <c r="D27" s="413">
        <v>8.3</v>
      </c>
      <c r="E27" s="40">
        <v>1360</v>
      </c>
      <c r="F27" s="40">
        <v>16</v>
      </c>
      <c r="G27" s="40" t="s">
        <v>384</v>
      </c>
      <c r="J27" t="s">
        <v>221</v>
      </c>
    </row>
    <row r="28" ht="22.5" customHeight="1" spans="1:12">
      <c r="A28" s="410" t="s">
        <v>315</v>
      </c>
      <c r="B28" s="413">
        <v>8.4</v>
      </c>
      <c r="C28" s="40">
        <v>1500</v>
      </c>
      <c r="D28" s="413">
        <v>8.4</v>
      </c>
      <c r="E28" s="40">
        <v>1500</v>
      </c>
      <c r="F28" s="40">
        <v>16</v>
      </c>
      <c r="G28" s="40" t="s">
        <v>386</v>
      </c>
    </row>
    <row r="29" ht="22.5" customHeight="1" spans="1:12">
      <c r="A29" s="410" t="s">
        <v>316</v>
      </c>
      <c r="B29" s="413">
        <v>8.4</v>
      </c>
      <c r="C29" s="40">
        <v>1500</v>
      </c>
      <c r="D29" s="413">
        <v>8.4</v>
      </c>
      <c r="E29" s="40">
        <v>1500</v>
      </c>
      <c r="F29" s="40">
        <v>16</v>
      </c>
      <c r="G29" s="40" t="s">
        <v>377</v>
      </c>
    </row>
    <row r="30" ht="22.5" customHeight="1" spans="1:12">
      <c r="A30" s="410" t="s">
        <v>318</v>
      </c>
      <c r="B30" s="413">
        <v>8.4</v>
      </c>
      <c r="C30" s="40">
        <v>1400</v>
      </c>
      <c r="D30" s="413">
        <v>8.4</v>
      </c>
      <c r="E30" s="40">
        <v>1400</v>
      </c>
      <c r="F30" s="40">
        <v>16</v>
      </c>
      <c r="G30" s="40" t="s">
        <v>377</v>
      </c>
    </row>
    <row r="31" ht="22.5" customHeight="1" spans="1:12">
      <c r="A31" s="410" t="s">
        <v>319</v>
      </c>
      <c r="B31" s="413">
        <v>8.1</v>
      </c>
      <c r="C31" s="40">
        <v>1370</v>
      </c>
      <c r="D31" s="413">
        <v>8.1</v>
      </c>
      <c r="E31" s="40">
        <v>1370</v>
      </c>
      <c r="F31" s="40">
        <v>16</v>
      </c>
      <c r="G31" s="40" t="s">
        <v>384</v>
      </c>
    </row>
    <row r="32" ht="22.5" customHeight="1" spans="1:12">
      <c r="A32" s="410" t="s">
        <v>321</v>
      </c>
      <c r="B32" s="413">
        <v>8.1</v>
      </c>
      <c r="C32" s="40">
        <v>1370</v>
      </c>
      <c r="D32" s="413">
        <v>8.1</v>
      </c>
      <c r="E32" s="40">
        <v>1370</v>
      </c>
      <c r="F32" s="40">
        <v>16</v>
      </c>
      <c r="G32" s="40" t="s">
        <v>384</v>
      </c>
    </row>
    <row r="33" ht="22.5" customHeight="1" spans="1:7">
      <c r="A33" s="410" t="s">
        <v>322</v>
      </c>
      <c r="B33" s="413">
        <v>8.1</v>
      </c>
      <c r="C33" s="40">
        <v>1370</v>
      </c>
      <c r="D33" s="413">
        <v>8.1</v>
      </c>
      <c r="E33" s="40">
        <v>1370</v>
      </c>
      <c r="F33" s="40">
        <v>16</v>
      </c>
      <c r="G33" s="40" t="s">
        <v>384</v>
      </c>
    </row>
    <row r="34" ht="22.5" customHeight="1" spans="1:7">
      <c r="A34" s="410" t="s">
        <v>323</v>
      </c>
      <c r="B34" s="413">
        <v>8.1</v>
      </c>
      <c r="C34" s="40">
        <v>1370</v>
      </c>
      <c r="D34" s="413">
        <v>8.1</v>
      </c>
      <c r="E34" s="40">
        <v>1370</v>
      </c>
      <c r="F34" s="40">
        <v>16</v>
      </c>
      <c r="G34" s="40" t="s">
        <v>384</v>
      </c>
    </row>
    <row r="35" ht="22.5" customHeight="1" spans="1:7">
      <c r="A35" s="410" t="s">
        <v>324</v>
      </c>
      <c r="B35" s="413">
        <v>8.1</v>
      </c>
      <c r="C35" s="40">
        <v>1370</v>
      </c>
      <c r="D35" s="413">
        <v>8.1</v>
      </c>
      <c r="E35" s="40">
        <v>1370</v>
      </c>
      <c r="F35" s="40">
        <v>16</v>
      </c>
      <c r="G35" s="40" t="s">
        <v>384</v>
      </c>
    </row>
    <row r="36" ht="22.5" customHeight="1" spans="1:7">
      <c r="A36" s="410" t="s">
        <v>325</v>
      </c>
      <c r="B36" s="413">
        <v>8.2</v>
      </c>
      <c r="C36" s="40">
        <v>1390</v>
      </c>
      <c r="D36" s="413">
        <v>8.2</v>
      </c>
      <c r="E36" s="40">
        <v>1390</v>
      </c>
      <c r="F36" s="40">
        <v>16</v>
      </c>
      <c r="G36" s="40" t="s">
        <v>384</v>
      </c>
    </row>
    <row r="37" ht="22.5" customHeight="1" spans="1:7">
      <c r="A37" s="410" t="s">
        <v>326</v>
      </c>
      <c r="B37" s="413">
        <v>8.1</v>
      </c>
      <c r="C37" s="40">
        <v>1370</v>
      </c>
      <c r="D37" s="413">
        <v>8.1</v>
      </c>
      <c r="E37" s="40">
        <v>1370</v>
      </c>
      <c r="F37" s="40">
        <v>16</v>
      </c>
      <c r="G37" s="40" t="s">
        <v>354</v>
      </c>
    </row>
    <row r="38" ht="22.5" customHeight="1" spans="1:7">
      <c r="A38" s="410" t="s">
        <v>327</v>
      </c>
      <c r="B38" s="413">
        <v>8.1</v>
      </c>
      <c r="C38" s="40">
        <v>1370</v>
      </c>
      <c r="D38" s="413">
        <v>8.1</v>
      </c>
      <c r="E38" s="40">
        <v>1370</v>
      </c>
      <c r="F38" s="40">
        <v>16</v>
      </c>
      <c r="G38" s="40" t="s">
        <v>384</v>
      </c>
    </row>
    <row r="39" ht="22.5" customHeight="1" spans="1:7">
      <c r="A39" s="410" t="s">
        <v>328</v>
      </c>
      <c r="B39" s="413">
        <v>8.1</v>
      </c>
      <c r="C39" s="40">
        <v>1410</v>
      </c>
      <c r="D39" s="413">
        <v>8.1</v>
      </c>
      <c r="E39" s="40">
        <v>1410</v>
      </c>
      <c r="F39" s="40">
        <v>16</v>
      </c>
      <c r="G39" s="40" t="s">
        <v>384</v>
      </c>
    </row>
    <row r="40" ht="22.5" customHeight="1" spans="1:7">
      <c r="A40" s="410" t="s">
        <v>329</v>
      </c>
      <c r="B40" s="413">
        <v>8.3</v>
      </c>
      <c r="C40" s="40">
        <v>1410</v>
      </c>
      <c r="D40" s="413">
        <v>8.3</v>
      </c>
      <c r="E40" s="40">
        <v>1410</v>
      </c>
      <c r="F40" s="40">
        <v>16</v>
      </c>
      <c r="G40" s="40" t="s">
        <v>383</v>
      </c>
    </row>
    <row r="41" ht="22.5" customHeight="1" spans="1:7">
      <c r="A41" s="410" t="s">
        <v>330</v>
      </c>
      <c r="B41" s="413">
        <v>8.3</v>
      </c>
      <c r="C41" s="40">
        <v>1410</v>
      </c>
      <c r="D41" s="413">
        <v>8.3</v>
      </c>
      <c r="E41" s="40">
        <v>1410</v>
      </c>
      <c r="F41" s="40">
        <v>16</v>
      </c>
      <c r="G41" s="40" t="s">
        <v>383</v>
      </c>
    </row>
    <row r="42" ht="22.5" customHeight="1" spans="1:7">
      <c r="A42" s="410" t="s">
        <v>331</v>
      </c>
      <c r="B42" s="413">
        <v>8.1</v>
      </c>
      <c r="C42" s="40">
        <v>1410</v>
      </c>
      <c r="D42" s="413">
        <v>8.1</v>
      </c>
      <c r="E42" s="40">
        <v>1410</v>
      </c>
      <c r="F42" s="40">
        <v>16</v>
      </c>
      <c r="G42" s="40" t="s">
        <v>383</v>
      </c>
    </row>
    <row r="43" ht="22.5" customHeight="1" spans="1:7">
      <c r="A43" s="410" t="s">
        <v>332</v>
      </c>
      <c r="B43" s="413">
        <v>8.1</v>
      </c>
      <c r="C43" s="40">
        <v>1410</v>
      </c>
      <c r="D43" s="413">
        <v>8.1</v>
      </c>
      <c r="E43" s="40">
        <v>1410</v>
      </c>
      <c r="F43" s="40">
        <v>16</v>
      </c>
      <c r="G43" s="40" t="s">
        <v>384</v>
      </c>
    </row>
    <row r="44" ht="22.5" customHeight="1" spans="1:7">
      <c r="A44" s="410" t="s">
        <v>333</v>
      </c>
      <c r="B44" s="413">
        <v>8.1</v>
      </c>
      <c r="C44" s="40">
        <v>1370</v>
      </c>
      <c r="D44" s="413">
        <v>8.1</v>
      </c>
      <c r="E44" s="40">
        <v>1370</v>
      </c>
      <c r="F44" s="40">
        <v>16</v>
      </c>
      <c r="G44" s="40" t="s">
        <v>383</v>
      </c>
    </row>
    <row r="45" ht="22.5" customHeight="1" spans="1:7">
      <c r="A45" s="410" t="s">
        <v>334</v>
      </c>
      <c r="B45" s="413">
        <v>8.1</v>
      </c>
      <c r="C45" s="40">
        <v>1370</v>
      </c>
      <c r="D45" s="413">
        <v>8.1</v>
      </c>
      <c r="E45" s="40">
        <v>1370</v>
      </c>
      <c r="F45" s="40">
        <v>16</v>
      </c>
      <c r="G45" s="40" t="s">
        <v>383</v>
      </c>
    </row>
    <row r="46" ht="22.5" customHeight="1" spans="1:7">
      <c r="A46" s="410" t="s">
        <v>335</v>
      </c>
      <c r="B46" s="413">
        <v>8.5</v>
      </c>
      <c r="C46" s="40">
        <v>1410</v>
      </c>
      <c r="D46" s="413">
        <v>8.5</v>
      </c>
      <c r="E46" s="40">
        <v>1410</v>
      </c>
      <c r="F46" s="40">
        <v>16</v>
      </c>
      <c r="G46" s="40" t="s">
        <v>377</v>
      </c>
    </row>
    <row r="47" ht="22.5" customHeight="1" spans="1:7">
      <c r="A47" s="410" t="s">
        <v>337</v>
      </c>
      <c r="B47" s="413">
        <v>8.7</v>
      </c>
      <c r="C47" s="40">
        <v>1530</v>
      </c>
      <c r="D47" s="413">
        <v>8.7</v>
      </c>
      <c r="E47" s="40">
        <v>1530</v>
      </c>
      <c r="F47" s="40">
        <v>16</v>
      </c>
      <c r="G47" s="40" t="s">
        <v>377</v>
      </c>
    </row>
    <row r="48" ht="22.5" customHeight="1" spans="1:7">
      <c r="A48" s="410" t="s">
        <v>387</v>
      </c>
      <c r="B48" s="413">
        <v>9</v>
      </c>
      <c r="C48" s="40">
        <v>1500</v>
      </c>
      <c r="D48" s="413">
        <v>9</v>
      </c>
      <c r="E48" s="40">
        <v>1500</v>
      </c>
      <c r="F48" s="40">
        <v>16</v>
      </c>
      <c r="G48" s="40" t="s">
        <v>388</v>
      </c>
    </row>
    <row r="49" ht="22.5" customHeight="1" spans="1:7">
      <c r="A49" s="410" t="s">
        <v>338</v>
      </c>
      <c r="B49" s="413">
        <v>9.3</v>
      </c>
      <c r="C49" s="40">
        <v>1650</v>
      </c>
      <c r="D49" s="413">
        <v>9.3</v>
      </c>
      <c r="E49" s="40">
        <v>1650</v>
      </c>
      <c r="F49" s="40">
        <v>16</v>
      </c>
      <c r="G49" s="40" t="s">
        <v>383</v>
      </c>
    </row>
    <row r="50" ht="22.5" customHeight="1" spans="1:7">
      <c r="A50" s="410" t="s">
        <v>340</v>
      </c>
      <c r="B50" s="413">
        <v>8.3</v>
      </c>
      <c r="C50" s="40">
        <v>1410</v>
      </c>
      <c r="D50" s="413">
        <v>8.3</v>
      </c>
      <c r="E50" s="40">
        <v>1410</v>
      </c>
      <c r="F50" s="40">
        <v>16</v>
      </c>
      <c r="G50" s="40" t="s">
        <v>383</v>
      </c>
    </row>
    <row r="51" ht="22.5" customHeight="1" spans="1:7">
      <c r="A51" s="410" t="s">
        <v>339</v>
      </c>
      <c r="B51" s="413">
        <v>10</v>
      </c>
      <c r="C51" s="40">
        <v>1700</v>
      </c>
      <c r="D51" s="413">
        <v>10</v>
      </c>
      <c r="E51" s="40">
        <v>1700</v>
      </c>
      <c r="F51" s="40">
        <v>16</v>
      </c>
      <c r="G51" s="40" t="s">
        <v>383</v>
      </c>
    </row>
    <row r="52" ht="22.5" customHeight="1" spans="1:7">
      <c r="A52" s="410" t="s">
        <v>343</v>
      </c>
      <c r="B52" s="413">
        <v>9.5</v>
      </c>
      <c r="C52" s="40">
        <v>1620</v>
      </c>
      <c r="D52" s="413">
        <v>9.5</v>
      </c>
      <c r="E52" s="40">
        <v>1620</v>
      </c>
      <c r="F52" s="40">
        <v>16</v>
      </c>
      <c r="G52" s="40" t="s">
        <v>377</v>
      </c>
    </row>
    <row r="53" ht="22.5" customHeight="1" spans="1:7">
      <c r="A53" s="410" t="s">
        <v>344</v>
      </c>
      <c r="B53" s="413">
        <v>9.5</v>
      </c>
      <c r="C53" s="40">
        <v>1620</v>
      </c>
      <c r="D53" s="413">
        <v>9.5</v>
      </c>
      <c r="E53" s="40">
        <v>1620</v>
      </c>
      <c r="F53" s="40">
        <v>16</v>
      </c>
      <c r="G53" s="40" t="s">
        <v>377</v>
      </c>
    </row>
    <row r="54" ht="22.5" customHeight="1" spans="1:7">
      <c r="A54" s="410" t="s">
        <v>232</v>
      </c>
      <c r="B54" s="413">
        <v>10.2</v>
      </c>
      <c r="C54" s="40">
        <v>1730</v>
      </c>
      <c r="D54" s="413">
        <v>10.2</v>
      </c>
      <c r="E54" s="40">
        <v>1730</v>
      </c>
      <c r="F54" s="40">
        <v>16</v>
      </c>
      <c r="G54" s="40" t="s">
        <v>388</v>
      </c>
    </row>
    <row r="55" ht="22.5" customHeight="1" spans="1:7">
      <c r="A55" s="410" t="s">
        <v>347</v>
      </c>
      <c r="B55" s="413">
        <v>11</v>
      </c>
      <c r="C55" s="40">
        <v>1890</v>
      </c>
      <c r="D55" s="413">
        <v>11</v>
      </c>
      <c r="E55" s="40">
        <v>1890</v>
      </c>
      <c r="F55" s="40">
        <v>16</v>
      </c>
      <c r="G55" s="40" t="s">
        <v>388</v>
      </c>
    </row>
    <row r="56" ht="22.5" customHeight="1" spans="1:7">
      <c r="A56" s="410" t="s">
        <v>348</v>
      </c>
      <c r="B56" s="413">
        <v>10.2</v>
      </c>
      <c r="C56" s="40">
        <v>1740</v>
      </c>
      <c r="D56" s="413">
        <v>10.2</v>
      </c>
      <c r="E56" s="40">
        <v>1740</v>
      </c>
      <c r="F56" s="40">
        <v>16</v>
      </c>
      <c r="G56" s="40" t="s">
        <v>388</v>
      </c>
    </row>
    <row r="57" ht="22.5" customHeight="1" spans="1:7">
      <c r="A57" s="410" t="s">
        <v>349</v>
      </c>
      <c r="B57" s="413">
        <v>11</v>
      </c>
      <c r="C57" s="40">
        <v>1900</v>
      </c>
      <c r="D57" s="413">
        <v>11</v>
      </c>
      <c r="E57" s="40">
        <v>1900</v>
      </c>
      <c r="F57" s="40">
        <v>16</v>
      </c>
      <c r="G57" s="40" t="s">
        <v>388</v>
      </c>
    </row>
    <row r="58" ht="22.5" customHeight="1" spans="1:7">
      <c r="A58" s="410" t="s">
        <v>350</v>
      </c>
      <c r="B58" s="413">
        <v>10.6</v>
      </c>
      <c r="C58" s="40">
        <v>1810</v>
      </c>
      <c r="D58" s="413">
        <v>10.6</v>
      </c>
      <c r="E58" s="40">
        <v>1810</v>
      </c>
      <c r="F58" s="40">
        <v>16</v>
      </c>
      <c r="G58" s="40" t="s">
        <v>388</v>
      </c>
    </row>
    <row r="59" ht="22.5" customHeight="1" spans="1:7">
      <c r="A59" s="410" t="s">
        <v>345</v>
      </c>
      <c r="B59" s="413">
        <v>10.8</v>
      </c>
      <c r="C59" s="40">
        <v>1830</v>
      </c>
      <c r="D59" s="413">
        <v>10.8</v>
      </c>
      <c r="E59" s="40">
        <v>1810</v>
      </c>
      <c r="F59" s="40">
        <v>16</v>
      </c>
      <c r="G59" s="40" t="s">
        <v>377</v>
      </c>
    </row>
    <row r="60" ht="22.5" customHeight="1" spans="1:7">
      <c r="A60" s="410" t="s">
        <v>346</v>
      </c>
      <c r="B60" s="413">
        <v>10.6</v>
      </c>
      <c r="C60" s="40">
        <v>1770</v>
      </c>
      <c r="D60" s="413">
        <v>10.6</v>
      </c>
      <c r="E60" s="40">
        <v>1770</v>
      </c>
      <c r="F60" s="40">
        <v>16</v>
      </c>
      <c r="G60" s="40" t="s">
        <v>377</v>
      </c>
    </row>
    <row r="61" ht="22.5" customHeight="1" spans="1:7">
      <c r="A61" s="410" t="s">
        <v>341</v>
      </c>
      <c r="B61" s="413">
        <v>9.6</v>
      </c>
      <c r="C61" s="40">
        <v>1590</v>
      </c>
      <c r="D61" s="413">
        <v>9.6</v>
      </c>
      <c r="E61" s="40">
        <v>1590</v>
      </c>
      <c r="F61" s="40">
        <v>16</v>
      </c>
      <c r="G61" s="40" t="s">
        <v>377</v>
      </c>
    </row>
    <row r="62" ht="22.5" customHeight="1" spans="1:7">
      <c r="A62" s="410" t="s">
        <v>351</v>
      </c>
      <c r="B62" s="413">
        <v>9.9</v>
      </c>
      <c r="C62" s="40">
        <v>1610</v>
      </c>
      <c r="D62" s="413">
        <v>9.9</v>
      </c>
      <c r="E62" s="40">
        <v>1610</v>
      </c>
      <c r="F62" s="40">
        <v>16</v>
      </c>
      <c r="G62" s="40" t="s">
        <v>377</v>
      </c>
    </row>
    <row r="63" ht="22.5" customHeight="1" spans="1:7">
      <c r="A63" s="410" t="s">
        <v>356</v>
      </c>
      <c r="B63" s="413">
        <v>12.5</v>
      </c>
      <c r="C63" s="40">
        <v>2170</v>
      </c>
      <c r="D63" s="413">
        <v>12.5</v>
      </c>
      <c r="E63" s="40">
        <v>2170</v>
      </c>
      <c r="F63" s="40">
        <v>16</v>
      </c>
      <c r="G63" s="40" t="s">
        <v>377</v>
      </c>
    </row>
    <row r="64" ht="22.5" customHeight="1" spans="1:7">
      <c r="A64" s="410" t="s">
        <v>353</v>
      </c>
      <c r="B64" s="413">
        <v>10.8</v>
      </c>
      <c r="C64" s="40">
        <v>1820</v>
      </c>
      <c r="D64" s="413">
        <v>10.8</v>
      </c>
      <c r="E64" s="40">
        <v>1820</v>
      </c>
      <c r="F64" s="40">
        <v>16</v>
      </c>
      <c r="G64" s="40" t="s">
        <v>377</v>
      </c>
    </row>
    <row r="65" ht="22.5" customHeight="1" spans="1:7">
      <c r="A65" s="410" t="s">
        <v>357</v>
      </c>
      <c r="B65" s="413">
        <v>11.7</v>
      </c>
      <c r="C65" s="40">
        <v>1950</v>
      </c>
      <c r="D65" s="413">
        <v>11.7</v>
      </c>
      <c r="E65" s="40">
        <v>1950</v>
      </c>
      <c r="F65" s="40">
        <v>16</v>
      </c>
      <c r="G65" s="40" t="s">
        <v>389</v>
      </c>
    </row>
    <row r="66" ht="22.5" customHeight="1" spans="1:7">
      <c r="A66" s="410" t="s">
        <v>359</v>
      </c>
      <c r="B66" s="413">
        <v>11.7</v>
      </c>
      <c r="C66" s="40">
        <v>1950</v>
      </c>
      <c r="D66" s="413">
        <v>11.7</v>
      </c>
      <c r="E66" s="40">
        <v>1950</v>
      </c>
      <c r="F66" s="40">
        <v>16</v>
      </c>
      <c r="G66" s="40" t="s">
        <v>389</v>
      </c>
    </row>
    <row r="67" ht="22.5" customHeight="1" spans="1:7">
      <c r="A67" s="410" t="s">
        <v>360</v>
      </c>
      <c r="B67" s="413">
        <v>11.5</v>
      </c>
      <c r="C67" s="40">
        <v>1910</v>
      </c>
      <c r="D67" s="413">
        <v>11.5</v>
      </c>
      <c r="E67" s="40">
        <v>1910</v>
      </c>
      <c r="F67" s="40">
        <v>16</v>
      </c>
      <c r="G67" s="40" t="s">
        <v>389</v>
      </c>
    </row>
    <row r="68" ht="22.5" customHeight="1" spans="1:7">
      <c r="A68" s="410" t="s">
        <v>361</v>
      </c>
      <c r="B68" s="413">
        <v>11.7</v>
      </c>
      <c r="C68" s="40">
        <v>1950</v>
      </c>
      <c r="D68" s="413">
        <v>11.7</v>
      </c>
      <c r="E68" s="40">
        <v>1950</v>
      </c>
      <c r="F68" s="40">
        <v>16</v>
      </c>
      <c r="G68" s="40" t="s">
        <v>389</v>
      </c>
    </row>
    <row r="69" ht="22.5" customHeight="1" spans="1:7">
      <c r="A69" s="410" t="s">
        <v>362</v>
      </c>
      <c r="B69" s="413">
        <v>11.7</v>
      </c>
      <c r="C69" s="40">
        <v>1950</v>
      </c>
      <c r="D69" s="413">
        <v>11.7</v>
      </c>
      <c r="E69" s="40">
        <v>1950</v>
      </c>
      <c r="F69" s="40">
        <v>16</v>
      </c>
      <c r="G69" s="40" t="s">
        <v>389</v>
      </c>
    </row>
    <row r="70" ht="22.5" customHeight="1" spans="1:7">
      <c r="A70" s="410" t="s">
        <v>363</v>
      </c>
      <c r="B70" s="413">
        <v>11.7</v>
      </c>
      <c r="C70" s="40">
        <v>1950</v>
      </c>
      <c r="D70" s="413">
        <v>11.7</v>
      </c>
      <c r="E70" s="40">
        <v>1950</v>
      </c>
      <c r="F70" s="40">
        <v>16</v>
      </c>
      <c r="G70" s="40" t="s">
        <v>389</v>
      </c>
    </row>
    <row r="71" ht="24" customHeight="1" spans="1:7">
      <c r="A71" s="410" t="s">
        <v>364</v>
      </c>
      <c r="B71" s="413">
        <v>11.8</v>
      </c>
      <c r="C71" s="40">
        <v>1980</v>
      </c>
      <c r="D71" s="413">
        <v>11.8</v>
      </c>
      <c r="E71" s="40">
        <v>1980</v>
      </c>
      <c r="F71" s="40">
        <v>16</v>
      </c>
      <c r="G71" s="40" t="s">
        <v>389</v>
      </c>
    </row>
    <row r="72" ht="24" customHeight="1" spans="1:7">
      <c r="A72" s="410" t="s">
        <v>365</v>
      </c>
      <c r="B72" s="413">
        <v>11.7</v>
      </c>
      <c r="C72" s="40">
        <v>1950</v>
      </c>
      <c r="D72" s="413">
        <v>11.7</v>
      </c>
      <c r="E72" s="40">
        <v>1950</v>
      </c>
      <c r="F72" s="40">
        <v>16</v>
      </c>
      <c r="G72" s="40" t="s">
        <v>389</v>
      </c>
    </row>
    <row r="73" ht="34" customHeight="1" spans="1:7">
      <c r="A73" s="516" t="s">
        <v>61</v>
      </c>
      <c r="B73" s="517" t="s">
        <v>390</v>
      </c>
      <c r="C73" s="517"/>
      <c r="D73" s="517"/>
      <c r="E73" s="517"/>
      <c r="F73" s="517"/>
      <c r="G73" s="518"/>
    </row>
    <row r="74" ht="196" customHeight="1" spans="1:7">
      <c r="A74" s="493"/>
      <c r="B74" s="420"/>
      <c r="C74" s="420"/>
      <c r="D74" s="420"/>
      <c r="E74" s="420"/>
      <c r="F74" s="420"/>
      <c r="G74" s="421"/>
    </row>
  </sheetData>
  <mergeCells count="11">
    <mergeCell ref="A1:G1"/>
    <mergeCell ref="A2:G2"/>
    <mergeCell ref="A3:G3"/>
    <mergeCell ref="A4:G4"/>
    <mergeCell ref="B5:C5"/>
    <mergeCell ref="D5:E5"/>
    <mergeCell ref="A5:A6"/>
    <mergeCell ref="A73:A74"/>
    <mergeCell ref="F5:F6"/>
    <mergeCell ref="G5:G6"/>
    <mergeCell ref="B73:G74"/>
  </mergeCells>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M36"/>
  <sheetViews>
    <sheetView zoomScale="40" zoomScaleNormal="40" workbookViewId="0">
      <selection activeCell="C6" sqref="C6:F34"/>
    </sheetView>
  </sheetViews>
  <sheetFormatPr defaultColWidth="27.2" defaultRowHeight="38" customHeight="1"/>
  <cols>
    <col min="1" max="2" width="27.2" style="396" customWidth="1"/>
    <col min="3" max="3" width="24.4416666666667" style="394" customWidth="1"/>
    <col min="4" max="4" width="23.4666666666667" style="394" customWidth="1"/>
    <col min="5" max="5" width="23.8833333333333" style="394" customWidth="1"/>
    <col min="6" max="6" width="22.0833333333333" style="394" customWidth="1"/>
    <col min="7" max="7" width="23.7416666666667" style="394" customWidth="1"/>
    <col min="8" max="8" width="26.3833333333333" style="394" customWidth="1"/>
    <col min="9" max="9" width="23.8833333333333" style="394" customWidth="1"/>
    <col min="10" max="16361" width="27.2" style="394" customWidth="1"/>
    <col min="16362" max="16384" width="27.2" style="397" customWidth="1"/>
  </cols>
  <sheetData>
    <row r="1" s="393" customFormat="1" customHeight="1" spans="1:12">
      <c r="A1" s="426" t="s">
        <v>282</v>
      </c>
      <c r="B1" s="426"/>
      <c r="C1" s="480"/>
      <c r="D1" s="480"/>
      <c r="E1" s="480"/>
      <c r="F1" s="480"/>
      <c r="G1" s="480"/>
      <c r="H1" s="480"/>
      <c r="I1" s="481"/>
    </row>
    <row r="2" s="393" customFormat="1" customHeight="1" spans="1:12">
      <c r="A2" s="482" t="s">
        <v>283</v>
      </c>
      <c r="B2" s="483"/>
      <c r="C2" s="484"/>
      <c r="D2" s="484"/>
      <c r="E2" s="484"/>
      <c r="F2" s="484"/>
      <c r="G2" s="484"/>
      <c r="H2" s="485"/>
      <c r="I2" s="486"/>
    </row>
    <row r="3" s="393" customFormat="1" customHeight="1" spans="1:12">
      <c r="A3" s="467" t="s">
        <v>16</v>
      </c>
      <c r="B3" s="487"/>
      <c r="C3" s="407"/>
      <c r="D3" s="407"/>
      <c r="E3" s="407"/>
      <c r="F3" s="407"/>
      <c r="G3" s="407"/>
      <c r="H3" s="407"/>
      <c r="I3" s="408"/>
      <c r="J3" s="401"/>
    </row>
    <row r="4" s="394" customFormat="1" customHeight="1" spans="1:12">
      <c r="A4" s="441" t="s">
        <v>287</v>
      </c>
      <c r="B4" s="441" t="s">
        <v>391</v>
      </c>
      <c r="C4" s="441" t="s">
        <v>184</v>
      </c>
      <c r="D4" s="441"/>
      <c r="E4" s="441" t="s">
        <v>260</v>
      </c>
      <c r="F4" s="441"/>
      <c r="G4" s="410" t="s">
        <v>376</v>
      </c>
      <c r="H4" s="410" t="s">
        <v>288</v>
      </c>
      <c r="I4" s="442" t="s">
        <v>289</v>
      </c>
      <c r="J4" s="401"/>
    </row>
    <row r="5" s="395" customFormat="1" customHeight="1" spans="1:12">
      <c r="A5" s="441"/>
      <c r="B5" s="488"/>
      <c r="C5" s="140" t="s">
        <v>290</v>
      </c>
      <c r="D5" s="140" t="s">
        <v>392</v>
      </c>
      <c r="E5" s="140" t="s">
        <v>290</v>
      </c>
      <c r="F5" s="140" t="s">
        <v>392</v>
      </c>
      <c r="G5" s="489"/>
      <c r="H5" s="489"/>
      <c r="I5" s="446"/>
      <c r="J5" s="401"/>
    </row>
    <row r="6" s="395" customFormat="1" customHeight="1" spans="1:12">
      <c r="A6" s="140" t="s">
        <v>292</v>
      </c>
      <c r="B6" s="413" t="s">
        <v>393</v>
      </c>
      <c r="C6" s="413">
        <v>6.9</v>
      </c>
      <c r="D6" s="40">
        <v>1220</v>
      </c>
      <c r="E6" s="413">
        <v>6.9</v>
      </c>
      <c r="F6" s="40">
        <v>1260</v>
      </c>
      <c r="G6" s="40">
        <v>16</v>
      </c>
      <c r="H6" s="40" t="s">
        <v>336</v>
      </c>
      <c r="I6" s="40" t="s">
        <v>148</v>
      </c>
      <c r="J6" s="395"/>
      <c r="K6" s="28"/>
      <c r="L6" s="28"/>
    </row>
    <row r="7" s="395" customFormat="1" customHeight="1" spans="1:12">
      <c r="A7" s="140" t="s">
        <v>296</v>
      </c>
      <c r="B7" s="413" t="s">
        <v>393</v>
      </c>
      <c r="C7" s="413">
        <v>6.9</v>
      </c>
      <c r="D7" s="40">
        <v>1220</v>
      </c>
      <c r="E7" s="413">
        <v>6.9</v>
      </c>
      <c r="F7" s="40">
        <v>1260</v>
      </c>
      <c r="G7" s="40">
        <v>16</v>
      </c>
      <c r="H7" s="40" t="s">
        <v>336</v>
      </c>
      <c r="I7" s="40" t="s">
        <v>148</v>
      </c>
    </row>
    <row r="8" s="395" customFormat="1" customHeight="1" spans="1:12">
      <c r="A8" s="140" t="s">
        <v>298</v>
      </c>
      <c r="B8" s="413" t="s">
        <v>393</v>
      </c>
      <c r="C8" s="413">
        <v>6.9</v>
      </c>
      <c r="D8" s="40">
        <v>1220</v>
      </c>
      <c r="E8" s="413">
        <v>6.9</v>
      </c>
      <c r="F8" s="40">
        <v>1260</v>
      </c>
      <c r="G8" s="40">
        <v>16</v>
      </c>
      <c r="H8" s="40" t="s">
        <v>336</v>
      </c>
      <c r="I8" s="40" t="s">
        <v>148</v>
      </c>
    </row>
    <row r="9" s="395" customFormat="1" customHeight="1" spans="1:12">
      <c r="A9" s="140" t="s">
        <v>297</v>
      </c>
      <c r="B9" s="413" t="s">
        <v>393</v>
      </c>
      <c r="C9" s="413">
        <v>6.9</v>
      </c>
      <c r="D9" s="40">
        <v>1220</v>
      </c>
      <c r="E9" s="413">
        <v>6.9</v>
      </c>
      <c r="F9" s="40">
        <v>1260</v>
      </c>
      <c r="G9" s="40">
        <v>16</v>
      </c>
      <c r="H9" s="40" t="s">
        <v>336</v>
      </c>
      <c r="I9" s="40" t="s">
        <v>148</v>
      </c>
    </row>
    <row r="10" s="395" customFormat="1" customHeight="1" spans="1:12">
      <c r="A10" s="140" t="s">
        <v>299</v>
      </c>
      <c r="B10" s="413" t="s">
        <v>393</v>
      </c>
      <c r="C10" s="413">
        <v>7</v>
      </c>
      <c r="D10" s="40">
        <v>1220</v>
      </c>
      <c r="E10" s="413">
        <v>7</v>
      </c>
      <c r="F10" s="40">
        <v>1260</v>
      </c>
      <c r="G10" s="40">
        <v>16</v>
      </c>
      <c r="H10" s="40" t="s">
        <v>336</v>
      </c>
      <c r="I10" s="40" t="s">
        <v>148</v>
      </c>
    </row>
    <row r="11" s="395" customFormat="1" customHeight="1" spans="1:12">
      <c r="A11" s="140" t="s">
        <v>303</v>
      </c>
      <c r="B11" s="413" t="s">
        <v>393</v>
      </c>
      <c r="C11" s="413">
        <v>7</v>
      </c>
      <c r="D11" s="40">
        <v>1220</v>
      </c>
      <c r="E11" s="413">
        <v>7</v>
      </c>
      <c r="F11" s="40">
        <v>1260</v>
      </c>
      <c r="G11" s="40">
        <v>16</v>
      </c>
      <c r="H11" s="40" t="s">
        <v>336</v>
      </c>
      <c r="I11" s="40" t="s">
        <v>148</v>
      </c>
    </row>
    <row r="12" s="395" customFormat="1" customHeight="1" spans="1:12">
      <c r="A12" s="140" t="s">
        <v>304</v>
      </c>
      <c r="B12" s="413" t="s">
        <v>393</v>
      </c>
      <c r="C12" s="413">
        <v>7</v>
      </c>
      <c r="D12" s="40">
        <v>1230</v>
      </c>
      <c r="E12" s="413">
        <v>7</v>
      </c>
      <c r="F12" s="40">
        <v>1270</v>
      </c>
      <c r="G12" s="40">
        <v>16</v>
      </c>
      <c r="H12" s="40" t="s">
        <v>336</v>
      </c>
      <c r="I12" s="40" t="s">
        <v>148</v>
      </c>
    </row>
    <row r="13" s="395" customFormat="1" customHeight="1" spans="1:12">
      <c r="A13" s="140" t="s">
        <v>328</v>
      </c>
      <c r="B13" s="413" t="s">
        <v>393</v>
      </c>
      <c r="C13" s="413">
        <v>7.6</v>
      </c>
      <c r="D13" s="40">
        <v>1340</v>
      </c>
      <c r="E13" s="413">
        <v>7.6</v>
      </c>
      <c r="F13" s="40">
        <v>1380</v>
      </c>
      <c r="G13" s="40">
        <v>20</v>
      </c>
      <c r="H13" s="40" t="s">
        <v>388</v>
      </c>
      <c r="I13" s="40" t="s">
        <v>148</v>
      </c>
    </row>
    <row r="14" s="395" customFormat="1" customHeight="1" spans="1:12">
      <c r="A14" s="140" t="s">
        <v>332</v>
      </c>
      <c r="B14" s="413" t="s">
        <v>393</v>
      </c>
      <c r="C14" s="413">
        <v>7.6</v>
      </c>
      <c r="D14" s="40">
        <v>1340</v>
      </c>
      <c r="E14" s="413">
        <v>7.6</v>
      </c>
      <c r="F14" s="40">
        <v>1380</v>
      </c>
      <c r="G14" s="40">
        <v>20</v>
      </c>
      <c r="H14" s="40" t="s">
        <v>388</v>
      </c>
      <c r="I14" s="40" t="s">
        <v>148</v>
      </c>
    </row>
    <row r="15" s="395" customFormat="1" customHeight="1" spans="1:12">
      <c r="A15" s="140" t="s">
        <v>331</v>
      </c>
      <c r="B15" s="413" t="s">
        <v>393</v>
      </c>
      <c r="C15" s="413">
        <v>7.7</v>
      </c>
      <c r="D15" s="40">
        <v>1340</v>
      </c>
      <c r="E15" s="413">
        <v>7.7</v>
      </c>
      <c r="F15" s="40">
        <v>1380</v>
      </c>
      <c r="G15" s="40">
        <v>20</v>
      </c>
      <c r="H15" s="40" t="s">
        <v>388</v>
      </c>
      <c r="I15" s="40" t="s">
        <v>148</v>
      </c>
    </row>
    <row r="16" s="395" customFormat="1" customHeight="1" spans="1:12">
      <c r="A16" s="140" t="s">
        <v>339</v>
      </c>
      <c r="B16" s="413" t="s">
        <v>393</v>
      </c>
      <c r="C16" s="413">
        <v>9.7</v>
      </c>
      <c r="D16" s="40">
        <v>1650</v>
      </c>
      <c r="E16" s="413">
        <v>9.7</v>
      </c>
      <c r="F16" s="40">
        <v>1690</v>
      </c>
      <c r="G16" s="40">
        <v>20</v>
      </c>
      <c r="H16" s="40" t="s">
        <v>394</v>
      </c>
      <c r="I16" s="40" t="s">
        <v>148</v>
      </c>
    </row>
    <row r="17" s="395" customFormat="1" customHeight="1" spans="1:13">
      <c r="A17" s="140" t="s">
        <v>319</v>
      </c>
      <c r="B17" s="413" t="s">
        <v>393</v>
      </c>
      <c r="C17" s="413">
        <v>7.6</v>
      </c>
      <c r="D17" s="40">
        <v>1310</v>
      </c>
      <c r="E17" s="413">
        <v>7.6</v>
      </c>
      <c r="F17" s="40">
        <v>1350</v>
      </c>
      <c r="G17" s="40">
        <v>16</v>
      </c>
      <c r="H17" s="40" t="s">
        <v>384</v>
      </c>
      <c r="I17" s="40" t="s">
        <v>148</v>
      </c>
      <c r="J17" s="395"/>
      <c r="K17" s="395"/>
      <c r="L17" s="395"/>
      <c r="M17" s="490"/>
    </row>
    <row r="18" s="395" customFormat="1" customHeight="1" spans="1:13">
      <c r="A18" s="140" t="s">
        <v>321</v>
      </c>
      <c r="B18" s="413" t="s">
        <v>393</v>
      </c>
      <c r="C18" s="413">
        <v>7.6</v>
      </c>
      <c r="D18" s="40">
        <v>1310</v>
      </c>
      <c r="E18" s="413">
        <v>7.6</v>
      </c>
      <c r="F18" s="40">
        <v>1350</v>
      </c>
      <c r="G18" s="40">
        <v>16</v>
      </c>
      <c r="H18" s="40" t="s">
        <v>384</v>
      </c>
      <c r="I18" s="40" t="s">
        <v>148</v>
      </c>
    </row>
    <row r="19" s="395" customFormat="1" customHeight="1" spans="1:13">
      <c r="A19" s="140" t="s">
        <v>322</v>
      </c>
      <c r="B19" s="413" t="s">
        <v>393</v>
      </c>
      <c r="C19" s="413">
        <v>7.6</v>
      </c>
      <c r="D19" s="40">
        <v>1310</v>
      </c>
      <c r="E19" s="413">
        <v>7.6</v>
      </c>
      <c r="F19" s="40">
        <v>1350</v>
      </c>
      <c r="G19" s="40">
        <v>16</v>
      </c>
      <c r="H19" s="40" t="s">
        <v>384</v>
      </c>
      <c r="I19" s="40" t="s">
        <v>148</v>
      </c>
    </row>
    <row r="20" s="395" customFormat="1" customHeight="1" spans="1:13">
      <c r="A20" s="140" t="s">
        <v>326</v>
      </c>
      <c r="B20" s="413" t="s">
        <v>393</v>
      </c>
      <c r="C20" s="413">
        <v>7.5</v>
      </c>
      <c r="D20" s="40">
        <v>1310</v>
      </c>
      <c r="E20" s="413">
        <v>7.5</v>
      </c>
      <c r="F20" s="40">
        <v>1350</v>
      </c>
      <c r="G20" s="40">
        <v>16</v>
      </c>
      <c r="H20" s="40" t="s">
        <v>395</v>
      </c>
      <c r="I20" s="40" t="s">
        <v>148</v>
      </c>
    </row>
    <row r="21" s="395" customFormat="1" customHeight="1" spans="1:13">
      <c r="A21" s="140" t="s">
        <v>305</v>
      </c>
      <c r="B21" s="413" t="s">
        <v>393</v>
      </c>
      <c r="C21" s="413">
        <v>7.1</v>
      </c>
      <c r="D21" s="40">
        <v>1180</v>
      </c>
      <c r="E21" s="413">
        <v>7.1</v>
      </c>
      <c r="F21" s="40">
        <v>1220</v>
      </c>
      <c r="G21" s="40">
        <v>16</v>
      </c>
      <c r="H21" s="40" t="s">
        <v>342</v>
      </c>
      <c r="I21" s="40" t="s">
        <v>148</v>
      </c>
    </row>
    <row r="22" s="395" customFormat="1" customHeight="1" spans="1:13">
      <c r="A22" s="140" t="s">
        <v>327</v>
      </c>
      <c r="B22" s="413" t="s">
        <v>393</v>
      </c>
      <c r="C22" s="413">
        <v>7.6</v>
      </c>
      <c r="D22" s="40">
        <v>1310</v>
      </c>
      <c r="E22" s="413">
        <v>7.6</v>
      </c>
      <c r="F22" s="40">
        <v>1350</v>
      </c>
      <c r="G22" s="40">
        <v>16</v>
      </c>
      <c r="H22" s="40" t="s">
        <v>384</v>
      </c>
      <c r="I22" s="40" t="s">
        <v>148</v>
      </c>
    </row>
    <row r="23" s="395" customFormat="1" customHeight="1" spans="1:13">
      <c r="A23" s="140" t="s">
        <v>324</v>
      </c>
      <c r="B23" s="413" t="s">
        <v>393</v>
      </c>
      <c r="C23" s="413">
        <v>7.6</v>
      </c>
      <c r="D23" s="40">
        <v>1310</v>
      </c>
      <c r="E23" s="413">
        <v>7.6</v>
      </c>
      <c r="F23" s="40">
        <v>1350</v>
      </c>
      <c r="G23" s="40">
        <v>16</v>
      </c>
      <c r="H23" s="40" t="s">
        <v>384</v>
      </c>
      <c r="I23" s="40" t="s">
        <v>148</v>
      </c>
    </row>
    <row r="24" s="395" customFormat="1" customHeight="1" spans="1:13">
      <c r="A24" s="140" t="s">
        <v>323</v>
      </c>
      <c r="B24" s="413" t="s">
        <v>393</v>
      </c>
      <c r="C24" s="413">
        <v>7.6</v>
      </c>
      <c r="D24" s="40">
        <v>1290</v>
      </c>
      <c r="E24" s="413">
        <v>7.6</v>
      </c>
      <c r="F24" s="40">
        <v>1330</v>
      </c>
      <c r="G24" s="40">
        <v>16</v>
      </c>
      <c r="H24" s="40" t="s">
        <v>384</v>
      </c>
      <c r="I24" s="40" t="s">
        <v>148</v>
      </c>
    </row>
    <row r="25" s="395" customFormat="1" customHeight="1" spans="1:13">
      <c r="A25" s="140" t="s">
        <v>338</v>
      </c>
      <c r="B25" s="413" t="s">
        <v>393</v>
      </c>
      <c r="C25" s="413">
        <v>8.7</v>
      </c>
      <c r="D25" s="40">
        <v>1500</v>
      </c>
      <c r="E25" s="413">
        <v>8.7</v>
      </c>
      <c r="F25" s="40">
        <v>1540</v>
      </c>
      <c r="G25" s="40">
        <v>16</v>
      </c>
      <c r="H25" s="40" t="s">
        <v>383</v>
      </c>
      <c r="I25" s="40" t="s">
        <v>148</v>
      </c>
    </row>
    <row r="26" s="395" customFormat="1" customHeight="1" spans="1:13">
      <c r="A26" s="140" t="s">
        <v>344</v>
      </c>
      <c r="B26" s="413" t="s">
        <v>396</v>
      </c>
      <c r="C26" s="413">
        <v>7.8</v>
      </c>
      <c r="D26" s="40">
        <v>1290</v>
      </c>
      <c r="E26" s="413">
        <v>7.8</v>
      </c>
      <c r="F26" s="40">
        <v>1330</v>
      </c>
      <c r="G26" s="40" t="s">
        <v>397</v>
      </c>
      <c r="H26" s="40" t="s">
        <v>398</v>
      </c>
      <c r="I26" s="40" t="s">
        <v>148</v>
      </c>
    </row>
    <row r="27" s="395" customFormat="1" customHeight="1" spans="1:13">
      <c r="A27" s="140" t="s">
        <v>343</v>
      </c>
      <c r="B27" s="413" t="s">
        <v>396</v>
      </c>
      <c r="C27" s="413">
        <v>8.4</v>
      </c>
      <c r="D27" s="40">
        <v>1430</v>
      </c>
      <c r="E27" s="413">
        <v>8.4</v>
      </c>
      <c r="F27" s="40">
        <v>1470</v>
      </c>
      <c r="G27" s="40" t="s">
        <v>397</v>
      </c>
      <c r="H27" s="40" t="s">
        <v>398</v>
      </c>
      <c r="I27" s="40" t="s">
        <v>148</v>
      </c>
    </row>
    <row r="28" s="395" customFormat="1" customHeight="1" spans="1:13">
      <c r="A28" s="140" t="s">
        <v>232</v>
      </c>
      <c r="B28" s="413" t="s">
        <v>399</v>
      </c>
      <c r="C28" s="413">
        <v>8.9</v>
      </c>
      <c r="D28" s="40">
        <v>1510</v>
      </c>
      <c r="E28" s="413">
        <v>8.9</v>
      </c>
      <c r="F28" s="40">
        <v>1550</v>
      </c>
      <c r="G28" s="40" t="s">
        <v>400</v>
      </c>
      <c r="H28" s="40" t="s">
        <v>401</v>
      </c>
      <c r="I28" s="40" t="s">
        <v>148</v>
      </c>
    </row>
    <row r="29" s="395" customFormat="1" customHeight="1" spans="1:13">
      <c r="A29" s="140" t="s">
        <v>347</v>
      </c>
      <c r="B29" s="413" t="s">
        <v>399</v>
      </c>
      <c r="C29" s="413">
        <v>9</v>
      </c>
      <c r="D29" s="40">
        <v>1510</v>
      </c>
      <c r="E29" s="413">
        <v>9</v>
      </c>
      <c r="F29" s="40">
        <v>1550</v>
      </c>
      <c r="G29" s="40" t="s">
        <v>400</v>
      </c>
      <c r="H29" s="40" t="s">
        <v>401</v>
      </c>
      <c r="I29" s="40" t="s">
        <v>148</v>
      </c>
    </row>
    <row r="30" s="395" customFormat="1" customHeight="1" spans="1:13">
      <c r="A30" s="140" t="s">
        <v>357</v>
      </c>
      <c r="B30" s="413" t="s">
        <v>402</v>
      </c>
      <c r="C30" s="413">
        <v>7.9</v>
      </c>
      <c r="D30" s="40">
        <v>1310</v>
      </c>
      <c r="E30" s="413">
        <v>7.9</v>
      </c>
      <c r="F30" s="40">
        <v>1350</v>
      </c>
      <c r="G30" s="40">
        <v>32</v>
      </c>
      <c r="H30" s="40" t="s">
        <v>403</v>
      </c>
      <c r="I30" s="40" t="s">
        <v>148</v>
      </c>
    </row>
    <row r="31" s="395" customFormat="1" customHeight="1" spans="1:13">
      <c r="A31" s="140" t="s">
        <v>364</v>
      </c>
      <c r="B31" s="413" t="s">
        <v>402</v>
      </c>
      <c r="C31" s="413">
        <v>7.9</v>
      </c>
      <c r="D31" s="40">
        <v>1310</v>
      </c>
      <c r="E31" s="413">
        <v>7.9</v>
      </c>
      <c r="F31" s="40">
        <v>1350</v>
      </c>
      <c r="G31" s="40">
        <v>32</v>
      </c>
      <c r="H31" s="40" t="s">
        <v>403</v>
      </c>
      <c r="I31" s="40" t="s">
        <v>148</v>
      </c>
    </row>
    <row r="32" s="395" customFormat="1" customHeight="1" spans="1:13">
      <c r="A32" s="140" t="s">
        <v>365</v>
      </c>
      <c r="B32" s="413" t="s">
        <v>402</v>
      </c>
      <c r="C32" s="413">
        <v>8.1</v>
      </c>
      <c r="D32" s="40">
        <v>1390</v>
      </c>
      <c r="E32" s="413">
        <v>8.1</v>
      </c>
      <c r="F32" s="40">
        <v>1430</v>
      </c>
      <c r="G32" s="40">
        <v>32</v>
      </c>
      <c r="H32" s="40" t="s">
        <v>403</v>
      </c>
      <c r="I32" s="40"/>
    </row>
    <row r="33" s="395" customFormat="1" customHeight="1" spans="1:9">
      <c r="A33" s="140" t="s">
        <v>359</v>
      </c>
      <c r="B33" s="413" t="s">
        <v>402</v>
      </c>
      <c r="C33" s="413">
        <v>8.2</v>
      </c>
      <c r="D33" s="40">
        <v>1400</v>
      </c>
      <c r="E33" s="413">
        <v>8.2</v>
      </c>
      <c r="F33" s="40">
        <v>1440</v>
      </c>
      <c r="G33" s="40">
        <v>32</v>
      </c>
      <c r="H33" s="40" t="s">
        <v>403</v>
      </c>
      <c r="I33" s="40" t="s">
        <v>148</v>
      </c>
    </row>
    <row r="34" s="395" customFormat="1" customHeight="1" spans="1:9">
      <c r="A34" s="140" t="s">
        <v>360</v>
      </c>
      <c r="B34" s="413" t="s">
        <v>404</v>
      </c>
      <c r="C34" s="413">
        <v>8</v>
      </c>
      <c r="D34" s="40">
        <v>1350</v>
      </c>
      <c r="E34" s="413">
        <v>8</v>
      </c>
      <c r="F34" s="40">
        <v>1390</v>
      </c>
      <c r="G34" s="40">
        <v>34</v>
      </c>
      <c r="H34" s="40" t="s">
        <v>405</v>
      </c>
      <c r="I34" s="40" t="s">
        <v>148</v>
      </c>
    </row>
    <row r="35" customHeight="1" spans="1:9">
      <c r="A35" s="491" t="s">
        <v>61</v>
      </c>
      <c r="B35" s="492"/>
      <c r="C35" s="416" t="s">
        <v>406</v>
      </c>
      <c r="D35" s="416"/>
      <c r="E35" s="416"/>
      <c r="F35" s="416"/>
      <c r="G35" s="416"/>
      <c r="H35" s="417"/>
      <c r="I35" s="417"/>
    </row>
    <row r="36" ht="175" customHeight="1" spans="1:9">
      <c r="A36" s="493"/>
      <c r="B36" s="494"/>
      <c r="C36" s="420"/>
      <c r="D36" s="420"/>
      <c r="E36" s="420"/>
      <c r="F36" s="420"/>
      <c r="G36" s="420"/>
      <c r="H36" s="421"/>
      <c r="I36" s="421"/>
    </row>
  </sheetData>
  <sheetProtection formatCells="0" insertHyperlinks="0" autoFilter="0"/>
  <mergeCells count="12">
    <mergeCell ref="A1:I1"/>
    <mergeCell ref="A2:I2"/>
    <mergeCell ref="A3:I3"/>
    <mergeCell ref="C4:D4"/>
    <mergeCell ref="E4:F4"/>
    <mergeCell ref="A4:A5"/>
    <mergeCell ref="A35:A36"/>
    <mergeCell ref="B4:B5"/>
    <mergeCell ref="G4:G5"/>
    <mergeCell ref="H4:H5"/>
    <mergeCell ref="I4:I5"/>
    <mergeCell ref="C35:I36"/>
  </mergeCells>
  <pageMargins left="0.75" right="0.75" top="1" bottom="1" header="0.511805555555556" footer="0.511805555555556"/>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EJ35"/>
  <sheetViews>
    <sheetView zoomScale="85" zoomScaleNormal="85" workbookViewId="0">
      <selection activeCell="I9" sqref="I9"/>
    </sheetView>
  </sheetViews>
  <sheetFormatPr defaultColWidth="12.3416666666667" defaultRowHeight="28" customHeight="1"/>
  <cols>
    <col min="1" max="1" width="14.8416666666667" style="396" customWidth="1"/>
    <col min="2" max="13" width="12.3416666666667" style="394" customWidth="1"/>
    <col min="14" max="14" width="33.4333333333333" style="394" customWidth="1"/>
    <col min="15" max="16348" width="12.3416666666667" style="394" customWidth="1"/>
    <col min="16349" max="16363" width="12.3416666666667" style="397" customWidth="1"/>
    <col min="16364" max="16364" width="12.3416666666667" style="28" customWidth="1"/>
    <col min="16365" max="16380" width="12.3416666666667" style="397" customWidth="1"/>
    <col min="16381" max="16384" width="12.3416666666667" style="397"/>
  </cols>
  <sheetData>
    <row r="1" s="393" customFormat="1" customHeight="1" spans="1:1024 1025:16364">
      <c r="A1" s="454" t="s">
        <v>407</v>
      </c>
      <c r="B1" s="455"/>
      <c r="C1" s="455"/>
      <c r="D1" s="455"/>
      <c r="E1" s="455"/>
      <c r="F1" s="455"/>
      <c r="G1" s="455"/>
      <c r="H1" s="455"/>
      <c r="I1" s="455"/>
      <c r="J1" s="455"/>
      <c r="K1" s="455"/>
      <c r="L1" s="455"/>
      <c r="M1" s="455"/>
      <c r="N1" s="455"/>
      <c r="O1" s="455"/>
      <c r="P1" s="455"/>
      <c r="Q1" s="455"/>
      <c r="R1" s="455"/>
      <c r="S1" s="455"/>
      <c r="T1" s="455"/>
    </row>
    <row r="2" s="393" customFormat="1" customHeight="1" spans="1:1024 1025:16364">
      <c r="A2" s="455"/>
      <c r="B2" s="455"/>
      <c r="C2" s="455"/>
      <c r="D2" s="455"/>
      <c r="E2" s="455"/>
      <c r="F2" s="455"/>
      <c r="G2" s="455"/>
      <c r="H2" s="455"/>
      <c r="I2" s="455"/>
      <c r="J2" s="455"/>
      <c r="K2" s="455"/>
      <c r="L2" s="455"/>
      <c r="M2" s="455"/>
      <c r="N2" s="455"/>
      <c r="O2" s="455"/>
      <c r="P2" s="455"/>
      <c r="Q2" s="455"/>
      <c r="R2" s="455"/>
      <c r="S2" s="455"/>
      <c r="T2" s="455"/>
    </row>
    <row r="3" s="393" customFormat="1" ht="41" customHeight="1" spans="1:1024 1025:16364">
      <c r="A3" s="456"/>
      <c r="B3" s="457"/>
      <c r="C3" s="458"/>
      <c r="D3" s="456"/>
      <c r="E3" s="459"/>
      <c r="F3" s="456"/>
      <c r="G3" s="456"/>
      <c r="H3" s="456"/>
      <c r="I3" s="456"/>
      <c r="J3" s="456"/>
      <c r="K3" s="456"/>
      <c r="L3" s="456"/>
      <c r="M3" s="456"/>
      <c r="N3" s="456"/>
      <c r="O3" s="456"/>
      <c r="P3" s="460"/>
      <c r="Q3" s="461"/>
      <c r="R3" s="456"/>
      <c r="S3" s="456"/>
      <c r="T3" s="459"/>
    </row>
    <row r="4" s="393" customFormat="1" customHeight="1" spans="1:1024 1025:16364">
      <c r="A4" s="462" t="s">
        <v>202</v>
      </c>
      <c r="B4" s="463"/>
      <c r="C4" s="464"/>
      <c r="D4" s="462"/>
      <c r="E4" s="463"/>
      <c r="F4" s="465"/>
      <c r="G4" s="466"/>
      <c r="H4" s="466" t="s">
        <v>206</v>
      </c>
      <c r="I4" s="466"/>
      <c r="J4" s="466"/>
      <c r="K4" s="466"/>
      <c r="L4" s="466"/>
      <c r="M4" s="466"/>
      <c r="N4" s="467" t="s">
        <v>209</v>
      </c>
      <c r="O4" s="407"/>
      <c r="P4" s="407"/>
      <c r="Q4" s="407"/>
      <c r="R4" s="468"/>
      <c r="S4" s="407"/>
      <c r="T4" s="469"/>
    </row>
    <row r="5" s="394" customFormat="1" customHeight="1" spans="1:1024 1025:16364">
      <c r="A5" s="150" t="s">
        <v>287</v>
      </c>
      <c r="B5" s="116" t="s">
        <v>184</v>
      </c>
      <c r="C5" s="116"/>
      <c r="D5" s="116" t="s">
        <v>260</v>
      </c>
      <c r="E5" s="116"/>
      <c r="F5" s="117" t="s">
        <v>376</v>
      </c>
      <c r="G5" s="117" t="s">
        <v>288</v>
      </c>
      <c r="H5" s="116" t="s">
        <v>184</v>
      </c>
      <c r="I5" s="116"/>
      <c r="J5" s="116" t="s">
        <v>260</v>
      </c>
      <c r="K5" s="116"/>
      <c r="L5" s="117" t="s">
        <v>376</v>
      </c>
      <c r="M5" s="117" t="s">
        <v>288</v>
      </c>
      <c r="N5" s="470" t="s">
        <v>287</v>
      </c>
      <c r="O5" s="470" t="s">
        <v>184</v>
      </c>
      <c r="P5" s="117"/>
      <c r="Q5" s="117" t="s">
        <v>260</v>
      </c>
      <c r="R5" s="117"/>
      <c r="S5" s="117" t="s">
        <v>376</v>
      </c>
      <c r="T5" s="409" t="s">
        <v>288</v>
      </c>
    </row>
    <row r="6" s="453" customFormat="1" customHeight="1" spans="1:1024 1025:16364">
      <c r="A6" s="471"/>
      <c r="B6" s="140" t="s">
        <v>290</v>
      </c>
      <c r="C6" s="118" t="s">
        <v>291</v>
      </c>
      <c r="D6" s="118" t="s">
        <v>290</v>
      </c>
      <c r="E6" s="118" t="s">
        <v>291</v>
      </c>
      <c r="F6" s="118"/>
      <c r="G6" s="118"/>
      <c r="H6" s="140" t="s">
        <v>290</v>
      </c>
      <c r="I6" s="118" t="s">
        <v>291</v>
      </c>
      <c r="J6" s="118" t="s">
        <v>290</v>
      </c>
      <c r="K6" s="118" t="s">
        <v>291</v>
      </c>
      <c r="L6" s="118"/>
      <c r="M6" s="118"/>
      <c r="N6" s="470"/>
      <c r="O6" s="140" t="s">
        <v>290</v>
      </c>
      <c r="P6" s="118" t="s">
        <v>291</v>
      </c>
      <c r="Q6" s="140" t="s">
        <v>290</v>
      </c>
      <c r="R6" s="118" t="s">
        <v>291</v>
      </c>
      <c r="S6" s="118"/>
      <c r="T6" s="472"/>
      <c r="U6" s="396"/>
      <c r="V6" s="396"/>
      <c r="W6" s="396"/>
      <c r="X6" s="396"/>
      <c r="Y6" s="396"/>
      <c r="Z6" s="396"/>
      <c r="AA6" s="396"/>
      <c r="AB6" s="396"/>
      <c r="AC6" s="396"/>
      <c r="AD6" s="396"/>
      <c r="AE6" s="396"/>
      <c r="AF6" s="396"/>
      <c r="AG6" s="396"/>
      <c r="AH6" s="396"/>
      <c r="AI6" s="396"/>
      <c r="AJ6" s="396"/>
      <c r="AK6" s="396"/>
      <c r="AL6" s="396"/>
      <c r="AM6" s="396"/>
      <c r="AN6" s="396"/>
      <c r="AO6" s="396"/>
      <c r="AP6" s="396"/>
      <c r="AQ6" s="396"/>
      <c r="AR6" s="396"/>
      <c r="AS6" s="396"/>
      <c r="AT6" s="396"/>
      <c r="AU6" s="396"/>
      <c r="AV6" s="396"/>
      <c r="AW6" s="396"/>
      <c r="AX6" s="396"/>
      <c r="AY6" s="396"/>
      <c r="AZ6" s="396"/>
      <c r="BA6" s="396"/>
      <c r="BB6" s="396"/>
      <c r="BC6" s="396"/>
      <c r="BD6" s="396"/>
      <c r="BE6" s="396"/>
      <c r="BF6" s="396"/>
      <c r="BG6" s="396"/>
      <c r="BH6" s="396"/>
      <c r="BI6" s="396"/>
      <c r="BJ6" s="396"/>
      <c r="BK6" s="396"/>
      <c r="BL6" s="396"/>
      <c r="BM6" s="396"/>
      <c r="BN6" s="396"/>
      <c r="BO6" s="396"/>
      <c r="BP6" s="396"/>
      <c r="BQ6" s="396"/>
      <c r="BR6" s="396"/>
      <c r="BS6" s="396"/>
      <c r="BT6" s="396"/>
      <c r="BU6" s="396"/>
      <c r="BV6" s="396"/>
      <c r="BW6" s="396"/>
      <c r="BX6" s="396"/>
      <c r="BY6" s="396"/>
      <c r="BZ6" s="396"/>
      <c r="CA6" s="396"/>
      <c r="CB6" s="396"/>
      <c r="CC6" s="396"/>
      <c r="CD6" s="396"/>
      <c r="CE6" s="396"/>
      <c r="CF6" s="396"/>
      <c r="CG6" s="396"/>
      <c r="CH6" s="396"/>
      <c r="CI6" s="396"/>
      <c r="CJ6" s="396"/>
      <c r="CK6" s="396"/>
      <c r="CL6" s="396"/>
      <c r="CM6" s="396"/>
      <c r="CN6" s="396"/>
      <c r="CO6" s="396"/>
      <c r="CP6" s="396"/>
      <c r="CQ6" s="396"/>
      <c r="CR6" s="396"/>
      <c r="CS6" s="396"/>
      <c r="CT6" s="396"/>
      <c r="CU6" s="396"/>
      <c r="CV6" s="396"/>
      <c r="CW6" s="396"/>
      <c r="CX6" s="396"/>
      <c r="CY6" s="396"/>
      <c r="CZ6" s="396"/>
      <c r="DA6" s="396"/>
      <c r="DB6" s="396"/>
      <c r="DC6" s="396"/>
      <c r="DD6" s="396"/>
      <c r="DE6" s="396"/>
      <c r="DF6" s="396"/>
      <c r="DG6" s="396"/>
      <c r="DH6" s="396"/>
      <c r="DI6" s="396"/>
      <c r="DJ6" s="396"/>
      <c r="DK6" s="396"/>
      <c r="DL6" s="396"/>
      <c r="DM6" s="396"/>
      <c r="DN6" s="396"/>
      <c r="DO6" s="396"/>
      <c r="DP6" s="396"/>
      <c r="DQ6" s="396"/>
      <c r="DR6" s="396"/>
      <c r="DS6" s="396"/>
      <c r="DT6" s="396"/>
      <c r="DU6" s="396"/>
      <c r="DV6" s="396"/>
      <c r="DW6" s="396"/>
      <c r="DX6" s="396"/>
      <c r="DY6" s="396"/>
      <c r="DZ6" s="396"/>
      <c r="EA6" s="396"/>
      <c r="EB6" s="396"/>
      <c r="EC6" s="396"/>
      <c r="ED6" s="396"/>
      <c r="EE6" s="396"/>
      <c r="EF6" s="396"/>
      <c r="EG6" s="396"/>
      <c r="EH6" s="396"/>
      <c r="EI6" s="396"/>
      <c r="EJ6" s="396"/>
      <c r="EK6" s="396"/>
      <c r="EL6" s="396"/>
      <c r="EM6" s="396"/>
      <c r="EN6" s="396"/>
      <c r="EO6" s="396"/>
      <c r="EP6" s="396"/>
      <c r="EQ6" s="396"/>
      <c r="ER6" s="396"/>
      <c r="ES6" s="396"/>
      <c r="ET6" s="396"/>
      <c r="EU6" s="396"/>
      <c r="EV6" s="396"/>
      <c r="EW6" s="396"/>
      <c r="EX6" s="396"/>
      <c r="EY6" s="396"/>
      <c r="EZ6" s="396"/>
      <c r="FA6" s="396"/>
      <c r="FB6" s="396"/>
      <c r="FC6" s="396"/>
      <c r="FD6" s="396"/>
      <c r="FE6" s="396"/>
      <c r="FF6" s="396"/>
      <c r="FG6" s="396"/>
      <c r="FH6" s="396"/>
      <c r="FI6" s="396"/>
      <c r="FJ6" s="396"/>
      <c r="FK6" s="396"/>
      <c r="FL6" s="396"/>
      <c r="FM6" s="396"/>
      <c r="FN6" s="396"/>
      <c r="FO6" s="396"/>
      <c r="FP6" s="396"/>
      <c r="FQ6" s="396"/>
      <c r="FR6" s="396"/>
      <c r="FS6" s="396"/>
      <c r="FT6" s="396"/>
      <c r="FU6" s="396"/>
      <c r="FV6" s="396"/>
      <c r="FW6" s="396"/>
      <c r="FX6" s="396"/>
      <c r="FY6" s="396"/>
      <c r="FZ6" s="396"/>
      <c r="GA6" s="396"/>
      <c r="GB6" s="396"/>
      <c r="GC6" s="396"/>
      <c r="GD6" s="396"/>
      <c r="GE6" s="396"/>
      <c r="GF6" s="396"/>
      <c r="GG6" s="396"/>
      <c r="GH6" s="396"/>
      <c r="GI6" s="396"/>
      <c r="GJ6" s="396"/>
      <c r="GK6" s="396"/>
      <c r="GL6" s="396"/>
      <c r="GM6" s="396"/>
      <c r="GN6" s="396"/>
      <c r="GO6" s="396"/>
      <c r="GP6" s="396"/>
      <c r="GQ6" s="396"/>
      <c r="GR6" s="396"/>
      <c r="GS6" s="396"/>
      <c r="GT6" s="396"/>
      <c r="GU6" s="396"/>
      <c r="GV6" s="396"/>
      <c r="GW6" s="396"/>
      <c r="GX6" s="396"/>
      <c r="GY6" s="396"/>
      <c r="GZ6" s="396"/>
      <c r="HA6" s="396"/>
      <c r="HB6" s="396"/>
      <c r="HC6" s="396"/>
      <c r="HD6" s="396"/>
      <c r="HE6" s="396"/>
      <c r="HF6" s="396"/>
      <c r="HG6" s="396"/>
      <c r="HH6" s="396"/>
      <c r="HI6" s="396"/>
      <c r="HJ6" s="396"/>
      <c r="HK6" s="396"/>
      <c r="HL6" s="396"/>
      <c r="HM6" s="396"/>
      <c r="HN6" s="396"/>
      <c r="HO6" s="396"/>
      <c r="HP6" s="396"/>
      <c r="HQ6" s="396"/>
      <c r="HR6" s="396"/>
      <c r="HS6" s="396"/>
      <c r="HT6" s="396"/>
      <c r="HU6" s="396"/>
      <c r="HV6" s="396"/>
      <c r="HW6" s="396"/>
      <c r="HX6" s="396"/>
      <c r="HY6" s="396"/>
      <c r="HZ6" s="396"/>
      <c r="IA6" s="396"/>
      <c r="IB6" s="396"/>
      <c r="IC6" s="396"/>
      <c r="ID6" s="396"/>
      <c r="IE6" s="396"/>
      <c r="IF6" s="396"/>
      <c r="IG6" s="396"/>
      <c r="IH6" s="396"/>
      <c r="II6" s="396"/>
      <c r="IJ6" s="396"/>
      <c r="IK6" s="396"/>
      <c r="IL6" s="396"/>
      <c r="IM6" s="396"/>
      <c r="IN6" s="396"/>
      <c r="IO6" s="396"/>
      <c r="IP6" s="396"/>
      <c r="IQ6" s="396"/>
      <c r="IR6" s="396"/>
      <c r="IS6" s="396"/>
      <c r="IT6" s="396"/>
      <c r="IU6" s="396"/>
      <c r="IV6" s="396"/>
      <c r="IW6" s="396"/>
      <c r="IX6" s="396"/>
      <c r="IY6" s="396"/>
      <c r="IZ6" s="396"/>
      <c r="JA6" s="396"/>
      <c r="JB6" s="396"/>
      <c r="JC6" s="396"/>
      <c r="JD6" s="396"/>
      <c r="JE6" s="396"/>
      <c r="JF6" s="396"/>
      <c r="JG6" s="396"/>
      <c r="JH6" s="396"/>
      <c r="JI6" s="396"/>
      <c r="JJ6" s="396"/>
      <c r="JK6" s="396"/>
      <c r="JL6" s="396"/>
      <c r="JM6" s="396"/>
      <c r="JN6" s="396"/>
      <c r="JO6" s="396"/>
      <c r="JP6" s="396"/>
      <c r="JQ6" s="396"/>
      <c r="JR6" s="396"/>
      <c r="JS6" s="396"/>
      <c r="JT6" s="396"/>
      <c r="JU6" s="396"/>
      <c r="JV6" s="396"/>
      <c r="JW6" s="396"/>
      <c r="JX6" s="396"/>
      <c r="JY6" s="396"/>
      <c r="JZ6" s="396"/>
      <c r="KA6" s="396"/>
      <c r="KB6" s="396"/>
      <c r="KC6" s="396"/>
      <c r="KD6" s="396"/>
      <c r="KE6" s="396"/>
      <c r="KF6" s="396"/>
      <c r="KG6" s="396"/>
      <c r="KH6" s="396"/>
      <c r="KI6" s="396"/>
      <c r="KJ6" s="396"/>
      <c r="KK6" s="396"/>
      <c r="KL6" s="396"/>
      <c r="KM6" s="396"/>
      <c r="KN6" s="396"/>
      <c r="KO6" s="396"/>
      <c r="KP6" s="396"/>
      <c r="KQ6" s="396"/>
      <c r="KR6" s="396"/>
      <c r="KS6" s="396"/>
      <c r="KT6" s="396"/>
      <c r="KU6" s="396"/>
      <c r="KV6" s="396"/>
      <c r="KW6" s="396"/>
      <c r="KX6" s="396"/>
      <c r="KY6" s="396"/>
      <c r="KZ6" s="396"/>
      <c r="LA6" s="396"/>
      <c r="LB6" s="396"/>
      <c r="LC6" s="396"/>
      <c r="LD6" s="396"/>
      <c r="LE6" s="396"/>
      <c r="LF6" s="396"/>
      <c r="LG6" s="396"/>
      <c r="LH6" s="396"/>
      <c r="LI6" s="396"/>
      <c r="LJ6" s="396"/>
      <c r="LK6" s="396"/>
      <c r="LL6" s="396"/>
      <c r="LM6" s="396"/>
      <c r="LN6" s="396"/>
      <c r="LO6" s="396"/>
      <c r="LP6" s="396"/>
      <c r="LQ6" s="396"/>
      <c r="LR6" s="396"/>
      <c r="LS6" s="396"/>
      <c r="LT6" s="396"/>
      <c r="LU6" s="396"/>
      <c r="LV6" s="396"/>
      <c r="LW6" s="396"/>
      <c r="LX6" s="396"/>
      <c r="LY6" s="396"/>
      <c r="LZ6" s="396"/>
      <c r="MA6" s="396"/>
      <c r="MB6" s="396"/>
      <c r="MC6" s="396"/>
      <c r="MD6" s="396"/>
      <c r="ME6" s="396"/>
      <c r="MF6" s="396"/>
      <c r="MG6" s="396"/>
      <c r="MH6" s="396"/>
      <c r="MI6" s="396"/>
      <c r="MJ6" s="396"/>
      <c r="MK6" s="396"/>
      <c r="ML6" s="396"/>
      <c r="MM6" s="396"/>
      <c r="MN6" s="396"/>
      <c r="MO6" s="396"/>
      <c r="MP6" s="396"/>
      <c r="MQ6" s="396"/>
      <c r="MR6" s="396"/>
      <c r="MS6" s="396"/>
      <c r="MT6" s="396"/>
      <c r="MU6" s="396"/>
      <c r="MV6" s="396"/>
      <c r="MW6" s="396"/>
      <c r="MX6" s="396"/>
      <c r="MY6" s="396"/>
      <c r="MZ6" s="396"/>
      <c r="NA6" s="396"/>
      <c r="NB6" s="396"/>
      <c r="NC6" s="396"/>
      <c r="ND6" s="396"/>
      <c r="NE6" s="396"/>
      <c r="NF6" s="396"/>
      <c r="NG6" s="396"/>
      <c r="NH6" s="396"/>
      <c r="NI6" s="396"/>
      <c r="NJ6" s="396"/>
      <c r="NK6" s="396"/>
      <c r="NL6" s="396"/>
      <c r="NM6" s="396"/>
      <c r="NN6" s="396"/>
      <c r="NO6" s="396"/>
      <c r="NP6" s="396"/>
      <c r="NQ6" s="396"/>
      <c r="NR6" s="396"/>
      <c r="NS6" s="396"/>
      <c r="NT6" s="396"/>
      <c r="NU6" s="396"/>
      <c r="NV6" s="396"/>
      <c r="NW6" s="396"/>
      <c r="NX6" s="396"/>
      <c r="NY6" s="396"/>
      <c r="NZ6" s="396"/>
      <c r="OA6" s="396"/>
      <c r="OB6" s="396"/>
      <c r="OC6" s="396"/>
      <c r="OD6" s="396"/>
      <c r="OE6" s="396"/>
      <c r="OF6" s="396"/>
      <c r="OG6" s="396"/>
      <c r="OH6" s="396"/>
      <c r="OI6" s="396"/>
      <c r="OJ6" s="396"/>
      <c r="OK6" s="396"/>
      <c r="OL6" s="396"/>
      <c r="OM6" s="396"/>
      <c r="ON6" s="396"/>
      <c r="OO6" s="396"/>
      <c r="OP6" s="396"/>
      <c r="OQ6" s="396"/>
      <c r="OR6" s="396"/>
      <c r="OS6" s="396"/>
      <c r="OT6" s="396"/>
      <c r="OU6" s="396"/>
      <c r="OV6" s="396"/>
      <c r="OW6" s="396"/>
      <c r="OX6" s="396"/>
      <c r="OY6" s="396"/>
      <c r="OZ6" s="396"/>
      <c r="PA6" s="396"/>
      <c r="PB6" s="396"/>
      <c r="PC6" s="396"/>
      <c r="PD6" s="396"/>
      <c r="PE6" s="396"/>
      <c r="PF6" s="396"/>
      <c r="PG6" s="396"/>
      <c r="PH6" s="396"/>
      <c r="PI6" s="396"/>
      <c r="PJ6" s="396"/>
      <c r="PK6" s="396"/>
      <c r="PL6" s="396"/>
      <c r="PM6" s="396"/>
      <c r="PN6" s="396"/>
      <c r="PO6" s="396"/>
      <c r="PP6" s="396"/>
      <c r="PQ6" s="396"/>
      <c r="PR6" s="396"/>
      <c r="PS6" s="396"/>
      <c r="PT6" s="396"/>
      <c r="PU6" s="396"/>
      <c r="PV6" s="396"/>
      <c r="PW6" s="396"/>
      <c r="PX6" s="396"/>
      <c r="PY6" s="396"/>
      <c r="PZ6" s="396"/>
      <c r="QA6" s="396"/>
      <c r="QB6" s="396"/>
      <c r="QC6" s="396"/>
      <c r="QD6" s="396"/>
      <c r="QE6" s="396"/>
      <c r="QF6" s="396"/>
      <c r="QG6" s="396"/>
      <c r="QH6" s="396"/>
      <c r="QI6" s="396"/>
      <c r="QJ6" s="396"/>
      <c r="QK6" s="396"/>
      <c r="QL6" s="396"/>
      <c r="QM6" s="396"/>
      <c r="QN6" s="396"/>
      <c r="QO6" s="396"/>
      <c r="QP6" s="396"/>
      <c r="QQ6" s="396"/>
      <c r="QR6" s="396"/>
      <c r="QS6" s="396"/>
      <c r="QT6" s="396"/>
      <c r="QU6" s="396"/>
      <c r="QV6" s="396"/>
      <c r="QW6" s="396"/>
      <c r="QX6" s="396"/>
      <c r="QY6" s="396"/>
      <c r="QZ6" s="396"/>
      <c r="RA6" s="396"/>
      <c r="RB6" s="396"/>
      <c r="RC6" s="396"/>
      <c r="RD6" s="396"/>
      <c r="RE6" s="396"/>
      <c r="RF6" s="396"/>
      <c r="RG6" s="396"/>
      <c r="RH6" s="396"/>
      <c r="RI6" s="396"/>
      <c r="RJ6" s="396"/>
      <c r="RK6" s="396"/>
      <c r="RL6" s="396"/>
      <c r="RM6" s="396"/>
      <c r="RN6" s="396"/>
      <c r="RO6" s="396"/>
      <c r="RP6" s="396"/>
      <c r="RQ6" s="396"/>
      <c r="RR6" s="396"/>
      <c r="RS6" s="396"/>
      <c r="RT6" s="396"/>
      <c r="RU6" s="396"/>
      <c r="RV6" s="396"/>
      <c r="RW6" s="396"/>
      <c r="RX6" s="396"/>
      <c r="RY6" s="396"/>
      <c r="RZ6" s="396"/>
      <c r="SA6" s="396"/>
      <c r="SB6" s="396"/>
      <c r="SC6" s="396"/>
      <c r="SD6" s="396"/>
      <c r="SE6" s="396"/>
      <c r="SF6" s="396"/>
      <c r="SG6" s="396"/>
      <c r="SH6" s="396"/>
      <c r="SI6" s="396"/>
      <c r="SJ6" s="396"/>
      <c r="SK6" s="396"/>
      <c r="SL6" s="396"/>
      <c r="SM6" s="396"/>
      <c r="SN6" s="396"/>
      <c r="SO6" s="396"/>
      <c r="SP6" s="396"/>
      <c r="SQ6" s="396"/>
      <c r="SR6" s="396"/>
      <c r="SS6" s="396"/>
      <c r="ST6" s="396"/>
      <c r="SU6" s="396"/>
      <c r="SV6" s="396"/>
      <c r="SW6" s="396"/>
      <c r="SX6" s="396"/>
      <c r="SY6" s="396"/>
      <c r="SZ6" s="396"/>
      <c r="TA6" s="396"/>
      <c r="TB6" s="396"/>
      <c r="TC6" s="396"/>
      <c r="TD6" s="396"/>
      <c r="TE6" s="396"/>
      <c r="TF6" s="396"/>
      <c r="TG6" s="396"/>
      <c r="TH6" s="396"/>
      <c r="TI6" s="396"/>
      <c r="TJ6" s="396"/>
      <c r="TK6" s="396"/>
      <c r="TL6" s="396"/>
      <c r="TM6" s="396"/>
      <c r="TN6" s="396"/>
      <c r="TO6" s="396"/>
      <c r="TP6" s="396"/>
      <c r="TQ6" s="396"/>
      <c r="TR6" s="396"/>
      <c r="TS6" s="396"/>
      <c r="TT6" s="396"/>
      <c r="TU6" s="396"/>
      <c r="TV6" s="396"/>
      <c r="TW6" s="396"/>
      <c r="TX6" s="396"/>
      <c r="TY6" s="396"/>
      <c r="TZ6" s="396"/>
      <c r="UA6" s="396"/>
      <c r="UB6" s="396"/>
      <c r="UC6" s="396"/>
      <c r="UD6" s="396"/>
      <c r="UE6" s="396"/>
      <c r="UF6" s="396"/>
      <c r="UG6" s="396"/>
      <c r="UH6" s="396"/>
      <c r="UI6" s="396"/>
      <c r="UJ6" s="396"/>
      <c r="UK6" s="396"/>
      <c r="UL6" s="396"/>
      <c r="UM6" s="396"/>
      <c r="UN6" s="396"/>
      <c r="UO6" s="396"/>
      <c r="UP6" s="396"/>
      <c r="UQ6" s="396"/>
      <c r="UR6" s="396"/>
      <c r="US6" s="396"/>
      <c r="UT6" s="396"/>
      <c r="UU6" s="396"/>
      <c r="UV6" s="396"/>
      <c r="UW6" s="396"/>
      <c r="UX6" s="396"/>
      <c r="UY6" s="396"/>
      <c r="UZ6" s="396"/>
      <c r="VA6" s="396"/>
      <c r="VB6" s="396"/>
      <c r="VC6" s="396"/>
      <c r="VD6" s="396"/>
      <c r="VE6" s="396"/>
      <c r="VF6" s="396"/>
      <c r="VG6" s="396"/>
      <c r="VH6" s="396"/>
      <c r="VI6" s="396"/>
      <c r="VJ6" s="396"/>
      <c r="VK6" s="396"/>
      <c r="VL6" s="396"/>
      <c r="VM6" s="396"/>
      <c r="VN6" s="396"/>
      <c r="VO6" s="396"/>
      <c r="VP6" s="396"/>
      <c r="VQ6" s="396"/>
      <c r="VR6" s="396"/>
      <c r="VS6" s="396"/>
      <c r="VT6" s="396"/>
      <c r="VU6" s="396"/>
      <c r="VV6" s="396"/>
      <c r="VW6" s="396"/>
      <c r="VX6" s="396"/>
      <c r="VY6" s="396"/>
      <c r="VZ6" s="396"/>
      <c r="WA6" s="396"/>
      <c r="WB6" s="396"/>
      <c r="WC6" s="396"/>
      <c r="WD6" s="396"/>
      <c r="WE6" s="396"/>
      <c r="WF6" s="396"/>
      <c r="WG6" s="396"/>
      <c r="WH6" s="396"/>
      <c r="WI6" s="396"/>
      <c r="WJ6" s="396"/>
      <c r="WK6" s="396"/>
      <c r="WL6" s="396"/>
      <c r="WM6" s="396"/>
      <c r="WN6" s="396"/>
      <c r="WO6" s="396"/>
      <c r="WP6" s="396"/>
      <c r="WQ6" s="396"/>
      <c r="WR6" s="396"/>
      <c r="WS6" s="396"/>
      <c r="WT6" s="396"/>
      <c r="WU6" s="396"/>
      <c r="WV6" s="396"/>
      <c r="WW6" s="396"/>
      <c r="WX6" s="396"/>
      <c r="WY6" s="396"/>
      <c r="WZ6" s="396"/>
      <c r="XA6" s="396"/>
      <c r="XB6" s="396"/>
      <c r="XC6" s="396"/>
      <c r="XD6" s="396"/>
      <c r="XE6" s="396"/>
      <c r="XF6" s="396"/>
      <c r="XG6" s="396"/>
      <c r="XH6" s="396"/>
      <c r="XI6" s="396"/>
      <c r="XJ6" s="396"/>
      <c r="XK6" s="396"/>
      <c r="XL6" s="396"/>
      <c r="XM6" s="396"/>
      <c r="XN6" s="396"/>
      <c r="XO6" s="396"/>
      <c r="XP6" s="396"/>
      <c r="XQ6" s="396"/>
      <c r="XR6" s="396"/>
      <c r="XS6" s="396"/>
      <c r="XT6" s="396"/>
      <c r="XU6" s="396"/>
      <c r="XV6" s="396"/>
      <c r="XW6" s="396"/>
      <c r="XX6" s="396"/>
      <c r="XY6" s="396"/>
      <c r="XZ6" s="396"/>
      <c r="YA6" s="396"/>
      <c r="YB6" s="396"/>
      <c r="YC6" s="396"/>
      <c r="YD6" s="396"/>
      <c r="YE6" s="396"/>
      <c r="YF6" s="396"/>
      <c r="YG6" s="396"/>
      <c r="YH6" s="396"/>
      <c r="YI6" s="396"/>
      <c r="YJ6" s="396"/>
      <c r="YK6" s="396"/>
      <c r="YL6" s="396"/>
      <c r="YM6" s="396"/>
      <c r="YN6" s="396"/>
      <c r="YO6" s="396"/>
      <c r="YP6" s="396"/>
      <c r="YQ6" s="396"/>
      <c r="YR6" s="396"/>
      <c r="YS6" s="396"/>
      <c r="YT6" s="396"/>
      <c r="YU6" s="396"/>
      <c r="YV6" s="396"/>
      <c r="YW6" s="396"/>
      <c r="YX6" s="396"/>
      <c r="YY6" s="396"/>
      <c r="YZ6" s="396"/>
      <c r="ZA6" s="396"/>
      <c r="ZB6" s="396"/>
      <c r="ZC6" s="396"/>
      <c r="ZD6" s="396"/>
      <c r="ZE6" s="396"/>
      <c r="ZF6" s="396"/>
      <c r="ZG6" s="396"/>
      <c r="ZH6" s="396"/>
      <c r="ZI6" s="396"/>
      <c r="ZJ6" s="396"/>
      <c r="ZK6" s="396"/>
      <c r="ZL6" s="396"/>
      <c r="ZM6" s="396"/>
      <c r="ZN6" s="396"/>
      <c r="ZO6" s="396"/>
      <c r="ZP6" s="396"/>
      <c r="ZQ6" s="396"/>
      <c r="ZR6" s="396"/>
      <c r="ZS6" s="396"/>
      <c r="ZT6" s="396"/>
      <c r="ZU6" s="396"/>
      <c r="ZV6" s="396"/>
      <c r="ZW6" s="396"/>
      <c r="ZX6" s="396"/>
      <c r="ZY6" s="396"/>
      <c r="ZZ6" s="396"/>
      <c r="AAA6" s="396"/>
      <c r="AAB6" s="396"/>
      <c r="AAC6" s="396"/>
      <c r="AAD6" s="396"/>
      <c r="AAE6" s="396"/>
      <c r="AAF6" s="396"/>
      <c r="AAG6" s="396"/>
      <c r="AAH6" s="396"/>
      <c r="AAI6" s="396"/>
      <c r="AAJ6" s="396"/>
      <c r="AAK6" s="396"/>
      <c r="AAL6" s="396"/>
      <c r="AAM6" s="396"/>
      <c r="AAN6" s="396"/>
      <c r="AAO6" s="396"/>
      <c r="AAP6" s="396"/>
      <c r="AAQ6" s="396"/>
      <c r="AAR6" s="396"/>
      <c r="AAS6" s="396"/>
      <c r="AAT6" s="396"/>
      <c r="AAU6" s="396"/>
      <c r="AAV6" s="396"/>
      <c r="AAW6" s="396"/>
      <c r="AAX6" s="396"/>
      <c r="AAY6" s="396"/>
      <c r="AAZ6" s="396"/>
      <c r="ABA6" s="396"/>
      <c r="ABB6" s="396"/>
      <c r="ABC6" s="396"/>
      <c r="ABD6" s="396"/>
      <c r="ABE6" s="396"/>
      <c r="ABF6" s="396"/>
      <c r="ABG6" s="396"/>
      <c r="ABH6" s="396"/>
      <c r="ABI6" s="396"/>
      <c r="ABJ6" s="396"/>
      <c r="ABK6" s="396"/>
      <c r="ABL6" s="396"/>
      <c r="ABM6" s="396"/>
      <c r="ABN6" s="396"/>
      <c r="ABO6" s="396"/>
      <c r="ABP6" s="396"/>
      <c r="ABQ6" s="396"/>
      <c r="ABR6" s="396"/>
      <c r="ABS6" s="396"/>
      <c r="ABT6" s="396"/>
      <c r="ABU6" s="396"/>
      <c r="ABV6" s="396"/>
      <c r="ABW6" s="396"/>
      <c r="ABX6" s="396"/>
      <c r="ABY6" s="396"/>
      <c r="ABZ6" s="396"/>
      <c r="ACA6" s="396"/>
      <c r="ACB6" s="396"/>
      <c r="ACC6" s="396"/>
      <c r="ACD6" s="396"/>
      <c r="ACE6" s="396"/>
      <c r="ACF6" s="396"/>
      <c r="ACG6" s="396"/>
      <c r="ACH6" s="396"/>
      <c r="ACI6" s="396"/>
      <c r="ACJ6" s="396"/>
      <c r="ACK6" s="396"/>
      <c r="ACL6" s="396"/>
      <c r="ACM6" s="396"/>
      <c r="ACN6" s="396"/>
      <c r="ACO6" s="396"/>
      <c r="ACP6" s="396"/>
      <c r="ACQ6" s="396"/>
      <c r="ACR6" s="396"/>
      <c r="ACS6" s="396"/>
      <c r="ACT6" s="396"/>
      <c r="ACU6" s="396"/>
      <c r="ACV6" s="396"/>
      <c r="ACW6" s="396"/>
      <c r="ACX6" s="396"/>
      <c r="ACY6" s="396"/>
      <c r="ACZ6" s="396"/>
      <c r="ADA6" s="396"/>
      <c r="ADB6" s="396"/>
      <c r="ADC6" s="396"/>
      <c r="ADD6" s="396"/>
      <c r="ADE6" s="396"/>
      <c r="ADF6" s="396"/>
      <c r="ADG6" s="396"/>
      <c r="ADH6" s="396"/>
      <c r="ADI6" s="396"/>
      <c r="ADJ6" s="396"/>
      <c r="ADK6" s="396"/>
      <c r="ADL6" s="396"/>
      <c r="ADM6" s="396"/>
      <c r="ADN6" s="396"/>
      <c r="ADO6" s="396"/>
      <c r="ADP6" s="396"/>
      <c r="ADQ6" s="396"/>
      <c r="ADR6" s="396"/>
      <c r="ADS6" s="396"/>
      <c r="ADT6" s="396"/>
      <c r="ADU6" s="396"/>
      <c r="ADV6" s="396"/>
      <c r="ADW6" s="396"/>
      <c r="ADX6" s="396"/>
      <c r="ADY6" s="396"/>
      <c r="ADZ6" s="396"/>
      <c r="AEA6" s="396"/>
      <c r="AEB6" s="396"/>
      <c r="AEC6" s="396"/>
      <c r="AED6" s="396"/>
      <c r="AEE6" s="396"/>
      <c r="AEF6" s="396"/>
      <c r="AEG6" s="396"/>
      <c r="AEH6" s="396"/>
      <c r="AEI6" s="396"/>
      <c r="AEJ6" s="396"/>
      <c r="AEK6" s="396"/>
      <c r="AEL6" s="396"/>
      <c r="AEM6" s="396"/>
      <c r="AEN6" s="396"/>
      <c r="AEO6" s="396"/>
      <c r="AEP6" s="396"/>
      <c r="AEQ6" s="396"/>
      <c r="AER6" s="396"/>
      <c r="AES6" s="396"/>
      <c r="AET6" s="396"/>
      <c r="AEU6" s="396"/>
      <c r="AEV6" s="396"/>
      <c r="AEW6" s="396"/>
      <c r="AEX6" s="396"/>
      <c r="AEY6" s="396"/>
      <c r="AEZ6" s="396"/>
      <c r="AFA6" s="396"/>
      <c r="AFB6" s="396"/>
      <c r="AFC6" s="396"/>
      <c r="AFD6" s="396"/>
      <c r="AFE6" s="396"/>
      <c r="AFF6" s="396"/>
      <c r="AFG6" s="396"/>
      <c r="AFH6" s="396"/>
      <c r="AFI6" s="396"/>
      <c r="AFJ6" s="396"/>
      <c r="AFK6" s="396"/>
      <c r="AFL6" s="396"/>
      <c r="AFM6" s="396"/>
      <c r="AFN6" s="396"/>
      <c r="AFO6" s="396"/>
      <c r="AFP6" s="396"/>
      <c r="AFQ6" s="396"/>
      <c r="AFR6" s="396"/>
      <c r="AFS6" s="396"/>
      <c r="AFT6" s="396"/>
      <c r="AFU6" s="396"/>
      <c r="AFV6" s="396"/>
      <c r="AFW6" s="396"/>
      <c r="AFX6" s="396"/>
      <c r="AFY6" s="396"/>
      <c r="AFZ6" s="396"/>
      <c r="AGA6" s="396"/>
      <c r="AGB6" s="396"/>
      <c r="AGC6" s="396"/>
      <c r="AGD6" s="396"/>
      <c r="AGE6" s="396"/>
      <c r="AGF6" s="396"/>
      <c r="AGG6" s="396"/>
      <c r="AGH6" s="396"/>
      <c r="AGI6" s="396"/>
      <c r="AGJ6" s="396"/>
      <c r="AGK6" s="396"/>
      <c r="AGL6" s="396"/>
      <c r="AGM6" s="396"/>
      <c r="AGN6" s="396"/>
      <c r="AGO6" s="396"/>
      <c r="AGP6" s="396"/>
      <c r="AGQ6" s="396"/>
      <c r="AGR6" s="396"/>
      <c r="AGS6" s="396"/>
      <c r="AGT6" s="396"/>
      <c r="AGU6" s="396"/>
      <c r="AGV6" s="396"/>
      <c r="AGW6" s="396"/>
      <c r="AGX6" s="396"/>
      <c r="AGY6" s="396"/>
      <c r="AGZ6" s="396"/>
      <c r="AHA6" s="396"/>
      <c r="AHB6" s="396"/>
      <c r="AHC6" s="396"/>
      <c r="AHD6" s="396"/>
      <c r="AHE6" s="396"/>
      <c r="AHF6" s="396"/>
      <c r="AHG6" s="396"/>
      <c r="AHH6" s="396"/>
      <c r="AHI6" s="396"/>
      <c r="AHJ6" s="396"/>
      <c r="AHK6" s="396"/>
      <c r="AHL6" s="396"/>
      <c r="AHM6" s="396"/>
      <c r="AHN6" s="396"/>
      <c r="AHO6" s="396"/>
      <c r="AHP6" s="396"/>
      <c r="AHQ6" s="396"/>
      <c r="AHR6" s="396"/>
      <c r="AHS6" s="396"/>
      <c r="AHT6" s="396"/>
      <c r="AHU6" s="396"/>
      <c r="AHV6" s="396"/>
      <c r="AHW6" s="396"/>
      <c r="AHX6" s="396"/>
      <c r="AHY6" s="396"/>
      <c r="AHZ6" s="396"/>
      <c r="AIA6" s="396"/>
      <c r="AIB6" s="396"/>
      <c r="AIC6" s="396"/>
      <c r="AID6" s="396"/>
      <c r="AIE6" s="396"/>
      <c r="AIF6" s="396"/>
      <c r="AIG6" s="396"/>
      <c r="AIH6" s="396"/>
      <c r="AII6" s="396"/>
      <c r="AIJ6" s="396"/>
      <c r="AIK6" s="396"/>
      <c r="AIL6" s="396"/>
      <c r="AIM6" s="396"/>
      <c r="AIN6" s="396"/>
      <c r="AIO6" s="396"/>
      <c r="AIP6" s="396"/>
      <c r="AIQ6" s="396"/>
      <c r="AIR6" s="396"/>
      <c r="AIS6" s="396"/>
      <c r="AIT6" s="396"/>
      <c r="AIU6" s="396"/>
      <c r="AIV6" s="396"/>
      <c r="AIW6" s="396"/>
      <c r="AIX6" s="396"/>
      <c r="AIY6" s="396"/>
      <c r="AIZ6" s="396"/>
      <c r="AJA6" s="396"/>
      <c r="AJB6" s="396"/>
      <c r="AJC6" s="396"/>
      <c r="AJD6" s="396"/>
      <c r="AJE6" s="396"/>
      <c r="AJF6" s="396"/>
      <c r="AJG6" s="396"/>
      <c r="AJH6" s="396"/>
      <c r="AJI6" s="396"/>
      <c r="AJJ6" s="396"/>
      <c r="AJK6" s="396"/>
      <c r="AJL6" s="396"/>
      <c r="AJM6" s="396"/>
      <c r="AJN6" s="396"/>
      <c r="AJO6" s="396"/>
      <c r="AJP6" s="396"/>
      <c r="AJQ6" s="396"/>
      <c r="AJR6" s="396"/>
      <c r="AJS6" s="396"/>
      <c r="AJT6" s="396"/>
      <c r="AJU6" s="396"/>
      <c r="AJV6" s="396"/>
      <c r="AJW6" s="396"/>
      <c r="AJX6" s="396"/>
      <c r="AJY6" s="396"/>
      <c r="AJZ6" s="396"/>
      <c r="AKA6" s="396"/>
      <c r="AKB6" s="396"/>
      <c r="AKC6" s="396"/>
      <c r="AKD6" s="396"/>
      <c r="AKE6" s="396"/>
      <c r="AKF6" s="396"/>
      <c r="AKG6" s="396"/>
      <c r="AKH6" s="396"/>
      <c r="AKI6" s="396"/>
      <c r="AKJ6" s="396"/>
      <c r="AKK6" s="396"/>
      <c r="AKL6" s="396"/>
      <c r="AKM6" s="396"/>
      <c r="AKN6" s="396"/>
      <c r="AKO6" s="396"/>
      <c r="AKP6" s="396"/>
      <c r="AKQ6" s="396"/>
      <c r="AKR6" s="396"/>
      <c r="AKS6" s="396"/>
      <c r="AKT6" s="396"/>
      <c r="AKU6" s="396"/>
      <c r="AKV6" s="396"/>
      <c r="AKW6" s="396"/>
      <c r="AKX6" s="396"/>
      <c r="AKY6" s="396"/>
      <c r="AKZ6" s="396"/>
      <c r="ALA6" s="396"/>
      <c r="ALB6" s="396"/>
      <c r="ALC6" s="396"/>
      <c r="ALD6" s="396"/>
      <c r="ALE6" s="396"/>
      <c r="ALF6" s="396"/>
      <c r="ALG6" s="396"/>
      <c r="ALH6" s="396"/>
      <c r="ALI6" s="396"/>
      <c r="ALJ6" s="396"/>
      <c r="ALK6" s="396"/>
      <c r="ALL6" s="396"/>
      <c r="ALM6" s="396"/>
      <c r="ALN6" s="396"/>
      <c r="ALO6" s="396"/>
      <c r="ALP6" s="396"/>
      <c r="ALQ6" s="396"/>
      <c r="ALR6" s="396"/>
      <c r="ALS6" s="396"/>
      <c r="ALT6" s="396"/>
      <c r="ALU6" s="396"/>
      <c r="ALV6" s="396"/>
      <c r="ALW6" s="396"/>
      <c r="ALX6" s="396"/>
      <c r="ALY6" s="396"/>
      <c r="ALZ6" s="396"/>
      <c r="AMA6" s="396"/>
      <c r="AMB6" s="396"/>
      <c r="AMC6" s="396"/>
      <c r="AMD6" s="396"/>
      <c r="AME6" s="396"/>
      <c r="AMF6" s="396"/>
      <c r="AMG6" s="396"/>
      <c r="AMH6" s="396"/>
      <c r="AMI6" s="396"/>
      <c r="AMJ6" s="396"/>
      <c r="AMK6" s="396"/>
      <c r="AML6" s="396"/>
      <c r="AMM6" s="396"/>
      <c r="AMN6" s="396"/>
      <c r="AMO6" s="396"/>
      <c r="AMP6" s="396"/>
      <c r="AMQ6" s="396"/>
      <c r="AMR6" s="396"/>
      <c r="AMS6" s="396"/>
      <c r="AMT6" s="396"/>
      <c r="AMU6" s="396"/>
      <c r="AMV6" s="396"/>
      <c r="AMW6" s="396"/>
      <c r="AMX6" s="396"/>
      <c r="AMY6" s="396"/>
      <c r="AMZ6" s="396"/>
      <c r="ANA6" s="396"/>
      <c r="ANB6" s="396"/>
      <c r="ANC6" s="396"/>
      <c r="AND6" s="396"/>
      <c r="ANE6" s="396"/>
      <c r="ANF6" s="396"/>
      <c r="ANG6" s="396"/>
      <c r="ANH6" s="396"/>
      <c r="ANI6" s="396"/>
      <c r="ANJ6" s="396"/>
      <c r="ANK6" s="396"/>
      <c r="ANL6" s="396"/>
      <c r="ANM6" s="396"/>
      <c r="ANN6" s="396"/>
      <c r="ANO6" s="396"/>
      <c r="ANP6" s="396"/>
      <c r="ANQ6" s="396"/>
      <c r="ANR6" s="396"/>
      <c r="ANS6" s="396"/>
      <c r="ANT6" s="396"/>
      <c r="ANU6" s="396"/>
      <c r="ANV6" s="396"/>
      <c r="ANW6" s="396"/>
      <c r="ANX6" s="396"/>
      <c r="ANY6" s="396"/>
      <c r="ANZ6" s="396"/>
      <c r="AOA6" s="396"/>
      <c r="AOB6" s="396"/>
      <c r="AOC6" s="396"/>
      <c r="AOD6" s="396"/>
      <c r="AOE6" s="396"/>
      <c r="AOF6" s="396"/>
      <c r="AOG6" s="396"/>
      <c r="AOH6" s="396"/>
      <c r="AOI6" s="396"/>
      <c r="AOJ6" s="396"/>
      <c r="AOK6" s="396"/>
      <c r="AOL6" s="396"/>
      <c r="AOM6" s="396"/>
      <c r="AON6" s="396"/>
      <c r="AOO6" s="396"/>
      <c r="AOP6" s="396"/>
      <c r="AOQ6" s="396"/>
      <c r="AOR6" s="396"/>
      <c r="AOS6" s="396"/>
      <c r="AOT6" s="396"/>
      <c r="AOU6" s="396"/>
      <c r="AOV6" s="396"/>
      <c r="AOW6" s="396"/>
      <c r="AOX6" s="396"/>
      <c r="AOY6" s="396"/>
      <c r="AOZ6" s="396"/>
      <c r="APA6" s="396"/>
      <c r="APB6" s="396"/>
      <c r="APC6" s="396"/>
      <c r="APD6" s="396"/>
      <c r="APE6" s="396"/>
      <c r="APF6" s="396"/>
      <c r="APG6" s="396"/>
      <c r="APH6" s="396"/>
      <c r="API6" s="396"/>
      <c r="APJ6" s="396"/>
      <c r="APK6" s="396"/>
      <c r="APL6" s="396"/>
      <c r="APM6" s="396"/>
      <c r="APN6" s="396"/>
      <c r="APO6" s="396"/>
      <c r="APP6" s="396"/>
      <c r="APQ6" s="396"/>
      <c r="APR6" s="396"/>
      <c r="APS6" s="396"/>
      <c r="APT6" s="396"/>
      <c r="APU6" s="396"/>
      <c r="APV6" s="396"/>
      <c r="APW6" s="396"/>
      <c r="APX6" s="396"/>
      <c r="APY6" s="396"/>
      <c r="APZ6" s="396"/>
      <c r="AQA6" s="396"/>
      <c r="AQB6" s="396"/>
      <c r="AQC6" s="396"/>
      <c r="AQD6" s="396"/>
      <c r="AQE6" s="396"/>
      <c r="AQF6" s="396"/>
      <c r="AQG6" s="396"/>
      <c r="AQH6" s="396"/>
      <c r="AQI6" s="396"/>
      <c r="AQJ6" s="396"/>
      <c r="AQK6" s="396"/>
      <c r="AQL6" s="396"/>
      <c r="AQM6" s="396"/>
      <c r="AQN6" s="396"/>
      <c r="AQO6" s="396"/>
      <c r="AQP6" s="396"/>
      <c r="AQQ6" s="396"/>
      <c r="AQR6" s="396"/>
      <c r="AQS6" s="396"/>
      <c r="AQT6" s="396"/>
      <c r="AQU6" s="396"/>
      <c r="AQV6" s="396"/>
      <c r="AQW6" s="396"/>
      <c r="AQX6" s="396"/>
      <c r="AQY6" s="396"/>
      <c r="AQZ6" s="396"/>
      <c r="ARA6" s="396"/>
      <c r="ARB6" s="396"/>
      <c r="ARC6" s="396"/>
      <c r="ARD6" s="396"/>
      <c r="ARE6" s="396"/>
      <c r="ARF6" s="396"/>
      <c r="ARG6" s="396"/>
      <c r="ARH6" s="396"/>
      <c r="ARI6" s="396"/>
      <c r="ARJ6" s="396"/>
      <c r="ARK6" s="396"/>
      <c r="ARL6" s="396"/>
      <c r="ARM6" s="396"/>
      <c r="ARN6" s="396"/>
      <c r="ARO6" s="396"/>
      <c r="ARP6" s="396"/>
      <c r="ARQ6" s="396"/>
      <c r="ARR6" s="396"/>
      <c r="ARS6" s="396"/>
      <c r="ART6" s="396"/>
      <c r="ARU6" s="396"/>
      <c r="ARV6" s="396"/>
      <c r="ARW6" s="396"/>
      <c r="ARX6" s="396"/>
      <c r="ARY6" s="396"/>
      <c r="ARZ6" s="396"/>
      <c r="ASA6" s="396"/>
      <c r="ASB6" s="396"/>
      <c r="ASC6" s="396"/>
      <c r="ASD6" s="396"/>
      <c r="ASE6" s="396"/>
      <c r="ASF6" s="396"/>
      <c r="ASG6" s="396"/>
      <c r="ASH6" s="396"/>
      <c r="ASI6" s="396"/>
      <c r="ASJ6" s="396"/>
      <c r="ASK6" s="396"/>
      <c r="ASL6" s="396"/>
      <c r="ASM6" s="396"/>
      <c r="ASN6" s="396"/>
      <c r="ASO6" s="396"/>
      <c r="ASP6" s="396"/>
      <c r="ASQ6" s="396"/>
      <c r="ASR6" s="396"/>
      <c r="ASS6" s="396"/>
      <c r="AST6" s="396"/>
      <c r="ASU6" s="396"/>
      <c r="ASV6" s="396"/>
      <c r="ASW6" s="396"/>
      <c r="ASX6" s="396"/>
      <c r="ASY6" s="396"/>
      <c r="ASZ6" s="396"/>
      <c r="ATA6" s="396"/>
      <c r="ATB6" s="396"/>
      <c r="ATC6" s="396"/>
      <c r="ATD6" s="396"/>
      <c r="ATE6" s="396"/>
      <c r="ATF6" s="396"/>
      <c r="ATG6" s="396"/>
      <c r="ATH6" s="396"/>
      <c r="ATI6" s="396"/>
      <c r="ATJ6" s="396"/>
      <c r="ATK6" s="396"/>
      <c r="ATL6" s="396"/>
      <c r="ATM6" s="396"/>
      <c r="ATN6" s="396"/>
      <c r="ATO6" s="396"/>
      <c r="ATP6" s="396"/>
      <c r="ATQ6" s="396"/>
      <c r="ATR6" s="396"/>
      <c r="ATS6" s="396"/>
      <c r="ATT6" s="396"/>
      <c r="ATU6" s="396"/>
      <c r="ATV6" s="396"/>
      <c r="ATW6" s="396"/>
      <c r="ATX6" s="396"/>
      <c r="ATY6" s="396"/>
      <c r="ATZ6" s="396"/>
      <c r="AUA6" s="396"/>
      <c r="AUB6" s="396"/>
      <c r="AUC6" s="396"/>
      <c r="AUD6" s="396"/>
      <c r="AUE6" s="396"/>
      <c r="AUF6" s="396"/>
      <c r="AUG6" s="396"/>
      <c r="AUH6" s="396"/>
      <c r="AUI6" s="396"/>
      <c r="AUJ6" s="396"/>
      <c r="AUK6" s="396"/>
      <c r="AUL6" s="396"/>
      <c r="AUM6" s="396"/>
      <c r="AUN6" s="396"/>
      <c r="AUO6" s="396"/>
      <c r="AUP6" s="396"/>
      <c r="AUQ6" s="396"/>
      <c r="AUR6" s="396"/>
      <c r="AUS6" s="396"/>
      <c r="AUT6" s="396"/>
      <c r="AUU6" s="396"/>
      <c r="AUV6" s="396"/>
      <c r="AUW6" s="396"/>
      <c r="AUX6" s="396"/>
      <c r="AUY6" s="396"/>
      <c r="AUZ6" s="396"/>
      <c r="AVA6" s="396"/>
      <c r="AVB6" s="396"/>
      <c r="AVC6" s="396"/>
      <c r="AVD6" s="396"/>
      <c r="AVE6" s="396"/>
      <c r="AVF6" s="396"/>
      <c r="AVG6" s="396"/>
      <c r="AVH6" s="396"/>
      <c r="AVI6" s="396"/>
      <c r="AVJ6" s="396"/>
      <c r="AVK6" s="396"/>
      <c r="AVL6" s="396"/>
      <c r="AVM6" s="396"/>
      <c r="AVN6" s="396"/>
      <c r="AVO6" s="396"/>
      <c r="AVP6" s="396"/>
      <c r="AVQ6" s="396"/>
      <c r="AVR6" s="396"/>
      <c r="AVS6" s="396"/>
      <c r="AVT6" s="396"/>
      <c r="AVU6" s="396"/>
      <c r="AVV6" s="396"/>
      <c r="AVW6" s="396"/>
      <c r="AVX6" s="396"/>
      <c r="AVY6" s="396"/>
      <c r="AVZ6" s="396"/>
      <c r="AWA6" s="396"/>
      <c r="AWB6" s="396"/>
      <c r="AWC6" s="396"/>
      <c r="AWD6" s="396"/>
      <c r="AWE6" s="396"/>
      <c r="AWF6" s="396"/>
      <c r="AWG6" s="396"/>
      <c r="AWH6" s="396"/>
      <c r="AWI6" s="396"/>
      <c r="AWJ6" s="396"/>
      <c r="AWK6" s="396"/>
      <c r="AWL6" s="396"/>
      <c r="AWM6" s="396"/>
      <c r="AWN6" s="396"/>
      <c r="AWO6" s="396"/>
      <c r="AWP6" s="396"/>
      <c r="AWQ6" s="396"/>
      <c r="AWR6" s="396"/>
      <c r="AWS6" s="396"/>
      <c r="AWT6" s="396"/>
      <c r="AWU6" s="396"/>
      <c r="AWV6" s="396"/>
      <c r="AWW6" s="396"/>
      <c r="AWX6" s="396"/>
      <c r="AWY6" s="396"/>
      <c r="AWZ6" s="396"/>
      <c r="AXA6" s="396"/>
      <c r="AXB6" s="396"/>
      <c r="AXC6" s="396"/>
      <c r="AXD6" s="396"/>
      <c r="AXE6" s="396"/>
      <c r="AXF6" s="396"/>
      <c r="AXG6" s="396"/>
      <c r="AXH6" s="396"/>
      <c r="AXI6" s="396"/>
      <c r="AXJ6" s="396"/>
      <c r="AXK6" s="396"/>
      <c r="AXL6" s="396"/>
      <c r="AXM6" s="396"/>
      <c r="AXN6" s="396"/>
      <c r="AXO6" s="396"/>
      <c r="AXP6" s="396"/>
      <c r="AXQ6" s="396"/>
      <c r="AXR6" s="396"/>
      <c r="AXS6" s="396"/>
      <c r="AXT6" s="396"/>
      <c r="AXU6" s="396"/>
      <c r="AXV6" s="396"/>
      <c r="AXW6" s="396"/>
      <c r="AXX6" s="396"/>
      <c r="AXY6" s="396"/>
      <c r="AXZ6" s="396"/>
      <c r="AYA6" s="396"/>
      <c r="AYB6" s="396"/>
      <c r="AYC6" s="396"/>
      <c r="AYD6" s="396"/>
      <c r="AYE6" s="396"/>
      <c r="AYF6" s="396"/>
      <c r="AYG6" s="396"/>
      <c r="AYH6" s="396"/>
      <c r="AYI6" s="396"/>
      <c r="AYJ6" s="396"/>
      <c r="AYK6" s="396"/>
      <c r="AYL6" s="396"/>
      <c r="AYM6" s="396"/>
      <c r="AYN6" s="396"/>
      <c r="AYO6" s="396"/>
      <c r="AYP6" s="396"/>
      <c r="AYQ6" s="396"/>
      <c r="AYR6" s="396"/>
      <c r="AYS6" s="396"/>
      <c r="AYT6" s="396"/>
      <c r="AYU6" s="396"/>
      <c r="AYV6" s="396"/>
      <c r="AYW6" s="396"/>
      <c r="AYX6" s="396"/>
      <c r="AYY6" s="396"/>
      <c r="AYZ6" s="396"/>
      <c r="AZA6" s="396"/>
      <c r="AZB6" s="396"/>
      <c r="AZC6" s="396"/>
      <c r="AZD6" s="396"/>
      <c r="AZE6" s="396"/>
      <c r="AZF6" s="396"/>
      <c r="AZG6" s="396"/>
      <c r="AZH6" s="396"/>
      <c r="AZI6" s="396"/>
      <c r="AZJ6" s="396"/>
      <c r="AZK6" s="396"/>
      <c r="AZL6" s="396"/>
      <c r="AZM6" s="396"/>
      <c r="AZN6" s="396"/>
      <c r="AZO6" s="396"/>
      <c r="AZP6" s="396"/>
      <c r="AZQ6" s="396"/>
      <c r="AZR6" s="396"/>
      <c r="AZS6" s="396"/>
      <c r="AZT6" s="396"/>
      <c r="AZU6" s="396"/>
      <c r="AZV6" s="396"/>
      <c r="AZW6" s="396"/>
      <c r="AZX6" s="396"/>
      <c r="AZY6" s="396"/>
      <c r="AZZ6" s="396"/>
      <c r="BAA6" s="396"/>
      <c r="BAB6" s="396"/>
      <c r="BAC6" s="396"/>
      <c r="BAD6" s="396"/>
      <c r="BAE6" s="396"/>
      <c r="BAF6" s="396"/>
      <c r="BAG6" s="396"/>
      <c r="BAH6" s="396"/>
      <c r="BAI6" s="396"/>
      <c r="BAJ6" s="396"/>
      <c r="BAK6" s="396"/>
      <c r="BAL6" s="396"/>
      <c r="BAM6" s="396"/>
      <c r="BAN6" s="396"/>
      <c r="BAO6" s="396"/>
      <c r="BAP6" s="396"/>
      <c r="BAQ6" s="396"/>
      <c r="BAR6" s="396"/>
      <c r="BAS6" s="396"/>
      <c r="BAT6" s="396"/>
      <c r="BAU6" s="396"/>
      <c r="BAV6" s="396"/>
      <c r="BAW6" s="396"/>
      <c r="BAX6" s="396"/>
      <c r="BAY6" s="396"/>
      <c r="BAZ6" s="396"/>
      <c r="BBA6" s="396"/>
      <c r="BBB6" s="396"/>
      <c r="BBC6" s="396"/>
      <c r="BBD6" s="396"/>
      <c r="BBE6" s="396"/>
      <c r="BBF6" s="396"/>
      <c r="BBG6" s="396"/>
      <c r="BBH6" s="396"/>
      <c r="BBI6" s="396"/>
      <c r="BBJ6" s="396"/>
      <c r="BBK6" s="396"/>
      <c r="BBL6" s="396"/>
      <c r="BBM6" s="396"/>
      <c r="BBN6" s="396"/>
      <c r="BBO6" s="396"/>
      <c r="BBP6" s="396"/>
      <c r="BBQ6" s="396"/>
      <c r="BBR6" s="396"/>
      <c r="BBS6" s="396"/>
      <c r="BBT6" s="396"/>
      <c r="BBU6" s="396"/>
      <c r="BBV6" s="396"/>
      <c r="BBW6" s="396"/>
      <c r="BBX6" s="396"/>
      <c r="BBY6" s="396"/>
      <c r="BBZ6" s="396"/>
      <c r="BCA6" s="396"/>
      <c r="BCB6" s="396"/>
      <c r="BCC6" s="396"/>
      <c r="BCD6" s="396"/>
      <c r="BCE6" s="396"/>
      <c r="BCF6" s="396"/>
      <c r="BCG6" s="396"/>
      <c r="BCH6" s="396"/>
      <c r="BCI6" s="396"/>
      <c r="BCJ6" s="396"/>
      <c r="BCK6" s="396"/>
      <c r="BCL6" s="396"/>
      <c r="BCM6" s="396"/>
      <c r="BCN6" s="396"/>
      <c r="BCO6" s="396"/>
      <c r="BCP6" s="396"/>
      <c r="BCQ6" s="396"/>
      <c r="BCR6" s="396"/>
      <c r="BCS6" s="396"/>
      <c r="BCT6" s="396"/>
      <c r="BCU6" s="396"/>
      <c r="BCV6" s="396"/>
      <c r="BCW6" s="396"/>
      <c r="BCX6" s="396"/>
      <c r="BCY6" s="396"/>
      <c r="BCZ6" s="396"/>
      <c r="BDA6" s="396"/>
      <c r="BDB6" s="396"/>
      <c r="BDC6" s="396"/>
      <c r="BDD6" s="396"/>
      <c r="BDE6" s="396"/>
      <c r="BDF6" s="396"/>
      <c r="BDG6" s="396"/>
      <c r="BDH6" s="396"/>
      <c r="BDI6" s="396"/>
      <c r="BDJ6" s="396"/>
      <c r="BDK6" s="396"/>
      <c r="BDL6" s="396"/>
      <c r="BDM6" s="396"/>
      <c r="BDN6" s="396"/>
      <c r="BDO6" s="396"/>
      <c r="BDP6" s="396"/>
      <c r="BDQ6" s="396"/>
      <c r="BDR6" s="396"/>
      <c r="BDS6" s="396"/>
      <c r="BDT6" s="396"/>
      <c r="BDU6" s="396"/>
      <c r="BDV6" s="396"/>
      <c r="BDW6" s="396"/>
      <c r="BDX6" s="396"/>
      <c r="BDY6" s="396"/>
      <c r="BDZ6" s="396"/>
      <c r="BEA6" s="396"/>
      <c r="BEB6" s="396"/>
      <c r="BEC6" s="396"/>
      <c r="BED6" s="396"/>
      <c r="BEE6" s="396"/>
      <c r="BEF6" s="396"/>
      <c r="BEG6" s="396"/>
      <c r="BEH6" s="396"/>
      <c r="BEI6" s="396"/>
      <c r="BEJ6" s="396"/>
      <c r="BEK6" s="396"/>
      <c r="BEL6" s="396"/>
      <c r="BEM6" s="396"/>
      <c r="BEN6" s="396"/>
      <c r="BEO6" s="396"/>
      <c r="BEP6" s="396"/>
      <c r="BEQ6" s="396"/>
      <c r="BER6" s="396"/>
      <c r="BES6" s="396"/>
      <c r="BET6" s="396"/>
      <c r="BEU6" s="396"/>
      <c r="BEV6" s="396"/>
      <c r="BEW6" s="396"/>
      <c r="BEX6" s="396"/>
      <c r="BEY6" s="396"/>
      <c r="BEZ6" s="396"/>
      <c r="BFA6" s="396"/>
      <c r="BFB6" s="396"/>
      <c r="BFC6" s="396"/>
      <c r="BFD6" s="396"/>
      <c r="BFE6" s="396"/>
      <c r="BFF6" s="396"/>
      <c r="BFG6" s="396"/>
      <c r="BFH6" s="396"/>
      <c r="BFI6" s="396"/>
      <c r="BFJ6" s="396"/>
      <c r="BFK6" s="396"/>
      <c r="BFL6" s="396"/>
      <c r="BFM6" s="396"/>
      <c r="BFN6" s="396"/>
      <c r="BFO6" s="396"/>
      <c r="BFP6" s="396"/>
      <c r="BFQ6" s="396"/>
      <c r="BFR6" s="396"/>
      <c r="BFS6" s="396"/>
      <c r="BFT6" s="396"/>
      <c r="BFU6" s="396"/>
      <c r="BFV6" s="396"/>
      <c r="BFW6" s="396"/>
      <c r="BFX6" s="396"/>
      <c r="BFY6" s="396"/>
      <c r="BFZ6" s="396"/>
      <c r="BGA6" s="396"/>
      <c r="BGB6" s="396"/>
      <c r="BGC6" s="396"/>
      <c r="BGD6" s="396"/>
      <c r="BGE6" s="396"/>
      <c r="BGF6" s="396"/>
      <c r="BGG6" s="396"/>
      <c r="BGH6" s="396"/>
      <c r="BGI6" s="396"/>
      <c r="BGJ6" s="396"/>
      <c r="BGK6" s="396"/>
      <c r="BGL6" s="396"/>
      <c r="BGM6" s="396"/>
      <c r="BGN6" s="396"/>
      <c r="BGO6" s="396"/>
      <c r="BGP6" s="396"/>
      <c r="BGQ6" s="396"/>
      <c r="BGR6" s="396"/>
      <c r="BGS6" s="396"/>
      <c r="BGT6" s="396"/>
      <c r="BGU6" s="396"/>
      <c r="BGV6" s="396"/>
      <c r="BGW6" s="396"/>
      <c r="BGX6" s="396"/>
      <c r="BGY6" s="396"/>
      <c r="BGZ6" s="396"/>
      <c r="BHA6" s="396"/>
      <c r="BHB6" s="396"/>
      <c r="BHC6" s="396"/>
      <c r="BHD6" s="396"/>
      <c r="BHE6" s="396"/>
      <c r="BHF6" s="396"/>
      <c r="BHG6" s="396"/>
      <c r="BHH6" s="396"/>
      <c r="BHI6" s="396"/>
      <c r="BHJ6" s="396"/>
      <c r="BHK6" s="396"/>
      <c r="BHL6" s="396"/>
      <c r="BHM6" s="396"/>
      <c r="BHN6" s="396"/>
      <c r="BHO6" s="396"/>
      <c r="BHP6" s="396"/>
      <c r="BHQ6" s="396"/>
      <c r="BHR6" s="396"/>
      <c r="BHS6" s="396"/>
      <c r="BHT6" s="396"/>
      <c r="BHU6" s="396"/>
      <c r="BHV6" s="396"/>
      <c r="BHW6" s="396"/>
      <c r="BHX6" s="396"/>
      <c r="BHY6" s="396"/>
      <c r="BHZ6" s="396"/>
      <c r="BIA6" s="396"/>
      <c r="BIB6" s="396"/>
      <c r="BIC6" s="396"/>
      <c r="BID6" s="396"/>
      <c r="BIE6" s="396"/>
      <c r="BIF6" s="396"/>
      <c r="BIG6" s="396"/>
      <c r="BIH6" s="396"/>
      <c r="BII6" s="396"/>
      <c r="BIJ6" s="396"/>
      <c r="BIK6" s="396"/>
      <c r="BIL6" s="396"/>
      <c r="BIM6" s="396"/>
      <c r="BIN6" s="396"/>
      <c r="BIO6" s="396"/>
      <c r="BIP6" s="396"/>
      <c r="BIQ6" s="396"/>
      <c r="BIR6" s="396"/>
      <c r="BIS6" s="396"/>
      <c r="BIT6" s="396"/>
      <c r="BIU6" s="396"/>
      <c r="BIV6" s="396"/>
      <c r="BIW6" s="396"/>
      <c r="BIX6" s="396"/>
      <c r="BIY6" s="396"/>
      <c r="BIZ6" s="396"/>
      <c r="BJA6" s="396"/>
      <c r="BJB6" s="396"/>
      <c r="BJC6" s="396"/>
      <c r="BJD6" s="396"/>
      <c r="BJE6" s="396"/>
      <c r="BJF6" s="396"/>
      <c r="BJG6" s="396"/>
      <c r="BJH6" s="396"/>
      <c r="BJI6" s="396"/>
      <c r="BJJ6" s="396"/>
      <c r="BJK6" s="396"/>
      <c r="BJL6" s="396"/>
      <c r="BJM6" s="396"/>
      <c r="BJN6" s="396"/>
      <c r="BJO6" s="396"/>
      <c r="BJP6" s="396"/>
      <c r="BJQ6" s="396"/>
      <c r="BJR6" s="396"/>
      <c r="BJS6" s="396"/>
      <c r="BJT6" s="396"/>
      <c r="BJU6" s="396"/>
      <c r="BJV6" s="396"/>
      <c r="BJW6" s="396"/>
      <c r="BJX6" s="396"/>
      <c r="BJY6" s="396"/>
      <c r="BJZ6" s="396"/>
      <c r="BKA6" s="396"/>
      <c r="BKB6" s="396"/>
      <c r="BKC6" s="396"/>
      <c r="BKD6" s="396"/>
      <c r="BKE6" s="396"/>
      <c r="BKF6" s="396"/>
      <c r="BKG6" s="396"/>
      <c r="BKH6" s="396"/>
      <c r="BKI6" s="396"/>
      <c r="BKJ6" s="396"/>
      <c r="BKK6" s="396"/>
      <c r="BKL6" s="396"/>
      <c r="BKM6" s="396"/>
      <c r="BKN6" s="396"/>
      <c r="BKO6" s="396"/>
      <c r="BKP6" s="396"/>
      <c r="BKQ6" s="396"/>
      <c r="BKR6" s="396"/>
      <c r="BKS6" s="396"/>
      <c r="BKT6" s="396"/>
      <c r="BKU6" s="396"/>
      <c r="BKV6" s="396"/>
      <c r="BKW6" s="396"/>
      <c r="BKX6" s="396"/>
      <c r="BKY6" s="396"/>
      <c r="BKZ6" s="396"/>
      <c r="BLA6" s="396"/>
      <c r="BLB6" s="396"/>
      <c r="BLC6" s="396"/>
      <c r="BLD6" s="396"/>
      <c r="BLE6" s="396"/>
      <c r="BLF6" s="396"/>
      <c r="BLG6" s="396"/>
      <c r="BLH6" s="396"/>
      <c r="BLI6" s="396"/>
      <c r="BLJ6" s="396"/>
      <c r="BLK6" s="396"/>
      <c r="BLL6" s="396"/>
      <c r="BLM6" s="396"/>
      <c r="BLN6" s="396"/>
      <c r="BLO6" s="396"/>
      <c r="BLP6" s="396"/>
      <c r="BLQ6" s="396"/>
      <c r="BLR6" s="396"/>
      <c r="BLS6" s="396"/>
      <c r="BLT6" s="396"/>
      <c r="BLU6" s="396"/>
      <c r="BLV6" s="396"/>
      <c r="BLW6" s="396"/>
      <c r="BLX6" s="396"/>
      <c r="BLY6" s="396"/>
      <c r="BLZ6" s="396"/>
      <c r="BMA6" s="396"/>
      <c r="BMB6" s="396"/>
      <c r="BMC6" s="396"/>
      <c r="BMD6" s="396"/>
      <c r="BME6" s="396"/>
      <c r="BMF6" s="396"/>
      <c r="BMG6" s="396"/>
      <c r="BMH6" s="396"/>
      <c r="BMI6" s="396"/>
      <c r="BMJ6" s="396"/>
      <c r="BMK6" s="396"/>
      <c r="BML6" s="396"/>
      <c r="BMM6" s="396"/>
      <c r="BMN6" s="396"/>
      <c r="BMO6" s="396"/>
      <c r="BMP6" s="396"/>
      <c r="BMQ6" s="396"/>
      <c r="BMR6" s="396"/>
      <c r="BMS6" s="396"/>
      <c r="BMT6" s="396"/>
      <c r="BMU6" s="396"/>
      <c r="BMV6" s="396"/>
      <c r="BMW6" s="396"/>
      <c r="BMX6" s="396"/>
      <c r="BMY6" s="396"/>
      <c r="BMZ6" s="396"/>
      <c r="BNA6" s="396"/>
      <c r="BNB6" s="396"/>
      <c r="BNC6" s="396"/>
      <c r="BND6" s="396"/>
      <c r="BNE6" s="396"/>
      <c r="BNF6" s="396"/>
      <c r="BNG6" s="396"/>
      <c r="BNH6" s="396"/>
      <c r="BNI6" s="396"/>
      <c r="BNJ6" s="396"/>
      <c r="BNK6" s="396"/>
      <c r="BNL6" s="396"/>
      <c r="BNM6" s="396"/>
      <c r="BNN6" s="396"/>
      <c r="BNO6" s="396"/>
      <c r="BNP6" s="396"/>
      <c r="BNQ6" s="396"/>
      <c r="BNR6" s="396"/>
      <c r="BNS6" s="396"/>
      <c r="BNT6" s="396"/>
      <c r="BNU6" s="396"/>
      <c r="BNV6" s="396"/>
      <c r="BNW6" s="396"/>
      <c r="BNX6" s="396"/>
      <c r="BNY6" s="396"/>
      <c r="BNZ6" s="396"/>
      <c r="BOA6" s="396"/>
      <c r="BOB6" s="396"/>
      <c r="BOC6" s="396"/>
      <c r="BOD6" s="396"/>
      <c r="BOE6" s="396"/>
      <c r="BOF6" s="396"/>
      <c r="BOG6" s="396"/>
      <c r="BOH6" s="396"/>
      <c r="BOI6" s="396"/>
      <c r="BOJ6" s="396"/>
      <c r="BOK6" s="396"/>
      <c r="BOL6" s="396"/>
      <c r="BOM6" s="396"/>
      <c r="BON6" s="396"/>
      <c r="BOO6" s="396"/>
      <c r="BOP6" s="396"/>
      <c r="BOQ6" s="396"/>
      <c r="BOR6" s="396"/>
      <c r="BOS6" s="396"/>
      <c r="BOT6" s="396"/>
      <c r="BOU6" s="396"/>
      <c r="BOV6" s="396"/>
      <c r="BOW6" s="396"/>
      <c r="BOX6" s="396"/>
      <c r="BOY6" s="396"/>
      <c r="BOZ6" s="396"/>
      <c r="BPA6" s="396"/>
      <c r="BPB6" s="396"/>
      <c r="BPC6" s="396"/>
      <c r="BPD6" s="396"/>
      <c r="BPE6" s="396"/>
      <c r="BPF6" s="396"/>
      <c r="BPG6" s="396"/>
      <c r="BPH6" s="396"/>
      <c r="BPI6" s="396"/>
      <c r="BPJ6" s="396"/>
      <c r="BPK6" s="396"/>
      <c r="BPL6" s="396"/>
      <c r="BPM6" s="396"/>
      <c r="BPN6" s="396"/>
      <c r="BPO6" s="396"/>
      <c r="BPP6" s="396"/>
      <c r="BPQ6" s="396"/>
      <c r="BPR6" s="396"/>
      <c r="BPS6" s="396"/>
      <c r="BPT6" s="396"/>
      <c r="BPU6" s="396"/>
      <c r="BPV6" s="396"/>
      <c r="BPW6" s="396"/>
      <c r="BPX6" s="396"/>
      <c r="BPY6" s="396"/>
      <c r="BPZ6" s="396"/>
      <c r="BQA6" s="396"/>
      <c r="BQB6" s="396"/>
      <c r="BQC6" s="396"/>
      <c r="BQD6" s="396"/>
      <c r="BQE6" s="396"/>
      <c r="BQF6" s="396"/>
      <c r="BQG6" s="396"/>
      <c r="BQH6" s="396"/>
      <c r="BQI6" s="396"/>
      <c r="BQJ6" s="396"/>
      <c r="BQK6" s="396"/>
      <c r="BQL6" s="396"/>
      <c r="BQM6" s="396"/>
      <c r="BQN6" s="396"/>
      <c r="BQO6" s="396"/>
      <c r="BQP6" s="396"/>
      <c r="BQQ6" s="396"/>
      <c r="BQR6" s="396"/>
      <c r="BQS6" s="396"/>
      <c r="BQT6" s="396"/>
      <c r="BQU6" s="396"/>
      <c r="BQV6" s="396"/>
      <c r="BQW6" s="396"/>
      <c r="BQX6" s="396"/>
      <c r="BQY6" s="396"/>
      <c r="BQZ6" s="396"/>
      <c r="BRA6" s="396"/>
      <c r="BRB6" s="396"/>
      <c r="BRC6" s="396"/>
      <c r="BRD6" s="396"/>
      <c r="BRE6" s="396"/>
      <c r="BRF6" s="396"/>
      <c r="BRG6" s="396"/>
      <c r="BRH6" s="396"/>
      <c r="BRI6" s="396"/>
      <c r="BRJ6" s="396"/>
      <c r="BRK6" s="396"/>
      <c r="BRL6" s="396"/>
      <c r="BRM6" s="396"/>
      <c r="BRN6" s="396"/>
      <c r="BRO6" s="396"/>
      <c r="BRP6" s="396"/>
      <c r="BRQ6" s="396"/>
      <c r="BRR6" s="396"/>
      <c r="BRS6" s="396"/>
      <c r="BRT6" s="396"/>
      <c r="BRU6" s="396"/>
      <c r="BRV6" s="396"/>
      <c r="BRW6" s="396"/>
      <c r="BRX6" s="396"/>
      <c r="BRY6" s="396"/>
      <c r="BRZ6" s="396"/>
      <c r="BSA6" s="396"/>
      <c r="BSB6" s="396"/>
      <c r="BSC6" s="396"/>
      <c r="BSD6" s="396"/>
      <c r="BSE6" s="396"/>
      <c r="BSF6" s="396"/>
      <c r="BSG6" s="396"/>
      <c r="BSH6" s="396"/>
      <c r="BSI6" s="396"/>
      <c r="BSJ6" s="396"/>
      <c r="BSK6" s="396"/>
      <c r="BSL6" s="396"/>
      <c r="BSM6" s="396"/>
      <c r="BSN6" s="396"/>
      <c r="BSO6" s="396"/>
      <c r="BSP6" s="396"/>
      <c r="BSQ6" s="396"/>
      <c r="BSR6" s="396"/>
      <c r="BSS6" s="396"/>
      <c r="BST6" s="396"/>
      <c r="BSU6" s="396"/>
      <c r="BSV6" s="396"/>
      <c r="BSW6" s="396"/>
      <c r="BSX6" s="396"/>
      <c r="BSY6" s="396"/>
      <c r="BSZ6" s="396"/>
      <c r="BTA6" s="396"/>
      <c r="BTB6" s="396"/>
      <c r="BTC6" s="396"/>
      <c r="BTD6" s="396"/>
      <c r="BTE6" s="396"/>
      <c r="BTF6" s="396"/>
      <c r="BTG6" s="396"/>
      <c r="BTH6" s="396"/>
      <c r="BTI6" s="396"/>
      <c r="BTJ6" s="396"/>
      <c r="BTK6" s="396"/>
      <c r="BTL6" s="396"/>
      <c r="BTM6" s="396"/>
      <c r="BTN6" s="396"/>
      <c r="BTO6" s="396"/>
      <c r="BTP6" s="396"/>
      <c r="BTQ6" s="396"/>
      <c r="BTR6" s="396"/>
      <c r="BTS6" s="396"/>
      <c r="BTT6" s="396"/>
      <c r="BTU6" s="396"/>
      <c r="BTV6" s="396"/>
      <c r="BTW6" s="396"/>
      <c r="BTX6" s="396"/>
      <c r="BTY6" s="396"/>
      <c r="BTZ6" s="396"/>
      <c r="BUA6" s="396"/>
      <c r="BUB6" s="396"/>
      <c r="BUC6" s="396"/>
      <c r="BUD6" s="396"/>
      <c r="BUE6" s="396"/>
      <c r="BUF6" s="396"/>
      <c r="BUG6" s="396"/>
      <c r="BUH6" s="396"/>
      <c r="BUI6" s="396"/>
      <c r="BUJ6" s="396"/>
      <c r="BUK6" s="396"/>
      <c r="BUL6" s="396"/>
      <c r="BUM6" s="396"/>
      <c r="BUN6" s="396"/>
      <c r="BUO6" s="396"/>
      <c r="BUP6" s="396"/>
      <c r="BUQ6" s="396"/>
      <c r="BUR6" s="396"/>
      <c r="BUS6" s="396"/>
      <c r="BUT6" s="396"/>
      <c r="BUU6" s="396"/>
      <c r="BUV6" s="396"/>
      <c r="BUW6" s="396"/>
      <c r="BUX6" s="396"/>
      <c r="BUY6" s="396"/>
      <c r="BUZ6" s="396"/>
      <c r="BVA6" s="396"/>
      <c r="BVB6" s="396"/>
      <c r="BVC6" s="396"/>
      <c r="BVD6" s="396"/>
      <c r="BVE6" s="396"/>
      <c r="BVF6" s="396"/>
      <c r="BVG6" s="396"/>
      <c r="BVH6" s="396"/>
      <c r="BVI6" s="396"/>
      <c r="BVJ6" s="396"/>
      <c r="BVK6" s="396"/>
      <c r="BVL6" s="396"/>
      <c r="BVM6" s="396"/>
      <c r="BVN6" s="396"/>
      <c r="BVO6" s="396"/>
      <c r="BVP6" s="396"/>
      <c r="BVQ6" s="396"/>
      <c r="BVR6" s="396"/>
      <c r="BVS6" s="396"/>
      <c r="BVT6" s="396"/>
      <c r="BVU6" s="396"/>
      <c r="BVV6" s="396"/>
      <c r="BVW6" s="396"/>
      <c r="BVX6" s="396"/>
      <c r="BVY6" s="396"/>
      <c r="BVZ6" s="396"/>
      <c r="BWA6" s="396"/>
      <c r="BWB6" s="396"/>
      <c r="BWC6" s="396"/>
      <c r="BWD6" s="396"/>
      <c r="BWE6" s="396"/>
      <c r="BWF6" s="396"/>
      <c r="BWG6" s="396"/>
      <c r="BWH6" s="396"/>
      <c r="BWI6" s="396"/>
      <c r="BWJ6" s="396"/>
      <c r="BWK6" s="396"/>
      <c r="BWL6" s="396"/>
      <c r="BWM6" s="396"/>
      <c r="BWN6" s="396"/>
      <c r="BWO6" s="396"/>
      <c r="BWP6" s="396"/>
      <c r="BWQ6" s="396"/>
      <c r="BWR6" s="396"/>
      <c r="BWS6" s="396"/>
      <c r="BWT6" s="396"/>
      <c r="BWU6" s="396"/>
      <c r="BWV6" s="396"/>
      <c r="BWW6" s="396"/>
      <c r="BWX6" s="396"/>
      <c r="BWY6" s="396"/>
      <c r="BWZ6" s="396"/>
      <c r="BXA6" s="396"/>
      <c r="BXB6" s="396"/>
      <c r="BXC6" s="396"/>
      <c r="BXD6" s="396"/>
      <c r="BXE6" s="396"/>
      <c r="BXF6" s="396"/>
      <c r="BXG6" s="396"/>
      <c r="BXH6" s="396"/>
      <c r="BXI6" s="396"/>
      <c r="BXJ6" s="396"/>
      <c r="BXK6" s="396"/>
      <c r="BXL6" s="396"/>
      <c r="BXM6" s="396"/>
      <c r="BXN6" s="396"/>
      <c r="BXO6" s="396"/>
      <c r="BXP6" s="396"/>
      <c r="BXQ6" s="396"/>
      <c r="BXR6" s="396"/>
      <c r="BXS6" s="396"/>
      <c r="BXT6" s="396"/>
      <c r="BXU6" s="396"/>
      <c r="BXV6" s="396"/>
      <c r="BXW6" s="396"/>
      <c r="BXX6" s="396"/>
      <c r="BXY6" s="396"/>
      <c r="BXZ6" s="396"/>
      <c r="BYA6" s="396"/>
      <c r="BYB6" s="396"/>
      <c r="BYC6" s="396"/>
      <c r="BYD6" s="396"/>
      <c r="BYE6" s="396"/>
      <c r="BYF6" s="396"/>
      <c r="BYG6" s="396"/>
      <c r="BYH6" s="396"/>
      <c r="BYI6" s="396"/>
      <c r="BYJ6" s="396"/>
      <c r="BYK6" s="396"/>
      <c r="BYL6" s="396"/>
      <c r="BYM6" s="396"/>
      <c r="BYN6" s="396"/>
      <c r="BYO6" s="396"/>
      <c r="BYP6" s="396"/>
      <c r="BYQ6" s="396"/>
      <c r="BYR6" s="396"/>
      <c r="BYS6" s="396"/>
      <c r="BYT6" s="396"/>
      <c r="BYU6" s="396"/>
      <c r="BYV6" s="396"/>
      <c r="BYW6" s="396"/>
      <c r="BYX6" s="396"/>
      <c r="BYY6" s="396"/>
      <c r="BYZ6" s="396"/>
      <c r="BZA6" s="396"/>
      <c r="BZB6" s="396"/>
      <c r="BZC6" s="396"/>
      <c r="BZD6" s="396"/>
      <c r="BZE6" s="396"/>
      <c r="BZF6" s="396"/>
      <c r="BZG6" s="396"/>
      <c r="BZH6" s="396"/>
      <c r="BZI6" s="396"/>
      <c r="BZJ6" s="396"/>
      <c r="BZK6" s="396"/>
      <c r="BZL6" s="396"/>
      <c r="BZM6" s="396"/>
      <c r="BZN6" s="396"/>
      <c r="BZO6" s="396"/>
      <c r="BZP6" s="396"/>
      <c r="BZQ6" s="396"/>
      <c r="BZR6" s="396"/>
      <c r="BZS6" s="396"/>
      <c r="BZT6" s="396"/>
      <c r="BZU6" s="396"/>
      <c r="BZV6" s="396"/>
      <c r="BZW6" s="396"/>
      <c r="BZX6" s="396"/>
      <c r="BZY6" s="396"/>
      <c r="BZZ6" s="396"/>
      <c r="CAA6" s="396"/>
      <c r="CAB6" s="396"/>
      <c r="CAC6" s="396"/>
      <c r="CAD6" s="396"/>
      <c r="CAE6" s="396"/>
      <c r="CAF6" s="396"/>
      <c r="CAG6" s="396"/>
      <c r="CAH6" s="396"/>
      <c r="CAI6" s="396"/>
      <c r="CAJ6" s="396"/>
      <c r="CAK6" s="396"/>
      <c r="CAL6" s="396"/>
      <c r="CAM6" s="396"/>
      <c r="CAN6" s="396"/>
      <c r="CAO6" s="396"/>
      <c r="CAP6" s="396"/>
      <c r="CAQ6" s="396"/>
      <c r="CAR6" s="396"/>
      <c r="CAS6" s="396"/>
      <c r="CAT6" s="396"/>
      <c r="CAU6" s="396"/>
      <c r="CAV6" s="396"/>
      <c r="CAW6" s="396"/>
      <c r="CAX6" s="396"/>
      <c r="CAY6" s="396"/>
      <c r="CAZ6" s="396"/>
      <c r="CBA6" s="396"/>
      <c r="CBB6" s="396"/>
      <c r="CBC6" s="396"/>
      <c r="CBD6" s="396"/>
      <c r="CBE6" s="396"/>
      <c r="CBF6" s="396"/>
      <c r="CBG6" s="396"/>
      <c r="CBH6" s="396"/>
      <c r="CBI6" s="396"/>
      <c r="CBJ6" s="396"/>
      <c r="CBK6" s="396"/>
      <c r="CBL6" s="396"/>
      <c r="CBM6" s="396"/>
      <c r="CBN6" s="396"/>
      <c r="CBO6" s="396"/>
      <c r="CBP6" s="396"/>
      <c r="CBQ6" s="396"/>
      <c r="CBR6" s="396"/>
      <c r="CBS6" s="396"/>
      <c r="CBT6" s="396"/>
      <c r="CBU6" s="396"/>
      <c r="CBV6" s="396"/>
      <c r="CBW6" s="396"/>
      <c r="CBX6" s="396"/>
      <c r="CBY6" s="396"/>
      <c r="CBZ6" s="396"/>
      <c r="CCA6" s="396"/>
      <c r="CCB6" s="396"/>
      <c r="CCC6" s="396"/>
      <c r="CCD6" s="396"/>
      <c r="CCE6" s="396"/>
      <c r="CCF6" s="396"/>
      <c r="CCG6" s="396"/>
      <c r="CCH6" s="396"/>
      <c r="CCI6" s="396"/>
      <c r="CCJ6" s="396"/>
      <c r="CCK6" s="396"/>
      <c r="CCL6" s="396"/>
      <c r="CCM6" s="396"/>
      <c r="CCN6" s="396"/>
      <c r="CCO6" s="396"/>
      <c r="CCP6" s="396"/>
      <c r="CCQ6" s="396"/>
      <c r="CCR6" s="396"/>
      <c r="CCS6" s="396"/>
      <c r="CCT6" s="396"/>
      <c r="CCU6" s="396"/>
      <c r="CCV6" s="396"/>
      <c r="CCW6" s="396"/>
      <c r="CCX6" s="396"/>
      <c r="CCY6" s="396"/>
      <c r="CCZ6" s="396"/>
      <c r="CDA6" s="396"/>
      <c r="CDB6" s="396"/>
      <c r="CDC6" s="396"/>
      <c r="CDD6" s="396"/>
      <c r="CDE6" s="396"/>
      <c r="CDF6" s="396"/>
      <c r="CDG6" s="396"/>
      <c r="CDH6" s="396"/>
      <c r="CDI6" s="396"/>
      <c r="CDJ6" s="396"/>
      <c r="CDK6" s="396"/>
      <c r="CDL6" s="396"/>
      <c r="CDM6" s="396"/>
      <c r="CDN6" s="396"/>
      <c r="CDO6" s="396"/>
      <c r="CDP6" s="396"/>
      <c r="CDQ6" s="396"/>
      <c r="CDR6" s="396"/>
      <c r="CDS6" s="396"/>
      <c r="CDT6" s="396"/>
      <c r="CDU6" s="396"/>
      <c r="CDV6" s="396"/>
      <c r="CDW6" s="396"/>
      <c r="CDX6" s="396"/>
      <c r="CDY6" s="396"/>
      <c r="CDZ6" s="396"/>
      <c r="CEA6" s="396"/>
      <c r="CEB6" s="396"/>
      <c r="CEC6" s="396"/>
      <c r="CED6" s="396"/>
      <c r="CEE6" s="396"/>
      <c r="CEF6" s="396"/>
      <c r="CEG6" s="396"/>
      <c r="CEH6" s="396"/>
      <c r="CEI6" s="396"/>
      <c r="CEJ6" s="396"/>
      <c r="CEK6" s="396"/>
      <c r="CEL6" s="396"/>
      <c r="CEM6" s="396"/>
      <c r="CEN6" s="396"/>
      <c r="CEO6" s="396"/>
      <c r="CEP6" s="396"/>
      <c r="CEQ6" s="396"/>
      <c r="CER6" s="396"/>
      <c r="CES6" s="396"/>
      <c r="CET6" s="396"/>
      <c r="CEU6" s="396"/>
      <c r="CEV6" s="396"/>
      <c r="CEW6" s="396"/>
      <c r="CEX6" s="396"/>
      <c r="CEY6" s="396"/>
      <c r="CEZ6" s="396"/>
      <c r="CFA6" s="396"/>
      <c r="CFB6" s="396"/>
      <c r="CFC6" s="396"/>
      <c r="CFD6" s="396"/>
      <c r="CFE6" s="396"/>
      <c r="CFF6" s="396"/>
      <c r="CFG6" s="396"/>
      <c r="CFH6" s="396"/>
      <c r="CFI6" s="396"/>
      <c r="CFJ6" s="396"/>
      <c r="CFK6" s="396"/>
      <c r="CFL6" s="396"/>
      <c r="CFM6" s="396"/>
      <c r="CFN6" s="396"/>
      <c r="CFO6" s="396"/>
      <c r="CFP6" s="396"/>
      <c r="CFQ6" s="396"/>
      <c r="CFR6" s="396"/>
      <c r="CFS6" s="396"/>
      <c r="CFT6" s="396"/>
      <c r="CFU6" s="396"/>
      <c r="CFV6" s="396"/>
      <c r="CFW6" s="396"/>
      <c r="CFX6" s="396"/>
      <c r="CFY6" s="396"/>
      <c r="CFZ6" s="396"/>
      <c r="CGA6" s="396"/>
      <c r="CGB6" s="396"/>
      <c r="CGC6" s="396"/>
      <c r="CGD6" s="396"/>
      <c r="CGE6" s="396"/>
      <c r="CGF6" s="396"/>
      <c r="CGG6" s="396"/>
      <c r="CGH6" s="396"/>
      <c r="CGI6" s="396"/>
      <c r="CGJ6" s="396"/>
      <c r="CGK6" s="396"/>
      <c r="CGL6" s="396"/>
      <c r="CGM6" s="396"/>
      <c r="CGN6" s="396"/>
      <c r="CGO6" s="396"/>
      <c r="CGP6" s="396"/>
      <c r="CGQ6" s="396"/>
      <c r="CGR6" s="396"/>
      <c r="CGS6" s="396"/>
      <c r="CGT6" s="396"/>
      <c r="CGU6" s="396"/>
      <c r="CGV6" s="396"/>
      <c r="CGW6" s="396"/>
      <c r="CGX6" s="396"/>
      <c r="CGY6" s="396"/>
      <c r="CGZ6" s="396"/>
      <c r="CHA6" s="396"/>
      <c r="CHB6" s="396"/>
      <c r="CHC6" s="396"/>
      <c r="CHD6" s="396"/>
      <c r="CHE6" s="396"/>
      <c r="CHF6" s="396"/>
      <c r="CHG6" s="396"/>
      <c r="CHH6" s="396"/>
      <c r="CHI6" s="396"/>
      <c r="CHJ6" s="396"/>
      <c r="CHK6" s="396"/>
      <c r="CHL6" s="396"/>
      <c r="CHM6" s="396"/>
      <c r="CHN6" s="396"/>
      <c r="CHO6" s="396"/>
      <c r="CHP6" s="396"/>
      <c r="CHQ6" s="396"/>
      <c r="CHR6" s="396"/>
      <c r="CHS6" s="396"/>
      <c r="CHT6" s="396"/>
      <c r="CHU6" s="396"/>
      <c r="CHV6" s="396"/>
      <c r="CHW6" s="396"/>
      <c r="CHX6" s="396"/>
      <c r="CHY6" s="396"/>
      <c r="CHZ6" s="396"/>
      <c r="CIA6" s="396"/>
      <c r="CIB6" s="396"/>
      <c r="CIC6" s="396"/>
      <c r="CID6" s="396"/>
      <c r="CIE6" s="396"/>
      <c r="CIF6" s="396"/>
      <c r="CIG6" s="396"/>
      <c r="CIH6" s="396"/>
      <c r="CII6" s="396"/>
      <c r="CIJ6" s="396"/>
      <c r="CIK6" s="396"/>
      <c r="CIL6" s="396"/>
      <c r="CIM6" s="396"/>
      <c r="CIN6" s="396"/>
      <c r="CIO6" s="396"/>
      <c r="CIP6" s="396"/>
      <c r="CIQ6" s="396"/>
      <c r="CIR6" s="396"/>
      <c r="CIS6" s="396"/>
      <c r="CIT6" s="396"/>
      <c r="CIU6" s="396"/>
      <c r="CIV6" s="396"/>
      <c r="CIW6" s="396"/>
      <c r="CIX6" s="396"/>
      <c r="CIY6" s="396"/>
      <c r="CIZ6" s="396"/>
      <c r="CJA6" s="396"/>
      <c r="CJB6" s="396"/>
      <c r="CJC6" s="396"/>
      <c r="CJD6" s="396"/>
      <c r="CJE6" s="396"/>
      <c r="CJF6" s="396"/>
      <c r="CJG6" s="396"/>
      <c r="CJH6" s="396"/>
      <c r="CJI6" s="396"/>
      <c r="CJJ6" s="396"/>
      <c r="CJK6" s="396"/>
      <c r="CJL6" s="396"/>
      <c r="CJM6" s="396"/>
      <c r="CJN6" s="396"/>
      <c r="CJO6" s="396"/>
      <c r="CJP6" s="396"/>
      <c r="CJQ6" s="396"/>
      <c r="CJR6" s="396"/>
      <c r="CJS6" s="396"/>
      <c r="CJT6" s="396"/>
      <c r="CJU6" s="396"/>
      <c r="CJV6" s="396"/>
      <c r="CJW6" s="396"/>
      <c r="CJX6" s="396"/>
      <c r="CJY6" s="396"/>
      <c r="CJZ6" s="396"/>
      <c r="CKA6" s="396"/>
      <c r="CKB6" s="396"/>
      <c r="CKC6" s="396"/>
      <c r="CKD6" s="396"/>
      <c r="CKE6" s="396"/>
      <c r="CKF6" s="396"/>
      <c r="CKG6" s="396"/>
      <c r="CKH6" s="396"/>
      <c r="CKI6" s="396"/>
      <c r="CKJ6" s="396"/>
      <c r="CKK6" s="396"/>
      <c r="CKL6" s="396"/>
      <c r="CKM6" s="396"/>
      <c r="CKN6" s="396"/>
      <c r="CKO6" s="396"/>
      <c r="CKP6" s="396"/>
      <c r="CKQ6" s="396"/>
      <c r="CKR6" s="396"/>
      <c r="CKS6" s="396"/>
      <c r="CKT6" s="396"/>
      <c r="CKU6" s="396"/>
      <c r="CKV6" s="396"/>
      <c r="CKW6" s="396"/>
      <c r="CKX6" s="396"/>
      <c r="CKY6" s="396"/>
      <c r="CKZ6" s="396"/>
      <c r="CLA6" s="396"/>
      <c r="CLB6" s="396"/>
      <c r="CLC6" s="396"/>
      <c r="CLD6" s="396"/>
      <c r="CLE6" s="396"/>
      <c r="CLF6" s="396"/>
      <c r="CLG6" s="396"/>
      <c r="CLH6" s="396"/>
      <c r="CLI6" s="396"/>
      <c r="CLJ6" s="396"/>
      <c r="CLK6" s="396"/>
      <c r="CLL6" s="396"/>
      <c r="CLM6" s="396"/>
      <c r="CLN6" s="396"/>
      <c r="CLO6" s="396"/>
      <c r="CLP6" s="396"/>
      <c r="CLQ6" s="396"/>
      <c r="CLR6" s="396"/>
      <c r="CLS6" s="396"/>
      <c r="CLT6" s="396"/>
      <c r="CLU6" s="396"/>
      <c r="CLV6" s="396"/>
      <c r="CLW6" s="396"/>
      <c r="CLX6" s="396"/>
      <c r="CLY6" s="396"/>
      <c r="CLZ6" s="396"/>
      <c r="CMA6" s="396"/>
      <c r="CMB6" s="396"/>
      <c r="CMC6" s="396"/>
      <c r="CMD6" s="396"/>
      <c r="CME6" s="396"/>
      <c r="CMF6" s="396"/>
      <c r="CMG6" s="396"/>
      <c r="CMH6" s="396"/>
      <c r="CMI6" s="396"/>
      <c r="CMJ6" s="396"/>
      <c r="CMK6" s="396"/>
      <c r="CML6" s="396"/>
      <c r="CMM6" s="396"/>
      <c r="CMN6" s="396"/>
      <c r="CMO6" s="396"/>
      <c r="CMP6" s="396"/>
      <c r="CMQ6" s="396"/>
      <c r="CMR6" s="396"/>
      <c r="CMS6" s="396"/>
      <c r="CMT6" s="396"/>
      <c r="CMU6" s="396"/>
      <c r="CMV6" s="396"/>
      <c r="CMW6" s="396"/>
      <c r="CMX6" s="396"/>
      <c r="CMY6" s="396"/>
      <c r="CMZ6" s="396"/>
      <c r="CNA6" s="396"/>
      <c r="CNB6" s="396"/>
      <c r="CNC6" s="396"/>
      <c r="CND6" s="396"/>
      <c r="CNE6" s="396"/>
      <c r="CNF6" s="396"/>
      <c r="CNG6" s="396"/>
      <c r="CNH6" s="396"/>
      <c r="CNI6" s="396"/>
      <c r="CNJ6" s="396"/>
      <c r="CNK6" s="396"/>
      <c r="CNL6" s="396"/>
      <c r="CNM6" s="396"/>
      <c r="CNN6" s="396"/>
      <c r="CNO6" s="396"/>
      <c r="CNP6" s="396"/>
      <c r="CNQ6" s="396"/>
      <c r="CNR6" s="396"/>
      <c r="CNS6" s="396"/>
      <c r="CNT6" s="396"/>
      <c r="CNU6" s="396"/>
      <c r="CNV6" s="396"/>
      <c r="CNW6" s="396"/>
      <c r="CNX6" s="396"/>
      <c r="CNY6" s="396"/>
      <c r="CNZ6" s="396"/>
      <c r="COA6" s="396"/>
      <c r="COB6" s="396"/>
      <c r="COC6" s="396"/>
      <c r="COD6" s="396"/>
      <c r="COE6" s="396"/>
      <c r="COF6" s="396"/>
      <c r="COG6" s="396"/>
      <c r="COH6" s="396"/>
      <c r="COI6" s="396"/>
      <c r="COJ6" s="396"/>
      <c r="COK6" s="396"/>
      <c r="COL6" s="396"/>
      <c r="COM6" s="396"/>
      <c r="CON6" s="396"/>
      <c r="COO6" s="396"/>
      <c r="COP6" s="396"/>
      <c r="COQ6" s="396"/>
      <c r="COR6" s="396"/>
      <c r="COS6" s="396"/>
      <c r="COT6" s="396"/>
      <c r="COU6" s="396"/>
      <c r="COV6" s="396"/>
      <c r="COW6" s="396"/>
      <c r="COX6" s="396"/>
      <c r="COY6" s="396"/>
      <c r="COZ6" s="396"/>
      <c r="CPA6" s="396"/>
      <c r="CPB6" s="396"/>
      <c r="CPC6" s="396"/>
      <c r="CPD6" s="396"/>
      <c r="CPE6" s="396"/>
      <c r="CPF6" s="396"/>
      <c r="CPG6" s="396"/>
      <c r="CPH6" s="396"/>
      <c r="CPI6" s="396"/>
      <c r="CPJ6" s="396"/>
      <c r="CPK6" s="396"/>
      <c r="CPL6" s="396"/>
      <c r="CPM6" s="396"/>
      <c r="CPN6" s="396"/>
      <c r="CPO6" s="396"/>
      <c r="CPP6" s="396"/>
      <c r="CPQ6" s="396"/>
      <c r="CPR6" s="396"/>
      <c r="CPS6" s="396"/>
      <c r="CPT6" s="396"/>
      <c r="CPU6" s="396"/>
      <c r="CPV6" s="396"/>
      <c r="CPW6" s="396"/>
      <c r="CPX6" s="396"/>
      <c r="CPY6" s="396"/>
      <c r="CPZ6" s="396"/>
      <c r="CQA6" s="396"/>
      <c r="CQB6" s="396"/>
      <c r="CQC6" s="396"/>
      <c r="CQD6" s="396"/>
      <c r="CQE6" s="396"/>
      <c r="CQF6" s="396"/>
      <c r="CQG6" s="396"/>
      <c r="CQH6" s="396"/>
      <c r="CQI6" s="396"/>
      <c r="CQJ6" s="396"/>
      <c r="CQK6" s="396"/>
      <c r="CQL6" s="396"/>
      <c r="CQM6" s="396"/>
      <c r="CQN6" s="396"/>
      <c r="CQO6" s="396"/>
      <c r="CQP6" s="396"/>
      <c r="CQQ6" s="396"/>
      <c r="CQR6" s="396"/>
      <c r="CQS6" s="396"/>
      <c r="CQT6" s="396"/>
      <c r="CQU6" s="396"/>
      <c r="CQV6" s="396"/>
      <c r="CQW6" s="396"/>
      <c r="CQX6" s="396"/>
      <c r="CQY6" s="396"/>
      <c r="CQZ6" s="396"/>
      <c r="CRA6" s="396"/>
      <c r="CRB6" s="396"/>
      <c r="CRC6" s="396"/>
      <c r="CRD6" s="396"/>
      <c r="CRE6" s="396"/>
      <c r="CRF6" s="396"/>
      <c r="CRG6" s="396"/>
      <c r="CRH6" s="396"/>
      <c r="CRI6" s="396"/>
      <c r="CRJ6" s="396"/>
      <c r="CRK6" s="396"/>
      <c r="CRL6" s="396"/>
      <c r="CRM6" s="396"/>
      <c r="CRN6" s="396"/>
      <c r="CRO6" s="396"/>
      <c r="CRP6" s="396"/>
      <c r="CRQ6" s="396"/>
      <c r="CRR6" s="396"/>
      <c r="CRS6" s="396"/>
      <c r="CRT6" s="396"/>
      <c r="CRU6" s="396"/>
      <c r="CRV6" s="396"/>
      <c r="CRW6" s="396"/>
      <c r="CRX6" s="396"/>
      <c r="CRY6" s="396"/>
      <c r="CRZ6" s="396"/>
      <c r="CSA6" s="396"/>
      <c r="CSB6" s="396"/>
      <c r="CSC6" s="396"/>
      <c r="CSD6" s="396"/>
      <c r="CSE6" s="396"/>
      <c r="CSF6" s="396"/>
      <c r="CSG6" s="396"/>
      <c r="CSH6" s="396"/>
      <c r="CSI6" s="396"/>
      <c r="CSJ6" s="396"/>
      <c r="CSK6" s="396"/>
      <c r="CSL6" s="396"/>
      <c r="CSM6" s="396"/>
      <c r="CSN6" s="396"/>
      <c r="CSO6" s="396"/>
      <c r="CSP6" s="396"/>
      <c r="CSQ6" s="396"/>
      <c r="CSR6" s="396"/>
      <c r="CSS6" s="396"/>
      <c r="CST6" s="396"/>
      <c r="CSU6" s="396"/>
      <c r="CSV6" s="396"/>
      <c r="CSW6" s="396"/>
      <c r="CSX6" s="396"/>
      <c r="CSY6" s="396"/>
      <c r="CSZ6" s="396"/>
      <c r="CTA6" s="396"/>
      <c r="CTB6" s="396"/>
      <c r="CTC6" s="396"/>
      <c r="CTD6" s="396"/>
      <c r="CTE6" s="396"/>
      <c r="CTF6" s="396"/>
      <c r="CTG6" s="396"/>
      <c r="CTH6" s="396"/>
      <c r="CTI6" s="396"/>
      <c r="CTJ6" s="396"/>
      <c r="CTK6" s="396"/>
      <c r="CTL6" s="396"/>
      <c r="CTM6" s="396"/>
      <c r="CTN6" s="396"/>
      <c r="CTO6" s="396"/>
      <c r="CTP6" s="396"/>
      <c r="CTQ6" s="396"/>
      <c r="CTR6" s="396"/>
      <c r="CTS6" s="396"/>
      <c r="CTT6" s="396"/>
      <c r="CTU6" s="396"/>
      <c r="CTV6" s="396"/>
      <c r="CTW6" s="396"/>
      <c r="CTX6" s="396"/>
      <c r="CTY6" s="396"/>
      <c r="CTZ6" s="396"/>
      <c r="CUA6" s="396"/>
      <c r="CUB6" s="396"/>
      <c r="CUC6" s="396"/>
      <c r="CUD6" s="396"/>
      <c r="CUE6" s="396"/>
      <c r="CUF6" s="396"/>
      <c r="CUG6" s="396"/>
      <c r="CUH6" s="396"/>
      <c r="CUI6" s="396"/>
      <c r="CUJ6" s="396"/>
      <c r="CUK6" s="396"/>
      <c r="CUL6" s="396"/>
      <c r="CUM6" s="396"/>
      <c r="CUN6" s="396"/>
      <c r="CUO6" s="396"/>
      <c r="CUP6" s="396"/>
      <c r="CUQ6" s="396"/>
      <c r="CUR6" s="396"/>
      <c r="CUS6" s="396"/>
      <c r="CUT6" s="396"/>
      <c r="CUU6" s="396"/>
      <c r="CUV6" s="396"/>
      <c r="CUW6" s="396"/>
      <c r="CUX6" s="396"/>
      <c r="CUY6" s="396"/>
      <c r="CUZ6" s="396"/>
      <c r="CVA6" s="396"/>
      <c r="CVB6" s="396"/>
      <c r="CVC6" s="396"/>
      <c r="CVD6" s="396"/>
      <c r="CVE6" s="396"/>
      <c r="CVF6" s="396"/>
      <c r="CVG6" s="396"/>
      <c r="CVH6" s="396"/>
      <c r="CVI6" s="396"/>
      <c r="CVJ6" s="396"/>
      <c r="CVK6" s="396"/>
      <c r="CVL6" s="396"/>
      <c r="CVM6" s="396"/>
      <c r="CVN6" s="396"/>
      <c r="CVO6" s="396"/>
      <c r="CVP6" s="396"/>
      <c r="CVQ6" s="396"/>
      <c r="CVR6" s="396"/>
      <c r="CVS6" s="396"/>
      <c r="CVT6" s="396"/>
      <c r="CVU6" s="396"/>
      <c r="CVV6" s="396"/>
      <c r="CVW6" s="396"/>
      <c r="CVX6" s="396"/>
      <c r="CVY6" s="396"/>
      <c r="CVZ6" s="396"/>
      <c r="CWA6" s="396"/>
      <c r="CWB6" s="396"/>
      <c r="CWC6" s="396"/>
      <c r="CWD6" s="396"/>
      <c r="CWE6" s="396"/>
      <c r="CWF6" s="396"/>
      <c r="CWG6" s="396"/>
      <c r="CWH6" s="396"/>
      <c r="CWI6" s="396"/>
      <c r="CWJ6" s="396"/>
      <c r="CWK6" s="396"/>
      <c r="CWL6" s="396"/>
      <c r="CWM6" s="396"/>
      <c r="CWN6" s="396"/>
      <c r="CWO6" s="396"/>
      <c r="CWP6" s="396"/>
      <c r="CWQ6" s="396"/>
      <c r="CWR6" s="396"/>
      <c r="CWS6" s="396"/>
      <c r="CWT6" s="396"/>
      <c r="CWU6" s="396"/>
      <c r="CWV6" s="396"/>
      <c r="CWW6" s="396"/>
      <c r="CWX6" s="396"/>
      <c r="CWY6" s="396"/>
      <c r="CWZ6" s="396"/>
      <c r="CXA6" s="396"/>
      <c r="CXB6" s="396"/>
      <c r="CXC6" s="396"/>
      <c r="CXD6" s="396"/>
      <c r="CXE6" s="396"/>
      <c r="CXF6" s="396"/>
      <c r="CXG6" s="396"/>
      <c r="CXH6" s="396"/>
      <c r="CXI6" s="396"/>
      <c r="CXJ6" s="396"/>
      <c r="CXK6" s="396"/>
      <c r="CXL6" s="396"/>
      <c r="CXM6" s="396"/>
      <c r="CXN6" s="396"/>
      <c r="CXO6" s="396"/>
      <c r="CXP6" s="396"/>
      <c r="CXQ6" s="396"/>
      <c r="CXR6" s="396"/>
      <c r="CXS6" s="396"/>
      <c r="CXT6" s="396"/>
      <c r="CXU6" s="396"/>
      <c r="CXV6" s="396"/>
      <c r="CXW6" s="396"/>
      <c r="CXX6" s="396"/>
      <c r="CXY6" s="396"/>
      <c r="CXZ6" s="396"/>
      <c r="CYA6" s="396"/>
      <c r="CYB6" s="396"/>
      <c r="CYC6" s="396"/>
      <c r="CYD6" s="396"/>
      <c r="CYE6" s="396"/>
      <c r="CYF6" s="396"/>
      <c r="CYG6" s="396"/>
      <c r="CYH6" s="396"/>
      <c r="CYI6" s="396"/>
      <c r="CYJ6" s="396"/>
      <c r="CYK6" s="396"/>
      <c r="CYL6" s="396"/>
      <c r="CYM6" s="396"/>
      <c r="CYN6" s="396"/>
      <c r="CYO6" s="396"/>
      <c r="CYP6" s="396"/>
      <c r="CYQ6" s="396"/>
      <c r="CYR6" s="396"/>
      <c r="CYS6" s="396"/>
      <c r="CYT6" s="396"/>
      <c r="CYU6" s="396"/>
      <c r="CYV6" s="396"/>
      <c r="CYW6" s="396"/>
      <c r="CYX6" s="396"/>
      <c r="CYY6" s="396"/>
      <c r="CYZ6" s="396"/>
      <c r="CZA6" s="396"/>
      <c r="CZB6" s="396"/>
      <c r="CZC6" s="396"/>
      <c r="CZD6" s="396"/>
      <c r="CZE6" s="396"/>
      <c r="CZF6" s="396"/>
      <c r="CZG6" s="396"/>
      <c r="CZH6" s="396"/>
      <c r="CZI6" s="396"/>
      <c r="CZJ6" s="396"/>
      <c r="CZK6" s="396"/>
      <c r="CZL6" s="396"/>
      <c r="CZM6" s="396"/>
      <c r="CZN6" s="396"/>
      <c r="CZO6" s="396"/>
      <c r="CZP6" s="396"/>
      <c r="CZQ6" s="396"/>
      <c r="CZR6" s="396"/>
      <c r="CZS6" s="396"/>
      <c r="CZT6" s="396"/>
      <c r="CZU6" s="396"/>
      <c r="CZV6" s="396"/>
      <c r="CZW6" s="396"/>
      <c r="CZX6" s="396"/>
      <c r="CZY6" s="396"/>
      <c r="CZZ6" s="396"/>
      <c r="DAA6" s="396"/>
      <c r="DAB6" s="396"/>
      <c r="DAC6" s="396"/>
      <c r="DAD6" s="396"/>
      <c r="DAE6" s="396"/>
      <c r="DAF6" s="396"/>
      <c r="DAG6" s="396"/>
      <c r="DAH6" s="396"/>
      <c r="DAI6" s="396"/>
      <c r="DAJ6" s="396"/>
      <c r="DAK6" s="396"/>
      <c r="DAL6" s="396"/>
      <c r="DAM6" s="396"/>
      <c r="DAN6" s="396"/>
      <c r="DAO6" s="396"/>
      <c r="DAP6" s="396"/>
      <c r="DAQ6" s="396"/>
      <c r="DAR6" s="396"/>
      <c r="DAS6" s="396"/>
      <c r="DAT6" s="396"/>
      <c r="DAU6" s="396"/>
      <c r="DAV6" s="396"/>
      <c r="DAW6" s="396"/>
      <c r="DAX6" s="396"/>
      <c r="DAY6" s="396"/>
      <c r="DAZ6" s="396"/>
      <c r="DBA6" s="396"/>
      <c r="DBB6" s="396"/>
      <c r="DBC6" s="396"/>
      <c r="DBD6" s="396"/>
      <c r="DBE6" s="396"/>
      <c r="DBF6" s="396"/>
      <c r="DBG6" s="396"/>
      <c r="DBH6" s="396"/>
      <c r="DBI6" s="396"/>
      <c r="DBJ6" s="396"/>
      <c r="DBK6" s="396"/>
      <c r="DBL6" s="396"/>
      <c r="DBM6" s="396"/>
      <c r="DBN6" s="396"/>
      <c r="DBO6" s="396"/>
      <c r="DBP6" s="396"/>
      <c r="DBQ6" s="396"/>
      <c r="DBR6" s="396"/>
      <c r="DBS6" s="396"/>
      <c r="DBT6" s="396"/>
      <c r="DBU6" s="396"/>
      <c r="DBV6" s="396"/>
      <c r="DBW6" s="396"/>
      <c r="DBX6" s="396"/>
      <c r="DBY6" s="396"/>
      <c r="DBZ6" s="396"/>
      <c r="DCA6" s="396"/>
      <c r="DCB6" s="396"/>
      <c r="DCC6" s="396"/>
      <c r="DCD6" s="396"/>
      <c r="DCE6" s="396"/>
      <c r="DCF6" s="396"/>
      <c r="DCG6" s="396"/>
      <c r="DCH6" s="396"/>
      <c r="DCI6" s="396"/>
      <c r="DCJ6" s="396"/>
      <c r="DCK6" s="396"/>
      <c r="DCL6" s="396"/>
      <c r="DCM6" s="396"/>
      <c r="DCN6" s="396"/>
      <c r="DCO6" s="396"/>
      <c r="DCP6" s="396"/>
      <c r="DCQ6" s="396"/>
      <c r="DCR6" s="396"/>
      <c r="DCS6" s="396"/>
      <c r="DCT6" s="396"/>
      <c r="DCU6" s="396"/>
      <c r="DCV6" s="396"/>
      <c r="DCW6" s="396"/>
      <c r="DCX6" s="396"/>
      <c r="DCY6" s="396"/>
      <c r="DCZ6" s="396"/>
      <c r="DDA6" s="396"/>
      <c r="DDB6" s="396"/>
      <c r="DDC6" s="396"/>
      <c r="DDD6" s="396"/>
      <c r="DDE6" s="396"/>
      <c r="DDF6" s="396"/>
      <c r="DDG6" s="396"/>
      <c r="DDH6" s="396"/>
      <c r="DDI6" s="396"/>
      <c r="DDJ6" s="396"/>
      <c r="DDK6" s="396"/>
      <c r="DDL6" s="396"/>
      <c r="DDM6" s="396"/>
      <c r="DDN6" s="396"/>
      <c r="DDO6" s="396"/>
      <c r="DDP6" s="396"/>
      <c r="DDQ6" s="396"/>
      <c r="DDR6" s="396"/>
      <c r="DDS6" s="396"/>
      <c r="DDT6" s="396"/>
      <c r="DDU6" s="396"/>
      <c r="DDV6" s="396"/>
      <c r="DDW6" s="396"/>
      <c r="DDX6" s="396"/>
      <c r="DDY6" s="396"/>
      <c r="DDZ6" s="396"/>
      <c r="DEA6" s="396"/>
      <c r="DEB6" s="396"/>
      <c r="DEC6" s="396"/>
      <c r="DED6" s="396"/>
      <c r="DEE6" s="396"/>
      <c r="DEF6" s="396"/>
      <c r="DEG6" s="396"/>
      <c r="DEH6" s="396"/>
      <c r="DEI6" s="396"/>
      <c r="DEJ6" s="396"/>
      <c r="DEK6" s="396"/>
      <c r="DEL6" s="396"/>
      <c r="DEM6" s="396"/>
      <c r="DEN6" s="396"/>
      <c r="DEO6" s="396"/>
      <c r="DEP6" s="396"/>
      <c r="DEQ6" s="396"/>
      <c r="DER6" s="396"/>
      <c r="DES6" s="396"/>
      <c r="DET6" s="396"/>
      <c r="DEU6" s="396"/>
      <c r="DEV6" s="396"/>
      <c r="DEW6" s="396"/>
      <c r="DEX6" s="396"/>
      <c r="DEY6" s="396"/>
      <c r="DEZ6" s="396"/>
      <c r="DFA6" s="396"/>
      <c r="DFB6" s="396"/>
      <c r="DFC6" s="396"/>
      <c r="DFD6" s="396"/>
      <c r="DFE6" s="396"/>
      <c r="DFF6" s="396"/>
      <c r="DFG6" s="396"/>
      <c r="DFH6" s="396"/>
      <c r="DFI6" s="396"/>
      <c r="DFJ6" s="396"/>
      <c r="DFK6" s="396"/>
      <c r="DFL6" s="396"/>
      <c r="DFM6" s="396"/>
      <c r="DFN6" s="396"/>
      <c r="DFO6" s="396"/>
      <c r="DFP6" s="396"/>
      <c r="DFQ6" s="396"/>
      <c r="DFR6" s="396"/>
      <c r="DFS6" s="396"/>
      <c r="DFT6" s="396"/>
      <c r="DFU6" s="396"/>
      <c r="DFV6" s="396"/>
      <c r="DFW6" s="396"/>
      <c r="DFX6" s="396"/>
      <c r="DFY6" s="396"/>
      <c r="DFZ6" s="396"/>
      <c r="DGA6" s="396"/>
      <c r="DGB6" s="396"/>
      <c r="DGC6" s="396"/>
      <c r="DGD6" s="396"/>
      <c r="DGE6" s="396"/>
      <c r="DGF6" s="396"/>
      <c r="DGG6" s="396"/>
      <c r="DGH6" s="396"/>
      <c r="DGI6" s="396"/>
      <c r="DGJ6" s="396"/>
      <c r="DGK6" s="396"/>
      <c r="DGL6" s="396"/>
      <c r="DGM6" s="396"/>
      <c r="DGN6" s="396"/>
      <c r="DGO6" s="396"/>
      <c r="DGP6" s="396"/>
      <c r="DGQ6" s="396"/>
      <c r="DGR6" s="396"/>
      <c r="DGS6" s="396"/>
      <c r="DGT6" s="396"/>
      <c r="DGU6" s="396"/>
      <c r="DGV6" s="396"/>
      <c r="DGW6" s="396"/>
      <c r="DGX6" s="396"/>
      <c r="DGY6" s="396"/>
      <c r="DGZ6" s="396"/>
      <c r="DHA6" s="396"/>
      <c r="DHB6" s="396"/>
      <c r="DHC6" s="396"/>
      <c r="DHD6" s="396"/>
      <c r="DHE6" s="396"/>
      <c r="DHF6" s="396"/>
      <c r="DHG6" s="396"/>
      <c r="DHH6" s="396"/>
      <c r="DHI6" s="396"/>
      <c r="DHJ6" s="396"/>
      <c r="DHK6" s="396"/>
      <c r="DHL6" s="396"/>
      <c r="DHM6" s="396"/>
      <c r="DHN6" s="396"/>
      <c r="DHO6" s="396"/>
      <c r="DHP6" s="396"/>
      <c r="DHQ6" s="396"/>
      <c r="DHR6" s="396"/>
      <c r="DHS6" s="396"/>
      <c r="DHT6" s="396"/>
      <c r="DHU6" s="396"/>
      <c r="DHV6" s="396"/>
      <c r="DHW6" s="396"/>
      <c r="DHX6" s="396"/>
      <c r="DHY6" s="396"/>
      <c r="DHZ6" s="396"/>
      <c r="DIA6" s="396"/>
      <c r="DIB6" s="396"/>
      <c r="DIC6" s="396"/>
      <c r="DID6" s="396"/>
      <c r="DIE6" s="396"/>
      <c r="DIF6" s="396"/>
      <c r="DIG6" s="396"/>
      <c r="DIH6" s="396"/>
      <c r="DII6" s="396"/>
      <c r="DIJ6" s="396"/>
      <c r="DIK6" s="396"/>
      <c r="DIL6" s="396"/>
      <c r="DIM6" s="396"/>
      <c r="DIN6" s="396"/>
      <c r="DIO6" s="396"/>
      <c r="DIP6" s="396"/>
      <c r="DIQ6" s="396"/>
      <c r="DIR6" s="396"/>
      <c r="DIS6" s="396"/>
      <c r="DIT6" s="396"/>
      <c r="DIU6" s="396"/>
      <c r="DIV6" s="396"/>
      <c r="DIW6" s="396"/>
      <c r="DIX6" s="396"/>
      <c r="DIY6" s="396"/>
      <c r="DIZ6" s="396"/>
      <c r="DJA6" s="396"/>
      <c r="DJB6" s="396"/>
      <c r="DJC6" s="396"/>
      <c r="DJD6" s="396"/>
      <c r="DJE6" s="396"/>
      <c r="DJF6" s="396"/>
      <c r="DJG6" s="396"/>
      <c r="DJH6" s="396"/>
      <c r="DJI6" s="396"/>
      <c r="DJJ6" s="396"/>
      <c r="DJK6" s="396"/>
      <c r="DJL6" s="396"/>
      <c r="DJM6" s="396"/>
      <c r="DJN6" s="396"/>
      <c r="DJO6" s="396"/>
      <c r="DJP6" s="396"/>
      <c r="DJQ6" s="396"/>
      <c r="DJR6" s="396"/>
      <c r="DJS6" s="396"/>
      <c r="DJT6" s="396"/>
      <c r="DJU6" s="396"/>
      <c r="DJV6" s="396"/>
      <c r="DJW6" s="396"/>
      <c r="DJX6" s="396"/>
      <c r="DJY6" s="396"/>
      <c r="DJZ6" s="396"/>
      <c r="DKA6" s="396"/>
      <c r="DKB6" s="396"/>
      <c r="DKC6" s="396"/>
      <c r="DKD6" s="396"/>
      <c r="DKE6" s="396"/>
      <c r="DKF6" s="396"/>
      <c r="DKG6" s="396"/>
      <c r="DKH6" s="396"/>
      <c r="DKI6" s="396"/>
      <c r="DKJ6" s="396"/>
      <c r="DKK6" s="396"/>
      <c r="DKL6" s="396"/>
      <c r="DKM6" s="396"/>
      <c r="DKN6" s="396"/>
      <c r="DKO6" s="396"/>
      <c r="DKP6" s="396"/>
      <c r="DKQ6" s="396"/>
      <c r="DKR6" s="396"/>
      <c r="DKS6" s="396"/>
      <c r="DKT6" s="396"/>
      <c r="DKU6" s="396"/>
      <c r="DKV6" s="396"/>
      <c r="DKW6" s="396"/>
      <c r="DKX6" s="396"/>
      <c r="DKY6" s="396"/>
      <c r="DKZ6" s="396"/>
      <c r="DLA6" s="396"/>
      <c r="DLB6" s="396"/>
      <c r="DLC6" s="396"/>
      <c r="DLD6" s="396"/>
      <c r="DLE6" s="396"/>
      <c r="DLF6" s="396"/>
      <c r="DLG6" s="396"/>
      <c r="DLH6" s="396"/>
      <c r="DLI6" s="396"/>
      <c r="DLJ6" s="396"/>
      <c r="DLK6" s="396"/>
      <c r="DLL6" s="396"/>
      <c r="DLM6" s="396"/>
      <c r="DLN6" s="396"/>
      <c r="DLO6" s="396"/>
      <c r="DLP6" s="396"/>
      <c r="DLQ6" s="396"/>
      <c r="DLR6" s="396"/>
      <c r="DLS6" s="396"/>
      <c r="DLT6" s="396"/>
      <c r="DLU6" s="396"/>
      <c r="DLV6" s="396"/>
      <c r="DLW6" s="396"/>
      <c r="DLX6" s="396"/>
      <c r="DLY6" s="396"/>
      <c r="DLZ6" s="396"/>
      <c r="DMA6" s="396"/>
      <c r="DMB6" s="396"/>
      <c r="DMC6" s="396"/>
      <c r="DMD6" s="396"/>
      <c r="DME6" s="396"/>
      <c r="DMF6" s="396"/>
      <c r="DMG6" s="396"/>
      <c r="DMH6" s="396"/>
      <c r="DMI6" s="396"/>
      <c r="DMJ6" s="396"/>
      <c r="DMK6" s="396"/>
      <c r="DML6" s="396"/>
      <c r="DMM6" s="396"/>
      <c r="DMN6" s="396"/>
      <c r="DMO6" s="396"/>
      <c r="DMP6" s="396"/>
      <c r="DMQ6" s="396"/>
      <c r="DMR6" s="396"/>
      <c r="DMS6" s="396"/>
      <c r="DMT6" s="396"/>
      <c r="DMU6" s="396"/>
      <c r="DMV6" s="396"/>
      <c r="DMW6" s="396"/>
      <c r="DMX6" s="396"/>
      <c r="DMY6" s="396"/>
      <c r="DMZ6" s="396"/>
      <c r="DNA6" s="396"/>
      <c r="DNB6" s="396"/>
      <c r="DNC6" s="396"/>
      <c r="DND6" s="396"/>
      <c r="DNE6" s="396"/>
      <c r="DNF6" s="396"/>
      <c r="DNG6" s="396"/>
      <c r="DNH6" s="396"/>
      <c r="DNI6" s="396"/>
      <c r="DNJ6" s="396"/>
      <c r="DNK6" s="396"/>
      <c r="DNL6" s="396"/>
      <c r="DNM6" s="396"/>
      <c r="DNN6" s="396"/>
      <c r="DNO6" s="396"/>
      <c r="DNP6" s="396"/>
      <c r="DNQ6" s="396"/>
      <c r="DNR6" s="396"/>
      <c r="DNS6" s="396"/>
      <c r="DNT6" s="396"/>
      <c r="DNU6" s="396"/>
      <c r="DNV6" s="396"/>
      <c r="DNW6" s="396"/>
      <c r="DNX6" s="396"/>
      <c r="DNY6" s="396"/>
      <c r="DNZ6" s="396"/>
      <c r="DOA6" s="396"/>
      <c r="DOB6" s="396"/>
      <c r="DOC6" s="396"/>
      <c r="DOD6" s="396"/>
      <c r="DOE6" s="396"/>
      <c r="DOF6" s="396"/>
      <c r="DOG6" s="396"/>
      <c r="DOH6" s="396"/>
      <c r="DOI6" s="396"/>
      <c r="DOJ6" s="396"/>
      <c r="DOK6" s="396"/>
      <c r="DOL6" s="396"/>
      <c r="DOM6" s="396"/>
      <c r="DON6" s="396"/>
      <c r="DOO6" s="396"/>
      <c r="DOP6" s="396"/>
      <c r="DOQ6" s="396"/>
      <c r="DOR6" s="396"/>
      <c r="DOS6" s="396"/>
      <c r="DOT6" s="396"/>
      <c r="DOU6" s="396"/>
      <c r="DOV6" s="396"/>
      <c r="DOW6" s="396"/>
      <c r="DOX6" s="396"/>
      <c r="DOY6" s="396"/>
      <c r="DOZ6" s="396"/>
      <c r="DPA6" s="396"/>
      <c r="DPB6" s="396"/>
      <c r="DPC6" s="396"/>
      <c r="DPD6" s="396"/>
      <c r="DPE6" s="396"/>
      <c r="DPF6" s="396"/>
      <c r="DPG6" s="396"/>
      <c r="DPH6" s="396"/>
      <c r="DPI6" s="396"/>
      <c r="DPJ6" s="396"/>
      <c r="DPK6" s="396"/>
      <c r="DPL6" s="396"/>
      <c r="DPM6" s="396"/>
      <c r="DPN6" s="396"/>
      <c r="DPO6" s="396"/>
      <c r="DPP6" s="396"/>
      <c r="DPQ6" s="396"/>
      <c r="DPR6" s="396"/>
      <c r="DPS6" s="396"/>
      <c r="DPT6" s="396"/>
      <c r="DPU6" s="396"/>
      <c r="DPV6" s="396"/>
      <c r="DPW6" s="396"/>
      <c r="DPX6" s="396"/>
      <c r="DPY6" s="396"/>
      <c r="DPZ6" s="396"/>
      <c r="DQA6" s="396"/>
      <c r="DQB6" s="396"/>
      <c r="DQC6" s="396"/>
      <c r="DQD6" s="396"/>
      <c r="DQE6" s="396"/>
      <c r="DQF6" s="396"/>
      <c r="DQG6" s="396"/>
      <c r="DQH6" s="396"/>
      <c r="DQI6" s="396"/>
      <c r="DQJ6" s="396"/>
      <c r="DQK6" s="396"/>
      <c r="DQL6" s="396"/>
      <c r="DQM6" s="396"/>
      <c r="DQN6" s="396"/>
      <c r="DQO6" s="396"/>
      <c r="DQP6" s="396"/>
      <c r="DQQ6" s="396"/>
      <c r="DQR6" s="396"/>
      <c r="DQS6" s="396"/>
      <c r="DQT6" s="396"/>
      <c r="DQU6" s="396"/>
      <c r="DQV6" s="396"/>
      <c r="DQW6" s="396"/>
      <c r="DQX6" s="396"/>
      <c r="DQY6" s="396"/>
      <c r="DQZ6" s="396"/>
      <c r="DRA6" s="396"/>
      <c r="DRB6" s="396"/>
      <c r="DRC6" s="396"/>
      <c r="DRD6" s="396"/>
      <c r="DRE6" s="396"/>
      <c r="DRF6" s="396"/>
      <c r="DRG6" s="396"/>
      <c r="DRH6" s="396"/>
      <c r="DRI6" s="396"/>
      <c r="DRJ6" s="396"/>
      <c r="DRK6" s="396"/>
      <c r="DRL6" s="396"/>
      <c r="DRM6" s="396"/>
      <c r="DRN6" s="396"/>
      <c r="DRO6" s="396"/>
      <c r="DRP6" s="396"/>
      <c r="DRQ6" s="396"/>
      <c r="DRR6" s="396"/>
      <c r="DRS6" s="396"/>
      <c r="DRT6" s="396"/>
      <c r="DRU6" s="396"/>
      <c r="DRV6" s="396"/>
      <c r="DRW6" s="396"/>
      <c r="DRX6" s="396"/>
      <c r="DRY6" s="396"/>
      <c r="DRZ6" s="396"/>
      <c r="DSA6" s="396"/>
      <c r="DSB6" s="396"/>
      <c r="DSC6" s="396"/>
      <c r="DSD6" s="396"/>
      <c r="DSE6" s="396"/>
      <c r="DSF6" s="396"/>
      <c r="DSG6" s="396"/>
      <c r="DSH6" s="396"/>
      <c r="DSI6" s="396"/>
      <c r="DSJ6" s="396"/>
      <c r="DSK6" s="396"/>
      <c r="DSL6" s="396"/>
      <c r="DSM6" s="396"/>
      <c r="DSN6" s="396"/>
      <c r="DSO6" s="396"/>
      <c r="DSP6" s="396"/>
      <c r="DSQ6" s="396"/>
      <c r="DSR6" s="396"/>
      <c r="DSS6" s="396"/>
      <c r="DST6" s="396"/>
      <c r="DSU6" s="396"/>
      <c r="DSV6" s="396"/>
      <c r="DSW6" s="396"/>
      <c r="DSX6" s="396"/>
      <c r="DSY6" s="396"/>
      <c r="DSZ6" s="396"/>
      <c r="DTA6" s="396"/>
      <c r="DTB6" s="396"/>
      <c r="DTC6" s="396"/>
      <c r="DTD6" s="396"/>
      <c r="DTE6" s="396"/>
      <c r="DTF6" s="396"/>
      <c r="DTG6" s="396"/>
      <c r="DTH6" s="396"/>
      <c r="DTI6" s="396"/>
      <c r="DTJ6" s="396"/>
      <c r="DTK6" s="396"/>
      <c r="DTL6" s="396"/>
      <c r="DTM6" s="396"/>
      <c r="DTN6" s="396"/>
      <c r="DTO6" s="396"/>
      <c r="DTP6" s="396"/>
      <c r="DTQ6" s="396"/>
      <c r="DTR6" s="396"/>
      <c r="DTS6" s="396"/>
      <c r="DTT6" s="396"/>
      <c r="DTU6" s="396"/>
      <c r="DTV6" s="396"/>
      <c r="DTW6" s="396"/>
      <c r="DTX6" s="396"/>
      <c r="DTY6" s="396"/>
      <c r="DTZ6" s="396"/>
      <c r="DUA6" s="396"/>
      <c r="DUB6" s="396"/>
      <c r="DUC6" s="396"/>
      <c r="DUD6" s="396"/>
      <c r="DUE6" s="396"/>
      <c r="DUF6" s="396"/>
      <c r="DUG6" s="396"/>
      <c r="DUH6" s="396"/>
      <c r="DUI6" s="396"/>
      <c r="DUJ6" s="396"/>
      <c r="DUK6" s="396"/>
      <c r="DUL6" s="396"/>
      <c r="DUM6" s="396"/>
      <c r="DUN6" s="396"/>
      <c r="DUO6" s="396"/>
      <c r="DUP6" s="396"/>
      <c r="DUQ6" s="396"/>
      <c r="DUR6" s="396"/>
      <c r="DUS6" s="396"/>
      <c r="DUT6" s="396"/>
      <c r="DUU6" s="396"/>
      <c r="DUV6" s="396"/>
      <c r="DUW6" s="396"/>
      <c r="DUX6" s="396"/>
      <c r="DUY6" s="396"/>
      <c r="DUZ6" s="396"/>
      <c r="DVA6" s="396"/>
      <c r="DVB6" s="396"/>
      <c r="DVC6" s="396"/>
      <c r="DVD6" s="396"/>
      <c r="DVE6" s="396"/>
      <c r="DVF6" s="396"/>
      <c r="DVG6" s="396"/>
      <c r="DVH6" s="396"/>
      <c r="DVI6" s="396"/>
      <c r="DVJ6" s="396"/>
      <c r="DVK6" s="396"/>
      <c r="DVL6" s="396"/>
      <c r="DVM6" s="396"/>
      <c r="DVN6" s="396"/>
      <c r="DVO6" s="396"/>
      <c r="DVP6" s="396"/>
      <c r="DVQ6" s="396"/>
      <c r="DVR6" s="396"/>
      <c r="DVS6" s="396"/>
      <c r="DVT6" s="396"/>
      <c r="DVU6" s="396"/>
      <c r="DVV6" s="396"/>
      <c r="DVW6" s="396"/>
      <c r="DVX6" s="396"/>
      <c r="DVY6" s="396"/>
      <c r="DVZ6" s="396"/>
      <c r="DWA6" s="396"/>
      <c r="DWB6" s="396"/>
      <c r="DWC6" s="396"/>
      <c r="DWD6" s="396"/>
      <c r="DWE6" s="396"/>
      <c r="DWF6" s="396"/>
      <c r="DWG6" s="396"/>
      <c r="DWH6" s="396"/>
      <c r="DWI6" s="396"/>
      <c r="DWJ6" s="396"/>
      <c r="DWK6" s="396"/>
      <c r="DWL6" s="396"/>
      <c r="DWM6" s="396"/>
      <c r="DWN6" s="396"/>
      <c r="DWO6" s="396"/>
      <c r="DWP6" s="396"/>
      <c r="DWQ6" s="396"/>
      <c r="DWR6" s="396"/>
      <c r="DWS6" s="396"/>
      <c r="DWT6" s="396"/>
      <c r="DWU6" s="396"/>
      <c r="DWV6" s="396"/>
      <c r="DWW6" s="396"/>
      <c r="DWX6" s="396"/>
      <c r="DWY6" s="396"/>
      <c r="DWZ6" s="396"/>
      <c r="DXA6" s="396"/>
      <c r="DXB6" s="396"/>
      <c r="DXC6" s="396"/>
      <c r="DXD6" s="396"/>
      <c r="DXE6" s="396"/>
      <c r="DXF6" s="396"/>
      <c r="DXG6" s="396"/>
      <c r="DXH6" s="396"/>
      <c r="DXI6" s="396"/>
      <c r="DXJ6" s="396"/>
      <c r="DXK6" s="396"/>
      <c r="DXL6" s="396"/>
      <c r="DXM6" s="396"/>
      <c r="DXN6" s="396"/>
      <c r="DXO6" s="396"/>
      <c r="DXP6" s="396"/>
      <c r="DXQ6" s="396"/>
      <c r="DXR6" s="396"/>
      <c r="DXS6" s="396"/>
      <c r="DXT6" s="396"/>
      <c r="DXU6" s="396"/>
      <c r="DXV6" s="396"/>
      <c r="DXW6" s="396"/>
      <c r="DXX6" s="396"/>
      <c r="DXY6" s="396"/>
      <c r="DXZ6" s="396"/>
      <c r="DYA6" s="396"/>
      <c r="DYB6" s="396"/>
      <c r="DYC6" s="396"/>
      <c r="DYD6" s="396"/>
      <c r="DYE6" s="396"/>
      <c r="DYF6" s="396"/>
      <c r="DYG6" s="396"/>
      <c r="DYH6" s="396"/>
      <c r="DYI6" s="396"/>
      <c r="DYJ6" s="396"/>
      <c r="DYK6" s="396"/>
      <c r="DYL6" s="396"/>
      <c r="DYM6" s="396"/>
      <c r="DYN6" s="396"/>
      <c r="DYO6" s="396"/>
      <c r="DYP6" s="396"/>
      <c r="DYQ6" s="396"/>
      <c r="DYR6" s="396"/>
      <c r="DYS6" s="396"/>
      <c r="DYT6" s="396"/>
      <c r="DYU6" s="396"/>
      <c r="DYV6" s="396"/>
      <c r="DYW6" s="396"/>
      <c r="DYX6" s="396"/>
      <c r="DYY6" s="396"/>
      <c r="DYZ6" s="396"/>
      <c r="DZA6" s="396"/>
      <c r="DZB6" s="396"/>
      <c r="DZC6" s="396"/>
      <c r="DZD6" s="396"/>
      <c r="DZE6" s="396"/>
      <c r="DZF6" s="396"/>
      <c r="DZG6" s="396"/>
      <c r="DZH6" s="396"/>
      <c r="DZI6" s="396"/>
      <c r="DZJ6" s="396"/>
      <c r="DZK6" s="396"/>
      <c r="DZL6" s="396"/>
      <c r="DZM6" s="396"/>
      <c r="DZN6" s="396"/>
      <c r="DZO6" s="396"/>
      <c r="DZP6" s="396"/>
      <c r="DZQ6" s="396"/>
      <c r="DZR6" s="396"/>
      <c r="DZS6" s="396"/>
      <c r="DZT6" s="396"/>
      <c r="DZU6" s="396"/>
      <c r="DZV6" s="396"/>
      <c r="DZW6" s="396"/>
      <c r="DZX6" s="396"/>
      <c r="DZY6" s="396"/>
      <c r="DZZ6" s="396"/>
      <c r="EAA6" s="396"/>
      <c r="EAB6" s="396"/>
      <c r="EAC6" s="396"/>
      <c r="EAD6" s="396"/>
      <c r="EAE6" s="396"/>
      <c r="EAF6" s="396"/>
      <c r="EAG6" s="396"/>
      <c r="EAH6" s="396"/>
      <c r="EAI6" s="396"/>
      <c r="EAJ6" s="396"/>
      <c r="EAK6" s="396"/>
      <c r="EAL6" s="396"/>
      <c r="EAM6" s="396"/>
      <c r="EAN6" s="396"/>
      <c r="EAO6" s="396"/>
      <c r="EAP6" s="396"/>
      <c r="EAQ6" s="396"/>
      <c r="EAR6" s="396"/>
      <c r="EAS6" s="396"/>
      <c r="EAT6" s="396"/>
      <c r="EAU6" s="396"/>
      <c r="EAV6" s="396"/>
      <c r="EAW6" s="396"/>
      <c r="EAX6" s="396"/>
      <c r="EAY6" s="396"/>
      <c r="EAZ6" s="396"/>
      <c r="EBA6" s="396"/>
      <c r="EBB6" s="396"/>
      <c r="EBC6" s="396"/>
      <c r="EBD6" s="396"/>
      <c r="EBE6" s="396"/>
      <c r="EBF6" s="396"/>
      <c r="EBG6" s="396"/>
      <c r="EBH6" s="396"/>
      <c r="EBI6" s="396"/>
      <c r="EBJ6" s="396"/>
      <c r="EBK6" s="396"/>
      <c r="EBL6" s="396"/>
      <c r="EBM6" s="396"/>
      <c r="EBN6" s="396"/>
      <c r="EBO6" s="396"/>
      <c r="EBP6" s="396"/>
      <c r="EBQ6" s="396"/>
      <c r="EBR6" s="396"/>
      <c r="EBS6" s="396"/>
      <c r="EBT6" s="396"/>
      <c r="EBU6" s="396"/>
      <c r="EBV6" s="396"/>
      <c r="EBW6" s="396"/>
      <c r="EBX6" s="396"/>
      <c r="EBY6" s="396"/>
      <c r="EBZ6" s="396"/>
      <c r="ECA6" s="396"/>
      <c r="ECB6" s="396"/>
      <c r="ECC6" s="396"/>
      <c r="ECD6" s="396"/>
      <c r="ECE6" s="396"/>
      <c r="ECF6" s="396"/>
      <c r="ECG6" s="396"/>
      <c r="ECH6" s="396"/>
      <c r="ECI6" s="396"/>
      <c r="ECJ6" s="396"/>
      <c r="ECK6" s="396"/>
      <c r="ECL6" s="396"/>
      <c r="ECM6" s="396"/>
      <c r="ECN6" s="396"/>
      <c r="ECO6" s="396"/>
      <c r="ECP6" s="396"/>
      <c r="ECQ6" s="396"/>
      <c r="ECR6" s="396"/>
      <c r="ECS6" s="396"/>
      <c r="ECT6" s="396"/>
      <c r="ECU6" s="396"/>
      <c r="ECV6" s="396"/>
      <c r="ECW6" s="396"/>
      <c r="ECX6" s="396"/>
      <c r="ECY6" s="396"/>
      <c r="ECZ6" s="396"/>
      <c r="EDA6" s="396"/>
      <c r="EDB6" s="396"/>
      <c r="EDC6" s="396"/>
      <c r="EDD6" s="396"/>
      <c r="EDE6" s="396"/>
      <c r="EDF6" s="396"/>
      <c r="EDG6" s="396"/>
      <c r="EDH6" s="396"/>
      <c r="EDI6" s="396"/>
      <c r="EDJ6" s="396"/>
      <c r="EDK6" s="396"/>
      <c r="EDL6" s="396"/>
      <c r="EDM6" s="396"/>
      <c r="EDN6" s="396"/>
      <c r="EDO6" s="396"/>
      <c r="EDP6" s="396"/>
      <c r="EDQ6" s="396"/>
      <c r="EDR6" s="396"/>
      <c r="EDS6" s="396"/>
      <c r="EDT6" s="396"/>
      <c r="EDU6" s="396"/>
      <c r="EDV6" s="396"/>
      <c r="EDW6" s="396"/>
      <c r="EDX6" s="396"/>
      <c r="EDY6" s="396"/>
      <c r="EDZ6" s="396"/>
      <c r="EEA6" s="396"/>
      <c r="EEB6" s="396"/>
      <c r="EEC6" s="396"/>
      <c r="EED6" s="396"/>
      <c r="EEE6" s="396"/>
      <c r="EEF6" s="396"/>
      <c r="EEG6" s="396"/>
      <c r="EEH6" s="396"/>
      <c r="EEI6" s="396"/>
      <c r="EEJ6" s="396"/>
      <c r="EEK6" s="396"/>
      <c r="EEL6" s="396"/>
      <c r="EEM6" s="396"/>
      <c r="EEN6" s="396"/>
      <c r="EEO6" s="396"/>
      <c r="EEP6" s="396"/>
      <c r="EEQ6" s="396"/>
      <c r="EER6" s="396"/>
      <c r="EES6" s="396"/>
      <c r="EET6" s="396"/>
      <c r="EEU6" s="396"/>
      <c r="EEV6" s="396"/>
      <c r="EEW6" s="396"/>
      <c r="EEX6" s="396"/>
      <c r="EEY6" s="396"/>
      <c r="EEZ6" s="396"/>
      <c r="EFA6" s="396"/>
      <c r="EFB6" s="396"/>
      <c r="EFC6" s="396"/>
      <c r="EFD6" s="396"/>
      <c r="EFE6" s="396"/>
      <c r="EFF6" s="396"/>
      <c r="EFG6" s="396"/>
      <c r="EFH6" s="396"/>
      <c r="EFI6" s="396"/>
      <c r="EFJ6" s="396"/>
      <c r="EFK6" s="396"/>
      <c r="EFL6" s="396"/>
      <c r="EFM6" s="396"/>
      <c r="EFN6" s="396"/>
      <c r="EFO6" s="396"/>
      <c r="EFP6" s="396"/>
      <c r="EFQ6" s="396"/>
      <c r="EFR6" s="396"/>
      <c r="EFS6" s="396"/>
      <c r="EFT6" s="396"/>
      <c r="EFU6" s="396"/>
      <c r="EFV6" s="396"/>
      <c r="EFW6" s="396"/>
      <c r="EFX6" s="396"/>
      <c r="EFY6" s="396"/>
      <c r="EFZ6" s="396"/>
      <c r="EGA6" s="396"/>
      <c r="EGB6" s="396"/>
      <c r="EGC6" s="396"/>
      <c r="EGD6" s="396"/>
      <c r="EGE6" s="396"/>
      <c r="EGF6" s="396"/>
      <c r="EGG6" s="396"/>
      <c r="EGH6" s="396"/>
      <c r="EGI6" s="396"/>
      <c r="EGJ6" s="396"/>
      <c r="EGK6" s="396"/>
      <c r="EGL6" s="396"/>
      <c r="EGM6" s="396"/>
      <c r="EGN6" s="396"/>
      <c r="EGO6" s="396"/>
      <c r="EGP6" s="396"/>
      <c r="EGQ6" s="396"/>
      <c r="EGR6" s="396"/>
      <c r="EGS6" s="396"/>
      <c r="EGT6" s="396"/>
      <c r="EGU6" s="396"/>
      <c r="EGV6" s="396"/>
      <c r="EGW6" s="396"/>
      <c r="EGX6" s="396"/>
      <c r="EGY6" s="396"/>
      <c r="EGZ6" s="396"/>
      <c r="EHA6" s="396"/>
      <c r="EHB6" s="396"/>
      <c r="EHC6" s="396"/>
      <c r="EHD6" s="396"/>
      <c r="EHE6" s="396"/>
      <c r="EHF6" s="396"/>
      <c r="EHG6" s="396"/>
      <c r="EHH6" s="396"/>
      <c r="EHI6" s="396"/>
      <c r="EHJ6" s="396"/>
      <c r="EHK6" s="396"/>
      <c r="EHL6" s="396"/>
      <c r="EHM6" s="396"/>
      <c r="EHN6" s="396"/>
      <c r="EHO6" s="396"/>
      <c r="EHP6" s="396"/>
      <c r="EHQ6" s="396"/>
      <c r="EHR6" s="396"/>
      <c r="EHS6" s="396"/>
      <c r="EHT6" s="396"/>
      <c r="EHU6" s="396"/>
      <c r="EHV6" s="396"/>
      <c r="EHW6" s="396"/>
      <c r="EHX6" s="396"/>
      <c r="EHY6" s="396"/>
      <c r="EHZ6" s="396"/>
      <c r="EIA6" s="396"/>
      <c r="EIB6" s="396"/>
      <c r="EIC6" s="396"/>
      <c r="EID6" s="396"/>
      <c r="EIE6" s="396"/>
      <c r="EIF6" s="396"/>
      <c r="EIG6" s="396"/>
      <c r="EIH6" s="396"/>
      <c r="EII6" s="396"/>
      <c r="EIJ6" s="396"/>
      <c r="EIK6" s="396"/>
      <c r="EIL6" s="396"/>
      <c r="EIM6" s="396"/>
      <c r="EIN6" s="396"/>
      <c r="EIO6" s="396"/>
      <c r="EIP6" s="396"/>
      <c r="EIQ6" s="396"/>
      <c r="EIR6" s="396"/>
      <c r="EIS6" s="396"/>
      <c r="EIT6" s="396"/>
      <c r="EIU6" s="396"/>
      <c r="EIV6" s="396"/>
      <c r="EIW6" s="396"/>
      <c r="EIX6" s="396"/>
      <c r="EIY6" s="396"/>
      <c r="EIZ6" s="396"/>
      <c r="EJA6" s="396"/>
      <c r="EJB6" s="396"/>
      <c r="EJC6" s="396"/>
      <c r="EJD6" s="396"/>
      <c r="EJE6" s="396"/>
      <c r="EJF6" s="396"/>
      <c r="EJG6" s="396"/>
      <c r="EJH6" s="396"/>
      <c r="EJI6" s="396"/>
      <c r="EJJ6" s="396"/>
      <c r="EJK6" s="396"/>
      <c r="EJL6" s="396"/>
      <c r="EJM6" s="396"/>
      <c r="EJN6" s="396"/>
      <c r="EJO6" s="396"/>
      <c r="EJP6" s="396"/>
      <c r="EJQ6" s="396"/>
      <c r="EJR6" s="396"/>
      <c r="EJS6" s="396"/>
      <c r="EJT6" s="396"/>
      <c r="EJU6" s="396"/>
      <c r="EJV6" s="396"/>
      <c r="EJW6" s="396"/>
      <c r="EJX6" s="396"/>
      <c r="EJY6" s="396"/>
      <c r="EJZ6" s="396"/>
      <c r="EKA6" s="396"/>
      <c r="EKB6" s="396"/>
      <c r="EKC6" s="396"/>
      <c r="EKD6" s="396"/>
      <c r="EKE6" s="396"/>
      <c r="EKF6" s="396"/>
      <c r="EKG6" s="396"/>
      <c r="EKH6" s="396"/>
      <c r="EKI6" s="396"/>
      <c r="EKJ6" s="396"/>
      <c r="EKK6" s="396"/>
      <c r="EKL6" s="396"/>
      <c r="EKM6" s="396"/>
      <c r="EKN6" s="396"/>
      <c r="EKO6" s="396"/>
      <c r="EKP6" s="396"/>
      <c r="EKQ6" s="396"/>
      <c r="EKR6" s="396"/>
      <c r="EKS6" s="396"/>
      <c r="EKT6" s="396"/>
      <c r="EKU6" s="396"/>
      <c r="EKV6" s="396"/>
      <c r="EKW6" s="396"/>
      <c r="EKX6" s="396"/>
      <c r="EKY6" s="396"/>
      <c r="EKZ6" s="396"/>
      <c r="ELA6" s="396"/>
      <c r="ELB6" s="396"/>
      <c r="ELC6" s="396"/>
      <c r="ELD6" s="396"/>
      <c r="ELE6" s="396"/>
      <c r="ELF6" s="396"/>
      <c r="ELG6" s="396"/>
      <c r="ELH6" s="396"/>
      <c r="ELI6" s="396"/>
      <c r="ELJ6" s="396"/>
      <c r="ELK6" s="396"/>
      <c r="ELL6" s="396"/>
      <c r="ELM6" s="396"/>
      <c r="ELN6" s="396"/>
      <c r="ELO6" s="396"/>
      <c r="ELP6" s="396"/>
      <c r="ELQ6" s="396"/>
      <c r="ELR6" s="396"/>
      <c r="ELS6" s="396"/>
      <c r="ELT6" s="396"/>
      <c r="ELU6" s="396"/>
      <c r="ELV6" s="396"/>
      <c r="ELW6" s="396"/>
      <c r="ELX6" s="396"/>
      <c r="ELY6" s="396"/>
      <c r="ELZ6" s="396"/>
      <c r="EMA6" s="396"/>
      <c r="EMB6" s="396"/>
      <c r="EMC6" s="396"/>
      <c r="EMD6" s="396"/>
      <c r="EME6" s="396"/>
      <c r="EMF6" s="396"/>
      <c r="EMG6" s="396"/>
      <c r="EMH6" s="396"/>
      <c r="EMI6" s="396"/>
      <c r="EMJ6" s="396"/>
      <c r="EMK6" s="396"/>
      <c r="EML6" s="396"/>
      <c r="EMM6" s="396"/>
      <c r="EMN6" s="396"/>
      <c r="EMO6" s="396"/>
      <c r="EMP6" s="396"/>
      <c r="EMQ6" s="396"/>
      <c r="EMR6" s="396"/>
      <c r="EMS6" s="396"/>
      <c r="EMT6" s="396"/>
      <c r="EMU6" s="396"/>
      <c r="EMV6" s="396"/>
      <c r="EMW6" s="396"/>
      <c r="EMX6" s="396"/>
      <c r="EMY6" s="396"/>
      <c r="EMZ6" s="396"/>
      <c r="ENA6" s="396"/>
      <c r="ENB6" s="396"/>
      <c r="ENC6" s="396"/>
      <c r="END6" s="396"/>
      <c r="ENE6" s="396"/>
      <c r="ENF6" s="396"/>
      <c r="ENG6" s="396"/>
      <c r="ENH6" s="396"/>
      <c r="ENI6" s="396"/>
      <c r="ENJ6" s="396"/>
      <c r="ENK6" s="396"/>
      <c r="ENL6" s="396"/>
      <c r="ENM6" s="396"/>
      <c r="ENN6" s="396"/>
      <c r="ENO6" s="396"/>
      <c r="ENP6" s="396"/>
      <c r="ENQ6" s="396"/>
      <c r="ENR6" s="396"/>
      <c r="ENS6" s="396"/>
      <c r="ENT6" s="396"/>
      <c r="ENU6" s="396"/>
      <c r="ENV6" s="396"/>
      <c r="ENW6" s="396"/>
      <c r="ENX6" s="396"/>
      <c r="ENY6" s="396"/>
      <c r="ENZ6" s="396"/>
      <c r="EOA6" s="396"/>
      <c r="EOB6" s="396"/>
      <c r="EOC6" s="396"/>
      <c r="EOD6" s="396"/>
      <c r="EOE6" s="396"/>
      <c r="EOF6" s="396"/>
      <c r="EOG6" s="396"/>
      <c r="EOH6" s="396"/>
      <c r="EOI6" s="396"/>
      <c r="EOJ6" s="396"/>
      <c r="EOK6" s="396"/>
      <c r="EOL6" s="396"/>
      <c r="EOM6" s="396"/>
      <c r="EON6" s="396"/>
      <c r="EOO6" s="396"/>
      <c r="EOP6" s="396"/>
      <c r="EOQ6" s="396"/>
      <c r="EOR6" s="396"/>
      <c r="EOS6" s="396"/>
      <c r="EOT6" s="396"/>
      <c r="EOU6" s="396"/>
      <c r="EOV6" s="396"/>
      <c r="EOW6" s="396"/>
      <c r="EOX6" s="396"/>
      <c r="EOY6" s="396"/>
      <c r="EOZ6" s="396"/>
      <c r="EPA6" s="396"/>
      <c r="EPB6" s="396"/>
      <c r="EPC6" s="396"/>
      <c r="EPD6" s="396"/>
      <c r="EPE6" s="396"/>
      <c r="EPF6" s="396"/>
      <c r="EPG6" s="396"/>
      <c r="EPH6" s="396"/>
      <c r="EPI6" s="396"/>
      <c r="EPJ6" s="396"/>
      <c r="EPK6" s="396"/>
      <c r="EPL6" s="396"/>
      <c r="EPM6" s="396"/>
      <c r="EPN6" s="396"/>
      <c r="EPO6" s="396"/>
      <c r="EPP6" s="396"/>
      <c r="EPQ6" s="396"/>
      <c r="EPR6" s="396"/>
      <c r="EPS6" s="396"/>
      <c r="EPT6" s="396"/>
      <c r="EPU6" s="396"/>
      <c r="EPV6" s="396"/>
      <c r="EPW6" s="396"/>
      <c r="EPX6" s="396"/>
      <c r="EPY6" s="396"/>
      <c r="EPZ6" s="396"/>
      <c r="EQA6" s="396"/>
      <c r="EQB6" s="396"/>
      <c r="EQC6" s="396"/>
      <c r="EQD6" s="396"/>
      <c r="EQE6" s="396"/>
      <c r="EQF6" s="396"/>
      <c r="EQG6" s="396"/>
      <c r="EQH6" s="396"/>
      <c r="EQI6" s="396"/>
      <c r="EQJ6" s="396"/>
      <c r="EQK6" s="396"/>
      <c r="EQL6" s="396"/>
      <c r="EQM6" s="396"/>
      <c r="EQN6" s="396"/>
      <c r="EQO6" s="396"/>
      <c r="EQP6" s="396"/>
      <c r="EQQ6" s="396"/>
      <c r="EQR6" s="396"/>
      <c r="EQS6" s="396"/>
      <c r="EQT6" s="396"/>
      <c r="EQU6" s="396"/>
      <c r="EQV6" s="396"/>
      <c r="EQW6" s="396"/>
      <c r="EQX6" s="396"/>
      <c r="EQY6" s="396"/>
      <c r="EQZ6" s="396"/>
      <c r="ERA6" s="396"/>
      <c r="ERB6" s="396"/>
      <c r="ERC6" s="396"/>
      <c r="ERD6" s="396"/>
      <c r="ERE6" s="396"/>
      <c r="ERF6" s="396"/>
      <c r="ERG6" s="396"/>
      <c r="ERH6" s="396"/>
      <c r="ERI6" s="396"/>
      <c r="ERJ6" s="396"/>
      <c r="ERK6" s="396"/>
      <c r="ERL6" s="396"/>
      <c r="ERM6" s="396"/>
      <c r="ERN6" s="396"/>
      <c r="ERO6" s="396"/>
      <c r="ERP6" s="396"/>
      <c r="ERQ6" s="396"/>
      <c r="ERR6" s="396"/>
      <c r="ERS6" s="396"/>
      <c r="ERT6" s="396"/>
      <c r="ERU6" s="396"/>
      <c r="ERV6" s="396"/>
      <c r="ERW6" s="396"/>
      <c r="ERX6" s="396"/>
      <c r="ERY6" s="396"/>
      <c r="ERZ6" s="396"/>
      <c r="ESA6" s="396"/>
      <c r="ESB6" s="396"/>
      <c r="ESC6" s="396"/>
      <c r="ESD6" s="396"/>
      <c r="ESE6" s="396"/>
      <c r="ESF6" s="396"/>
      <c r="ESG6" s="396"/>
      <c r="ESH6" s="396"/>
      <c r="ESI6" s="396"/>
      <c r="ESJ6" s="396"/>
      <c r="ESK6" s="396"/>
      <c r="ESL6" s="396"/>
      <c r="ESM6" s="396"/>
      <c r="ESN6" s="396"/>
      <c r="ESO6" s="396"/>
      <c r="ESP6" s="396"/>
      <c r="ESQ6" s="396"/>
      <c r="ESR6" s="396"/>
      <c r="ESS6" s="396"/>
      <c r="EST6" s="396"/>
      <c r="ESU6" s="396"/>
      <c r="ESV6" s="396"/>
      <c r="ESW6" s="396"/>
      <c r="ESX6" s="396"/>
      <c r="ESY6" s="396"/>
      <c r="ESZ6" s="396"/>
      <c r="ETA6" s="396"/>
      <c r="ETB6" s="396"/>
      <c r="ETC6" s="396"/>
      <c r="ETD6" s="396"/>
      <c r="ETE6" s="396"/>
      <c r="ETF6" s="396"/>
      <c r="ETG6" s="396"/>
      <c r="ETH6" s="396"/>
      <c r="ETI6" s="396"/>
      <c r="ETJ6" s="396"/>
      <c r="ETK6" s="396"/>
      <c r="ETL6" s="396"/>
      <c r="ETM6" s="396"/>
      <c r="ETN6" s="396"/>
      <c r="ETO6" s="396"/>
      <c r="ETP6" s="396"/>
      <c r="ETQ6" s="396"/>
      <c r="ETR6" s="396"/>
      <c r="ETS6" s="396"/>
      <c r="ETT6" s="396"/>
      <c r="ETU6" s="396"/>
      <c r="ETV6" s="396"/>
      <c r="ETW6" s="396"/>
      <c r="ETX6" s="396"/>
      <c r="ETY6" s="396"/>
      <c r="ETZ6" s="396"/>
      <c r="EUA6" s="396"/>
      <c r="EUB6" s="396"/>
      <c r="EUC6" s="396"/>
      <c r="EUD6" s="396"/>
      <c r="EUE6" s="396"/>
      <c r="EUF6" s="396"/>
      <c r="EUG6" s="396"/>
      <c r="EUH6" s="396"/>
      <c r="EUI6" s="396"/>
      <c r="EUJ6" s="396"/>
      <c r="EUK6" s="396"/>
      <c r="EUL6" s="396"/>
      <c r="EUM6" s="396"/>
      <c r="EUN6" s="396"/>
      <c r="EUO6" s="396"/>
      <c r="EUP6" s="396"/>
      <c r="EUQ6" s="396"/>
      <c r="EUR6" s="396"/>
      <c r="EUS6" s="396"/>
      <c r="EUT6" s="396"/>
      <c r="EUU6" s="396"/>
      <c r="EUV6" s="396"/>
      <c r="EUW6" s="396"/>
      <c r="EUX6" s="396"/>
      <c r="EUY6" s="396"/>
      <c r="EUZ6" s="396"/>
      <c r="EVA6" s="396"/>
      <c r="EVB6" s="396"/>
      <c r="EVC6" s="396"/>
      <c r="EVD6" s="396"/>
      <c r="EVE6" s="396"/>
      <c r="EVF6" s="396"/>
      <c r="EVG6" s="396"/>
      <c r="EVH6" s="396"/>
      <c r="EVI6" s="396"/>
      <c r="EVJ6" s="396"/>
      <c r="EVK6" s="396"/>
      <c r="EVL6" s="396"/>
      <c r="EVM6" s="396"/>
      <c r="EVN6" s="396"/>
      <c r="EVO6" s="396"/>
      <c r="EVP6" s="396"/>
      <c r="EVQ6" s="396"/>
      <c r="EVR6" s="396"/>
      <c r="EVS6" s="396"/>
      <c r="EVT6" s="396"/>
      <c r="EVU6" s="396"/>
      <c r="EVV6" s="396"/>
      <c r="EVW6" s="396"/>
      <c r="EVX6" s="396"/>
      <c r="EVY6" s="396"/>
      <c r="EVZ6" s="396"/>
      <c r="EWA6" s="396"/>
      <c r="EWB6" s="396"/>
      <c r="EWC6" s="396"/>
      <c r="EWD6" s="396"/>
      <c r="EWE6" s="396"/>
      <c r="EWF6" s="396"/>
      <c r="EWG6" s="396"/>
      <c r="EWH6" s="396"/>
      <c r="EWI6" s="396"/>
      <c r="EWJ6" s="396"/>
      <c r="EWK6" s="396"/>
      <c r="EWL6" s="396"/>
      <c r="EWM6" s="396"/>
      <c r="EWN6" s="396"/>
      <c r="EWO6" s="396"/>
      <c r="EWP6" s="396"/>
      <c r="EWQ6" s="396"/>
      <c r="EWR6" s="396"/>
      <c r="EWS6" s="396"/>
      <c r="EWT6" s="396"/>
      <c r="EWU6" s="396"/>
      <c r="EWV6" s="396"/>
      <c r="EWW6" s="396"/>
      <c r="EWX6" s="396"/>
      <c r="EWY6" s="396"/>
      <c r="EWZ6" s="396"/>
      <c r="EXA6" s="396"/>
      <c r="EXB6" s="396"/>
      <c r="EXC6" s="396"/>
      <c r="EXD6" s="396"/>
      <c r="EXE6" s="396"/>
      <c r="EXF6" s="396"/>
      <c r="EXG6" s="396"/>
      <c r="EXH6" s="396"/>
      <c r="EXI6" s="396"/>
      <c r="EXJ6" s="396"/>
      <c r="EXK6" s="396"/>
      <c r="EXL6" s="396"/>
      <c r="EXM6" s="396"/>
      <c r="EXN6" s="396"/>
      <c r="EXO6" s="396"/>
      <c r="EXP6" s="396"/>
      <c r="EXQ6" s="396"/>
      <c r="EXR6" s="396"/>
      <c r="EXS6" s="396"/>
      <c r="EXT6" s="396"/>
      <c r="EXU6" s="396"/>
      <c r="EXV6" s="396"/>
      <c r="EXW6" s="396"/>
      <c r="EXX6" s="396"/>
      <c r="EXY6" s="396"/>
      <c r="EXZ6" s="396"/>
      <c r="EYA6" s="396"/>
      <c r="EYB6" s="396"/>
      <c r="EYC6" s="396"/>
      <c r="EYD6" s="396"/>
      <c r="EYE6" s="396"/>
      <c r="EYF6" s="396"/>
      <c r="EYG6" s="396"/>
      <c r="EYH6" s="396"/>
      <c r="EYI6" s="396"/>
      <c r="EYJ6" s="396"/>
      <c r="EYK6" s="396"/>
      <c r="EYL6" s="396"/>
      <c r="EYM6" s="396"/>
      <c r="EYN6" s="396"/>
      <c r="EYO6" s="396"/>
      <c r="EYP6" s="396"/>
      <c r="EYQ6" s="396"/>
      <c r="EYR6" s="396"/>
      <c r="EYS6" s="396"/>
      <c r="EYT6" s="396"/>
      <c r="EYU6" s="396"/>
      <c r="EYV6" s="396"/>
      <c r="EYW6" s="396"/>
      <c r="EYX6" s="396"/>
      <c r="EYY6" s="396"/>
      <c r="EYZ6" s="396"/>
      <c r="EZA6" s="396"/>
      <c r="EZB6" s="396"/>
      <c r="EZC6" s="396"/>
      <c r="EZD6" s="396"/>
      <c r="EZE6" s="396"/>
      <c r="EZF6" s="396"/>
      <c r="EZG6" s="396"/>
      <c r="EZH6" s="396"/>
      <c r="EZI6" s="396"/>
      <c r="EZJ6" s="396"/>
      <c r="EZK6" s="396"/>
      <c r="EZL6" s="396"/>
      <c r="EZM6" s="396"/>
      <c r="EZN6" s="396"/>
      <c r="EZO6" s="396"/>
      <c r="EZP6" s="396"/>
      <c r="EZQ6" s="396"/>
      <c r="EZR6" s="396"/>
      <c r="EZS6" s="396"/>
      <c r="EZT6" s="396"/>
      <c r="EZU6" s="396"/>
      <c r="EZV6" s="396"/>
      <c r="EZW6" s="396"/>
      <c r="EZX6" s="396"/>
      <c r="EZY6" s="396"/>
      <c r="EZZ6" s="396"/>
      <c r="FAA6" s="396"/>
      <c r="FAB6" s="396"/>
      <c r="FAC6" s="396"/>
      <c r="FAD6" s="396"/>
      <c r="FAE6" s="396"/>
      <c r="FAF6" s="396"/>
      <c r="FAG6" s="396"/>
      <c r="FAH6" s="396"/>
      <c r="FAI6" s="396"/>
      <c r="FAJ6" s="396"/>
      <c r="FAK6" s="396"/>
      <c r="FAL6" s="396"/>
      <c r="FAM6" s="396"/>
      <c r="FAN6" s="396"/>
      <c r="FAO6" s="396"/>
      <c r="FAP6" s="396"/>
      <c r="FAQ6" s="396"/>
      <c r="FAR6" s="396"/>
      <c r="FAS6" s="396"/>
      <c r="FAT6" s="396"/>
      <c r="FAU6" s="396"/>
      <c r="FAV6" s="396"/>
      <c r="FAW6" s="396"/>
      <c r="FAX6" s="396"/>
      <c r="FAY6" s="396"/>
      <c r="FAZ6" s="396"/>
      <c r="FBA6" s="396"/>
      <c r="FBB6" s="396"/>
      <c r="FBC6" s="396"/>
      <c r="FBD6" s="396"/>
      <c r="FBE6" s="396"/>
      <c r="FBF6" s="396"/>
      <c r="FBG6" s="396"/>
      <c r="FBH6" s="396"/>
      <c r="FBI6" s="396"/>
      <c r="FBJ6" s="396"/>
      <c r="FBK6" s="396"/>
      <c r="FBL6" s="396"/>
      <c r="FBM6" s="396"/>
      <c r="FBN6" s="396"/>
      <c r="FBO6" s="396"/>
      <c r="FBP6" s="396"/>
      <c r="FBQ6" s="396"/>
      <c r="FBR6" s="396"/>
      <c r="FBS6" s="396"/>
      <c r="FBT6" s="396"/>
      <c r="FBU6" s="396"/>
      <c r="FBV6" s="396"/>
      <c r="FBW6" s="396"/>
      <c r="FBX6" s="396"/>
      <c r="FBY6" s="396"/>
      <c r="FBZ6" s="396"/>
      <c r="FCA6" s="396"/>
      <c r="FCB6" s="396"/>
      <c r="FCC6" s="396"/>
      <c r="FCD6" s="396"/>
      <c r="FCE6" s="396"/>
      <c r="FCF6" s="396"/>
      <c r="FCG6" s="396"/>
      <c r="FCH6" s="396"/>
      <c r="FCI6" s="396"/>
      <c r="FCJ6" s="396"/>
      <c r="FCK6" s="396"/>
      <c r="FCL6" s="396"/>
      <c r="FCM6" s="396"/>
      <c r="FCN6" s="396"/>
      <c r="FCO6" s="396"/>
      <c r="FCP6" s="396"/>
      <c r="FCQ6" s="396"/>
      <c r="FCR6" s="396"/>
      <c r="FCS6" s="396"/>
      <c r="FCT6" s="396"/>
      <c r="FCU6" s="396"/>
      <c r="FCV6" s="396"/>
      <c r="FCW6" s="396"/>
      <c r="FCX6" s="396"/>
      <c r="FCY6" s="396"/>
      <c r="FCZ6" s="396"/>
      <c r="FDA6" s="396"/>
      <c r="FDB6" s="396"/>
      <c r="FDC6" s="396"/>
      <c r="FDD6" s="396"/>
      <c r="FDE6" s="396"/>
      <c r="FDF6" s="396"/>
      <c r="FDG6" s="396"/>
      <c r="FDH6" s="396"/>
      <c r="FDI6" s="396"/>
      <c r="FDJ6" s="396"/>
      <c r="FDK6" s="396"/>
      <c r="FDL6" s="396"/>
      <c r="FDM6" s="396"/>
      <c r="FDN6" s="396"/>
      <c r="FDO6" s="396"/>
      <c r="FDP6" s="396"/>
      <c r="FDQ6" s="396"/>
      <c r="FDR6" s="396"/>
      <c r="FDS6" s="396"/>
      <c r="FDT6" s="396"/>
      <c r="FDU6" s="396"/>
      <c r="FDV6" s="396"/>
      <c r="FDW6" s="396"/>
      <c r="FDX6" s="396"/>
      <c r="FDY6" s="396"/>
      <c r="FDZ6" s="396"/>
      <c r="FEA6" s="396"/>
      <c r="FEB6" s="396"/>
      <c r="FEC6" s="396"/>
      <c r="FED6" s="396"/>
      <c r="FEE6" s="396"/>
      <c r="FEF6" s="396"/>
      <c r="FEG6" s="396"/>
      <c r="FEH6" s="396"/>
      <c r="FEI6" s="396"/>
      <c r="FEJ6" s="396"/>
      <c r="FEK6" s="396"/>
      <c r="FEL6" s="396"/>
      <c r="FEM6" s="396"/>
      <c r="FEN6" s="396"/>
      <c r="FEO6" s="396"/>
      <c r="FEP6" s="396"/>
      <c r="FEQ6" s="396"/>
      <c r="FER6" s="396"/>
      <c r="FES6" s="396"/>
      <c r="FET6" s="396"/>
      <c r="FEU6" s="396"/>
      <c r="FEV6" s="396"/>
      <c r="FEW6" s="396"/>
      <c r="FEX6" s="396"/>
      <c r="FEY6" s="396"/>
      <c r="FEZ6" s="396"/>
      <c r="FFA6" s="396"/>
      <c r="FFB6" s="396"/>
      <c r="FFC6" s="396"/>
      <c r="FFD6" s="396"/>
      <c r="FFE6" s="396"/>
      <c r="FFF6" s="396"/>
      <c r="FFG6" s="396"/>
      <c r="FFH6" s="396"/>
      <c r="FFI6" s="396"/>
      <c r="FFJ6" s="396"/>
      <c r="FFK6" s="396"/>
      <c r="FFL6" s="396"/>
      <c r="FFM6" s="396"/>
      <c r="FFN6" s="396"/>
      <c r="FFO6" s="396"/>
      <c r="FFP6" s="396"/>
      <c r="FFQ6" s="396"/>
      <c r="FFR6" s="396"/>
      <c r="FFS6" s="396"/>
      <c r="FFT6" s="396"/>
      <c r="FFU6" s="396"/>
      <c r="FFV6" s="396"/>
      <c r="FFW6" s="396"/>
      <c r="FFX6" s="396"/>
      <c r="FFY6" s="396"/>
      <c r="FFZ6" s="396"/>
      <c r="FGA6" s="396"/>
      <c r="FGB6" s="396"/>
      <c r="FGC6" s="396"/>
      <c r="FGD6" s="396"/>
      <c r="FGE6" s="396"/>
      <c r="FGF6" s="396"/>
      <c r="FGG6" s="396"/>
      <c r="FGH6" s="396"/>
      <c r="FGI6" s="396"/>
      <c r="FGJ6" s="396"/>
      <c r="FGK6" s="396"/>
      <c r="FGL6" s="396"/>
      <c r="FGM6" s="396"/>
      <c r="FGN6" s="396"/>
      <c r="FGO6" s="396"/>
      <c r="FGP6" s="396"/>
      <c r="FGQ6" s="396"/>
      <c r="FGR6" s="396"/>
      <c r="FGS6" s="396"/>
      <c r="FGT6" s="396"/>
      <c r="FGU6" s="396"/>
      <c r="FGV6" s="396"/>
      <c r="FGW6" s="396"/>
      <c r="FGX6" s="396"/>
      <c r="FGY6" s="396"/>
      <c r="FGZ6" s="396"/>
      <c r="FHA6" s="396"/>
      <c r="FHB6" s="396"/>
      <c r="FHC6" s="396"/>
      <c r="FHD6" s="396"/>
      <c r="FHE6" s="396"/>
      <c r="FHF6" s="396"/>
      <c r="FHG6" s="396"/>
      <c r="FHH6" s="396"/>
      <c r="FHI6" s="396"/>
      <c r="FHJ6" s="396"/>
      <c r="FHK6" s="396"/>
      <c r="FHL6" s="396"/>
      <c r="FHM6" s="396"/>
      <c r="FHN6" s="396"/>
      <c r="FHO6" s="396"/>
      <c r="FHP6" s="396"/>
      <c r="FHQ6" s="396"/>
      <c r="FHR6" s="396"/>
      <c r="FHS6" s="396"/>
      <c r="FHT6" s="396"/>
      <c r="FHU6" s="396"/>
      <c r="FHV6" s="396"/>
      <c r="FHW6" s="396"/>
      <c r="FHX6" s="396"/>
      <c r="FHY6" s="396"/>
      <c r="FHZ6" s="396"/>
      <c r="FIA6" s="396"/>
      <c r="FIB6" s="396"/>
      <c r="FIC6" s="396"/>
      <c r="FID6" s="396"/>
      <c r="FIE6" s="396"/>
      <c r="FIF6" s="396"/>
      <c r="FIG6" s="396"/>
      <c r="FIH6" s="396"/>
      <c r="FII6" s="396"/>
      <c r="FIJ6" s="396"/>
      <c r="FIK6" s="396"/>
      <c r="FIL6" s="396"/>
      <c r="FIM6" s="396"/>
      <c r="FIN6" s="396"/>
      <c r="FIO6" s="396"/>
      <c r="FIP6" s="396"/>
      <c r="FIQ6" s="396"/>
      <c r="FIR6" s="396"/>
      <c r="FIS6" s="396"/>
      <c r="FIT6" s="396"/>
      <c r="FIU6" s="396"/>
      <c r="FIV6" s="396"/>
      <c r="FIW6" s="396"/>
      <c r="FIX6" s="396"/>
      <c r="FIY6" s="396"/>
      <c r="FIZ6" s="396"/>
      <c r="FJA6" s="396"/>
      <c r="FJB6" s="396"/>
      <c r="FJC6" s="396"/>
      <c r="FJD6" s="396"/>
      <c r="FJE6" s="396"/>
      <c r="FJF6" s="396"/>
      <c r="FJG6" s="396"/>
      <c r="FJH6" s="396"/>
      <c r="FJI6" s="396"/>
      <c r="FJJ6" s="396"/>
      <c r="FJK6" s="396"/>
      <c r="FJL6" s="396"/>
      <c r="FJM6" s="396"/>
      <c r="FJN6" s="396"/>
      <c r="FJO6" s="396"/>
      <c r="FJP6" s="396"/>
      <c r="FJQ6" s="396"/>
      <c r="FJR6" s="396"/>
      <c r="FJS6" s="396"/>
      <c r="FJT6" s="396"/>
      <c r="FJU6" s="396"/>
      <c r="FJV6" s="396"/>
      <c r="FJW6" s="396"/>
      <c r="FJX6" s="396"/>
      <c r="FJY6" s="396"/>
      <c r="FJZ6" s="396"/>
      <c r="FKA6" s="396"/>
      <c r="FKB6" s="396"/>
      <c r="FKC6" s="396"/>
      <c r="FKD6" s="396"/>
      <c r="FKE6" s="396"/>
      <c r="FKF6" s="396"/>
      <c r="FKG6" s="396"/>
      <c r="FKH6" s="396"/>
      <c r="FKI6" s="396"/>
      <c r="FKJ6" s="396"/>
      <c r="FKK6" s="396"/>
      <c r="FKL6" s="396"/>
      <c r="FKM6" s="396"/>
      <c r="FKN6" s="396"/>
      <c r="FKO6" s="396"/>
      <c r="FKP6" s="396"/>
      <c r="FKQ6" s="396"/>
      <c r="FKR6" s="396"/>
      <c r="FKS6" s="396"/>
      <c r="FKT6" s="396"/>
      <c r="FKU6" s="396"/>
      <c r="FKV6" s="396"/>
      <c r="FKW6" s="396"/>
      <c r="FKX6" s="396"/>
      <c r="FKY6" s="396"/>
      <c r="FKZ6" s="396"/>
      <c r="FLA6" s="396"/>
      <c r="FLB6" s="396"/>
      <c r="FLC6" s="396"/>
      <c r="FLD6" s="396"/>
      <c r="FLE6" s="396"/>
      <c r="FLF6" s="396"/>
      <c r="FLG6" s="396"/>
      <c r="FLH6" s="396"/>
      <c r="FLI6" s="396"/>
      <c r="FLJ6" s="396"/>
      <c r="FLK6" s="396"/>
      <c r="FLL6" s="396"/>
      <c r="FLM6" s="396"/>
      <c r="FLN6" s="396"/>
      <c r="FLO6" s="396"/>
      <c r="FLP6" s="396"/>
      <c r="FLQ6" s="396"/>
      <c r="FLR6" s="396"/>
      <c r="FLS6" s="396"/>
      <c r="FLT6" s="396"/>
      <c r="FLU6" s="396"/>
      <c r="FLV6" s="396"/>
      <c r="FLW6" s="396"/>
      <c r="FLX6" s="396"/>
      <c r="FLY6" s="396"/>
      <c r="FLZ6" s="396"/>
      <c r="FMA6" s="396"/>
      <c r="FMB6" s="396"/>
      <c r="FMC6" s="396"/>
      <c r="FMD6" s="396"/>
      <c r="FME6" s="396"/>
      <c r="FMF6" s="396"/>
      <c r="FMG6" s="396"/>
      <c r="FMH6" s="396"/>
      <c r="FMI6" s="396"/>
      <c r="FMJ6" s="396"/>
      <c r="FMK6" s="396"/>
      <c r="FML6" s="396"/>
      <c r="FMM6" s="396"/>
      <c r="FMN6" s="396"/>
      <c r="FMO6" s="396"/>
      <c r="FMP6" s="396"/>
      <c r="FMQ6" s="396"/>
      <c r="FMR6" s="396"/>
      <c r="FMS6" s="396"/>
      <c r="FMT6" s="396"/>
      <c r="FMU6" s="396"/>
      <c r="FMV6" s="396"/>
      <c r="FMW6" s="396"/>
      <c r="FMX6" s="396"/>
      <c r="FMY6" s="396"/>
      <c r="FMZ6" s="396"/>
      <c r="FNA6" s="396"/>
      <c r="FNB6" s="396"/>
      <c r="FNC6" s="396"/>
      <c r="FND6" s="396"/>
      <c r="FNE6" s="396"/>
      <c r="FNF6" s="396"/>
      <c r="FNG6" s="396"/>
      <c r="FNH6" s="396"/>
      <c r="FNI6" s="396"/>
      <c r="FNJ6" s="396"/>
      <c r="FNK6" s="396"/>
      <c r="FNL6" s="396"/>
      <c r="FNM6" s="396"/>
      <c r="FNN6" s="396"/>
      <c r="FNO6" s="396"/>
      <c r="FNP6" s="396"/>
      <c r="FNQ6" s="396"/>
      <c r="FNR6" s="396"/>
      <c r="FNS6" s="396"/>
      <c r="FNT6" s="396"/>
      <c r="FNU6" s="396"/>
      <c r="FNV6" s="396"/>
      <c r="FNW6" s="396"/>
      <c r="FNX6" s="396"/>
      <c r="FNY6" s="396"/>
      <c r="FNZ6" s="396"/>
      <c r="FOA6" s="396"/>
      <c r="FOB6" s="396"/>
      <c r="FOC6" s="396"/>
      <c r="FOD6" s="396"/>
      <c r="FOE6" s="396"/>
      <c r="FOF6" s="396"/>
      <c r="FOG6" s="396"/>
      <c r="FOH6" s="396"/>
      <c r="FOI6" s="396"/>
      <c r="FOJ6" s="396"/>
      <c r="FOK6" s="396"/>
      <c r="FOL6" s="396"/>
      <c r="FOM6" s="396"/>
      <c r="FON6" s="396"/>
      <c r="FOO6" s="396"/>
      <c r="FOP6" s="396"/>
      <c r="FOQ6" s="396"/>
      <c r="FOR6" s="396"/>
      <c r="FOS6" s="396"/>
      <c r="FOT6" s="396"/>
      <c r="FOU6" s="396"/>
      <c r="FOV6" s="396"/>
      <c r="FOW6" s="396"/>
      <c r="FOX6" s="396"/>
      <c r="FOY6" s="396"/>
      <c r="FOZ6" s="396"/>
      <c r="FPA6" s="396"/>
      <c r="FPB6" s="396"/>
      <c r="FPC6" s="396"/>
      <c r="FPD6" s="396"/>
      <c r="FPE6" s="396"/>
      <c r="FPF6" s="396"/>
      <c r="FPG6" s="396"/>
      <c r="FPH6" s="396"/>
      <c r="FPI6" s="396"/>
      <c r="FPJ6" s="396"/>
      <c r="FPK6" s="396"/>
      <c r="FPL6" s="396"/>
      <c r="FPM6" s="396"/>
      <c r="FPN6" s="396"/>
      <c r="FPO6" s="396"/>
      <c r="FPP6" s="396"/>
      <c r="FPQ6" s="396"/>
      <c r="FPR6" s="396"/>
      <c r="FPS6" s="396"/>
      <c r="FPT6" s="396"/>
      <c r="FPU6" s="396"/>
      <c r="FPV6" s="396"/>
      <c r="FPW6" s="396"/>
      <c r="FPX6" s="396"/>
      <c r="FPY6" s="396"/>
      <c r="FPZ6" s="396"/>
      <c r="FQA6" s="396"/>
      <c r="FQB6" s="396"/>
      <c r="FQC6" s="396"/>
      <c r="FQD6" s="396"/>
      <c r="FQE6" s="396"/>
      <c r="FQF6" s="396"/>
      <c r="FQG6" s="396"/>
      <c r="FQH6" s="396"/>
      <c r="FQI6" s="396"/>
      <c r="FQJ6" s="396"/>
      <c r="FQK6" s="396"/>
      <c r="FQL6" s="396"/>
      <c r="FQM6" s="396"/>
      <c r="FQN6" s="396"/>
      <c r="FQO6" s="396"/>
      <c r="FQP6" s="396"/>
      <c r="FQQ6" s="396"/>
      <c r="FQR6" s="396"/>
      <c r="FQS6" s="396"/>
      <c r="FQT6" s="396"/>
      <c r="FQU6" s="396"/>
      <c r="FQV6" s="396"/>
      <c r="FQW6" s="396"/>
      <c r="FQX6" s="396"/>
      <c r="FQY6" s="396"/>
      <c r="FQZ6" s="396"/>
      <c r="FRA6" s="396"/>
      <c r="FRB6" s="396"/>
      <c r="FRC6" s="396"/>
      <c r="FRD6" s="396"/>
      <c r="FRE6" s="396"/>
      <c r="FRF6" s="396"/>
      <c r="FRG6" s="396"/>
      <c r="FRH6" s="396"/>
      <c r="FRI6" s="396"/>
      <c r="FRJ6" s="396"/>
      <c r="FRK6" s="396"/>
      <c r="FRL6" s="396"/>
      <c r="FRM6" s="396"/>
      <c r="FRN6" s="396"/>
      <c r="FRO6" s="396"/>
      <c r="FRP6" s="396"/>
      <c r="FRQ6" s="396"/>
      <c r="FRR6" s="396"/>
      <c r="FRS6" s="396"/>
      <c r="FRT6" s="396"/>
      <c r="FRU6" s="396"/>
      <c r="FRV6" s="396"/>
      <c r="FRW6" s="396"/>
      <c r="FRX6" s="396"/>
      <c r="FRY6" s="396"/>
      <c r="FRZ6" s="396"/>
      <c r="FSA6" s="396"/>
      <c r="FSB6" s="396"/>
      <c r="FSC6" s="396"/>
      <c r="FSD6" s="396"/>
      <c r="FSE6" s="396"/>
      <c r="FSF6" s="396"/>
      <c r="FSG6" s="396"/>
      <c r="FSH6" s="396"/>
      <c r="FSI6" s="396"/>
      <c r="FSJ6" s="396"/>
      <c r="FSK6" s="396"/>
      <c r="FSL6" s="396"/>
      <c r="FSM6" s="396"/>
      <c r="FSN6" s="396"/>
      <c r="FSO6" s="396"/>
      <c r="FSP6" s="396"/>
      <c r="FSQ6" s="396"/>
      <c r="FSR6" s="396"/>
      <c r="FSS6" s="396"/>
      <c r="FST6" s="396"/>
      <c r="FSU6" s="396"/>
      <c r="FSV6" s="396"/>
      <c r="FSW6" s="396"/>
      <c r="FSX6" s="396"/>
      <c r="FSY6" s="396"/>
      <c r="FSZ6" s="396"/>
      <c r="FTA6" s="396"/>
      <c r="FTB6" s="396"/>
      <c r="FTC6" s="396"/>
      <c r="FTD6" s="396"/>
      <c r="FTE6" s="396"/>
      <c r="FTF6" s="396"/>
      <c r="FTG6" s="396"/>
      <c r="FTH6" s="396"/>
      <c r="FTI6" s="396"/>
      <c r="FTJ6" s="396"/>
      <c r="FTK6" s="396"/>
      <c r="FTL6" s="396"/>
      <c r="FTM6" s="396"/>
      <c r="FTN6" s="396"/>
      <c r="FTO6" s="396"/>
      <c r="FTP6" s="396"/>
      <c r="FTQ6" s="396"/>
      <c r="FTR6" s="396"/>
      <c r="FTS6" s="396"/>
      <c r="FTT6" s="396"/>
      <c r="FTU6" s="396"/>
      <c r="FTV6" s="396"/>
      <c r="FTW6" s="396"/>
      <c r="FTX6" s="396"/>
      <c r="FTY6" s="396"/>
      <c r="FTZ6" s="396"/>
      <c r="FUA6" s="396"/>
      <c r="FUB6" s="396"/>
      <c r="FUC6" s="396"/>
      <c r="FUD6" s="396"/>
      <c r="FUE6" s="396"/>
      <c r="FUF6" s="396"/>
      <c r="FUG6" s="396"/>
      <c r="FUH6" s="396"/>
      <c r="FUI6" s="396"/>
      <c r="FUJ6" s="396"/>
      <c r="FUK6" s="396"/>
      <c r="FUL6" s="396"/>
      <c r="FUM6" s="396"/>
      <c r="FUN6" s="396"/>
      <c r="FUO6" s="396"/>
      <c r="FUP6" s="396"/>
      <c r="FUQ6" s="396"/>
      <c r="FUR6" s="396"/>
      <c r="FUS6" s="396"/>
      <c r="FUT6" s="396"/>
      <c r="FUU6" s="396"/>
      <c r="FUV6" s="396"/>
      <c r="FUW6" s="396"/>
      <c r="FUX6" s="396"/>
      <c r="FUY6" s="396"/>
      <c r="FUZ6" s="396"/>
      <c r="FVA6" s="396"/>
      <c r="FVB6" s="396"/>
      <c r="FVC6" s="396"/>
      <c r="FVD6" s="396"/>
      <c r="FVE6" s="396"/>
      <c r="FVF6" s="396"/>
      <c r="FVG6" s="396"/>
      <c r="FVH6" s="396"/>
      <c r="FVI6" s="396"/>
      <c r="FVJ6" s="396"/>
      <c r="FVK6" s="396"/>
      <c r="FVL6" s="396"/>
      <c r="FVM6" s="396"/>
      <c r="FVN6" s="396"/>
      <c r="FVO6" s="396"/>
      <c r="FVP6" s="396"/>
      <c r="FVQ6" s="396"/>
      <c r="FVR6" s="396"/>
      <c r="FVS6" s="396"/>
      <c r="FVT6" s="396"/>
      <c r="FVU6" s="396"/>
      <c r="FVV6" s="396"/>
      <c r="FVW6" s="396"/>
      <c r="FVX6" s="396"/>
      <c r="FVY6" s="396"/>
      <c r="FVZ6" s="396"/>
      <c r="FWA6" s="396"/>
      <c r="FWB6" s="396"/>
      <c r="FWC6" s="396"/>
      <c r="FWD6" s="396"/>
      <c r="FWE6" s="396"/>
      <c r="FWF6" s="396"/>
      <c r="FWG6" s="396"/>
      <c r="FWH6" s="396"/>
      <c r="FWI6" s="396"/>
      <c r="FWJ6" s="396"/>
      <c r="FWK6" s="396"/>
      <c r="FWL6" s="396"/>
      <c r="FWM6" s="396"/>
      <c r="FWN6" s="396"/>
      <c r="FWO6" s="396"/>
      <c r="FWP6" s="396"/>
      <c r="FWQ6" s="396"/>
      <c r="FWR6" s="396"/>
      <c r="FWS6" s="396"/>
      <c r="FWT6" s="396"/>
      <c r="FWU6" s="396"/>
      <c r="FWV6" s="396"/>
      <c r="FWW6" s="396"/>
      <c r="FWX6" s="396"/>
      <c r="FWY6" s="396"/>
      <c r="FWZ6" s="396"/>
      <c r="FXA6" s="396"/>
      <c r="FXB6" s="396"/>
      <c r="FXC6" s="396"/>
      <c r="FXD6" s="396"/>
      <c r="FXE6" s="396"/>
      <c r="FXF6" s="396"/>
      <c r="FXG6" s="396"/>
      <c r="FXH6" s="396"/>
      <c r="FXI6" s="396"/>
      <c r="FXJ6" s="396"/>
      <c r="FXK6" s="396"/>
      <c r="FXL6" s="396"/>
      <c r="FXM6" s="396"/>
      <c r="FXN6" s="396"/>
      <c r="FXO6" s="396"/>
      <c r="FXP6" s="396"/>
      <c r="FXQ6" s="396"/>
      <c r="FXR6" s="396"/>
      <c r="FXS6" s="396"/>
      <c r="FXT6" s="396"/>
      <c r="FXU6" s="396"/>
      <c r="FXV6" s="396"/>
      <c r="FXW6" s="396"/>
      <c r="FXX6" s="396"/>
      <c r="FXY6" s="396"/>
      <c r="FXZ6" s="396"/>
      <c r="FYA6" s="396"/>
      <c r="FYB6" s="396"/>
      <c r="FYC6" s="396"/>
      <c r="FYD6" s="396"/>
      <c r="FYE6" s="396"/>
      <c r="FYF6" s="396"/>
      <c r="FYG6" s="396"/>
      <c r="FYH6" s="396"/>
      <c r="FYI6" s="396"/>
      <c r="FYJ6" s="396"/>
      <c r="FYK6" s="396"/>
      <c r="FYL6" s="396"/>
      <c r="FYM6" s="396"/>
      <c r="FYN6" s="396"/>
      <c r="FYO6" s="396"/>
      <c r="FYP6" s="396"/>
      <c r="FYQ6" s="396"/>
      <c r="FYR6" s="396"/>
      <c r="FYS6" s="396"/>
      <c r="FYT6" s="396"/>
      <c r="FYU6" s="396"/>
      <c r="FYV6" s="396"/>
      <c r="FYW6" s="396"/>
      <c r="FYX6" s="396"/>
      <c r="FYY6" s="396"/>
      <c r="FYZ6" s="396"/>
      <c r="FZA6" s="396"/>
      <c r="FZB6" s="396"/>
      <c r="FZC6" s="396"/>
      <c r="FZD6" s="396"/>
      <c r="FZE6" s="396"/>
      <c r="FZF6" s="396"/>
      <c r="FZG6" s="396"/>
      <c r="FZH6" s="396"/>
      <c r="FZI6" s="396"/>
      <c r="FZJ6" s="396"/>
      <c r="FZK6" s="396"/>
      <c r="FZL6" s="396"/>
      <c r="FZM6" s="396"/>
      <c r="FZN6" s="396"/>
      <c r="FZO6" s="396"/>
      <c r="FZP6" s="396"/>
      <c r="FZQ6" s="396"/>
      <c r="FZR6" s="396"/>
      <c r="FZS6" s="396"/>
      <c r="FZT6" s="396"/>
      <c r="FZU6" s="396"/>
      <c r="FZV6" s="396"/>
      <c r="FZW6" s="396"/>
      <c r="FZX6" s="396"/>
      <c r="FZY6" s="396"/>
      <c r="FZZ6" s="396"/>
      <c r="GAA6" s="396"/>
      <c r="GAB6" s="396"/>
      <c r="GAC6" s="396"/>
      <c r="GAD6" s="396"/>
      <c r="GAE6" s="396"/>
      <c r="GAF6" s="396"/>
      <c r="GAG6" s="396"/>
      <c r="GAH6" s="396"/>
      <c r="GAI6" s="396"/>
      <c r="GAJ6" s="396"/>
      <c r="GAK6" s="396"/>
      <c r="GAL6" s="396"/>
      <c r="GAM6" s="396"/>
      <c r="GAN6" s="396"/>
      <c r="GAO6" s="396"/>
      <c r="GAP6" s="396"/>
      <c r="GAQ6" s="396"/>
      <c r="GAR6" s="396"/>
      <c r="GAS6" s="396"/>
      <c r="GAT6" s="396"/>
      <c r="GAU6" s="396"/>
      <c r="GAV6" s="396"/>
      <c r="GAW6" s="396"/>
      <c r="GAX6" s="396"/>
      <c r="GAY6" s="396"/>
      <c r="GAZ6" s="396"/>
      <c r="GBA6" s="396"/>
      <c r="GBB6" s="396"/>
      <c r="GBC6" s="396"/>
      <c r="GBD6" s="396"/>
      <c r="GBE6" s="396"/>
      <c r="GBF6" s="396"/>
      <c r="GBG6" s="396"/>
      <c r="GBH6" s="396"/>
      <c r="GBI6" s="396"/>
      <c r="GBJ6" s="396"/>
      <c r="GBK6" s="396"/>
      <c r="GBL6" s="396"/>
      <c r="GBM6" s="396"/>
      <c r="GBN6" s="396"/>
      <c r="GBO6" s="396"/>
      <c r="GBP6" s="396"/>
      <c r="GBQ6" s="396"/>
      <c r="GBR6" s="396"/>
      <c r="GBS6" s="396"/>
      <c r="GBT6" s="396"/>
      <c r="GBU6" s="396"/>
      <c r="GBV6" s="396"/>
      <c r="GBW6" s="396"/>
      <c r="GBX6" s="396"/>
      <c r="GBY6" s="396"/>
      <c r="GBZ6" s="396"/>
      <c r="GCA6" s="396"/>
      <c r="GCB6" s="396"/>
      <c r="GCC6" s="396"/>
      <c r="GCD6" s="396"/>
      <c r="GCE6" s="396"/>
      <c r="GCF6" s="396"/>
      <c r="GCG6" s="396"/>
      <c r="GCH6" s="396"/>
      <c r="GCI6" s="396"/>
      <c r="GCJ6" s="396"/>
      <c r="GCK6" s="396"/>
      <c r="GCL6" s="396"/>
      <c r="GCM6" s="396"/>
      <c r="GCN6" s="396"/>
      <c r="GCO6" s="396"/>
      <c r="GCP6" s="396"/>
      <c r="GCQ6" s="396"/>
      <c r="GCR6" s="396"/>
      <c r="GCS6" s="396"/>
      <c r="GCT6" s="396"/>
      <c r="GCU6" s="396"/>
      <c r="GCV6" s="396"/>
      <c r="GCW6" s="396"/>
      <c r="GCX6" s="396"/>
      <c r="GCY6" s="396"/>
      <c r="GCZ6" s="396"/>
      <c r="GDA6" s="396"/>
      <c r="GDB6" s="396"/>
      <c r="GDC6" s="396"/>
      <c r="GDD6" s="396"/>
      <c r="GDE6" s="396"/>
      <c r="GDF6" s="396"/>
      <c r="GDG6" s="396"/>
      <c r="GDH6" s="396"/>
      <c r="GDI6" s="396"/>
      <c r="GDJ6" s="396"/>
      <c r="GDK6" s="396"/>
      <c r="GDL6" s="396"/>
      <c r="GDM6" s="396"/>
      <c r="GDN6" s="396"/>
      <c r="GDO6" s="396"/>
      <c r="GDP6" s="396"/>
      <c r="GDQ6" s="396"/>
      <c r="GDR6" s="396"/>
      <c r="GDS6" s="396"/>
      <c r="GDT6" s="396"/>
      <c r="GDU6" s="396"/>
      <c r="GDV6" s="396"/>
      <c r="GDW6" s="396"/>
      <c r="GDX6" s="396"/>
      <c r="GDY6" s="396"/>
      <c r="GDZ6" s="396"/>
      <c r="GEA6" s="396"/>
      <c r="GEB6" s="396"/>
      <c r="GEC6" s="396"/>
      <c r="GED6" s="396"/>
      <c r="GEE6" s="396"/>
      <c r="GEF6" s="396"/>
      <c r="GEG6" s="396"/>
      <c r="GEH6" s="396"/>
      <c r="GEI6" s="396"/>
      <c r="GEJ6" s="396"/>
      <c r="GEK6" s="396"/>
      <c r="GEL6" s="396"/>
      <c r="GEM6" s="396"/>
      <c r="GEN6" s="396"/>
      <c r="GEO6" s="396"/>
      <c r="GEP6" s="396"/>
      <c r="GEQ6" s="396"/>
      <c r="GER6" s="396"/>
      <c r="GES6" s="396"/>
      <c r="GET6" s="396"/>
      <c r="GEU6" s="396"/>
      <c r="GEV6" s="396"/>
      <c r="GEW6" s="396"/>
      <c r="GEX6" s="396"/>
      <c r="GEY6" s="396"/>
      <c r="GEZ6" s="396"/>
      <c r="GFA6" s="396"/>
      <c r="GFB6" s="396"/>
      <c r="GFC6" s="396"/>
      <c r="GFD6" s="396"/>
      <c r="GFE6" s="396"/>
      <c r="GFF6" s="396"/>
      <c r="GFG6" s="396"/>
      <c r="GFH6" s="396"/>
      <c r="GFI6" s="396"/>
      <c r="GFJ6" s="396"/>
      <c r="GFK6" s="396"/>
      <c r="GFL6" s="396"/>
      <c r="GFM6" s="396"/>
      <c r="GFN6" s="396"/>
      <c r="GFO6" s="396"/>
      <c r="GFP6" s="396"/>
      <c r="GFQ6" s="396"/>
      <c r="GFR6" s="396"/>
      <c r="GFS6" s="396"/>
      <c r="GFT6" s="396"/>
      <c r="GFU6" s="396"/>
      <c r="GFV6" s="396"/>
      <c r="GFW6" s="396"/>
      <c r="GFX6" s="396"/>
      <c r="GFY6" s="396"/>
      <c r="GFZ6" s="396"/>
      <c r="GGA6" s="396"/>
      <c r="GGB6" s="396"/>
      <c r="GGC6" s="396"/>
      <c r="GGD6" s="396"/>
      <c r="GGE6" s="396"/>
      <c r="GGF6" s="396"/>
      <c r="GGG6" s="396"/>
      <c r="GGH6" s="396"/>
      <c r="GGI6" s="396"/>
      <c r="GGJ6" s="396"/>
      <c r="GGK6" s="396"/>
      <c r="GGL6" s="396"/>
      <c r="GGM6" s="396"/>
      <c r="GGN6" s="396"/>
      <c r="GGO6" s="396"/>
      <c r="GGP6" s="396"/>
      <c r="GGQ6" s="396"/>
      <c r="GGR6" s="396"/>
      <c r="GGS6" s="396"/>
      <c r="GGT6" s="396"/>
      <c r="GGU6" s="396"/>
      <c r="GGV6" s="396"/>
      <c r="GGW6" s="396"/>
      <c r="GGX6" s="396"/>
      <c r="GGY6" s="396"/>
      <c r="GGZ6" s="396"/>
      <c r="GHA6" s="396"/>
      <c r="GHB6" s="396"/>
      <c r="GHC6" s="396"/>
      <c r="GHD6" s="396"/>
      <c r="GHE6" s="396"/>
      <c r="GHF6" s="396"/>
      <c r="GHG6" s="396"/>
      <c r="GHH6" s="396"/>
      <c r="GHI6" s="396"/>
      <c r="GHJ6" s="396"/>
      <c r="GHK6" s="396"/>
      <c r="GHL6" s="396"/>
      <c r="GHM6" s="396"/>
      <c r="GHN6" s="396"/>
      <c r="GHO6" s="396"/>
      <c r="GHP6" s="396"/>
      <c r="GHQ6" s="396"/>
      <c r="GHR6" s="396"/>
      <c r="GHS6" s="396"/>
      <c r="GHT6" s="396"/>
      <c r="GHU6" s="396"/>
      <c r="GHV6" s="396"/>
      <c r="GHW6" s="396"/>
      <c r="GHX6" s="396"/>
      <c r="GHY6" s="396"/>
      <c r="GHZ6" s="396"/>
      <c r="GIA6" s="396"/>
      <c r="GIB6" s="396"/>
      <c r="GIC6" s="396"/>
      <c r="GID6" s="396"/>
      <c r="GIE6" s="396"/>
      <c r="GIF6" s="396"/>
      <c r="GIG6" s="396"/>
      <c r="GIH6" s="396"/>
      <c r="GII6" s="396"/>
      <c r="GIJ6" s="396"/>
      <c r="GIK6" s="396"/>
      <c r="GIL6" s="396"/>
      <c r="GIM6" s="396"/>
      <c r="GIN6" s="396"/>
      <c r="GIO6" s="396"/>
      <c r="GIP6" s="396"/>
      <c r="GIQ6" s="396"/>
      <c r="GIR6" s="396"/>
      <c r="GIS6" s="396"/>
      <c r="GIT6" s="396"/>
      <c r="GIU6" s="396"/>
      <c r="GIV6" s="396"/>
      <c r="GIW6" s="396"/>
      <c r="GIX6" s="396"/>
      <c r="GIY6" s="396"/>
      <c r="GIZ6" s="396"/>
      <c r="GJA6" s="396"/>
      <c r="GJB6" s="396"/>
      <c r="GJC6" s="396"/>
      <c r="GJD6" s="396"/>
      <c r="GJE6" s="396"/>
      <c r="GJF6" s="396"/>
      <c r="GJG6" s="396"/>
      <c r="GJH6" s="396"/>
      <c r="GJI6" s="396"/>
      <c r="GJJ6" s="396"/>
      <c r="GJK6" s="396"/>
      <c r="GJL6" s="396"/>
      <c r="GJM6" s="396"/>
      <c r="GJN6" s="396"/>
      <c r="GJO6" s="396"/>
      <c r="GJP6" s="396"/>
      <c r="GJQ6" s="396"/>
      <c r="GJR6" s="396"/>
      <c r="GJS6" s="396"/>
      <c r="GJT6" s="396"/>
      <c r="GJU6" s="396"/>
      <c r="GJV6" s="396"/>
      <c r="GJW6" s="396"/>
      <c r="GJX6" s="396"/>
      <c r="GJY6" s="396"/>
      <c r="GJZ6" s="396"/>
      <c r="GKA6" s="396"/>
      <c r="GKB6" s="396"/>
      <c r="GKC6" s="396"/>
      <c r="GKD6" s="396"/>
      <c r="GKE6" s="396"/>
      <c r="GKF6" s="396"/>
      <c r="GKG6" s="396"/>
      <c r="GKH6" s="396"/>
      <c r="GKI6" s="396"/>
      <c r="GKJ6" s="396"/>
      <c r="GKK6" s="396"/>
      <c r="GKL6" s="396"/>
      <c r="GKM6" s="396"/>
      <c r="GKN6" s="396"/>
      <c r="GKO6" s="396"/>
      <c r="GKP6" s="396"/>
      <c r="GKQ6" s="396"/>
      <c r="GKR6" s="396"/>
      <c r="GKS6" s="396"/>
      <c r="GKT6" s="396"/>
      <c r="GKU6" s="396"/>
      <c r="GKV6" s="396"/>
      <c r="GKW6" s="396"/>
      <c r="GKX6" s="396"/>
      <c r="GKY6" s="396"/>
      <c r="GKZ6" s="396"/>
      <c r="GLA6" s="396"/>
      <c r="GLB6" s="396"/>
      <c r="GLC6" s="396"/>
      <c r="GLD6" s="396"/>
      <c r="GLE6" s="396"/>
      <c r="GLF6" s="396"/>
      <c r="GLG6" s="396"/>
      <c r="GLH6" s="396"/>
      <c r="GLI6" s="396"/>
      <c r="GLJ6" s="396"/>
      <c r="GLK6" s="396"/>
      <c r="GLL6" s="396"/>
      <c r="GLM6" s="396"/>
      <c r="GLN6" s="396"/>
      <c r="GLO6" s="396"/>
      <c r="GLP6" s="396"/>
      <c r="GLQ6" s="396"/>
      <c r="GLR6" s="396"/>
      <c r="GLS6" s="396"/>
      <c r="GLT6" s="396"/>
      <c r="GLU6" s="396"/>
      <c r="GLV6" s="396"/>
      <c r="GLW6" s="396"/>
      <c r="GLX6" s="396"/>
      <c r="GLY6" s="396"/>
      <c r="GLZ6" s="396"/>
      <c r="GMA6" s="396"/>
      <c r="GMB6" s="396"/>
      <c r="GMC6" s="396"/>
      <c r="GMD6" s="396"/>
      <c r="GME6" s="396"/>
      <c r="GMF6" s="396"/>
      <c r="GMG6" s="396"/>
      <c r="GMH6" s="396"/>
      <c r="GMI6" s="396"/>
      <c r="GMJ6" s="396"/>
      <c r="GMK6" s="396"/>
      <c r="GML6" s="396"/>
      <c r="GMM6" s="396"/>
      <c r="GMN6" s="396"/>
      <c r="GMO6" s="396"/>
      <c r="GMP6" s="396"/>
      <c r="GMQ6" s="396"/>
      <c r="GMR6" s="396"/>
      <c r="GMS6" s="396"/>
      <c r="GMT6" s="396"/>
      <c r="GMU6" s="396"/>
      <c r="GMV6" s="396"/>
      <c r="GMW6" s="396"/>
      <c r="GMX6" s="396"/>
      <c r="GMY6" s="396"/>
      <c r="GMZ6" s="396"/>
      <c r="GNA6" s="396"/>
      <c r="GNB6" s="396"/>
      <c r="GNC6" s="396"/>
      <c r="GND6" s="396"/>
      <c r="GNE6" s="396"/>
      <c r="GNF6" s="396"/>
      <c r="GNG6" s="396"/>
      <c r="GNH6" s="396"/>
      <c r="GNI6" s="396"/>
      <c r="GNJ6" s="396"/>
      <c r="GNK6" s="396"/>
      <c r="GNL6" s="396"/>
      <c r="GNM6" s="396"/>
      <c r="GNN6" s="396"/>
      <c r="GNO6" s="396"/>
      <c r="GNP6" s="396"/>
      <c r="GNQ6" s="396"/>
      <c r="GNR6" s="396"/>
      <c r="GNS6" s="396"/>
      <c r="GNT6" s="396"/>
      <c r="GNU6" s="396"/>
      <c r="GNV6" s="396"/>
      <c r="GNW6" s="396"/>
      <c r="GNX6" s="396"/>
      <c r="GNY6" s="396"/>
      <c r="GNZ6" s="396"/>
      <c r="GOA6" s="396"/>
      <c r="GOB6" s="396"/>
      <c r="GOC6" s="396"/>
      <c r="GOD6" s="396"/>
      <c r="GOE6" s="396"/>
      <c r="GOF6" s="396"/>
      <c r="GOG6" s="396"/>
      <c r="GOH6" s="396"/>
      <c r="GOI6" s="396"/>
      <c r="GOJ6" s="396"/>
      <c r="GOK6" s="396"/>
      <c r="GOL6" s="396"/>
      <c r="GOM6" s="396"/>
      <c r="GON6" s="396"/>
      <c r="GOO6" s="396"/>
      <c r="GOP6" s="396"/>
      <c r="GOQ6" s="396"/>
      <c r="GOR6" s="396"/>
      <c r="GOS6" s="396"/>
      <c r="GOT6" s="396"/>
      <c r="GOU6" s="396"/>
      <c r="GOV6" s="396"/>
      <c r="GOW6" s="396"/>
      <c r="GOX6" s="396"/>
      <c r="GOY6" s="396"/>
      <c r="GOZ6" s="396"/>
      <c r="GPA6" s="396"/>
      <c r="GPB6" s="396"/>
      <c r="GPC6" s="396"/>
      <c r="GPD6" s="396"/>
      <c r="GPE6" s="396"/>
      <c r="GPF6" s="396"/>
      <c r="GPG6" s="396"/>
      <c r="GPH6" s="396"/>
      <c r="GPI6" s="396"/>
      <c r="GPJ6" s="396"/>
      <c r="GPK6" s="396"/>
      <c r="GPL6" s="396"/>
      <c r="GPM6" s="396"/>
      <c r="GPN6" s="396"/>
      <c r="GPO6" s="396"/>
      <c r="GPP6" s="396"/>
      <c r="GPQ6" s="396"/>
      <c r="GPR6" s="396"/>
      <c r="GPS6" s="396"/>
      <c r="GPT6" s="396"/>
      <c r="GPU6" s="396"/>
      <c r="GPV6" s="396"/>
      <c r="GPW6" s="396"/>
      <c r="GPX6" s="396"/>
      <c r="GPY6" s="396"/>
      <c r="GPZ6" s="396"/>
      <c r="GQA6" s="396"/>
      <c r="GQB6" s="396"/>
      <c r="GQC6" s="396"/>
      <c r="GQD6" s="396"/>
      <c r="GQE6" s="396"/>
      <c r="GQF6" s="396"/>
      <c r="GQG6" s="396"/>
      <c r="GQH6" s="396"/>
      <c r="GQI6" s="396"/>
      <c r="GQJ6" s="396"/>
      <c r="GQK6" s="396"/>
      <c r="GQL6" s="396"/>
      <c r="GQM6" s="396"/>
      <c r="GQN6" s="396"/>
      <c r="GQO6" s="396"/>
      <c r="GQP6" s="396"/>
      <c r="GQQ6" s="396"/>
      <c r="GQR6" s="396"/>
      <c r="GQS6" s="396"/>
      <c r="GQT6" s="396"/>
      <c r="GQU6" s="396"/>
      <c r="GQV6" s="396"/>
      <c r="GQW6" s="396"/>
      <c r="GQX6" s="396"/>
      <c r="GQY6" s="396"/>
      <c r="GQZ6" s="396"/>
      <c r="GRA6" s="396"/>
      <c r="GRB6" s="396"/>
      <c r="GRC6" s="396"/>
      <c r="GRD6" s="396"/>
      <c r="GRE6" s="396"/>
      <c r="GRF6" s="396"/>
      <c r="GRG6" s="396"/>
      <c r="GRH6" s="396"/>
      <c r="GRI6" s="396"/>
      <c r="GRJ6" s="396"/>
      <c r="GRK6" s="396"/>
      <c r="GRL6" s="396"/>
      <c r="GRM6" s="396"/>
      <c r="GRN6" s="396"/>
      <c r="GRO6" s="396"/>
      <c r="GRP6" s="396"/>
      <c r="GRQ6" s="396"/>
      <c r="GRR6" s="396"/>
      <c r="GRS6" s="396"/>
      <c r="GRT6" s="396"/>
      <c r="GRU6" s="396"/>
      <c r="GRV6" s="396"/>
      <c r="GRW6" s="396"/>
      <c r="GRX6" s="396"/>
      <c r="GRY6" s="396"/>
      <c r="GRZ6" s="396"/>
      <c r="GSA6" s="396"/>
      <c r="GSB6" s="396"/>
      <c r="GSC6" s="396"/>
      <c r="GSD6" s="396"/>
      <c r="GSE6" s="396"/>
      <c r="GSF6" s="396"/>
      <c r="GSG6" s="396"/>
      <c r="GSH6" s="396"/>
      <c r="GSI6" s="396"/>
      <c r="GSJ6" s="396"/>
      <c r="GSK6" s="396"/>
      <c r="GSL6" s="396"/>
      <c r="GSM6" s="396"/>
      <c r="GSN6" s="396"/>
      <c r="GSO6" s="396"/>
      <c r="GSP6" s="396"/>
      <c r="GSQ6" s="396"/>
      <c r="GSR6" s="396"/>
      <c r="GSS6" s="396"/>
      <c r="GST6" s="396"/>
      <c r="GSU6" s="396"/>
      <c r="GSV6" s="396"/>
      <c r="GSW6" s="396"/>
      <c r="GSX6" s="396"/>
      <c r="GSY6" s="396"/>
      <c r="GSZ6" s="396"/>
      <c r="GTA6" s="396"/>
      <c r="GTB6" s="396"/>
      <c r="GTC6" s="396"/>
      <c r="GTD6" s="396"/>
      <c r="GTE6" s="396"/>
      <c r="GTF6" s="396"/>
      <c r="GTG6" s="396"/>
      <c r="GTH6" s="396"/>
      <c r="GTI6" s="396"/>
      <c r="GTJ6" s="396"/>
      <c r="GTK6" s="396"/>
      <c r="GTL6" s="396"/>
      <c r="GTM6" s="396"/>
      <c r="GTN6" s="396"/>
      <c r="GTO6" s="396"/>
      <c r="GTP6" s="396"/>
      <c r="GTQ6" s="396"/>
      <c r="GTR6" s="396"/>
      <c r="GTS6" s="396"/>
      <c r="GTT6" s="396"/>
      <c r="GTU6" s="396"/>
      <c r="GTV6" s="396"/>
      <c r="GTW6" s="396"/>
      <c r="GTX6" s="396"/>
      <c r="GTY6" s="396"/>
      <c r="GTZ6" s="396"/>
      <c r="GUA6" s="396"/>
      <c r="GUB6" s="396"/>
      <c r="GUC6" s="396"/>
      <c r="GUD6" s="396"/>
      <c r="GUE6" s="396"/>
      <c r="GUF6" s="396"/>
      <c r="GUG6" s="396"/>
      <c r="GUH6" s="396"/>
      <c r="GUI6" s="396"/>
      <c r="GUJ6" s="396"/>
      <c r="GUK6" s="396"/>
      <c r="GUL6" s="396"/>
      <c r="GUM6" s="396"/>
      <c r="GUN6" s="396"/>
      <c r="GUO6" s="396"/>
      <c r="GUP6" s="396"/>
      <c r="GUQ6" s="396"/>
      <c r="GUR6" s="396"/>
      <c r="GUS6" s="396"/>
      <c r="GUT6" s="396"/>
      <c r="GUU6" s="396"/>
      <c r="GUV6" s="396"/>
      <c r="GUW6" s="396"/>
      <c r="GUX6" s="396"/>
      <c r="GUY6" s="396"/>
      <c r="GUZ6" s="396"/>
      <c r="GVA6" s="396"/>
      <c r="GVB6" s="396"/>
      <c r="GVC6" s="396"/>
      <c r="GVD6" s="396"/>
      <c r="GVE6" s="396"/>
      <c r="GVF6" s="396"/>
      <c r="GVG6" s="396"/>
      <c r="GVH6" s="396"/>
      <c r="GVI6" s="396"/>
      <c r="GVJ6" s="396"/>
      <c r="GVK6" s="396"/>
      <c r="GVL6" s="396"/>
      <c r="GVM6" s="396"/>
      <c r="GVN6" s="396"/>
      <c r="GVO6" s="396"/>
      <c r="GVP6" s="396"/>
      <c r="GVQ6" s="396"/>
      <c r="GVR6" s="396"/>
      <c r="GVS6" s="396"/>
      <c r="GVT6" s="396"/>
      <c r="GVU6" s="396"/>
      <c r="GVV6" s="396"/>
      <c r="GVW6" s="396"/>
      <c r="GVX6" s="396"/>
      <c r="GVY6" s="396"/>
      <c r="GVZ6" s="396"/>
      <c r="GWA6" s="396"/>
      <c r="GWB6" s="396"/>
      <c r="GWC6" s="396"/>
      <c r="GWD6" s="396"/>
      <c r="GWE6" s="396"/>
      <c r="GWF6" s="396"/>
      <c r="GWG6" s="396"/>
      <c r="GWH6" s="396"/>
      <c r="GWI6" s="396"/>
      <c r="GWJ6" s="396"/>
      <c r="GWK6" s="396"/>
      <c r="GWL6" s="396"/>
      <c r="GWM6" s="396"/>
      <c r="GWN6" s="396"/>
      <c r="GWO6" s="396"/>
      <c r="GWP6" s="396"/>
      <c r="GWQ6" s="396"/>
      <c r="GWR6" s="396"/>
      <c r="GWS6" s="396"/>
      <c r="GWT6" s="396"/>
      <c r="GWU6" s="396"/>
      <c r="GWV6" s="396"/>
      <c r="GWW6" s="396"/>
      <c r="GWX6" s="396"/>
      <c r="GWY6" s="396"/>
      <c r="GWZ6" s="396"/>
      <c r="GXA6" s="396"/>
      <c r="GXB6" s="396"/>
      <c r="GXC6" s="396"/>
      <c r="GXD6" s="396"/>
      <c r="GXE6" s="396"/>
      <c r="GXF6" s="396"/>
      <c r="GXG6" s="396"/>
      <c r="GXH6" s="396"/>
      <c r="GXI6" s="396"/>
      <c r="GXJ6" s="396"/>
      <c r="GXK6" s="396"/>
      <c r="GXL6" s="396"/>
      <c r="GXM6" s="396"/>
      <c r="GXN6" s="396"/>
      <c r="GXO6" s="396"/>
      <c r="GXP6" s="396"/>
      <c r="GXQ6" s="396"/>
      <c r="GXR6" s="396"/>
      <c r="GXS6" s="396"/>
      <c r="GXT6" s="396"/>
      <c r="GXU6" s="396"/>
      <c r="GXV6" s="396"/>
      <c r="GXW6" s="396"/>
      <c r="GXX6" s="396"/>
      <c r="GXY6" s="396"/>
      <c r="GXZ6" s="396"/>
      <c r="GYA6" s="396"/>
      <c r="GYB6" s="396"/>
      <c r="GYC6" s="396"/>
      <c r="GYD6" s="396"/>
      <c r="GYE6" s="396"/>
      <c r="GYF6" s="396"/>
      <c r="GYG6" s="396"/>
      <c r="GYH6" s="396"/>
      <c r="GYI6" s="396"/>
      <c r="GYJ6" s="396"/>
      <c r="GYK6" s="396"/>
      <c r="GYL6" s="396"/>
      <c r="GYM6" s="396"/>
      <c r="GYN6" s="396"/>
      <c r="GYO6" s="396"/>
      <c r="GYP6" s="396"/>
      <c r="GYQ6" s="396"/>
      <c r="GYR6" s="396"/>
      <c r="GYS6" s="396"/>
      <c r="GYT6" s="396"/>
      <c r="GYU6" s="396"/>
      <c r="GYV6" s="396"/>
      <c r="GYW6" s="396"/>
      <c r="GYX6" s="396"/>
      <c r="GYY6" s="396"/>
      <c r="GYZ6" s="396"/>
      <c r="GZA6" s="396"/>
      <c r="GZB6" s="396"/>
      <c r="GZC6" s="396"/>
      <c r="GZD6" s="396"/>
      <c r="GZE6" s="396"/>
      <c r="GZF6" s="396"/>
      <c r="GZG6" s="396"/>
      <c r="GZH6" s="396"/>
      <c r="GZI6" s="396"/>
      <c r="GZJ6" s="396"/>
      <c r="GZK6" s="396"/>
      <c r="GZL6" s="396"/>
      <c r="GZM6" s="396"/>
      <c r="GZN6" s="396"/>
      <c r="GZO6" s="396"/>
      <c r="GZP6" s="396"/>
      <c r="GZQ6" s="396"/>
      <c r="GZR6" s="396"/>
      <c r="GZS6" s="396"/>
      <c r="GZT6" s="396"/>
      <c r="GZU6" s="396"/>
      <c r="GZV6" s="396"/>
      <c r="GZW6" s="396"/>
      <c r="GZX6" s="396"/>
      <c r="GZY6" s="396"/>
      <c r="GZZ6" s="396"/>
      <c r="HAA6" s="396"/>
      <c r="HAB6" s="396"/>
      <c r="HAC6" s="396"/>
      <c r="HAD6" s="396"/>
      <c r="HAE6" s="396"/>
      <c r="HAF6" s="396"/>
      <c r="HAG6" s="396"/>
      <c r="HAH6" s="396"/>
      <c r="HAI6" s="396"/>
      <c r="HAJ6" s="396"/>
      <c r="HAK6" s="396"/>
      <c r="HAL6" s="396"/>
      <c r="HAM6" s="396"/>
      <c r="HAN6" s="396"/>
      <c r="HAO6" s="396"/>
      <c r="HAP6" s="396"/>
      <c r="HAQ6" s="396"/>
      <c r="HAR6" s="396"/>
      <c r="HAS6" s="396"/>
      <c r="HAT6" s="396"/>
      <c r="HAU6" s="396"/>
      <c r="HAV6" s="396"/>
      <c r="HAW6" s="396"/>
      <c r="HAX6" s="396"/>
      <c r="HAY6" s="396"/>
      <c r="HAZ6" s="396"/>
      <c r="HBA6" s="396"/>
      <c r="HBB6" s="396"/>
      <c r="HBC6" s="396"/>
      <c r="HBD6" s="396"/>
      <c r="HBE6" s="396"/>
      <c r="HBF6" s="396"/>
      <c r="HBG6" s="396"/>
      <c r="HBH6" s="396"/>
      <c r="HBI6" s="396"/>
      <c r="HBJ6" s="396"/>
      <c r="HBK6" s="396"/>
      <c r="HBL6" s="396"/>
      <c r="HBM6" s="396"/>
      <c r="HBN6" s="396"/>
      <c r="HBO6" s="396"/>
      <c r="HBP6" s="396"/>
      <c r="HBQ6" s="396"/>
      <c r="HBR6" s="396"/>
      <c r="HBS6" s="396"/>
      <c r="HBT6" s="396"/>
      <c r="HBU6" s="396"/>
      <c r="HBV6" s="396"/>
      <c r="HBW6" s="396"/>
      <c r="HBX6" s="396"/>
      <c r="HBY6" s="396"/>
      <c r="HBZ6" s="396"/>
      <c r="HCA6" s="396"/>
      <c r="HCB6" s="396"/>
      <c r="HCC6" s="396"/>
      <c r="HCD6" s="396"/>
      <c r="HCE6" s="396"/>
      <c r="HCF6" s="396"/>
      <c r="HCG6" s="396"/>
      <c r="HCH6" s="396"/>
      <c r="HCI6" s="396"/>
      <c r="HCJ6" s="396"/>
      <c r="HCK6" s="396"/>
      <c r="HCL6" s="396"/>
      <c r="HCM6" s="396"/>
      <c r="HCN6" s="396"/>
      <c r="HCO6" s="396"/>
      <c r="HCP6" s="396"/>
      <c r="HCQ6" s="396"/>
      <c r="HCR6" s="396"/>
      <c r="HCS6" s="396"/>
      <c r="HCT6" s="396"/>
      <c r="HCU6" s="396"/>
      <c r="HCV6" s="396"/>
      <c r="HCW6" s="396"/>
      <c r="HCX6" s="396"/>
      <c r="HCY6" s="396"/>
      <c r="HCZ6" s="396"/>
      <c r="HDA6" s="396"/>
      <c r="HDB6" s="396"/>
      <c r="HDC6" s="396"/>
      <c r="HDD6" s="396"/>
      <c r="HDE6" s="396"/>
      <c r="HDF6" s="396"/>
      <c r="HDG6" s="396"/>
      <c r="HDH6" s="396"/>
      <c r="HDI6" s="396"/>
      <c r="HDJ6" s="396"/>
      <c r="HDK6" s="396"/>
      <c r="HDL6" s="396"/>
      <c r="HDM6" s="396"/>
      <c r="HDN6" s="396"/>
      <c r="HDO6" s="396"/>
      <c r="HDP6" s="396"/>
      <c r="HDQ6" s="396"/>
      <c r="HDR6" s="396"/>
      <c r="HDS6" s="396"/>
      <c r="HDT6" s="396"/>
      <c r="HDU6" s="396"/>
      <c r="HDV6" s="396"/>
      <c r="HDW6" s="396"/>
      <c r="HDX6" s="396"/>
      <c r="HDY6" s="396"/>
      <c r="HDZ6" s="396"/>
      <c r="HEA6" s="396"/>
      <c r="HEB6" s="396"/>
      <c r="HEC6" s="396"/>
      <c r="HED6" s="396"/>
      <c r="HEE6" s="396"/>
      <c r="HEF6" s="396"/>
      <c r="HEG6" s="396"/>
      <c r="HEH6" s="396"/>
      <c r="HEI6" s="396"/>
      <c r="HEJ6" s="396"/>
      <c r="HEK6" s="396"/>
      <c r="HEL6" s="396"/>
      <c r="HEM6" s="396"/>
      <c r="HEN6" s="396"/>
      <c r="HEO6" s="396"/>
      <c r="HEP6" s="396"/>
      <c r="HEQ6" s="396"/>
      <c r="HER6" s="396"/>
      <c r="HES6" s="396"/>
      <c r="HET6" s="396"/>
      <c r="HEU6" s="396"/>
      <c r="HEV6" s="396"/>
      <c r="HEW6" s="396"/>
      <c r="HEX6" s="396"/>
      <c r="HEY6" s="396"/>
      <c r="HEZ6" s="396"/>
      <c r="HFA6" s="396"/>
      <c r="HFB6" s="396"/>
      <c r="HFC6" s="396"/>
      <c r="HFD6" s="396"/>
      <c r="HFE6" s="396"/>
      <c r="HFF6" s="396"/>
      <c r="HFG6" s="396"/>
      <c r="HFH6" s="396"/>
      <c r="HFI6" s="396"/>
      <c r="HFJ6" s="396"/>
      <c r="HFK6" s="396"/>
      <c r="HFL6" s="396"/>
      <c r="HFM6" s="396"/>
      <c r="HFN6" s="396"/>
      <c r="HFO6" s="396"/>
      <c r="HFP6" s="396"/>
      <c r="HFQ6" s="396"/>
      <c r="HFR6" s="396"/>
      <c r="HFS6" s="396"/>
      <c r="HFT6" s="396"/>
      <c r="HFU6" s="396"/>
      <c r="HFV6" s="396"/>
      <c r="HFW6" s="396"/>
      <c r="HFX6" s="396"/>
      <c r="HFY6" s="396"/>
      <c r="HFZ6" s="396"/>
      <c r="HGA6" s="396"/>
      <c r="HGB6" s="396"/>
      <c r="HGC6" s="396"/>
      <c r="HGD6" s="396"/>
      <c r="HGE6" s="396"/>
      <c r="HGF6" s="396"/>
      <c r="HGG6" s="396"/>
      <c r="HGH6" s="396"/>
      <c r="HGI6" s="396"/>
      <c r="HGJ6" s="396"/>
      <c r="HGK6" s="396"/>
      <c r="HGL6" s="396"/>
      <c r="HGM6" s="396"/>
      <c r="HGN6" s="396"/>
      <c r="HGO6" s="396"/>
      <c r="HGP6" s="396"/>
      <c r="HGQ6" s="396"/>
      <c r="HGR6" s="396"/>
      <c r="HGS6" s="396"/>
      <c r="HGT6" s="396"/>
      <c r="HGU6" s="396"/>
      <c r="HGV6" s="396"/>
      <c r="HGW6" s="396"/>
      <c r="HGX6" s="396"/>
      <c r="HGY6" s="396"/>
      <c r="HGZ6" s="396"/>
      <c r="HHA6" s="396"/>
      <c r="HHB6" s="396"/>
      <c r="HHC6" s="396"/>
      <c r="HHD6" s="396"/>
      <c r="HHE6" s="396"/>
      <c r="HHF6" s="396"/>
      <c r="HHG6" s="396"/>
      <c r="HHH6" s="396"/>
      <c r="HHI6" s="396"/>
      <c r="HHJ6" s="396"/>
      <c r="HHK6" s="396"/>
      <c r="HHL6" s="396"/>
      <c r="HHM6" s="396"/>
      <c r="HHN6" s="396"/>
      <c r="HHO6" s="396"/>
      <c r="HHP6" s="396"/>
      <c r="HHQ6" s="396"/>
      <c r="HHR6" s="396"/>
      <c r="HHS6" s="396"/>
      <c r="HHT6" s="396"/>
      <c r="HHU6" s="396"/>
      <c r="HHV6" s="396"/>
      <c r="HHW6" s="396"/>
      <c r="HHX6" s="396"/>
      <c r="HHY6" s="396"/>
      <c r="HHZ6" s="396"/>
      <c r="HIA6" s="396"/>
      <c r="HIB6" s="396"/>
      <c r="HIC6" s="396"/>
      <c r="HID6" s="396"/>
      <c r="HIE6" s="396"/>
      <c r="HIF6" s="396"/>
      <c r="HIG6" s="396"/>
      <c r="HIH6" s="396"/>
      <c r="HII6" s="396"/>
      <c r="HIJ6" s="396"/>
      <c r="HIK6" s="396"/>
      <c r="HIL6" s="396"/>
      <c r="HIM6" s="396"/>
      <c r="HIN6" s="396"/>
      <c r="HIO6" s="396"/>
      <c r="HIP6" s="396"/>
      <c r="HIQ6" s="396"/>
      <c r="HIR6" s="396"/>
      <c r="HIS6" s="396"/>
      <c r="HIT6" s="396"/>
      <c r="HIU6" s="396"/>
      <c r="HIV6" s="396"/>
      <c r="HIW6" s="396"/>
      <c r="HIX6" s="396"/>
      <c r="HIY6" s="396"/>
      <c r="HIZ6" s="396"/>
      <c r="HJA6" s="396"/>
      <c r="HJB6" s="396"/>
      <c r="HJC6" s="396"/>
      <c r="HJD6" s="396"/>
      <c r="HJE6" s="396"/>
      <c r="HJF6" s="396"/>
      <c r="HJG6" s="396"/>
      <c r="HJH6" s="396"/>
      <c r="HJI6" s="396"/>
      <c r="HJJ6" s="396"/>
      <c r="HJK6" s="396"/>
      <c r="HJL6" s="396"/>
      <c r="HJM6" s="396"/>
      <c r="HJN6" s="396"/>
      <c r="HJO6" s="396"/>
      <c r="HJP6" s="396"/>
      <c r="HJQ6" s="396"/>
      <c r="HJR6" s="396"/>
      <c r="HJS6" s="396"/>
      <c r="HJT6" s="396"/>
      <c r="HJU6" s="396"/>
      <c r="HJV6" s="396"/>
      <c r="HJW6" s="396"/>
      <c r="HJX6" s="396"/>
      <c r="HJY6" s="396"/>
      <c r="HJZ6" s="396"/>
      <c r="HKA6" s="396"/>
      <c r="HKB6" s="396"/>
      <c r="HKC6" s="396"/>
      <c r="HKD6" s="396"/>
      <c r="HKE6" s="396"/>
      <c r="HKF6" s="396"/>
      <c r="HKG6" s="396"/>
      <c r="HKH6" s="396"/>
      <c r="HKI6" s="396"/>
      <c r="HKJ6" s="396"/>
      <c r="HKK6" s="396"/>
      <c r="HKL6" s="396"/>
      <c r="HKM6" s="396"/>
      <c r="HKN6" s="396"/>
      <c r="HKO6" s="396"/>
      <c r="HKP6" s="396"/>
      <c r="HKQ6" s="396"/>
      <c r="HKR6" s="396"/>
      <c r="HKS6" s="396"/>
      <c r="HKT6" s="396"/>
      <c r="HKU6" s="396"/>
      <c r="HKV6" s="396"/>
      <c r="HKW6" s="396"/>
      <c r="HKX6" s="396"/>
      <c r="HKY6" s="396"/>
      <c r="HKZ6" s="396"/>
      <c r="HLA6" s="396"/>
      <c r="HLB6" s="396"/>
      <c r="HLC6" s="396"/>
      <c r="HLD6" s="396"/>
      <c r="HLE6" s="396"/>
      <c r="HLF6" s="396"/>
      <c r="HLG6" s="396"/>
      <c r="HLH6" s="396"/>
      <c r="HLI6" s="396"/>
      <c r="HLJ6" s="396"/>
      <c r="HLK6" s="396"/>
      <c r="HLL6" s="396"/>
      <c r="HLM6" s="396"/>
      <c r="HLN6" s="396"/>
      <c r="HLO6" s="396"/>
      <c r="HLP6" s="396"/>
      <c r="HLQ6" s="396"/>
      <c r="HLR6" s="396"/>
      <c r="HLS6" s="396"/>
      <c r="HLT6" s="396"/>
      <c r="HLU6" s="396"/>
      <c r="HLV6" s="396"/>
      <c r="HLW6" s="396"/>
      <c r="HLX6" s="396"/>
      <c r="HLY6" s="396"/>
      <c r="HLZ6" s="396"/>
      <c r="HMA6" s="396"/>
      <c r="HMB6" s="396"/>
      <c r="HMC6" s="396"/>
      <c r="HMD6" s="396"/>
      <c r="HME6" s="396"/>
      <c r="HMF6" s="396"/>
      <c r="HMG6" s="396"/>
      <c r="HMH6" s="396"/>
      <c r="HMI6" s="396"/>
      <c r="HMJ6" s="396"/>
      <c r="HMK6" s="396"/>
      <c r="HML6" s="396"/>
      <c r="HMM6" s="396"/>
      <c r="HMN6" s="396"/>
      <c r="HMO6" s="396"/>
      <c r="HMP6" s="396"/>
      <c r="HMQ6" s="396"/>
      <c r="HMR6" s="396"/>
      <c r="HMS6" s="396"/>
      <c r="HMT6" s="396"/>
      <c r="HMU6" s="396"/>
      <c r="HMV6" s="396"/>
      <c r="HMW6" s="396"/>
      <c r="HMX6" s="396"/>
      <c r="HMY6" s="396"/>
      <c r="HMZ6" s="396"/>
      <c r="HNA6" s="396"/>
      <c r="HNB6" s="396"/>
      <c r="HNC6" s="396"/>
      <c r="HND6" s="396"/>
      <c r="HNE6" s="396"/>
      <c r="HNF6" s="396"/>
      <c r="HNG6" s="396"/>
      <c r="HNH6" s="396"/>
      <c r="HNI6" s="396"/>
      <c r="HNJ6" s="396"/>
      <c r="HNK6" s="396"/>
      <c r="HNL6" s="396"/>
      <c r="HNM6" s="396"/>
      <c r="HNN6" s="396"/>
      <c r="HNO6" s="396"/>
      <c r="HNP6" s="396"/>
      <c r="HNQ6" s="396"/>
      <c r="HNR6" s="396"/>
      <c r="HNS6" s="396"/>
      <c r="HNT6" s="396"/>
      <c r="HNU6" s="396"/>
      <c r="HNV6" s="396"/>
      <c r="HNW6" s="396"/>
      <c r="HNX6" s="396"/>
      <c r="HNY6" s="396"/>
      <c r="HNZ6" s="396"/>
      <c r="HOA6" s="396"/>
      <c r="HOB6" s="396"/>
      <c r="HOC6" s="396"/>
      <c r="HOD6" s="396"/>
      <c r="HOE6" s="396"/>
      <c r="HOF6" s="396"/>
      <c r="HOG6" s="396"/>
      <c r="HOH6" s="396"/>
      <c r="HOI6" s="396"/>
      <c r="HOJ6" s="396"/>
      <c r="HOK6" s="396"/>
      <c r="HOL6" s="396"/>
      <c r="HOM6" s="396"/>
      <c r="HON6" s="396"/>
      <c r="HOO6" s="396"/>
      <c r="HOP6" s="396"/>
      <c r="HOQ6" s="396"/>
      <c r="HOR6" s="396"/>
      <c r="HOS6" s="396"/>
      <c r="HOT6" s="396"/>
      <c r="HOU6" s="396"/>
      <c r="HOV6" s="396"/>
      <c r="HOW6" s="396"/>
      <c r="HOX6" s="396"/>
      <c r="HOY6" s="396"/>
      <c r="HOZ6" s="396"/>
      <c r="HPA6" s="396"/>
      <c r="HPB6" s="396"/>
      <c r="HPC6" s="396"/>
      <c r="HPD6" s="396"/>
      <c r="HPE6" s="396"/>
      <c r="HPF6" s="396"/>
      <c r="HPG6" s="396"/>
      <c r="HPH6" s="396"/>
      <c r="HPI6" s="396"/>
      <c r="HPJ6" s="396"/>
      <c r="HPK6" s="396"/>
      <c r="HPL6" s="396"/>
      <c r="HPM6" s="396"/>
      <c r="HPN6" s="396"/>
      <c r="HPO6" s="396"/>
      <c r="HPP6" s="396"/>
      <c r="HPQ6" s="396"/>
      <c r="HPR6" s="396"/>
      <c r="HPS6" s="396"/>
      <c r="HPT6" s="396"/>
      <c r="HPU6" s="396"/>
      <c r="HPV6" s="396"/>
      <c r="HPW6" s="396"/>
      <c r="HPX6" s="396"/>
      <c r="HPY6" s="396"/>
      <c r="HPZ6" s="396"/>
      <c r="HQA6" s="396"/>
      <c r="HQB6" s="396"/>
      <c r="HQC6" s="396"/>
      <c r="HQD6" s="396"/>
      <c r="HQE6" s="396"/>
      <c r="HQF6" s="396"/>
      <c r="HQG6" s="396"/>
      <c r="HQH6" s="396"/>
      <c r="HQI6" s="396"/>
      <c r="HQJ6" s="396"/>
      <c r="HQK6" s="396"/>
      <c r="HQL6" s="396"/>
      <c r="HQM6" s="396"/>
      <c r="HQN6" s="396"/>
      <c r="HQO6" s="396"/>
      <c r="HQP6" s="396"/>
      <c r="HQQ6" s="396"/>
      <c r="HQR6" s="396"/>
      <c r="HQS6" s="396"/>
      <c r="HQT6" s="396"/>
      <c r="HQU6" s="396"/>
      <c r="HQV6" s="396"/>
      <c r="HQW6" s="396"/>
      <c r="HQX6" s="396"/>
      <c r="HQY6" s="396"/>
      <c r="HQZ6" s="396"/>
      <c r="HRA6" s="396"/>
      <c r="HRB6" s="396"/>
      <c r="HRC6" s="396"/>
      <c r="HRD6" s="396"/>
      <c r="HRE6" s="396"/>
      <c r="HRF6" s="396"/>
      <c r="HRG6" s="396"/>
      <c r="HRH6" s="396"/>
      <c r="HRI6" s="396"/>
      <c r="HRJ6" s="396"/>
      <c r="HRK6" s="396"/>
      <c r="HRL6" s="396"/>
      <c r="HRM6" s="396"/>
      <c r="HRN6" s="396"/>
      <c r="HRO6" s="396"/>
      <c r="HRP6" s="396"/>
      <c r="HRQ6" s="396"/>
      <c r="HRR6" s="396"/>
      <c r="HRS6" s="396"/>
      <c r="HRT6" s="396"/>
      <c r="HRU6" s="396"/>
      <c r="HRV6" s="396"/>
      <c r="HRW6" s="396"/>
      <c r="HRX6" s="396"/>
      <c r="HRY6" s="396"/>
      <c r="HRZ6" s="396"/>
      <c r="HSA6" s="396"/>
      <c r="HSB6" s="396"/>
      <c r="HSC6" s="396"/>
      <c r="HSD6" s="396"/>
      <c r="HSE6" s="396"/>
      <c r="HSF6" s="396"/>
      <c r="HSG6" s="396"/>
      <c r="HSH6" s="396"/>
      <c r="HSI6" s="396"/>
      <c r="HSJ6" s="396"/>
      <c r="HSK6" s="396"/>
      <c r="HSL6" s="396"/>
      <c r="HSM6" s="396"/>
      <c r="HSN6" s="396"/>
      <c r="HSO6" s="396"/>
      <c r="HSP6" s="396"/>
      <c r="HSQ6" s="396"/>
      <c r="HSR6" s="396"/>
      <c r="HSS6" s="396"/>
      <c r="HST6" s="396"/>
      <c r="HSU6" s="396"/>
      <c r="HSV6" s="396"/>
      <c r="HSW6" s="396"/>
      <c r="HSX6" s="396"/>
      <c r="HSY6" s="396"/>
      <c r="HSZ6" s="396"/>
      <c r="HTA6" s="396"/>
      <c r="HTB6" s="396"/>
      <c r="HTC6" s="396"/>
      <c r="HTD6" s="396"/>
      <c r="HTE6" s="396"/>
      <c r="HTF6" s="396"/>
      <c r="HTG6" s="396"/>
      <c r="HTH6" s="396"/>
      <c r="HTI6" s="396"/>
      <c r="HTJ6" s="396"/>
      <c r="HTK6" s="396"/>
      <c r="HTL6" s="396"/>
      <c r="HTM6" s="396"/>
      <c r="HTN6" s="396"/>
      <c r="HTO6" s="396"/>
      <c r="HTP6" s="396"/>
      <c r="HTQ6" s="396"/>
      <c r="HTR6" s="396"/>
      <c r="HTS6" s="396"/>
      <c r="HTT6" s="396"/>
      <c r="HTU6" s="396"/>
      <c r="HTV6" s="396"/>
      <c r="HTW6" s="396"/>
      <c r="HTX6" s="396"/>
      <c r="HTY6" s="396"/>
      <c r="HTZ6" s="396"/>
      <c r="HUA6" s="396"/>
      <c r="HUB6" s="396"/>
      <c r="HUC6" s="396"/>
      <c r="HUD6" s="396"/>
      <c r="HUE6" s="396"/>
      <c r="HUF6" s="396"/>
      <c r="HUG6" s="396"/>
      <c r="HUH6" s="396"/>
      <c r="HUI6" s="396"/>
      <c r="HUJ6" s="396"/>
      <c r="HUK6" s="396"/>
      <c r="HUL6" s="396"/>
      <c r="HUM6" s="396"/>
      <c r="HUN6" s="396"/>
      <c r="HUO6" s="396"/>
      <c r="HUP6" s="396"/>
      <c r="HUQ6" s="396"/>
      <c r="HUR6" s="396"/>
      <c r="HUS6" s="396"/>
      <c r="HUT6" s="396"/>
      <c r="HUU6" s="396"/>
      <c r="HUV6" s="396"/>
      <c r="HUW6" s="396"/>
      <c r="HUX6" s="396"/>
      <c r="HUY6" s="396"/>
      <c r="HUZ6" s="396"/>
      <c r="HVA6" s="396"/>
      <c r="HVB6" s="396"/>
      <c r="HVC6" s="396"/>
      <c r="HVD6" s="396"/>
      <c r="HVE6" s="396"/>
      <c r="HVF6" s="396"/>
      <c r="HVG6" s="396"/>
      <c r="HVH6" s="396"/>
      <c r="HVI6" s="396"/>
      <c r="HVJ6" s="396"/>
      <c r="HVK6" s="396"/>
      <c r="HVL6" s="396"/>
      <c r="HVM6" s="396"/>
      <c r="HVN6" s="396"/>
      <c r="HVO6" s="396"/>
      <c r="HVP6" s="396"/>
      <c r="HVQ6" s="396"/>
      <c r="HVR6" s="396"/>
      <c r="HVS6" s="396"/>
      <c r="HVT6" s="396"/>
      <c r="HVU6" s="396"/>
      <c r="HVV6" s="396"/>
      <c r="HVW6" s="396"/>
      <c r="HVX6" s="396"/>
      <c r="HVY6" s="396"/>
      <c r="HVZ6" s="396"/>
      <c r="HWA6" s="396"/>
      <c r="HWB6" s="396"/>
      <c r="HWC6" s="396"/>
      <c r="HWD6" s="396"/>
      <c r="HWE6" s="396"/>
      <c r="HWF6" s="396"/>
      <c r="HWG6" s="396"/>
      <c r="HWH6" s="396"/>
      <c r="HWI6" s="396"/>
      <c r="HWJ6" s="396"/>
      <c r="HWK6" s="396"/>
      <c r="HWL6" s="396"/>
      <c r="HWM6" s="396"/>
      <c r="HWN6" s="396"/>
      <c r="HWO6" s="396"/>
      <c r="HWP6" s="396"/>
      <c r="HWQ6" s="396"/>
      <c r="HWR6" s="396"/>
      <c r="HWS6" s="396"/>
      <c r="HWT6" s="396"/>
      <c r="HWU6" s="396"/>
      <c r="HWV6" s="396"/>
      <c r="HWW6" s="396"/>
      <c r="HWX6" s="396"/>
      <c r="HWY6" s="396"/>
      <c r="HWZ6" s="396"/>
      <c r="HXA6" s="396"/>
      <c r="HXB6" s="396"/>
      <c r="HXC6" s="396"/>
      <c r="HXD6" s="396"/>
      <c r="HXE6" s="396"/>
      <c r="HXF6" s="396"/>
      <c r="HXG6" s="396"/>
      <c r="HXH6" s="396"/>
      <c r="HXI6" s="396"/>
      <c r="HXJ6" s="396"/>
      <c r="HXK6" s="396"/>
      <c r="HXL6" s="396"/>
      <c r="HXM6" s="396"/>
      <c r="HXN6" s="396"/>
      <c r="HXO6" s="396"/>
      <c r="HXP6" s="396"/>
      <c r="HXQ6" s="396"/>
      <c r="HXR6" s="396"/>
      <c r="HXS6" s="396"/>
      <c r="HXT6" s="396"/>
      <c r="HXU6" s="396"/>
      <c r="HXV6" s="396"/>
      <c r="HXW6" s="396"/>
      <c r="HXX6" s="396"/>
      <c r="HXY6" s="396"/>
      <c r="HXZ6" s="396"/>
      <c r="HYA6" s="396"/>
      <c r="HYB6" s="396"/>
      <c r="HYC6" s="396"/>
      <c r="HYD6" s="396"/>
      <c r="HYE6" s="396"/>
      <c r="HYF6" s="396"/>
      <c r="HYG6" s="396"/>
      <c r="HYH6" s="396"/>
      <c r="HYI6" s="396"/>
      <c r="HYJ6" s="396"/>
      <c r="HYK6" s="396"/>
      <c r="HYL6" s="396"/>
      <c r="HYM6" s="396"/>
      <c r="HYN6" s="396"/>
      <c r="HYO6" s="396"/>
      <c r="HYP6" s="396"/>
      <c r="HYQ6" s="396"/>
      <c r="HYR6" s="396"/>
      <c r="HYS6" s="396"/>
      <c r="HYT6" s="396"/>
      <c r="HYU6" s="396"/>
      <c r="HYV6" s="396"/>
      <c r="HYW6" s="396"/>
      <c r="HYX6" s="396"/>
      <c r="HYY6" s="396"/>
      <c r="HYZ6" s="396"/>
      <c r="HZA6" s="396"/>
      <c r="HZB6" s="396"/>
      <c r="HZC6" s="396"/>
      <c r="HZD6" s="396"/>
      <c r="HZE6" s="396"/>
      <c r="HZF6" s="396"/>
      <c r="HZG6" s="396"/>
      <c r="HZH6" s="396"/>
      <c r="HZI6" s="396"/>
      <c r="HZJ6" s="396"/>
      <c r="HZK6" s="396"/>
      <c r="HZL6" s="396"/>
      <c r="HZM6" s="396"/>
      <c r="HZN6" s="396"/>
      <c r="HZO6" s="396"/>
      <c r="HZP6" s="396"/>
      <c r="HZQ6" s="396"/>
      <c r="HZR6" s="396"/>
      <c r="HZS6" s="396"/>
      <c r="HZT6" s="396"/>
      <c r="HZU6" s="396"/>
      <c r="HZV6" s="396"/>
      <c r="HZW6" s="396"/>
      <c r="HZX6" s="396"/>
      <c r="HZY6" s="396"/>
      <c r="HZZ6" s="396"/>
      <c r="IAA6" s="396"/>
      <c r="IAB6" s="396"/>
      <c r="IAC6" s="396"/>
      <c r="IAD6" s="396"/>
      <c r="IAE6" s="396"/>
      <c r="IAF6" s="396"/>
      <c r="IAG6" s="396"/>
      <c r="IAH6" s="396"/>
      <c r="IAI6" s="396"/>
      <c r="IAJ6" s="396"/>
      <c r="IAK6" s="396"/>
      <c r="IAL6" s="396"/>
      <c r="IAM6" s="396"/>
      <c r="IAN6" s="396"/>
      <c r="IAO6" s="396"/>
      <c r="IAP6" s="396"/>
      <c r="IAQ6" s="396"/>
      <c r="IAR6" s="396"/>
      <c r="IAS6" s="396"/>
      <c r="IAT6" s="396"/>
      <c r="IAU6" s="396"/>
      <c r="IAV6" s="396"/>
      <c r="IAW6" s="396"/>
      <c r="IAX6" s="396"/>
      <c r="IAY6" s="396"/>
      <c r="IAZ6" s="396"/>
      <c r="IBA6" s="396"/>
      <c r="IBB6" s="396"/>
      <c r="IBC6" s="396"/>
      <c r="IBD6" s="396"/>
      <c r="IBE6" s="396"/>
      <c r="IBF6" s="396"/>
      <c r="IBG6" s="396"/>
      <c r="IBH6" s="396"/>
      <c r="IBI6" s="396"/>
      <c r="IBJ6" s="396"/>
      <c r="IBK6" s="396"/>
      <c r="IBL6" s="396"/>
      <c r="IBM6" s="396"/>
      <c r="IBN6" s="396"/>
      <c r="IBO6" s="396"/>
      <c r="IBP6" s="396"/>
      <c r="IBQ6" s="396"/>
      <c r="IBR6" s="396"/>
      <c r="IBS6" s="396"/>
      <c r="IBT6" s="396"/>
      <c r="IBU6" s="396"/>
      <c r="IBV6" s="396"/>
      <c r="IBW6" s="396"/>
      <c r="IBX6" s="396"/>
      <c r="IBY6" s="396"/>
      <c r="IBZ6" s="396"/>
      <c r="ICA6" s="396"/>
      <c r="ICB6" s="396"/>
      <c r="ICC6" s="396"/>
      <c r="ICD6" s="396"/>
      <c r="ICE6" s="396"/>
      <c r="ICF6" s="396"/>
      <c r="ICG6" s="396"/>
      <c r="ICH6" s="396"/>
      <c r="ICI6" s="396"/>
      <c r="ICJ6" s="396"/>
      <c r="ICK6" s="396"/>
      <c r="ICL6" s="396"/>
      <c r="ICM6" s="396"/>
      <c r="ICN6" s="396"/>
      <c r="ICO6" s="396"/>
      <c r="ICP6" s="396"/>
      <c r="ICQ6" s="396"/>
      <c r="ICR6" s="396"/>
      <c r="ICS6" s="396"/>
      <c r="ICT6" s="396"/>
      <c r="ICU6" s="396"/>
      <c r="ICV6" s="396"/>
      <c r="ICW6" s="396"/>
      <c r="ICX6" s="396"/>
      <c r="ICY6" s="396"/>
      <c r="ICZ6" s="396"/>
      <c r="IDA6" s="396"/>
      <c r="IDB6" s="396"/>
      <c r="IDC6" s="396"/>
      <c r="IDD6" s="396"/>
      <c r="IDE6" s="396"/>
      <c r="IDF6" s="396"/>
      <c r="IDG6" s="396"/>
      <c r="IDH6" s="396"/>
      <c r="IDI6" s="396"/>
      <c r="IDJ6" s="396"/>
      <c r="IDK6" s="396"/>
      <c r="IDL6" s="396"/>
      <c r="IDM6" s="396"/>
      <c r="IDN6" s="396"/>
      <c r="IDO6" s="396"/>
      <c r="IDP6" s="396"/>
      <c r="IDQ6" s="396"/>
      <c r="IDR6" s="396"/>
      <c r="IDS6" s="396"/>
      <c r="IDT6" s="396"/>
      <c r="IDU6" s="396"/>
      <c r="IDV6" s="396"/>
      <c r="IDW6" s="396"/>
      <c r="IDX6" s="396"/>
      <c r="IDY6" s="396"/>
      <c r="IDZ6" s="396"/>
      <c r="IEA6" s="396"/>
      <c r="IEB6" s="396"/>
      <c r="IEC6" s="396"/>
      <c r="IED6" s="396"/>
      <c r="IEE6" s="396"/>
      <c r="IEF6" s="396"/>
      <c r="IEG6" s="396"/>
      <c r="IEH6" s="396"/>
      <c r="IEI6" s="396"/>
      <c r="IEJ6" s="396"/>
      <c r="IEK6" s="396"/>
      <c r="IEL6" s="396"/>
      <c r="IEM6" s="396"/>
      <c r="IEN6" s="396"/>
      <c r="IEO6" s="396"/>
      <c r="IEP6" s="396"/>
      <c r="IEQ6" s="396"/>
      <c r="IER6" s="396"/>
      <c r="IES6" s="396"/>
      <c r="IET6" s="396"/>
      <c r="IEU6" s="396"/>
      <c r="IEV6" s="396"/>
      <c r="IEW6" s="396"/>
      <c r="IEX6" s="396"/>
      <c r="IEY6" s="396"/>
      <c r="IEZ6" s="396"/>
      <c r="IFA6" s="396"/>
      <c r="IFB6" s="396"/>
      <c r="IFC6" s="396"/>
      <c r="IFD6" s="396"/>
      <c r="IFE6" s="396"/>
      <c r="IFF6" s="396"/>
      <c r="IFG6" s="396"/>
      <c r="IFH6" s="396"/>
      <c r="IFI6" s="396"/>
      <c r="IFJ6" s="396"/>
      <c r="IFK6" s="396"/>
      <c r="IFL6" s="396"/>
      <c r="IFM6" s="396"/>
      <c r="IFN6" s="396"/>
      <c r="IFO6" s="396"/>
      <c r="IFP6" s="396"/>
      <c r="IFQ6" s="396"/>
      <c r="IFR6" s="396"/>
      <c r="IFS6" s="396"/>
      <c r="IFT6" s="396"/>
      <c r="IFU6" s="396"/>
      <c r="IFV6" s="396"/>
      <c r="IFW6" s="396"/>
      <c r="IFX6" s="396"/>
      <c r="IFY6" s="396"/>
      <c r="IFZ6" s="396"/>
      <c r="IGA6" s="396"/>
      <c r="IGB6" s="396"/>
      <c r="IGC6" s="396"/>
      <c r="IGD6" s="396"/>
      <c r="IGE6" s="396"/>
      <c r="IGF6" s="396"/>
      <c r="IGG6" s="396"/>
      <c r="IGH6" s="396"/>
      <c r="IGI6" s="396"/>
      <c r="IGJ6" s="396"/>
      <c r="IGK6" s="396"/>
      <c r="IGL6" s="396"/>
      <c r="IGM6" s="396"/>
      <c r="IGN6" s="396"/>
      <c r="IGO6" s="396"/>
      <c r="IGP6" s="396"/>
      <c r="IGQ6" s="396"/>
      <c r="IGR6" s="396"/>
      <c r="IGS6" s="396"/>
      <c r="IGT6" s="396"/>
      <c r="IGU6" s="396"/>
      <c r="IGV6" s="396"/>
      <c r="IGW6" s="396"/>
      <c r="IGX6" s="396"/>
      <c r="IGY6" s="396"/>
      <c r="IGZ6" s="396"/>
      <c r="IHA6" s="396"/>
      <c r="IHB6" s="396"/>
      <c r="IHC6" s="396"/>
      <c r="IHD6" s="396"/>
      <c r="IHE6" s="396"/>
      <c r="IHF6" s="396"/>
      <c r="IHG6" s="396"/>
      <c r="IHH6" s="396"/>
      <c r="IHI6" s="396"/>
      <c r="IHJ6" s="396"/>
      <c r="IHK6" s="396"/>
      <c r="IHL6" s="396"/>
      <c r="IHM6" s="396"/>
      <c r="IHN6" s="396"/>
      <c r="IHO6" s="396"/>
      <c r="IHP6" s="396"/>
      <c r="IHQ6" s="396"/>
      <c r="IHR6" s="396"/>
      <c r="IHS6" s="396"/>
      <c r="IHT6" s="396"/>
      <c r="IHU6" s="396"/>
      <c r="IHV6" s="396"/>
      <c r="IHW6" s="396"/>
      <c r="IHX6" s="396"/>
      <c r="IHY6" s="396"/>
      <c r="IHZ6" s="396"/>
      <c r="IIA6" s="396"/>
      <c r="IIB6" s="396"/>
      <c r="IIC6" s="396"/>
      <c r="IID6" s="396"/>
      <c r="IIE6" s="396"/>
      <c r="IIF6" s="396"/>
      <c r="IIG6" s="396"/>
      <c r="IIH6" s="396"/>
      <c r="III6" s="396"/>
      <c r="IIJ6" s="396"/>
      <c r="IIK6" s="396"/>
      <c r="IIL6" s="396"/>
      <c r="IIM6" s="396"/>
      <c r="IIN6" s="396"/>
      <c r="IIO6" s="396"/>
      <c r="IIP6" s="396"/>
      <c r="IIQ6" s="396"/>
      <c r="IIR6" s="396"/>
      <c r="IIS6" s="396"/>
      <c r="IIT6" s="396"/>
      <c r="IIU6" s="396"/>
      <c r="IIV6" s="396"/>
      <c r="IIW6" s="396"/>
      <c r="IIX6" s="396"/>
      <c r="IIY6" s="396"/>
      <c r="IIZ6" s="396"/>
      <c r="IJA6" s="396"/>
      <c r="IJB6" s="396"/>
      <c r="IJC6" s="396"/>
      <c r="IJD6" s="396"/>
      <c r="IJE6" s="396"/>
      <c r="IJF6" s="396"/>
      <c r="IJG6" s="396"/>
      <c r="IJH6" s="396"/>
      <c r="IJI6" s="396"/>
      <c r="IJJ6" s="396"/>
      <c r="IJK6" s="396"/>
      <c r="IJL6" s="396"/>
      <c r="IJM6" s="396"/>
      <c r="IJN6" s="396"/>
      <c r="IJO6" s="396"/>
      <c r="IJP6" s="396"/>
      <c r="IJQ6" s="396"/>
      <c r="IJR6" s="396"/>
      <c r="IJS6" s="396"/>
      <c r="IJT6" s="396"/>
      <c r="IJU6" s="396"/>
      <c r="IJV6" s="396"/>
      <c r="IJW6" s="396"/>
      <c r="IJX6" s="396"/>
      <c r="IJY6" s="396"/>
      <c r="IJZ6" s="396"/>
      <c r="IKA6" s="396"/>
      <c r="IKB6" s="396"/>
      <c r="IKC6" s="396"/>
      <c r="IKD6" s="396"/>
      <c r="IKE6" s="396"/>
      <c r="IKF6" s="396"/>
      <c r="IKG6" s="396"/>
      <c r="IKH6" s="396"/>
      <c r="IKI6" s="396"/>
      <c r="IKJ6" s="396"/>
      <c r="IKK6" s="396"/>
      <c r="IKL6" s="396"/>
      <c r="IKM6" s="396"/>
      <c r="IKN6" s="396"/>
      <c r="IKO6" s="396"/>
      <c r="IKP6" s="396"/>
      <c r="IKQ6" s="396"/>
      <c r="IKR6" s="396"/>
      <c r="IKS6" s="396"/>
      <c r="IKT6" s="396"/>
      <c r="IKU6" s="396"/>
      <c r="IKV6" s="396"/>
      <c r="IKW6" s="396"/>
      <c r="IKX6" s="396"/>
      <c r="IKY6" s="396"/>
      <c r="IKZ6" s="396"/>
      <c r="ILA6" s="396"/>
      <c r="ILB6" s="396"/>
      <c r="ILC6" s="396"/>
      <c r="ILD6" s="396"/>
      <c r="ILE6" s="396"/>
      <c r="ILF6" s="396"/>
      <c r="ILG6" s="396"/>
      <c r="ILH6" s="396"/>
      <c r="ILI6" s="396"/>
      <c r="ILJ6" s="396"/>
      <c r="ILK6" s="396"/>
      <c r="ILL6" s="396"/>
      <c r="ILM6" s="396"/>
      <c r="ILN6" s="396"/>
      <c r="ILO6" s="396"/>
      <c r="ILP6" s="396"/>
      <c r="ILQ6" s="396"/>
      <c r="ILR6" s="396"/>
      <c r="ILS6" s="396"/>
      <c r="ILT6" s="396"/>
      <c r="ILU6" s="396"/>
      <c r="ILV6" s="396"/>
      <c r="ILW6" s="396"/>
      <c r="ILX6" s="396"/>
      <c r="ILY6" s="396"/>
      <c r="ILZ6" s="396"/>
      <c r="IMA6" s="396"/>
      <c r="IMB6" s="396"/>
      <c r="IMC6" s="396"/>
      <c r="IMD6" s="396"/>
      <c r="IME6" s="396"/>
      <c r="IMF6" s="396"/>
      <c r="IMG6" s="396"/>
      <c r="IMH6" s="396"/>
      <c r="IMI6" s="396"/>
      <c r="IMJ6" s="396"/>
      <c r="IMK6" s="396"/>
      <c r="IML6" s="396"/>
      <c r="IMM6" s="396"/>
      <c r="IMN6" s="396"/>
      <c r="IMO6" s="396"/>
      <c r="IMP6" s="396"/>
      <c r="IMQ6" s="396"/>
      <c r="IMR6" s="396"/>
      <c r="IMS6" s="396"/>
      <c r="IMT6" s="396"/>
      <c r="IMU6" s="396"/>
      <c r="IMV6" s="396"/>
      <c r="IMW6" s="396"/>
      <c r="IMX6" s="396"/>
      <c r="IMY6" s="396"/>
      <c r="IMZ6" s="396"/>
      <c r="INA6" s="396"/>
      <c r="INB6" s="396"/>
      <c r="INC6" s="396"/>
      <c r="IND6" s="396"/>
      <c r="INE6" s="396"/>
      <c r="INF6" s="396"/>
      <c r="ING6" s="396"/>
      <c r="INH6" s="396"/>
      <c r="INI6" s="396"/>
      <c r="INJ6" s="396"/>
      <c r="INK6" s="396"/>
      <c r="INL6" s="396"/>
      <c r="INM6" s="396"/>
      <c r="INN6" s="396"/>
      <c r="INO6" s="396"/>
      <c r="INP6" s="396"/>
      <c r="INQ6" s="396"/>
      <c r="INR6" s="396"/>
      <c r="INS6" s="396"/>
      <c r="INT6" s="396"/>
      <c r="INU6" s="396"/>
      <c r="INV6" s="396"/>
      <c r="INW6" s="396"/>
      <c r="INX6" s="396"/>
      <c r="INY6" s="396"/>
      <c r="INZ6" s="396"/>
      <c r="IOA6" s="396"/>
      <c r="IOB6" s="396"/>
      <c r="IOC6" s="396"/>
      <c r="IOD6" s="396"/>
      <c r="IOE6" s="396"/>
      <c r="IOF6" s="396"/>
      <c r="IOG6" s="396"/>
      <c r="IOH6" s="396"/>
      <c r="IOI6" s="396"/>
      <c r="IOJ6" s="396"/>
      <c r="IOK6" s="396"/>
      <c r="IOL6" s="396"/>
      <c r="IOM6" s="396"/>
      <c r="ION6" s="396"/>
      <c r="IOO6" s="396"/>
      <c r="IOP6" s="396"/>
      <c r="IOQ6" s="396"/>
      <c r="IOR6" s="396"/>
      <c r="IOS6" s="396"/>
      <c r="IOT6" s="396"/>
      <c r="IOU6" s="396"/>
      <c r="IOV6" s="396"/>
      <c r="IOW6" s="396"/>
      <c r="IOX6" s="396"/>
      <c r="IOY6" s="396"/>
      <c r="IOZ6" s="396"/>
      <c r="IPA6" s="396"/>
      <c r="IPB6" s="396"/>
      <c r="IPC6" s="396"/>
      <c r="IPD6" s="396"/>
      <c r="IPE6" s="396"/>
      <c r="IPF6" s="396"/>
      <c r="IPG6" s="396"/>
      <c r="IPH6" s="396"/>
      <c r="IPI6" s="396"/>
      <c r="IPJ6" s="396"/>
      <c r="IPK6" s="396"/>
      <c r="IPL6" s="396"/>
      <c r="IPM6" s="396"/>
      <c r="IPN6" s="396"/>
      <c r="IPO6" s="396"/>
      <c r="IPP6" s="396"/>
      <c r="IPQ6" s="396"/>
      <c r="IPR6" s="396"/>
      <c r="IPS6" s="396"/>
      <c r="IPT6" s="396"/>
      <c r="IPU6" s="396"/>
      <c r="IPV6" s="396"/>
      <c r="IPW6" s="396"/>
      <c r="IPX6" s="396"/>
      <c r="IPY6" s="396"/>
      <c r="IPZ6" s="396"/>
      <c r="IQA6" s="396"/>
      <c r="IQB6" s="396"/>
      <c r="IQC6" s="396"/>
      <c r="IQD6" s="396"/>
      <c r="IQE6" s="396"/>
      <c r="IQF6" s="396"/>
      <c r="IQG6" s="396"/>
      <c r="IQH6" s="396"/>
      <c r="IQI6" s="396"/>
      <c r="IQJ6" s="396"/>
      <c r="IQK6" s="396"/>
      <c r="IQL6" s="396"/>
      <c r="IQM6" s="396"/>
      <c r="IQN6" s="396"/>
      <c r="IQO6" s="396"/>
      <c r="IQP6" s="396"/>
      <c r="IQQ6" s="396"/>
      <c r="IQR6" s="396"/>
      <c r="IQS6" s="396"/>
      <c r="IQT6" s="396"/>
      <c r="IQU6" s="396"/>
      <c r="IQV6" s="396"/>
      <c r="IQW6" s="396"/>
      <c r="IQX6" s="396"/>
      <c r="IQY6" s="396"/>
      <c r="IQZ6" s="396"/>
      <c r="IRA6" s="396"/>
      <c r="IRB6" s="396"/>
      <c r="IRC6" s="396"/>
      <c r="IRD6" s="396"/>
      <c r="IRE6" s="396"/>
      <c r="IRF6" s="396"/>
      <c r="IRG6" s="396"/>
      <c r="IRH6" s="396"/>
      <c r="IRI6" s="396"/>
      <c r="IRJ6" s="396"/>
      <c r="IRK6" s="396"/>
      <c r="IRL6" s="396"/>
      <c r="IRM6" s="396"/>
      <c r="IRN6" s="396"/>
      <c r="IRO6" s="396"/>
      <c r="IRP6" s="396"/>
      <c r="IRQ6" s="396"/>
      <c r="IRR6" s="396"/>
      <c r="IRS6" s="396"/>
      <c r="IRT6" s="396"/>
      <c r="IRU6" s="396"/>
      <c r="IRV6" s="396"/>
      <c r="IRW6" s="396"/>
      <c r="IRX6" s="396"/>
      <c r="IRY6" s="396"/>
      <c r="IRZ6" s="396"/>
      <c r="ISA6" s="396"/>
      <c r="ISB6" s="396"/>
      <c r="ISC6" s="396"/>
      <c r="ISD6" s="396"/>
      <c r="ISE6" s="396"/>
      <c r="ISF6" s="396"/>
      <c r="ISG6" s="396"/>
      <c r="ISH6" s="396"/>
      <c r="ISI6" s="396"/>
      <c r="ISJ6" s="396"/>
      <c r="ISK6" s="396"/>
      <c r="ISL6" s="396"/>
      <c r="ISM6" s="396"/>
      <c r="ISN6" s="396"/>
      <c r="ISO6" s="396"/>
      <c r="ISP6" s="396"/>
      <c r="ISQ6" s="396"/>
      <c r="ISR6" s="396"/>
      <c r="ISS6" s="396"/>
      <c r="IST6" s="396"/>
      <c r="ISU6" s="396"/>
      <c r="ISV6" s="396"/>
      <c r="ISW6" s="396"/>
      <c r="ISX6" s="396"/>
      <c r="ISY6" s="396"/>
      <c r="ISZ6" s="396"/>
      <c r="ITA6" s="396"/>
      <c r="ITB6" s="396"/>
      <c r="ITC6" s="396"/>
      <c r="ITD6" s="396"/>
      <c r="ITE6" s="396"/>
      <c r="ITF6" s="396"/>
      <c r="ITG6" s="396"/>
      <c r="ITH6" s="396"/>
      <c r="ITI6" s="396"/>
      <c r="ITJ6" s="396"/>
      <c r="ITK6" s="396"/>
      <c r="ITL6" s="396"/>
      <c r="ITM6" s="396"/>
      <c r="ITN6" s="396"/>
      <c r="ITO6" s="396"/>
      <c r="ITP6" s="396"/>
      <c r="ITQ6" s="396"/>
      <c r="ITR6" s="396"/>
      <c r="ITS6" s="396"/>
      <c r="ITT6" s="396"/>
      <c r="ITU6" s="396"/>
      <c r="ITV6" s="396"/>
      <c r="ITW6" s="396"/>
      <c r="ITX6" s="396"/>
      <c r="ITY6" s="396"/>
      <c r="ITZ6" s="396"/>
      <c r="IUA6" s="396"/>
      <c r="IUB6" s="396"/>
      <c r="IUC6" s="396"/>
      <c r="IUD6" s="396"/>
      <c r="IUE6" s="396"/>
      <c r="IUF6" s="396"/>
      <c r="IUG6" s="396"/>
      <c r="IUH6" s="396"/>
      <c r="IUI6" s="396"/>
      <c r="IUJ6" s="396"/>
      <c r="IUK6" s="396"/>
      <c r="IUL6" s="396"/>
      <c r="IUM6" s="396"/>
      <c r="IUN6" s="396"/>
      <c r="IUO6" s="396"/>
      <c r="IUP6" s="396"/>
      <c r="IUQ6" s="396"/>
      <c r="IUR6" s="396"/>
      <c r="IUS6" s="396"/>
      <c r="IUT6" s="396"/>
      <c r="IUU6" s="396"/>
      <c r="IUV6" s="396"/>
      <c r="IUW6" s="396"/>
      <c r="IUX6" s="396"/>
      <c r="IUY6" s="396"/>
      <c r="IUZ6" s="396"/>
      <c r="IVA6" s="396"/>
      <c r="IVB6" s="396"/>
      <c r="IVC6" s="396"/>
      <c r="IVD6" s="396"/>
      <c r="IVE6" s="396"/>
      <c r="IVF6" s="396"/>
      <c r="IVG6" s="396"/>
      <c r="IVH6" s="396"/>
      <c r="IVI6" s="396"/>
      <c r="IVJ6" s="396"/>
      <c r="IVK6" s="396"/>
      <c r="IVL6" s="396"/>
      <c r="IVM6" s="396"/>
      <c r="IVN6" s="396"/>
      <c r="IVO6" s="396"/>
      <c r="IVP6" s="396"/>
      <c r="IVQ6" s="396"/>
      <c r="IVR6" s="396"/>
      <c r="IVS6" s="396"/>
      <c r="IVT6" s="396"/>
      <c r="IVU6" s="396"/>
      <c r="IVV6" s="396"/>
      <c r="IVW6" s="396"/>
      <c r="IVX6" s="396"/>
      <c r="IVY6" s="396"/>
      <c r="IVZ6" s="396"/>
      <c r="IWA6" s="396"/>
      <c r="IWB6" s="396"/>
      <c r="IWC6" s="396"/>
      <c r="IWD6" s="396"/>
      <c r="IWE6" s="396"/>
      <c r="IWF6" s="396"/>
      <c r="IWG6" s="396"/>
      <c r="IWH6" s="396"/>
      <c r="IWI6" s="396"/>
      <c r="IWJ6" s="396"/>
      <c r="IWK6" s="396"/>
      <c r="IWL6" s="396"/>
      <c r="IWM6" s="396"/>
      <c r="IWN6" s="396"/>
      <c r="IWO6" s="396"/>
      <c r="IWP6" s="396"/>
      <c r="IWQ6" s="396"/>
      <c r="IWR6" s="396"/>
      <c r="IWS6" s="396"/>
      <c r="IWT6" s="396"/>
      <c r="IWU6" s="396"/>
      <c r="IWV6" s="396"/>
      <c r="IWW6" s="396"/>
      <c r="IWX6" s="396"/>
      <c r="IWY6" s="396"/>
      <c r="IWZ6" s="396"/>
      <c r="IXA6" s="396"/>
      <c r="IXB6" s="396"/>
      <c r="IXC6" s="396"/>
      <c r="IXD6" s="396"/>
      <c r="IXE6" s="396"/>
      <c r="IXF6" s="396"/>
      <c r="IXG6" s="396"/>
      <c r="IXH6" s="396"/>
      <c r="IXI6" s="396"/>
      <c r="IXJ6" s="396"/>
      <c r="IXK6" s="396"/>
      <c r="IXL6" s="396"/>
      <c r="IXM6" s="396"/>
      <c r="IXN6" s="396"/>
      <c r="IXO6" s="396"/>
      <c r="IXP6" s="396"/>
      <c r="IXQ6" s="396"/>
      <c r="IXR6" s="396"/>
      <c r="IXS6" s="396"/>
      <c r="IXT6" s="396"/>
      <c r="IXU6" s="396"/>
      <c r="IXV6" s="396"/>
      <c r="IXW6" s="396"/>
      <c r="IXX6" s="396"/>
      <c r="IXY6" s="396"/>
      <c r="IXZ6" s="396"/>
      <c r="IYA6" s="396"/>
      <c r="IYB6" s="396"/>
      <c r="IYC6" s="396"/>
      <c r="IYD6" s="396"/>
      <c r="IYE6" s="396"/>
      <c r="IYF6" s="396"/>
      <c r="IYG6" s="396"/>
      <c r="IYH6" s="396"/>
      <c r="IYI6" s="396"/>
      <c r="IYJ6" s="396"/>
      <c r="IYK6" s="396"/>
      <c r="IYL6" s="396"/>
      <c r="IYM6" s="396"/>
      <c r="IYN6" s="396"/>
      <c r="IYO6" s="396"/>
      <c r="IYP6" s="396"/>
      <c r="IYQ6" s="396"/>
      <c r="IYR6" s="396"/>
      <c r="IYS6" s="396"/>
      <c r="IYT6" s="396"/>
      <c r="IYU6" s="396"/>
      <c r="IYV6" s="396"/>
      <c r="IYW6" s="396"/>
      <c r="IYX6" s="396"/>
      <c r="IYY6" s="396"/>
      <c r="IYZ6" s="396"/>
      <c r="IZA6" s="396"/>
      <c r="IZB6" s="396"/>
      <c r="IZC6" s="396"/>
      <c r="IZD6" s="396"/>
      <c r="IZE6" s="396"/>
      <c r="IZF6" s="396"/>
      <c r="IZG6" s="396"/>
      <c r="IZH6" s="396"/>
      <c r="IZI6" s="396"/>
      <c r="IZJ6" s="396"/>
      <c r="IZK6" s="396"/>
      <c r="IZL6" s="396"/>
      <c r="IZM6" s="396"/>
      <c r="IZN6" s="396"/>
      <c r="IZO6" s="396"/>
      <c r="IZP6" s="396"/>
      <c r="IZQ6" s="396"/>
      <c r="IZR6" s="396"/>
      <c r="IZS6" s="396"/>
      <c r="IZT6" s="396"/>
      <c r="IZU6" s="396"/>
      <c r="IZV6" s="396"/>
      <c r="IZW6" s="396"/>
      <c r="IZX6" s="396"/>
      <c r="IZY6" s="396"/>
      <c r="IZZ6" s="396"/>
      <c r="JAA6" s="396"/>
      <c r="JAB6" s="396"/>
      <c r="JAC6" s="396"/>
      <c r="JAD6" s="396"/>
      <c r="JAE6" s="396"/>
      <c r="JAF6" s="396"/>
      <c r="JAG6" s="396"/>
      <c r="JAH6" s="396"/>
      <c r="JAI6" s="396"/>
      <c r="JAJ6" s="396"/>
      <c r="JAK6" s="396"/>
      <c r="JAL6" s="396"/>
      <c r="JAM6" s="396"/>
      <c r="JAN6" s="396"/>
      <c r="JAO6" s="396"/>
      <c r="JAP6" s="396"/>
      <c r="JAQ6" s="396"/>
      <c r="JAR6" s="396"/>
      <c r="JAS6" s="396"/>
      <c r="JAT6" s="396"/>
      <c r="JAU6" s="396"/>
      <c r="JAV6" s="396"/>
      <c r="JAW6" s="396"/>
      <c r="JAX6" s="396"/>
      <c r="JAY6" s="396"/>
      <c r="JAZ6" s="396"/>
      <c r="JBA6" s="396"/>
      <c r="JBB6" s="396"/>
      <c r="JBC6" s="396"/>
      <c r="JBD6" s="396"/>
      <c r="JBE6" s="396"/>
      <c r="JBF6" s="396"/>
      <c r="JBG6" s="396"/>
      <c r="JBH6" s="396"/>
      <c r="JBI6" s="396"/>
      <c r="JBJ6" s="396"/>
      <c r="JBK6" s="396"/>
      <c r="JBL6" s="396"/>
      <c r="JBM6" s="396"/>
      <c r="JBN6" s="396"/>
      <c r="JBO6" s="396"/>
      <c r="JBP6" s="396"/>
      <c r="JBQ6" s="396"/>
      <c r="JBR6" s="396"/>
      <c r="JBS6" s="396"/>
      <c r="JBT6" s="396"/>
      <c r="JBU6" s="396"/>
      <c r="JBV6" s="396"/>
      <c r="JBW6" s="396"/>
      <c r="JBX6" s="396"/>
      <c r="JBY6" s="396"/>
      <c r="JBZ6" s="396"/>
      <c r="JCA6" s="396"/>
      <c r="JCB6" s="396"/>
      <c r="JCC6" s="396"/>
      <c r="JCD6" s="396"/>
      <c r="JCE6" s="396"/>
      <c r="JCF6" s="396"/>
      <c r="JCG6" s="396"/>
      <c r="JCH6" s="396"/>
      <c r="JCI6" s="396"/>
      <c r="JCJ6" s="396"/>
      <c r="JCK6" s="396"/>
      <c r="JCL6" s="396"/>
      <c r="JCM6" s="396"/>
      <c r="JCN6" s="396"/>
      <c r="JCO6" s="396"/>
      <c r="JCP6" s="396"/>
      <c r="JCQ6" s="396"/>
      <c r="JCR6" s="396"/>
      <c r="JCS6" s="396"/>
      <c r="JCT6" s="396"/>
      <c r="JCU6" s="396"/>
      <c r="JCV6" s="396"/>
      <c r="JCW6" s="396"/>
      <c r="JCX6" s="396"/>
      <c r="JCY6" s="396"/>
      <c r="JCZ6" s="396"/>
      <c r="JDA6" s="396"/>
      <c r="JDB6" s="396"/>
      <c r="JDC6" s="396"/>
      <c r="JDD6" s="396"/>
      <c r="JDE6" s="396"/>
      <c r="JDF6" s="396"/>
      <c r="JDG6" s="396"/>
      <c r="JDH6" s="396"/>
      <c r="JDI6" s="396"/>
      <c r="JDJ6" s="396"/>
      <c r="JDK6" s="396"/>
      <c r="JDL6" s="396"/>
      <c r="JDM6" s="396"/>
      <c r="JDN6" s="396"/>
      <c r="JDO6" s="396"/>
      <c r="JDP6" s="396"/>
      <c r="JDQ6" s="396"/>
      <c r="JDR6" s="396"/>
      <c r="JDS6" s="396"/>
      <c r="JDT6" s="396"/>
      <c r="JDU6" s="396"/>
      <c r="JDV6" s="396"/>
      <c r="JDW6" s="396"/>
      <c r="JDX6" s="396"/>
      <c r="JDY6" s="396"/>
      <c r="JDZ6" s="396"/>
      <c r="JEA6" s="396"/>
      <c r="JEB6" s="396"/>
      <c r="JEC6" s="396"/>
      <c r="JED6" s="396"/>
      <c r="JEE6" s="396"/>
      <c r="JEF6" s="396"/>
      <c r="JEG6" s="396"/>
      <c r="JEH6" s="396"/>
      <c r="JEI6" s="396"/>
      <c r="JEJ6" s="396"/>
      <c r="JEK6" s="396"/>
      <c r="JEL6" s="396"/>
      <c r="JEM6" s="396"/>
      <c r="JEN6" s="396"/>
      <c r="JEO6" s="396"/>
      <c r="JEP6" s="396"/>
      <c r="JEQ6" s="396"/>
      <c r="JER6" s="396"/>
      <c r="JES6" s="396"/>
      <c r="JET6" s="396"/>
      <c r="JEU6" s="396"/>
      <c r="JEV6" s="396"/>
      <c r="JEW6" s="396"/>
      <c r="JEX6" s="396"/>
      <c r="JEY6" s="396"/>
      <c r="JEZ6" s="396"/>
      <c r="JFA6" s="396"/>
      <c r="JFB6" s="396"/>
      <c r="JFC6" s="396"/>
      <c r="JFD6" s="396"/>
      <c r="JFE6" s="396"/>
      <c r="JFF6" s="396"/>
      <c r="JFG6" s="396"/>
      <c r="JFH6" s="396"/>
      <c r="JFI6" s="396"/>
      <c r="JFJ6" s="396"/>
      <c r="JFK6" s="396"/>
      <c r="JFL6" s="396"/>
      <c r="JFM6" s="396"/>
      <c r="JFN6" s="396"/>
      <c r="JFO6" s="396"/>
      <c r="JFP6" s="396"/>
      <c r="JFQ6" s="396"/>
      <c r="JFR6" s="396"/>
      <c r="JFS6" s="396"/>
      <c r="JFT6" s="396"/>
      <c r="JFU6" s="396"/>
      <c r="JFV6" s="396"/>
      <c r="JFW6" s="396"/>
      <c r="JFX6" s="396"/>
      <c r="JFY6" s="396"/>
      <c r="JFZ6" s="396"/>
      <c r="JGA6" s="396"/>
      <c r="JGB6" s="396"/>
      <c r="JGC6" s="396"/>
      <c r="JGD6" s="396"/>
      <c r="JGE6" s="396"/>
      <c r="JGF6" s="396"/>
      <c r="JGG6" s="396"/>
      <c r="JGH6" s="396"/>
      <c r="JGI6" s="396"/>
      <c r="JGJ6" s="396"/>
      <c r="JGK6" s="396"/>
      <c r="JGL6" s="396"/>
      <c r="JGM6" s="396"/>
      <c r="JGN6" s="396"/>
      <c r="JGO6" s="396"/>
      <c r="JGP6" s="396"/>
      <c r="JGQ6" s="396"/>
      <c r="JGR6" s="396"/>
      <c r="JGS6" s="396"/>
      <c r="JGT6" s="396"/>
      <c r="JGU6" s="396"/>
      <c r="JGV6" s="396"/>
      <c r="JGW6" s="396"/>
      <c r="JGX6" s="396"/>
      <c r="JGY6" s="396"/>
      <c r="JGZ6" s="396"/>
      <c r="JHA6" s="396"/>
      <c r="JHB6" s="396"/>
      <c r="JHC6" s="396"/>
      <c r="JHD6" s="396"/>
      <c r="JHE6" s="396"/>
      <c r="JHF6" s="396"/>
      <c r="JHG6" s="396"/>
      <c r="JHH6" s="396"/>
      <c r="JHI6" s="396"/>
      <c r="JHJ6" s="396"/>
      <c r="JHK6" s="396"/>
      <c r="JHL6" s="396"/>
      <c r="JHM6" s="396"/>
      <c r="JHN6" s="396"/>
      <c r="JHO6" s="396"/>
      <c r="JHP6" s="396"/>
      <c r="JHQ6" s="396"/>
      <c r="JHR6" s="396"/>
      <c r="JHS6" s="396"/>
      <c r="JHT6" s="396"/>
      <c r="JHU6" s="396"/>
      <c r="JHV6" s="396"/>
      <c r="JHW6" s="396"/>
      <c r="JHX6" s="396"/>
      <c r="JHY6" s="396"/>
      <c r="JHZ6" s="396"/>
      <c r="JIA6" s="396"/>
      <c r="JIB6" s="396"/>
      <c r="JIC6" s="396"/>
      <c r="JID6" s="396"/>
      <c r="JIE6" s="396"/>
      <c r="JIF6" s="396"/>
      <c r="JIG6" s="396"/>
      <c r="JIH6" s="396"/>
      <c r="JII6" s="396"/>
      <c r="JIJ6" s="396"/>
      <c r="JIK6" s="396"/>
      <c r="JIL6" s="396"/>
      <c r="JIM6" s="396"/>
      <c r="JIN6" s="396"/>
      <c r="JIO6" s="396"/>
      <c r="JIP6" s="396"/>
      <c r="JIQ6" s="396"/>
      <c r="JIR6" s="396"/>
      <c r="JIS6" s="396"/>
      <c r="JIT6" s="396"/>
      <c r="JIU6" s="396"/>
      <c r="JIV6" s="396"/>
      <c r="JIW6" s="396"/>
      <c r="JIX6" s="396"/>
      <c r="JIY6" s="396"/>
      <c r="JIZ6" s="396"/>
      <c r="JJA6" s="396"/>
      <c r="JJB6" s="396"/>
      <c r="JJC6" s="396"/>
      <c r="JJD6" s="396"/>
      <c r="JJE6" s="396"/>
      <c r="JJF6" s="396"/>
      <c r="JJG6" s="396"/>
      <c r="JJH6" s="396"/>
      <c r="JJI6" s="396"/>
      <c r="JJJ6" s="396"/>
      <c r="JJK6" s="396"/>
      <c r="JJL6" s="396"/>
      <c r="JJM6" s="396"/>
      <c r="JJN6" s="396"/>
      <c r="JJO6" s="396"/>
      <c r="JJP6" s="396"/>
      <c r="JJQ6" s="396"/>
      <c r="JJR6" s="396"/>
      <c r="JJS6" s="396"/>
      <c r="JJT6" s="396"/>
      <c r="JJU6" s="396"/>
      <c r="JJV6" s="396"/>
      <c r="JJW6" s="396"/>
      <c r="JJX6" s="396"/>
      <c r="JJY6" s="396"/>
      <c r="JJZ6" s="396"/>
      <c r="JKA6" s="396"/>
      <c r="JKB6" s="396"/>
      <c r="JKC6" s="396"/>
      <c r="JKD6" s="396"/>
      <c r="JKE6" s="396"/>
      <c r="JKF6" s="396"/>
      <c r="JKG6" s="396"/>
      <c r="JKH6" s="396"/>
      <c r="JKI6" s="396"/>
      <c r="JKJ6" s="396"/>
      <c r="JKK6" s="396"/>
      <c r="JKL6" s="396"/>
      <c r="JKM6" s="396"/>
      <c r="JKN6" s="396"/>
      <c r="JKO6" s="396"/>
      <c r="JKP6" s="396"/>
      <c r="JKQ6" s="396"/>
      <c r="JKR6" s="396"/>
      <c r="JKS6" s="396"/>
      <c r="JKT6" s="396"/>
      <c r="JKU6" s="396"/>
      <c r="JKV6" s="396"/>
      <c r="JKW6" s="396"/>
      <c r="JKX6" s="396"/>
      <c r="JKY6" s="396"/>
      <c r="JKZ6" s="396"/>
      <c r="JLA6" s="396"/>
      <c r="JLB6" s="396"/>
      <c r="JLC6" s="396"/>
      <c r="JLD6" s="396"/>
      <c r="JLE6" s="396"/>
      <c r="JLF6" s="396"/>
      <c r="JLG6" s="396"/>
      <c r="JLH6" s="396"/>
      <c r="JLI6" s="396"/>
      <c r="JLJ6" s="396"/>
      <c r="JLK6" s="396"/>
      <c r="JLL6" s="396"/>
      <c r="JLM6" s="396"/>
      <c r="JLN6" s="396"/>
      <c r="JLO6" s="396"/>
      <c r="JLP6" s="396"/>
      <c r="JLQ6" s="396"/>
      <c r="JLR6" s="396"/>
      <c r="JLS6" s="396"/>
      <c r="JLT6" s="396"/>
      <c r="JLU6" s="396"/>
      <c r="JLV6" s="396"/>
      <c r="JLW6" s="396"/>
      <c r="JLX6" s="396"/>
      <c r="JLY6" s="396"/>
      <c r="JLZ6" s="396"/>
      <c r="JMA6" s="396"/>
      <c r="JMB6" s="396"/>
      <c r="JMC6" s="396"/>
      <c r="JMD6" s="396"/>
      <c r="JME6" s="396"/>
      <c r="JMF6" s="396"/>
      <c r="JMG6" s="396"/>
      <c r="JMH6" s="396"/>
      <c r="JMI6" s="396"/>
      <c r="JMJ6" s="396"/>
      <c r="JMK6" s="396"/>
      <c r="JML6" s="396"/>
      <c r="JMM6" s="396"/>
      <c r="JMN6" s="396"/>
      <c r="JMO6" s="396"/>
      <c r="JMP6" s="396"/>
      <c r="JMQ6" s="396"/>
      <c r="JMR6" s="396"/>
      <c r="JMS6" s="396"/>
      <c r="JMT6" s="396"/>
      <c r="JMU6" s="396"/>
      <c r="JMV6" s="396"/>
      <c r="JMW6" s="396"/>
      <c r="JMX6" s="396"/>
      <c r="JMY6" s="396"/>
      <c r="JMZ6" s="396"/>
      <c r="JNA6" s="396"/>
      <c r="JNB6" s="396"/>
      <c r="JNC6" s="396"/>
      <c r="JND6" s="396"/>
      <c r="JNE6" s="396"/>
      <c r="JNF6" s="396"/>
      <c r="JNG6" s="396"/>
      <c r="JNH6" s="396"/>
      <c r="JNI6" s="396"/>
      <c r="JNJ6" s="396"/>
      <c r="JNK6" s="396"/>
      <c r="JNL6" s="396"/>
      <c r="JNM6" s="396"/>
      <c r="JNN6" s="396"/>
      <c r="JNO6" s="396"/>
      <c r="JNP6" s="396"/>
      <c r="JNQ6" s="396"/>
      <c r="JNR6" s="396"/>
      <c r="JNS6" s="396"/>
      <c r="JNT6" s="396"/>
      <c r="JNU6" s="396"/>
      <c r="JNV6" s="396"/>
      <c r="JNW6" s="396"/>
      <c r="JNX6" s="396"/>
      <c r="JNY6" s="396"/>
      <c r="JNZ6" s="396"/>
      <c r="JOA6" s="396"/>
      <c r="JOB6" s="396"/>
      <c r="JOC6" s="396"/>
      <c r="JOD6" s="396"/>
      <c r="JOE6" s="396"/>
      <c r="JOF6" s="396"/>
      <c r="JOG6" s="396"/>
      <c r="JOH6" s="396"/>
      <c r="JOI6" s="396"/>
      <c r="JOJ6" s="396"/>
      <c r="JOK6" s="396"/>
      <c r="JOL6" s="396"/>
      <c r="JOM6" s="396"/>
      <c r="JON6" s="396"/>
      <c r="JOO6" s="396"/>
      <c r="JOP6" s="396"/>
      <c r="JOQ6" s="396"/>
      <c r="JOR6" s="396"/>
      <c r="JOS6" s="396"/>
      <c r="JOT6" s="396"/>
      <c r="JOU6" s="396"/>
      <c r="JOV6" s="396"/>
      <c r="JOW6" s="396"/>
      <c r="JOX6" s="396"/>
      <c r="JOY6" s="396"/>
      <c r="JOZ6" s="396"/>
      <c r="JPA6" s="396"/>
      <c r="JPB6" s="396"/>
      <c r="JPC6" s="396"/>
      <c r="JPD6" s="396"/>
      <c r="JPE6" s="396"/>
      <c r="JPF6" s="396"/>
      <c r="JPG6" s="396"/>
      <c r="JPH6" s="396"/>
      <c r="JPI6" s="396"/>
      <c r="JPJ6" s="396"/>
      <c r="JPK6" s="396"/>
      <c r="JPL6" s="396"/>
      <c r="JPM6" s="396"/>
      <c r="JPN6" s="396"/>
      <c r="JPO6" s="396"/>
      <c r="JPP6" s="396"/>
      <c r="JPQ6" s="396"/>
      <c r="JPR6" s="396"/>
      <c r="JPS6" s="396"/>
      <c r="JPT6" s="396"/>
      <c r="JPU6" s="396"/>
      <c r="JPV6" s="396"/>
      <c r="JPW6" s="396"/>
      <c r="JPX6" s="396"/>
      <c r="JPY6" s="396"/>
      <c r="JPZ6" s="396"/>
      <c r="JQA6" s="396"/>
      <c r="JQB6" s="396"/>
      <c r="JQC6" s="396"/>
      <c r="JQD6" s="396"/>
      <c r="JQE6" s="396"/>
      <c r="JQF6" s="396"/>
      <c r="JQG6" s="396"/>
      <c r="JQH6" s="396"/>
      <c r="JQI6" s="396"/>
      <c r="JQJ6" s="396"/>
      <c r="JQK6" s="396"/>
      <c r="JQL6" s="396"/>
      <c r="JQM6" s="396"/>
      <c r="JQN6" s="396"/>
      <c r="JQO6" s="396"/>
      <c r="JQP6" s="396"/>
      <c r="JQQ6" s="396"/>
      <c r="JQR6" s="396"/>
      <c r="JQS6" s="396"/>
      <c r="JQT6" s="396"/>
      <c r="JQU6" s="396"/>
      <c r="JQV6" s="396"/>
      <c r="JQW6" s="396"/>
      <c r="JQX6" s="396"/>
      <c r="JQY6" s="396"/>
      <c r="JQZ6" s="396"/>
      <c r="JRA6" s="396"/>
      <c r="JRB6" s="396"/>
      <c r="JRC6" s="396"/>
      <c r="JRD6" s="396"/>
      <c r="JRE6" s="396"/>
      <c r="JRF6" s="396"/>
      <c r="JRG6" s="396"/>
      <c r="JRH6" s="396"/>
      <c r="JRI6" s="396"/>
      <c r="JRJ6" s="396"/>
      <c r="JRK6" s="396"/>
      <c r="JRL6" s="396"/>
      <c r="JRM6" s="396"/>
      <c r="JRN6" s="396"/>
      <c r="JRO6" s="396"/>
      <c r="JRP6" s="396"/>
      <c r="JRQ6" s="396"/>
      <c r="JRR6" s="396"/>
      <c r="JRS6" s="396"/>
      <c r="JRT6" s="396"/>
      <c r="JRU6" s="396"/>
      <c r="JRV6" s="396"/>
      <c r="JRW6" s="396"/>
      <c r="JRX6" s="396"/>
      <c r="JRY6" s="396"/>
      <c r="JRZ6" s="396"/>
      <c r="JSA6" s="396"/>
      <c r="JSB6" s="396"/>
      <c r="JSC6" s="396"/>
      <c r="JSD6" s="396"/>
      <c r="JSE6" s="396"/>
      <c r="JSF6" s="396"/>
      <c r="JSG6" s="396"/>
      <c r="JSH6" s="396"/>
      <c r="JSI6" s="396"/>
      <c r="JSJ6" s="396"/>
      <c r="JSK6" s="396"/>
      <c r="JSL6" s="396"/>
      <c r="JSM6" s="396"/>
      <c r="JSN6" s="396"/>
      <c r="JSO6" s="396"/>
      <c r="JSP6" s="396"/>
      <c r="JSQ6" s="396"/>
      <c r="JSR6" s="396"/>
      <c r="JSS6" s="396"/>
      <c r="JST6" s="396"/>
      <c r="JSU6" s="396"/>
      <c r="JSV6" s="396"/>
      <c r="JSW6" s="396"/>
      <c r="JSX6" s="396"/>
      <c r="JSY6" s="396"/>
      <c r="JSZ6" s="396"/>
      <c r="JTA6" s="396"/>
      <c r="JTB6" s="396"/>
      <c r="JTC6" s="396"/>
      <c r="JTD6" s="396"/>
      <c r="JTE6" s="396"/>
      <c r="JTF6" s="396"/>
      <c r="JTG6" s="396"/>
      <c r="JTH6" s="396"/>
      <c r="JTI6" s="396"/>
      <c r="JTJ6" s="396"/>
      <c r="JTK6" s="396"/>
      <c r="JTL6" s="396"/>
      <c r="JTM6" s="396"/>
      <c r="JTN6" s="396"/>
      <c r="JTO6" s="396"/>
      <c r="JTP6" s="396"/>
      <c r="JTQ6" s="396"/>
      <c r="JTR6" s="396"/>
      <c r="JTS6" s="396"/>
      <c r="JTT6" s="396"/>
      <c r="JTU6" s="396"/>
      <c r="JTV6" s="396"/>
      <c r="JTW6" s="396"/>
      <c r="JTX6" s="396"/>
      <c r="JTY6" s="396"/>
      <c r="JTZ6" s="396"/>
      <c r="JUA6" s="396"/>
      <c r="JUB6" s="396"/>
      <c r="JUC6" s="396"/>
      <c r="JUD6" s="396"/>
      <c r="JUE6" s="396"/>
      <c r="JUF6" s="396"/>
      <c r="JUG6" s="396"/>
      <c r="JUH6" s="396"/>
      <c r="JUI6" s="396"/>
      <c r="JUJ6" s="396"/>
      <c r="JUK6" s="396"/>
      <c r="JUL6" s="396"/>
      <c r="JUM6" s="396"/>
      <c r="JUN6" s="396"/>
      <c r="JUO6" s="396"/>
      <c r="JUP6" s="396"/>
      <c r="JUQ6" s="396"/>
      <c r="JUR6" s="396"/>
      <c r="JUS6" s="396"/>
      <c r="JUT6" s="396"/>
      <c r="JUU6" s="396"/>
      <c r="JUV6" s="396"/>
      <c r="JUW6" s="396"/>
      <c r="JUX6" s="396"/>
      <c r="JUY6" s="396"/>
      <c r="JUZ6" s="396"/>
      <c r="JVA6" s="396"/>
      <c r="JVB6" s="396"/>
      <c r="JVC6" s="396"/>
      <c r="JVD6" s="396"/>
      <c r="JVE6" s="396"/>
      <c r="JVF6" s="396"/>
      <c r="JVG6" s="396"/>
      <c r="JVH6" s="396"/>
      <c r="JVI6" s="396"/>
      <c r="JVJ6" s="396"/>
      <c r="JVK6" s="396"/>
      <c r="JVL6" s="396"/>
      <c r="JVM6" s="396"/>
      <c r="JVN6" s="396"/>
      <c r="JVO6" s="396"/>
      <c r="JVP6" s="396"/>
      <c r="JVQ6" s="396"/>
      <c r="JVR6" s="396"/>
      <c r="JVS6" s="396"/>
      <c r="JVT6" s="396"/>
      <c r="JVU6" s="396"/>
      <c r="JVV6" s="396"/>
      <c r="JVW6" s="396"/>
      <c r="JVX6" s="396"/>
      <c r="JVY6" s="396"/>
      <c r="JVZ6" s="396"/>
      <c r="JWA6" s="396"/>
      <c r="JWB6" s="396"/>
      <c r="JWC6" s="396"/>
      <c r="JWD6" s="396"/>
      <c r="JWE6" s="396"/>
      <c r="JWF6" s="396"/>
      <c r="JWG6" s="396"/>
      <c r="JWH6" s="396"/>
      <c r="JWI6" s="396"/>
      <c r="JWJ6" s="396"/>
      <c r="JWK6" s="396"/>
      <c r="JWL6" s="396"/>
      <c r="JWM6" s="396"/>
      <c r="JWN6" s="396"/>
      <c r="JWO6" s="396"/>
      <c r="JWP6" s="396"/>
      <c r="JWQ6" s="396"/>
      <c r="JWR6" s="396"/>
      <c r="JWS6" s="396"/>
      <c r="JWT6" s="396"/>
      <c r="JWU6" s="396"/>
      <c r="JWV6" s="396"/>
      <c r="JWW6" s="396"/>
      <c r="JWX6" s="396"/>
      <c r="JWY6" s="396"/>
      <c r="JWZ6" s="396"/>
      <c r="JXA6" s="396"/>
      <c r="JXB6" s="396"/>
      <c r="JXC6" s="396"/>
      <c r="JXD6" s="396"/>
      <c r="JXE6" s="396"/>
      <c r="JXF6" s="396"/>
      <c r="JXG6" s="396"/>
      <c r="JXH6" s="396"/>
      <c r="JXI6" s="396"/>
      <c r="JXJ6" s="396"/>
      <c r="JXK6" s="396"/>
      <c r="JXL6" s="396"/>
      <c r="JXM6" s="396"/>
      <c r="JXN6" s="396"/>
      <c r="JXO6" s="396"/>
      <c r="JXP6" s="396"/>
      <c r="JXQ6" s="396"/>
      <c r="JXR6" s="396"/>
      <c r="JXS6" s="396"/>
      <c r="JXT6" s="396"/>
      <c r="JXU6" s="396"/>
      <c r="JXV6" s="396"/>
      <c r="JXW6" s="396"/>
      <c r="JXX6" s="396"/>
      <c r="JXY6" s="396"/>
      <c r="JXZ6" s="396"/>
      <c r="JYA6" s="396"/>
      <c r="JYB6" s="396"/>
      <c r="JYC6" s="396"/>
      <c r="JYD6" s="396"/>
      <c r="JYE6" s="396"/>
      <c r="JYF6" s="396"/>
      <c r="JYG6" s="396"/>
      <c r="JYH6" s="396"/>
      <c r="JYI6" s="396"/>
      <c r="JYJ6" s="396"/>
      <c r="JYK6" s="396"/>
      <c r="JYL6" s="396"/>
      <c r="JYM6" s="396"/>
      <c r="JYN6" s="396"/>
      <c r="JYO6" s="396"/>
      <c r="JYP6" s="396"/>
      <c r="JYQ6" s="396"/>
      <c r="JYR6" s="396"/>
      <c r="JYS6" s="396"/>
      <c r="JYT6" s="396"/>
      <c r="JYU6" s="396"/>
      <c r="JYV6" s="396"/>
      <c r="JYW6" s="396"/>
      <c r="JYX6" s="396"/>
      <c r="JYY6" s="396"/>
      <c r="JYZ6" s="396"/>
      <c r="JZA6" s="396"/>
      <c r="JZB6" s="396"/>
      <c r="JZC6" s="396"/>
      <c r="JZD6" s="396"/>
      <c r="JZE6" s="396"/>
      <c r="JZF6" s="396"/>
      <c r="JZG6" s="396"/>
      <c r="JZH6" s="396"/>
      <c r="JZI6" s="396"/>
      <c r="JZJ6" s="396"/>
      <c r="JZK6" s="396"/>
      <c r="JZL6" s="396"/>
      <c r="JZM6" s="396"/>
      <c r="JZN6" s="396"/>
      <c r="JZO6" s="396"/>
      <c r="JZP6" s="396"/>
      <c r="JZQ6" s="396"/>
      <c r="JZR6" s="396"/>
      <c r="JZS6" s="396"/>
      <c r="JZT6" s="396"/>
      <c r="JZU6" s="396"/>
      <c r="JZV6" s="396"/>
      <c r="JZW6" s="396"/>
      <c r="JZX6" s="396"/>
      <c r="JZY6" s="396"/>
      <c r="JZZ6" s="396"/>
      <c r="KAA6" s="396"/>
      <c r="KAB6" s="396"/>
      <c r="KAC6" s="396"/>
      <c r="KAD6" s="396"/>
      <c r="KAE6" s="396"/>
      <c r="KAF6" s="396"/>
      <c r="KAG6" s="396"/>
      <c r="KAH6" s="396"/>
      <c r="KAI6" s="396"/>
      <c r="KAJ6" s="396"/>
      <c r="KAK6" s="396"/>
      <c r="KAL6" s="396"/>
      <c r="KAM6" s="396"/>
      <c r="KAN6" s="396"/>
      <c r="KAO6" s="396"/>
      <c r="KAP6" s="396"/>
      <c r="KAQ6" s="396"/>
      <c r="KAR6" s="396"/>
      <c r="KAS6" s="396"/>
      <c r="KAT6" s="396"/>
      <c r="KAU6" s="396"/>
      <c r="KAV6" s="396"/>
      <c r="KAW6" s="396"/>
      <c r="KAX6" s="396"/>
      <c r="KAY6" s="396"/>
      <c r="KAZ6" s="396"/>
      <c r="KBA6" s="396"/>
      <c r="KBB6" s="396"/>
      <c r="KBC6" s="396"/>
      <c r="KBD6" s="396"/>
      <c r="KBE6" s="396"/>
      <c r="KBF6" s="396"/>
      <c r="KBG6" s="396"/>
      <c r="KBH6" s="396"/>
      <c r="KBI6" s="396"/>
      <c r="KBJ6" s="396"/>
      <c r="KBK6" s="396"/>
      <c r="KBL6" s="396"/>
      <c r="KBM6" s="396"/>
      <c r="KBN6" s="396"/>
      <c r="KBO6" s="396"/>
      <c r="KBP6" s="396"/>
      <c r="KBQ6" s="396"/>
      <c r="KBR6" s="396"/>
      <c r="KBS6" s="396"/>
      <c r="KBT6" s="396"/>
      <c r="KBU6" s="396"/>
      <c r="KBV6" s="396"/>
      <c r="KBW6" s="396"/>
      <c r="KBX6" s="396"/>
      <c r="KBY6" s="396"/>
      <c r="KBZ6" s="396"/>
      <c r="KCA6" s="396"/>
      <c r="KCB6" s="396"/>
      <c r="KCC6" s="396"/>
      <c r="KCD6" s="396"/>
      <c r="KCE6" s="396"/>
      <c r="KCF6" s="396"/>
      <c r="KCG6" s="396"/>
      <c r="KCH6" s="396"/>
      <c r="KCI6" s="396"/>
      <c r="KCJ6" s="396"/>
      <c r="KCK6" s="396"/>
      <c r="KCL6" s="396"/>
      <c r="KCM6" s="396"/>
      <c r="KCN6" s="396"/>
      <c r="KCO6" s="396"/>
      <c r="KCP6" s="396"/>
      <c r="KCQ6" s="396"/>
      <c r="KCR6" s="396"/>
      <c r="KCS6" s="396"/>
      <c r="KCT6" s="396"/>
      <c r="KCU6" s="396"/>
      <c r="KCV6" s="396"/>
      <c r="KCW6" s="396"/>
      <c r="KCX6" s="396"/>
      <c r="KCY6" s="396"/>
      <c r="KCZ6" s="396"/>
      <c r="KDA6" s="396"/>
      <c r="KDB6" s="396"/>
      <c r="KDC6" s="396"/>
      <c r="KDD6" s="396"/>
      <c r="KDE6" s="396"/>
      <c r="KDF6" s="396"/>
      <c r="KDG6" s="396"/>
      <c r="KDH6" s="396"/>
      <c r="KDI6" s="396"/>
      <c r="KDJ6" s="396"/>
      <c r="KDK6" s="396"/>
      <c r="KDL6" s="396"/>
      <c r="KDM6" s="396"/>
      <c r="KDN6" s="396"/>
      <c r="KDO6" s="396"/>
      <c r="KDP6" s="396"/>
      <c r="KDQ6" s="396"/>
      <c r="KDR6" s="396"/>
      <c r="KDS6" s="396"/>
      <c r="KDT6" s="396"/>
      <c r="KDU6" s="396"/>
      <c r="KDV6" s="396"/>
      <c r="KDW6" s="396"/>
      <c r="KDX6" s="396"/>
      <c r="KDY6" s="396"/>
      <c r="KDZ6" s="396"/>
      <c r="KEA6" s="396"/>
      <c r="KEB6" s="396"/>
      <c r="KEC6" s="396"/>
      <c r="KED6" s="396"/>
      <c r="KEE6" s="396"/>
      <c r="KEF6" s="396"/>
      <c r="KEG6" s="396"/>
      <c r="KEH6" s="396"/>
      <c r="KEI6" s="396"/>
      <c r="KEJ6" s="396"/>
      <c r="KEK6" s="396"/>
      <c r="KEL6" s="396"/>
      <c r="KEM6" s="396"/>
      <c r="KEN6" s="396"/>
      <c r="KEO6" s="396"/>
      <c r="KEP6" s="396"/>
      <c r="KEQ6" s="396"/>
      <c r="KER6" s="396"/>
      <c r="KES6" s="396"/>
      <c r="KET6" s="396"/>
      <c r="KEU6" s="396"/>
      <c r="KEV6" s="396"/>
      <c r="KEW6" s="396"/>
      <c r="KEX6" s="396"/>
      <c r="KEY6" s="396"/>
      <c r="KEZ6" s="396"/>
      <c r="KFA6" s="396"/>
      <c r="KFB6" s="396"/>
      <c r="KFC6" s="396"/>
      <c r="KFD6" s="396"/>
      <c r="KFE6" s="396"/>
      <c r="KFF6" s="396"/>
      <c r="KFG6" s="396"/>
      <c r="KFH6" s="396"/>
      <c r="KFI6" s="396"/>
      <c r="KFJ6" s="396"/>
      <c r="KFK6" s="396"/>
      <c r="KFL6" s="396"/>
      <c r="KFM6" s="396"/>
      <c r="KFN6" s="396"/>
      <c r="KFO6" s="396"/>
      <c r="KFP6" s="396"/>
      <c r="KFQ6" s="396"/>
      <c r="KFR6" s="396"/>
      <c r="KFS6" s="396"/>
      <c r="KFT6" s="396"/>
      <c r="KFU6" s="396"/>
      <c r="KFV6" s="396"/>
      <c r="KFW6" s="396"/>
      <c r="KFX6" s="396"/>
      <c r="KFY6" s="396"/>
      <c r="KFZ6" s="396"/>
      <c r="KGA6" s="396"/>
      <c r="KGB6" s="396"/>
      <c r="KGC6" s="396"/>
      <c r="KGD6" s="396"/>
      <c r="KGE6" s="396"/>
      <c r="KGF6" s="396"/>
      <c r="KGG6" s="396"/>
      <c r="KGH6" s="396"/>
      <c r="KGI6" s="396"/>
      <c r="KGJ6" s="396"/>
      <c r="KGK6" s="396"/>
      <c r="KGL6" s="396"/>
      <c r="KGM6" s="396"/>
      <c r="KGN6" s="396"/>
      <c r="KGO6" s="396"/>
      <c r="KGP6" s="396"/>
      <c r="KGQ6" s="396"/>
      <c r="KGR6" s="396"/>
      <c r="KGS6" s="396"/>
      <c r="KGT6" s="396"/>
      <c r="KGU6" s="396"/>
      <c r="KGV6" s="396"/>
      <c r="KGW6" s="396"/>
      <c r="KGX6" s="396"/>
      <c r="KGY6" s="396"/>
      <c r="KGZ6" s="396"/>
      <c r="KHA6" s="396"/>
      <c r="KHB6" s="396"/>
      <c r="KHC6" s="396"/>
      <c r="KHD6" s="396"/>
      <c r="KHE6" s="396"/>
      <c r="KHF6" s="396"/>
      <c r="KHG6" s="396"/>
      <c r="KHH6" s="396"/>
      <c r="KHI6" s="396"/>
      <c r="KHJ6" s="396"/>
      <c r="KHK6" s="396"/>
      <c r="KHL6" s="396"/>
      <c r="KHM6" s="396"/>
      <c r="KHN6" s="396"/>
      <c r="KHO6" s="396"/>
      <c r="KHP6" s="396"/>
      <c r="KHQ6" s="396"/>
      <c r="KHR6" s="396"/>
      <c r="KHS6" s="396"/>
      <c r="KHT6" s="396"/>
      <c r="KHU6" s="396"/>
      <c r="KHV6" s="396"/>
      <c r="KHW6" s="396"/>
      <c r="KHX6" s="396"/>
      <c r="KHY6" s="396"/>
      <c r="KHZ6" s="396"/>
      <c r="KIA6" s="396"/>
      <c r="KIB6" s="396"/>
      <c r="KIC6" s="396"/>
      <c r="KID6" s="396"/>
      <c r="KIE6" s="396"/>
      <c r="KIF6" s="396"/>
      <c r="KIG6" s="396"/>
      <c r="KIH6" s="396"/>
      <c r="KII6" s="396"/>
      <c r="KIJ6" s="396"/>
      <c r="KIK6" s="396"/>
      <c r="KIL6" s="396"/>
      <c r="KIM6" s="396"/>
      <c r="KIN6" s="396"/>
      <c r="KIO6" s="396"/>
      <c r="KIP6" s="396"/>
      <c r="KIQ6" s="396"/>
      <c r="KIR6" s="396"/>
      <c r="KIS6" s="396"/>
      <c r="KIT6" s="396"/>
      <c r="KIU6" s="396"/>
      <c r="KIV6" s="396"/>
      <c r="KIW6" s="396"/>
      <c r="KIX6" s="396"/>
      <c r="KIY6" s="396"/>
      <c r="KIZ6" s="396"/>
      <c r="KJA6" s="396"/>
      <c r="KJB6" s="396"/>
      <c r="KJC6" s="396"/>
      <c r="KJD6" s="396"/>
      <c r="KJE6" s="396"/>
      <c r="KJF6" s="396"/>
      <c r="KJG6" s="396"/>
      <c r="KJH6" s="396"/>
      <c r="KJI6" s="396"/>
      <c r="KJJ6" s="396"/>
      <c r="KJK6" s="396"/>
      <c r="KJL6" s="396"/>
      <c r="KJM6" s="396"/>
      <c r="KJN6" s="396"/>
      <c r="KJO6" s="396"/>
      <c r="KJP6" s="396"/>
      <c r="KJQ6" s="396"/>
      <c r="KJR6" s="396"/>
      <c r="KJS6" s="396"/>
      <c r="KJT6" s="396"/>
      <c r="KJU6" s="396"/>
      <c r="KJV6" s="396"/>
      <c r="KJW6" s="396"/>
      <c r="KJX6" s="396"/>
      <c r="KJY6" s="396"/>
      <c r="KJZ6" s="396"/>
      <c r="KKA6" s="396"/>
      <c r="KKB6" s="396"/>
      <c r="KKC6" s="396"/>
      <c r="KKD6" s="396"/>
      <c r="KKE6" s="396"/>
      <c r="KKF6" s="396"/>
      <c r="KKG6" s="396"/>
      <c r="KKH6" s="396"/>
      <c r="KKI6" s="396"/>
      <c r="KKJ6" s="396"/>
      <c r="KKK6" s="396"/>
      <c r="KKL6" s="396"/>
      <c r="KKM6" s="396"/>
      <c r="KKN6" s="396"/>
      <c r="KKO6" s="396"/>
      <c r="KKP6" s="396"/>
      <c r="KKQ6" s="396"/>
      <c r="KKR6" s="396"/>
      <c r="KKS6" s="396"/>
      <c r="KKT6" s="396"/>
      <c r="KKU6" s="396"/>
      <c r="KKV6" s="396"/>
      <c r="KKW6" s="396"/>
      <c r="KKX6" s="396"/>
      <c r="KKY6" s="396"/>
      <c r="KKZ6" s="396"/>
      <c r="KLA6" s="396"/>
      <c r="KLB6" s="396"/>
      <c r="KLC6" s="396"/>
      <c r="KLD6" s="396"/>
      <c r="KLE6" s="396"/>
      <c r="KLF6" s="396"/>
      <c r="KLG6" s="396"/>
      <c r="KLH6" s="396"/>
      <c r="KLI6" s="396"/>
      <c r="KLJ6" s="396"/>
      <c r="KLK6" s="396"/>
      <c r="KLL6" s="396"/>
      <c r="KLM6" s="396"/>
      <c r="KLN6" s="396"/>
      <c r="KLO6" s="396"/>
      <c r="KLP6" s="396"/>
      <c r="KLQ6" s="396"/>
      <c r="KLR6" s="396"/>
      <c r="KLS6" s="396"/>
      <c r="KLT6" s="396"/>
      <c r="KLU6" s="396"/>
      <c r="KLV6" s="396"/>
      <c r="KLW6" s="396"/>
      <c r="KLX6" s="396"/>
      <c r="KLY6" s="396"/>
      <c r="KLZ6" s="396"/>
      <c r="KMA6" s="396"/>
      <c r="KMB6" s="396"/>
      <c r="KMC6" s="396"/>
      <c r="KMD6" s="396"/>
      <c r="KME6" s="396"/>
      <c r="KMF6" s="396"/>
      <c r="KMG6" s="396"/>
      <c r="KMH6" s="396"/>
      <c r="KMI6" s="396"/>
      <c r="KMJ6" s="396"/>
      <c r="KMK6" s="396"/>
      <c r="KML6" s="396"/>
      <c r="KMM6" s="396"/>
      <c r="KMN6" s="396"/>
      <c r="KMO6" s="396"/>
      <c r="KMP6" s="396"/>
      <c r="KMQ6" s="396"/>
      <c r="KMR6" s="396"/>
      <c r="KMS6" s="396"/>
      <c r="KMT6" s="396"/>
      <c r="KMU6" s="396"/>
      <c r="KMV6" s="396"/>
      <c r="KMW6" s="396"/>
      <c r="KMX6" s="396"/>
      <c r="KMY6" s="396"/>
      <c r="KMZ6" s="396"/>
      <c r="KNA6" s="396"/>
      <c r="KNB6" s="396"/>
      <c r="KNC6" s="396"/>
      <c r="KND6" s="396"/>
      <c r="KNE6" s="396"/>
      <c r="KNF6" s="396"/>
      <c r="KNG6" s="396"/>
      <c r="KNH6" s="396"/>
      <c r="KNI6" s="396"/>
      <c r="KNJ6" s="396"/>
      <c r="KNK6" s="396"/>
      <c r="KNL6" s="396"/>
      <c r="KNM6" s="396"/>
      <c r="KNN6" s="396"/>
      <c r="KNO6" s="396"/>
      <c r="KNP6" s="396"/>
      <c r="KNQ6" s="396"/>
      <c r="KNR6" s="396"/>
      <c r="KNS6" s="396"/>
      <c r="KNT6" s="396"/>
      <c r="KNU6" s="396"/>
      <c r="KNV6" s="396"/>
      <c r="KNW6" s="396"/>
      <c r="KNX6" s="396"/>
      <c r="KNY6" s="396"/>
      <c r="KNZ6" s="396"/>
      <c r="KOA6" s="396"/>
      <c r="KOB6" s="396"/>
      <c r="KOC6" s="396"/>
      <c r="KOD6" s="396"/>
      <c r="KOE6" s="396"/>
      <c r="KOF6" s="396"/>
      <c r="KOG6" s="396"/>
      <c r="KOH6" s="396"/>
      <c r="KOI6" s="396"/>
      <c r="KOJ6" s="396"/>
      <c r="KOK6" s="396"/>
      <c r="KOL6" s="396"/>
      <c r="KOM6" s="396"/>
      <c r="KON6" s="396"/>
      <c r="KOO6" s="396"/>
      <c r="KOP6" s="396"/>
      <c r="KOQ6" s="396"/>
      <c r="KOR6" s="396"/>
      <c r="KOS6" s="396"/>
      <c r="KOT6" s="396"/>
      <c r="KOU6" s="396"/>
      <c r="KOV6" s="396"/>
      <c r="KOW6" s="396"/>
      <c r="KOX6" s="396"/>
      <c r="KOY6" s="396"/>
      <c r="KOZ6" s="396"/>
      <c r="KPA6" s="396"/>
      <c r="KPB6" s="396"/>
      <c r="KPC6" s="396"/>
      <c r="KPD6" s="396"/>
      <c r="KPE6" s="396"/>
      <c r="KPF6" s="396"/>
      <c r="KPG6" s="396"/>
      <c r="KPH6" s="396"/>
      <c r="KPI6" s="396"/>
      <c r="KPJ6" s="396"/>
      <c r="KPK6" s="396"/>
      <c r="KPL6" s="396"/>
      <c r="KPM6" s="396"/>
      <c r="KPN6" s="396"/>
      <c r="KPO6" s="396"/>
      <c r="KPP6" s="396"/>
      <c r="KPQ6" s="396"/>
      <c r="KPR6" s="396"/>
      <c r="KPS6" s="396"/>
      <c r="KPT6" s="396"/>
      <c r="KPU6" s="396"/>
      <c r="KPV6" s="396"/>
      <c r="KPW6" s="396"/>
      <c r="KPX6" s="396"/>
      <c r="KPY6" s="396"/>
      <c r="KPZ6" s="396"/>
      <c r="KQA6" s="396"/>
      <c r="KQB6" s="396"/>
      <c r="KQC6" s="396"/>
      <c r="KQD6" s="396"/>
      <c r="KQE6" s="396"/>
      <c r="KQF6" s="396"/>
      <c r="KQG6" s="396"/>
      <c r="KQH6" s="396"/>
      <c r="KQI6" s="396"/>
      <c r="KQJ6" s="396"/>
      <c r="KQK6" s="396"/>
      <c r="KQL6" s="396"/>
      <c r="KQM6" s="396"/>
      <c r="KQN6" s="396"/>
      <c r="KQO6" s="396"/>
      <c r="KQP6" s="396"/>
      <c r="KQQ6" s="396"/>
      <c r="KQR6" s="396"/>
      <c r="KQS6" s="396"/>
      <c r="KQT6" s="396"/>
      <c r="KQU6" s="396"/>
      <c r="KQV6" s="396"/>
      <c r="KQW6" s="396"/>
      <c r="KQX6" s="396"/>
      <c r="KQY6" s="396"/>
      <c r="KQZ6" s="396"/>
      <c r="KRA6" s="396"/>
      <c r="KRB6" s="396"/>
      <c r="KRC6" s="396"/>
      <c r="KRD6" s="396"/>
      <c r="KRE6" s="396"/>
      <c r="KRF6" s="396"/>
      <c r="KRG6" s="396"/>
      <c r="KRH6" s="396"/>
      <c r="KRI6" s="396"/>
      <c r="KRJ6" s="396"/>
      <c r="KRK6" s="396"/>
      <c r="KRL6" s="396"/>
      <c r="KRM6" s="396"/>
      <c r="KRN6" s="396"/>
      <c r="KRO6" s="396"/>
      <c r="KRP6" s="396"/>
      <c r="KRQ6" s="396"/>
      <c r="KRR6" s="396"/>
      <c r="KRS6" s="396"/>
      <c r="KRT6" s="396"/>
      <c r="KRU6" s="396"/>
      <c r="KRV6" s="396"/>
      <c r="KRW6" s="396"/>
      <c r="KRX6" s="396"/>
      <c r="KRY6" s="396"/>
      <c r="KRZ6" s="396"/>
      <c r="KSA6" s="396"/>
      <c r="KSB6" s="396"/>
      <c r="KSC6" s="396"/>
      <c r="KSD6" s="396"/>
      <c r="KSE6" s="396"/>
      <c r="KSF6" s="396"/>
      <c r="KSG6" s="396"/>
      <c r="KSH6" s="396"/>
      <c r="KSI6" s="396"/>
      <c r="KSJ6" s="396"/>
      <c r="KSK6" s="396"/>
      <c r="KSL6" s="396"/>
      <c r="KSM6" s="396"/>
      <c r="KSN6" s="396"/>
      <c r="KSO6" s="396"/>
      <c r="KSP6" s="396"/>
      <c r="KSQ6" s="396"/>
      <c r="KSR6" s="396"/>
      <c r="KSS6" s="396"/>
      <c r="KST6" s="396"/>
      <c r="KSU6" s="396"/>
      <c r="KSV6" s="396"/>
      <c r="KSW6" s="396"/>
      <c r="KSX6" s="396"/>
      <c r="KSY6" s="396"/>
      <c r="KSZ6" s="396"/>
      <c r="KTA6" s="396"/>
      <c r="KTB6" s="396"/>
      <c r="KTC6" s="396"/>
      <c r="KTD6" s="396"/>
      <c r="KTE6" s="396"/>
      <c r="KTF6" s="396"/>
      <c r="KTG6" s="396"/>
      <c r="KTH6" s="396"/>
      <c r="KTI6" s="396"/>
      <c r="KTJ6" s="396"/>
      <c r="KTK6" s="396"/>
      <c r="KTL6" s="396"/>
      <c r="KTM6" s="396"/>
      <c r="KTN6" s="396"/>
      <c r="KTO6" s="396"/>
      <c r="KTP6" s="396"/>
      <c r="KTQ6" s="396"/>
      <c r="KTR6" s="396"/>
      <c r="KTS6" s="396"/>
      <c r="KTT6" s="396"/>
      <c r="KTU6" s="396"/>
      <c r="KTV6" s="396"/>
      <c r="KTW6" s="396"/>
      <c r="KTX6" s="396"/>
      <c r="KTY6" s="396"/>
      <c r="KTZ6" s="396"/>
      <c r="KUA6" s="396"/>
      <c r="KUB6" s="396"/>
      <c r="KUC6" s="396"/>
      <c r="KUD6" s="396"/>
      <c r="KUE6" s="396"/>
      <c r="KUF6" s="396"/>
      <c r="KUG6" s="396"/>
      <c r="KUH6" s="396"/>
      <c r="KUI6" s="396"/>
      <c r="KUJ6" s="396"/>
      <c r="KUK6" s="396"/>
      <c r="KUL6" s="396"/>
      <c r="KUM6" s="396"/>
      <c r="KUN6" s="396"/>
      <c r="KUO6" s="396"/>
      <c r="KUP6" s="396"/>
      <c r="KUQ6" s="396"/>
      <c r="KUR6" s="396"/>
      <c r="KUS6" s="396"/>
      <c r="KUT6" s="396"/>
      <c r="KUU6" s="396"/>
      <c r="KUV6" s="396"/>
      <c r="KUW6" s="396"/>
      <c r="KUX6" s="396"/>
      <c r="KUY6" s="396"/>
      <c r="KUZ6" s="396"/>
      <c r="KVA6" s="396"/>
      <c r="KVB6" s="396"/>
      <c r="KVC6" s="396"/>
      <c r="KVD6" s="396"/>
      <c r="KVE6" s="396"/>
      <c r="KVF6" s="396"/>
      <c r="KVG6" s="396"/>
      <c r="KVH6" s="396"/>
      <c r="KVI6" s="396"/>
      <c r="KVJ6" s="396"/>
      <c r="KVK6" s="396"/>
      <c r="KVL6" s="396"/>
      <c r="KVM6" s="396"/>
      <c r="KVN6" s="396"/>
      <c r="KVO6" s="396"/>
      <c r="KVP6" s="396"/>
      <c r="KVQ6" s="396"/>
      <c r="KVR6" s="396"/>
      <c r="KVS6" s="396"/>
      <c r="KVT6" s="396"/>
      <c r="KVU6" s="396"/>
      <c r="KVV6" s="396"/>
      <c r="KVW6" s="396"/>
      <c r="KVX6" s="396"/>
      <c r="KVY6" s="396"/>
      <c r="KVZ6" s="396"/>
      <c r="KWA6" s="396"/>
      <c r="KWB6" s="396"/>
      <c r="KWC6" s="396"/>
      <c r="KWD6" s="396"/>
      <c r="KWE6" s="396"/>
      <c r="KWF6" s="396"/>
      <c r="KWG6" s="396"/>
      <c r="KWH6" s="396"/>
      <c r="KWI6" s="396"/>
      <c r="KWJ6" s="396"/>
      <c r="KWK6" s="396"/>
      <c r="KWL6" s="396"/>
      <c r="KWM6" s="396"/>
      <c r="KWN6" s="396"/>
      <c r="KWO6" s="396"/>
      <c r="KWP6" s="396"/>
      <c r="KWQ6" s="396"/>
      <c r="KWR6" s="396"/>
      <c r="KWS6" s="396"/>
      <c r="KWT6" s="396"/>
      <c r="KWU6" s="396"/>
      <c r="KWV6" s="396"/>
      <c r="KWW6" s="396"/>
      <c r="KWX6" s="396"/>
      <c r="KWY6" s="396"/>
      <c r="KWZ6" s="396"/>
      <c r="KXA6" s="396"/>
      <c r="KXB6" s="396"/>
      <c r="KXC6" s="396"/>
      <c r="KXD6" s="396"/>
      <c r="KXE6" s="396"/>
      <c r="KXF6" s="396"/>
      <c r="KXG6" s="396"/>
      <c r="KXH6" s="396"/>
      <c r="KXI6" s="396"/>
      <c r="KXJ6" s="396"/>
      <c r="KXK6" s="396"/>
      <c r="KXL6" s="396"/>
      <c r="KXM6" s="396"/>
      <c r="KXN6" s="396"/>
      <c r="KXO6" s="396"/>
      <c r="KXP6" s="396"/>
      <c r="KXQ6" s="396"/>
      <c r="KXR6" s="396"/>
      <c r="KXS6" s="396"/>
      <c r="KXT6" s="396"/>
      <c r="KXU6" s="396"/>
      <c r="KXV6" s="396"/>
      <c r="KXW6" s="396"/>
      <c r="KXX6" s="396"/>
      <c r="KXY6" s="396"/>
      <c r="KXZ6" s="396"/>
      <c r="KYA6" s="396"/>
      <c r="KYB6" s="396"/>
      <c r="KYC6" s="396"/>
      <c r="KYD6" s="396"/>
      <c r="KYE6" s="396"/>
      <c r="KYF6" s="396"/>
      <c r="KYG6" s="396"/>
      <c r="KYH6" s="396"/>
      <c r="KYI6" s="396"/>
      <c r="KYJ6" s="396"/>
      <c r="KYK6" s="396"/>
      <c r="KYL6" s="396"/>
      <c r="KYM6" s="396"/>
      <c r="KYN6" s="396"/>
      <c r="KYO6" s="396"/>
      <c r="KYP6" s="396"/>
      <c r="KYQ6" s="396"/>
      <c r="KYR6" s="396"/>
      <c r="KYS6" s="396"/>
      <c r="KYT6" s="396"/>
      <c r="KYU6" s="396"/>
      <c r="KYV6" s="396"/>
      <c r="KYW6" s="396"/>
      <c r="KYX6" s="396"/>
      <c r="KYY6" s="396"/>
      <c r="KYZ6" s="396"/>
      <c r="KZA6" s="396"/>
      <c r="KZB6" s="396"/>
      <c r="KZC6" s="396"/>
      <c r="KZD6" s="396"/>
      <c r="KZE6" s="396"/>
      <c r="KZF6" s="396"/>
      <c r="KZG6" s="396"/>
      <c r="KZH6" s="396"/>
      <c r="KZI6" s="396"/>
      <c r="KZJ6" s="396"/>
      <c r="KZK6" s="396"/>
      <c r="KZL6" s="396"/>
      <c r="KZM6" s="396"/>
      <c r="KZN6" s="396"/>
      <c r="KZO6" s="396"/>
      <c r="KZP6" s="396"/>
      <c r="KZQ6" s="396"/>
      <c r="KZR6" s="396"/>
      <c r="KZS6" s="396"/>
      <c r="KZT6" s="396"/>
      <c r="KZU6" s="396"/>
      <c r="KZV6" s="396"/>
      <c r="KZW6" s="396"/>
      <c r="KZX6" s="396"/>
      <c r="KZY6" s="396"/>
      <c r="KZZ6" s="396"/>
      <c r="LAA6" s="396"/>
      <c r="LAB6" s="396"/>
      <c r="LAC6" s="396"/>
      <c r="LAD6" s="396"/>
      <c r="LAE6" s="396"/>
      <c r="LAF6" s="396"/>
      <c r="LAG6" s="396"/>
      <c r="LAH6" s="396"/>
      <c r="LAI6" s="396"/>
      <c r="LAJ6" s="396"/>
      <c r="LAK6" s="396"/>
      <c r="LAL6" s="396"/>
      <c r="LAM6" s="396"/>
      <c r="LAN6" s="396"/>
      <c r="LAO6" s="396"/>
      <c r="LAP6" s="396"/>
      <c r="LAQ6" s="396"/>
      <c r="LAR6" s="396"/>
      <c r="LAS6" s="396"/>
      <c r="LAT6" s="396"/>
      <c r="LAU6" s="396"/>
      <c r="LAV6" s="396"/>
      <c r="LAW6" s="396"/>
      <c r="LAX6" s="396"/>
      <c r="LAY6" s="396"/>
      <c r="LAZ6" s="396"/>
      <c r="LBA6" s="396"/>
      <c r="LBB6" s="396"/>
      <c r="LBC6" s="396"/>
      <c r="LBD6" s="396"/>
      <c r="LBE6" s="396"/>
      <c r="LBF6" s="396"/>
      <c r="LBG6" s="396"/>
      <c r="LBH6" s="396"/>
      <c r="LBI6" s="396"/>
      <c r="LBJ6" s="396"/>
      <c r="LBK6" s="396"/>
      <c r="LBL6" s="396"/>
      <c r="LBM6" s="396"/>
      <c r="LBN6" s="396"/>
      <c r="LBO6" s="396"/>
      <c r="LBP6" s="396"/>
      <c r="LBQ6" s="396"/>
      <c r="LBR6" s="396"/>
      <c r="LBS6" s="396"/>
      <c r="LBT6" s="396"/>
      <c r="LBU6" s="396"/>
      <c r="LBV6" s="396"/>
      <c r="LBW6" s="396"/>
      <c r="LBX6" s="396"/>
      <c r="LBY6" s="396"/>
      <c r="LBZ6" s="396"/>
      <c r="LCA6" s="396"/>
      <c r="LCB6" s="396"/>
      <c r="LCC6" s="396"/>
      <c r="LCD6" s="396"/>
      <c r="LCE6" s="396"/>
      <c r="LCF6" s="396"/>
      <c r="LCG6" s="396"/>
      <c r="LCH6" s="396"/>
      <c r="LCI6" s="396"/>
      <c r="LCJ6" s="396"/>
      <c r="LCK6" s="396"/>
      <c r="LCL6" s="396"/>
      <c r="LCM6" s="396"/>
      <c r="LCN6" s="396"/>
      <c r="LCO6" s="396"/>
      <c r="LCP6" s="396"/>
      <c r="LCQ6" s="396"/>
      <c r="LCR6" s="396"/>
      <c r="LCS6" s="396"/>
      <c r="LCT6" s="396"/>
      <c r="LCU6" s="396"/>
      <c r="LCV6" s="396"/>
      <c r="LCW6" s="396"/>
      <c r="LCX6" s="396"/>
      <c r="LCY6" s="396"/>
      <c r="LCZ6" s="396"/>
      <c r="LDA6" s="396"/>
      <c r="LDB6" s="396"/>
      <c r="LDC6" s="396"/>
      <c r="LDD6" s="396"/>
      <c r="LDE6" s="396"/>
      <c r="LDF6" s="396"/>
      <c r="LDG6" s="396"/>
      <c r="LDH6" s="396"/>
      <c r="LDI6" s="396"/>
      <c r="LDJ6" s="396"/>
      <c r="LDK6" s="396"/>
      <c r="LDL6" s="396"/>
      <c r="LDM6" s="396"/>
      <c r="LDN6" s="396"/>
      <c r="LDO6" s="396"/>
      <c r="LDP6" s="396"/>
      <c r="LDQ6" s="396"/>
      <c r="LDR6" s="396"/>
      <c r="LDS6" s="396"/>
      <c r="LDT6" s="396"/>
      <c r="LDU6" s="396"/>
      <c r="LDV6" s="396"/>
      <c r="LDW6" s="396"/>
      <c r="LDX6" s="396"/>
      <c r="LDY6" s="396"/>
      <c r="LDZ6" s="396"/>
      <c r="LEA6" s="396"/>
      <c r="LEB6" s="396"/>
      <c r="LEC6" s="396"/>
      <c r="LED6" s="396"/>
      <c r="LEE6" s="396"/>
      <c r="LEF6" s="396"/>
      <c r="LEG6" s="396"/>
      <c r="LEH6" s="396"/>
      <c r="LEI6" s="396"/>
      <c r="LEJ6" s="396"/>
      <c r="LEK6" s="396"/>
      <c r="LEL6" s="396"/>
      <c r="LEM6" s="396"/>
      <c r="LEN6" s="396"/>
      <c r="LEO6" s="396"/>
      <c r="LEP6" s="396"/>
      <c r="LEQ6" s="396"/>
      <c r="LER6" s="396"/>
      <c r="LES6" s="396"/>
      <c r="LET6" s="396"/>
      <c r="LEU6" s="396"/>
      <c r="LEV6" s="396"/>
      <c r="LEW6" s="396"/>
      <c r="LEX6" s="396"/>
      <c r="LEY6" s="396"/>
      <c r="LEZ6" s="396"/>
      <c r="LFA6" s="396"/>
      <c r="LFB6" s="396"/>
      <c r="LFC6" s="396"/>
      <c r="LFD6" s="396"/>
      <c r="LFE6" s="396"/>
      <c r="LFF6" s="396"/>
      <c r="LFG6" s="396"/>
      <c r="LFH6" s="396"/>
      <c r="LFI6" s="396"/>
      <c r="LFJ6" s="396"/>
      <c r="LFK6" s="396"/>
      <c r="LFL6" s="396"/>
      <c r="LFM6" s="396"/>
      <c r="LFN6" s="396"/>
      <c r="LFO6" s="396"/>
      <c r="LFP6" s="396"/>
      <c r="LFQ6" s="396"/>
      <c r="LFR6" s="396"/>
      <c r="LFS6" s="396"/>
      <c r="LFT6" s="396"/>
      <c r="LFU6" s="396"/>
      <c r="LFV6" s="396"/>
      <c r="LFW6" s="396"/>
      <c r="LFX6" s="396"/>
      <c r="LFY6" s="396"/>
      <c r="LFZ6" s="396"/>
      <c r="LGA6" s="396"/>
      <c r="LGB6" s="396"/>
      <c r="LGC6" s="396"/>
      <c r="LGD6" s="396"/>
      <c r="LGE6" s="396"/>
      <c r="LGF6" s="396"/>
      <c r="LGG6" s="396"/>
      <c r="LGH6" s="396"/>
      <c r="LGI6" s="396"/>
      <c r="LGJ6" s="396"/>
      <c r="LGK6" s="396"/>
      <c r="LGL6" s="396"/>
      <c r="LGM6" s="396"/>
      <c r="LGN6" s="396"/>
      <c r="LGO6" s="396"/>
      <c r="LGP6" s="396"/>
      <c r="LGQ6" s="396"/>
      <c r="LGR6" s="396"/>
      <c r="LGS6" s="396"/>
      <c r="LGT6" s="396"/>
      <c r="LGU6" s="396"/>
      <c r="LGV6" s="396"/>
      <c r="LGW6" s="396"/>
      <c r="LGX6" s="396"/>
      <c r="LGY6" s="396"/>
      <c r="LGZ6" s="396"/>
      <c r="LHA6" s="396"/>
      <c r="LHB6" s="396"/>
      <c r="LHC6" s="396"/>
      <c r="LHD6" s="396"/>
      <c r="LHE6" s="396"/>
      <c r="LHF6" s="396"/>
      <c r="LHG6" s="396"/>
      <c r="LHH6" s="396"/>
      <c r="LHI6" s="396"/>
      <c r="LHJ6" s="396"/>
      <c r="LHK6" s="396"/>
      <c r="LHL6" s="396"/>
      <c r="LHM6" s="396"/>
      <c r="LHN6" s="396"/>
      <c r="LHO6" s="396"/>
      <c r="LHP6" s="396"/>
      <c r="LHQ6" s="396"/>
      <c r="LHR6" s="396"/>
      <c r="LHS6" s="396"/>
      <c r="LHT6" s="396"/>
      <c r="LHU6" s="396"/>
      <c r="LHV6" s="396"/>
      <c r="LHW6" s="396"/>
      <c r="LHX6" s="396"/>
      <c r="LHY6" s="396"/>
      <c r="LHZ6" s="396"/>
      <c r="LIA6" s="396"/>
      <c r="LIB6" s="396"/>
      <c r="LIC6" s="396"/>
      <c r="LID6" s="396"/>
      <c r="LIE6" s="396"/>
      <c r="LIF6" s="396"/>
      <c r="LIG6" s="396"/>
      <c r="LIH6" s="396"/>
      <c r="LII6" s="396"/>
      <c r="LIJ6" s="396"/>
      <c r="LIK6" s="396"/>
      <c r="LIL6" s="396"/>
      <c r="LIM6" s="396"/>
      <c r="LIN6" s="396"/>
      <c r="LIO6" s="396"/>
      <c r="LIP6" s="396"/>
      <c r="LIQ6" s="396"/>
      <c r="LIR6" s="396"/>
      <c r="LIS6" s="396"/>
      <c r="LIT6" s="396"/>
      <c r="LIU6" s="396"/>
      <c r="LIV6" s="396"/>
      <c r="LIW6" s="396"/>
      <c r="LIX6" s="396"/>
      <c r="LIY6" s="396"/>
      <c r="LIZ6" s="396"/>
      <c r="LJA6" s="396"/>
      <c r="LJB6" s="396"/>
      <c r="LJC6" s="396"/>
      <c r="LJD6" s="396"/>
      <c r="LJE6" s="396"/>
      <c r="LJF6" s="396"/>
      <c r="LJG6" s="396"/>
      <c r="LJH6" s="396"/>
      <c r="LJI6" s="396"/>
      <c r="LJJ6" s="396"/>
      <c r="LJK6" s="396"/>
      <c r="LJL6" s="396"/>
      <c r="LJM6" s="396"/>
      <c r="LJN6" s="396"/>
      <c r="LJO6" s="396"/>
      <c r="LJP6" s="396"/>
      <c r="LJQ6" s="396"/>
      <c r="LJR6" s="396"/>
      <c r="LJS6" s="396"/>
      <c r="LJT6" s="396"/>
      <c r="LJU6" s="396"/>
      <c r="LJV6" s="396"/>
      <c r="LJW6" s="396"/>
      <c r="LJX6" s="396"/>
      <c r="LJY6" s="396"/>
      <c r="LJZ6" s="396"/>
      <c r="LKA6" s="396"/>
      <c r="LKB6" s="396"/>
      <c r="LKC6" s="396"/>
      <c r="LKD6" s="396"/>
      <c r="LKE6" s="396"/>
      <c r="LKF6" s="396"/>
      <c r="LKG6" s="396"/>
      <c r="LKH6" s="396"/>
      <c r="LKI6" s="396"/>
      <c r="LKJ6" s="396"/>
      <c r="LKK6" s="396"/>
      <c r="LKL6" s="396"/>
      <c r="LKM6" s="396"/>
      <c r="LKN6" s="396"/>
      <c r="LKO6" s="396"/>
      <c r="LKP6" s="396"/>
      <c r="LKQ6" s="396"/>
      <c r="LKR6" s="396"/>
      <c r="LKS6" s="396"/>
      <c r="LKT6" s="396"/>
      <c r="LKU6" s="396"/>
      <c r="LKV6" s="396"/>
      <c r="LKW6" s="396"/>
      <c r="LKX6" s="396"/>
      <c r="LKY6" s="396"/>
      <c r="LKZ6" s="396"/>
      <c r="LLA6" s="396"/>
      <c r="LLB6" s="396"/>
      <c r="LLC6" s="396"/>
      <c r="LLD6" s="396"/>
      <c r="LLE6" s="396"/>
      <c r="LLF6" s="396"/>
      <c r="LLG6" s="396"/>
      <c r="LLH6" s="396"/>
      <c r="LLI6" s="396"/>
      <c r="LLJ6" s="396"/>
      <c r="LLK6" s="396"/>
      <c r="LLL6" s="396"/>
      <c r="LLM6" s="396"/>
      <c r="LLN6" s="396"/>
      <c r="LLO6" s="396"/>
      <c r="LLP6" s="396"/>
      <c r="LLQ6" s="396"/>
      <c r="LLR6" s="396"/>
      <c r="LLS6" s="396"/>
      <c r="LLT6" s="396"/>
      <c r="LLU6" s="396"/>
      <c r="LLV6" s="396"/>
      <c r="LLW6" s="396"/>
      <c r="LLX6" s="396"/>
      <c r="LLY6" s="396"/>
      <c r="LLZ6" s="396"/>
      <c r="LMA6" s="396"/>
      <c r="LMB6" s="396"/>
      <c r="LMC6" s="396"/>
      <c r="LMD6" s="396"/>
      <c r="LME6" s="396"/>
      <c r="LMF6" s="396"/>
      <c r="LMG6" s="396"/>
      <c r="LMH6" s="396"/>
      <c r="LMI6" s="396"/>
      <c r="LMJ6" s="396"/>
      <c r="LMK6" s="396"/>
      <c r="LML6" s="396"/>
      <c r="LMM6" s="396"/>
      <c r="LMN6" s="396"/>
      <c r="LMO6" s="396"/>
      <c r="LMP6" s="396"/>
      <c r="LMQ6" s="396"/>
      <c r="LMR6" s="396"/>
      <c r="LMS6" s="396"/>
      <c r="LMT6" s="396"/>
      <c r="LMU6" s="396"/>
      <c r="LMV6" s="396"/>
      <c r="LMW6" s="396"/>
      <c r="LMX6" s="396"/>
      <c r="LMY6" s="396"/>
      <c r="LMZ6" s="396"/>
      <c r="LNA6" s="396"/>
      <c r="LNB6" s="396"/>
      <c r="LNC6" s="396"/>
      <c r="LND6" s="396"/>
      <c r="LNE6" s="396"/>
      <c r="LNF6" s="396"/>
      <c r="LNG6" s="396"/>
      <c r="LNH6" s="396"/>
      <c r="LNI6" s="396"/>
      <c r="LNJ6" s="396"/>
      <c r="LNK6" s="396"/>
      <c r="LNL6" s="396"/>
      <c r="LNM6" s="396"/>
      <c r="LNN6" s="396"/>
      <c r="LNO6" s="396"/>
      <c r="LNP6" s="396"/>
      <c r="LNQ6" s="396"/>
      <c r="LNR6" s="396"/>
      <c r="LNS6" s="396"/>
      <c r="LNT6" s="396"/>
      <c r="LNU6" s="396"/>
      <c r="LNV6" s="396"/>
      <c r="LNW6" s="396"/>
      <c r="LNX6" s="396"/>
      <c r="LNY6" s="396"/>
      <c r="LNZ6" s="396"/>
      <c r="LOA6" s="396"/>
      <c r="LOB6" s="396"/>
      <c r="LOC6" s="396"/>
      <c r="LOD6" s="396"/>
      <c r="LOE6" s="396"/>
      <c r="LOF6" s="396"/>
      <c r="LOG6" s="396"/>
      <c r="LOH6" s="396"/>
      <c r="LOI6" s="396"/>
      <c r="LOJ6" s="396"/>
      <c r="LOK6" s="396"/>
      <c r="LOL6" s="396"/>
      <c r="LOM6" s="396"/>
      <c r="LON6" s="396"/>
      <c r="LOO6" s="396"/>
      <c r="LOP6" s="396"/>
      <c r="LOQ6" s="396"/>
      <c r="LOR6" s="396"/>
      <c r="LOS6" s="396"/>
      <c r="LOT6" s="396"/>
      <c r="LOU6" s="396"/>
      <c r="LOV6" s="396"/>
      <c r="LOW6" s="396"/>
      <c r="LOX6" s="396"/>
      <c r="LOY6" s="396"/>
      <c r="LOZ6" s="396"/>
      <c r="LPA6" s="396"/>
      <c r="LPB6" s="396"/>
      <c r="LPC6" s="396"/>
      <c r="LPD6" s="396"/>
      <c r="LPE6" s="396"/>
      <c r="LPF6" s="396"/>
      <c r="LPG6" s="396"/>
      <c r="LPH6" s="396"/>
      <c r="LPI6" s="396"/>
      <c r="LPJ6" s="396"/>
      <c r="LPK6" s="396"/>
      <c r="LPL6" s="396"/>
      <c r="LPM6" s="396"/>
      <c r="LPN6" s="396"/>
      <c r="LPO6" s="396"/>
      <c r="LPP6" s="396"/>
      <c r="LPQ6" s="396"/>
      <c r="LPR6" s="396"/>
      <c r="LPS6" s="396"/>
      <c r="LPT6" s="396"/>
      <c r="LPU6" s="396"/>
      <c r="LPV6" s="396"/>
      <c r="LPW6" s="396"/>
      <c r="LPX6" s="396"/>
      <c r="LPY6" s="396"/>
      <c r="LPZ6" s="396"/>
      <c r="LQA6" s="396"/>
      <c r="LQB6" s="396"/>
      <c r="LQC6" s="396"/>
      <c r="LQD6" s="396"/>
      <c r="LQE6" s="396"/>
      <c r="LQF6" s="396"/>
      <c r="LQG6" s="396"/>
      <c r="LQH6" s="396"/>
      <c r="LQI6" s="396"/>
      <c r="LQJ6" s="396"/>
      <c r="LQK6" s="396"/>
      <c r="LQL6" s="396"/>
      <c r="LQM6" s="396"/>
      <c r="LQN6" s="396"/>
      <c r="LQO6" s="396"/>
      <c r="LQP6" s="396"/>
      <c r="LQQ6" s="396"/>
      <c r="LQR6" s="396"/>
      <c r="LQS6" s="396"/>
      <c r="LQT6" s="396"/>
      <c r="LQU6" s="396"/>
      <c r="LQV6" s="396"/>
      <c r="LQW6" s="396"/>
      <c r="LQX6" s="396"/>
      <c r="LQY6" s="396"/>
      <c r="LQZ6" s="396"/>
      <c r="LRA6" s="396"/>
      <c r="LRB6" s="396"/>
      <c r="LRC6" s="396"/>
      <c r="LRD6" s="396"/>
      <c r="LRE6" s="396"/>
      <c r="LRF6" s="396"/>
      <c r="LRG6" s="396"/>
      <c r="LRH6" s="396"/>
      <c r="LRI6" s="396"/>
      <c r="LRJ6" s="396"/>
      <c r="LRK6" s="396"/>
      <c r="LRL6" s="396"/>
      <c r="LRM6" s="396"/>
      <c r="LRN6" s="396"/>
      <c r="LRO6" s="396"/>
      <c r="LRP6" s="396"/>
      <c r="LRQ6" s="396"/>
      <c r="LRR6" s="396"/>
      <c r="LRS6" s="396"/>
      <c r="LRT6" s="396"/>
      <c r="LRU6" s="396"/>
      <c r="LRV6" s="396"/>
      <c r="LRW6" s="396"/>
      <c r="LRX6" s="396"/>
      <c r="LRY6" s="396"/>
      <c r="LRZ6" s="396"/>
      <c r="LSA6" s="396"/>
      <c r="LSB6" s="396"/>
      <c r="LSC6" s="396"/>
      <c r="LSD6" s="396"/>
      <c r="LSE6" s="396"/>
      <c r="LSF6" s="396"/>
      <c r="LSG6" s="396"/>
      <c r="LSH6" s="396"/>
      <c r="LSI6" s="396"/>
      <c r="LSJ6" s="396"/>
      <c r="LSK6" s="396"/>
      <c r="LSL6" s="396"/>
      <c r="LSM6" s="396"/>
      <c r="LSN6" s="396"/>
      <c r="LSO6" s="396"/>
      <c r="LSP6" s="396"/>
      <c r="LSQ6" s="396"/>
      <c r="LSR6" s="396"/>
      <c r="LSS6" s="396"/>
      <c r="LST6" s="396"/>
      <c r="LSU6" s="396"/>
      <c r="LSV6" s="396"/>
      <c r="LSW6" s="396"/>
      <c r="LSX6" s="396"/>
      <c r="LSY6" s="396"/>
      <c r="LSZ6" s="396"/>
      <c r="LTA6" s="396"/>
      <c r="LTB6" s="396"/>
      <c r="LTC6" s="396"/>
      <c r="LTD6" s="396"/>
      <c r="LTE6" s="396"/>
      <c r="LTF6" s="396"/>
      <c r="LTG6" s="396"/>
      <c r="LTH6" s="396"/>
      <c r="LTI6" s="396"/>
      <c r="LTJ6" s="396"/>
      <c r="LTK6" s="396"/>
      <c r="LTL6" s="396"/>
      <c r="LTM6" s="396"/>
      <c r="LTN6" s="396"/>
      <c r="LTO6" s="396"/>
      <c r="LTP6" s="396"/>
      <c r="LTQ6" s="396"/>
      <c r="LTR6" s="396"/>
      <c r="LTS6" s="396"/>
      <c r="LTT6" s="396"/>
      <c r="LTU6" s="396"/>
      <c r="LTV6" s="396"/>
      <c r="LTW6" s="396"/>
      <c r="LTX6" s="396"/>
      <c r="LTY6" s="396"/>
      <c r="LTZ6" s="396"/>
      <c r="LUA6" s="396"/>
      <c r="LUB6" s="396"/>
      <c r="LUC6" s="396"/>
      <c r="LUD6" s="396"/>
      <c r="LUE6" s="396"/>
      <c r="LUF6" s="396"/>
      <c r="LUG6" s="396"/>
      <c r="LUH6" s="396"/>
      <c r="LUI6" s="396"/>
      <c r="LUJ6" s="396"/>
      <c r="LUK6" s="396"/>
      <c r="LUL6" s="396"/>
      <c r="LUM6" s="396"/>
      <c r="LUN6" s="396"/>
      <c r="LUO6" s="396"/>
      <c r="LUP6" s="396"/>
      <c r="LUQ6" s="396"/>
      <c r="LUR6" s="396"/>
      <c r="LUS6" s="396"/>
      <c r="LUT6" s="396"/>
      <c r="LUU6" s="396"/>
      <c r="LUV6" s="396"/>
      <c r="LUW6" s="396"/>
      <c r="LUX6" s="396"/>
      <c r="LUY6" s="396"/>
      <c r="LUZ6" s="396"/>
      <c r="LVA6" s="396"/>
      <c r="LVB6" s="396"/>
      <c r="LVC6" s="396"/>
      <c r="LVD6" s="396"/>
      <c r="LVE6" s="396"/>
      <c r="LVF6" s="396"/>
      <c r="LVG6" s="396"/>
      <c r="LVH6" s="396"/>
      <c r="LVI6" s="396"/>
      <c r="LVJ6" s="396"/>
      <c r="LVK6" s="396"/>
      <c r="LVL6" s="396"/>
      <c r="LVM6" s="396"/>
      <c r="LVN6" s="396"/>
      <c r="LVO6" s="396"/>
      <c r="LVP6" s="396"/>
      <c r="LVQ6" s="396"/>
      <c r="LVR6" s="396"/>
      <c r="LVS6" s="396"/>
      <c r="LVT6" s="396"/>
      <c r="LVU6" s="396"/>
      <c r="LVV6" s="396"/>
      <c r="LVW6" s="396"/>
      <c r="LVX6" s="396"/>
      <c r="LVY6" s="396"/>
      <c r="LVZ6" s="396"/>
      <c r="LWA6" s="396"/>
      <c r="LWB6" s="396"/>
      <c r="LWC6" s="396"/>
      <c r="LWD6" s="396"/>
      <c r="LWE6" s="396"/>
      <c r="LWF6" s="396"/>
      <c r="LWG6" s="396"/>
      <c r="LWH6" s="396"/>
      <c r="LWI6" s="396"/>
      <c r="LWJ6" s="396"/>
      <c r="LWK6" s="396"/>
      <c r="LWL6" s="396"/>
      <c r="LWM6" s="396"/>
      <c r="LWN6" s="396"/>
      <c r="LWO6" s="396"/>
      <c r="LWP6" s="396"/>
      <c r="LWQ6" s="396"/>
      <c r="LWR6" s="396"/>
      <c r="LWS6" s="396"/>
      <c r="LWT6" s="396"/>
      <c r="LWU6" s="396"/>
      <c r="LWV6" s="396"/>
      <c r="LWW6" s="396"/>
      <c r="LWX6" s="396"/>
      <c r="LWY6" s="396"/>
      <c r="LWZ6" s="396"/>
      <c r="LXA6" s="396"/>
      <c r="LXB6" s="396"/>
      <c r="LXC6" s="396"/>
      <c r="LXD6" s="396"/>
      <c r="LXE6" s="396"/>
      <c r="LXF6" s="396"/>
      <c r="LXG6" s="396"/>
      <c r="LXH6" s="396"/>
      <c r="LXI6" s="396"/>
      <c r="LXJ6" s="396"/>
      <c r="LXK6" s="396"/>
      <c r="LXL6" s="396"/>
      <c r="LXM6" s="396"/>
      <c r="LXN6" s="396"/>
      <c r="LXO6" s="396"/>
      <c r="LXP6" s="396"/>
      <c r="LXQ6" s="396"/>
      <c r="LXR6" s="396"/>
      <c r="LXS6" s="396"/>
      <c r="LXT6" s="396"/>
      <c r="LXU6" s="396"/>
      <c r="LXV6" s="396"/>
      <c r="LXW6" s="396"/>
      <c r="LXX6" s="396"/>
      <c r="LXY6" s="396"/>
      <c r="LXZ6" s="396"/>
      <c r="LYA6" s="396"/>
      <c r="LYB6" s="396"/>
      <c r="LYC6" s="396"/>
      <c r="LYD6" s="396"/>
      <c r="LYE6" s="396"/>
      <c r="LYF6" s="396"/>
      <c r="LYG6" s="396"/>
      <c r="LYH6" s="396"/>
      <c r="LYI6" s="396"/>
      <c r="LYJ6" s="396"/>
      <c r="LYK6" s="396"/>
      <c r="LYL6" s="396"/>
      <c r="LYM6" s="396"/>
      <c r="LYN6" s="396"/>
      <c r="LYO6" s="396"/>
      <c r="LYP6" s="396"/>
      <c r="LYQ6" s="396"/>
      <c r="LYR6" s="396"/>
      <c r="LYS6" s="396"/>
      <c r="LYT6" s="396"/>
      <c r="LYU6" s="396"/>
      <c r="LYV6" s="396"/>
      <c r="LYW6" s="396"/>
      <c r="LYX6" s="396"/>
      <c r="LYY6" s="396"/>
      <c r="LYZ6" s="396"/>
      <c r="LZA6" s="396"/>
      <c r="LZB6" s="396"/>
      <c r="LZC6" s="396"/>
      <c r="LZD6" s="396"/>
      <c r="LZE6" s="396"/>
      <c r="LZF6" s="396"/>
      <c r="LZG6" s="396"/>
      <c r="LZH6" s="396"/>
      <c r="LZI6" s="396"/>
      <c r="LZJ6" s="396"/>
      <c r="LZK6" s="396"/>
      <c r="LZL6" s="396"/>
      <c r="LZM6" s="396"/>
      <c r="LZN6" s="396"/>
      <c r="LZO6" s="396"/>
      <c r="LZP6" s="396"/>
      <c r="LZQ6" s="396"/>
      <c r="LZR6" s="396"/>
      <c r="LZS6" s="396"/>
      <c r="LZT6" s="396"/>
      <c r="LZU6" s="396"/>
      <c r="LZV6" s="396"/>
      <c r="LZW6" s="396"/>
      <c r="LZX6" s="396"/>
      <c r="LZY6" s="396"/>
      <c r="LZZ6" s="396"/>
      <c r="MAA6" s="396"/>
      <c r="MAB6" s="396"/>
      <c r="MAC6" s="396"/>
      <c r="MAD6" s="396"/>
      <c r="MAE6" s="396"/>
      <c r="MAF6" s="396"/>
      <c r="MAG6" s="396"/>
      <c r="MAH6" s="396"/>
      <c r="MAI6" s="396"/>
      <c r="MAJ6" s="396"/>
      <c r="MAK6" s="396"/>
      <c r="MAL6" s="396"/>
      <c r="MAM6" s="396"/>
      <c r="MAN6" s="396"/>
      <c r="MAO6" s="396"/>
      <c r="MAP6" s="396"/>
      <c r="MAQ6" s="396"/>
      <c r="MAR6" s="396"/>
      <c r="MAS6" s="396"/>
      <c r="MAT6" s="396"/>
      <c r="MAU6" s="396"/>
      <c r="MAV6" s="396"/>
      <c r="MAW6" s="396"/>
      <c r="MAX6" s="396"/>
      <c r="MAY6" s="396"/>
      <c r="MAZ6" s="396"/>
      <c r="MBA6" s="396"/>
      <c r="MBB6" s="396"/>
      <c r="MBC6" s="396"/>
      <c r="MBD6" s="396"/>
      <c r="MBE6" s="396"/>
      <c r="MBF6" s="396"/>
      <c r="MBG6" s="396"/>
      <c r="MBH6" s="396"/>
      <c r="MBI6" s="396"/>
      <c r="MBJ6" s="396"/>
      <c r="MBK6" s="396"/>
      <c r="MBL6" s="396"/>
      <c r="MBM6" s="396"/>
      <c r="MBN6" s="396"/>
      <c r="MBO6" s="396"/>
      <c r="MBP6" s="396"/>
      <c r="MBQ6" s="396"/>
      <c r="MBR6" s="396"/>
      <c r="MBS6" s="396"/>
      <c r="MBT6" s="396"/>
      <c r="MBU6" s="396"/>
      <c r="MBV6" s="396"/>
      <c r="MBW6" s="396"/>
      <c r="MBX6" s="396"/>
      <c r="MBY6" s="396"/>
      <c r="MBZ6" s="396"/>
      <c r="MCA6" s="396"/>
      <c r="MCB6" s="396"/>
      <c r="MCC6" s="396"/>
      <c r="MCD6" s="396"/>
      <c r="MCE6" s="396"/>
      <c r="MCF6" s="396"/>
      <c r="MCG6" s="396"/>
      <c r="MCH6" s="396"/>
      <c r="MCI6" s="396"/>
      <c r="MCJ6" s="396"/>
      <c r="MCK6" s="396"/>
      <c r="MCL6" s="396"/>
      <c r="MCM6" s="396"/>
      <c r="MCN6" s="396"/>
      <c r="MCO6" s="396"/>
      <c r="MCP6" s="396"/>
      <c r="MCQ6" s="396"/>
      <c r="MCR6" s="396"/>
      <c r="MCS6" s="396"/>
      <c r="MCT6" s="396"/>
      <c r="MCU6" s="396"/>
      <c r="MCV6" s="396"/>
      <c r="MCW6" s="396"/>
      <c r="MCX6" s="396"/>
      <c r="MCY6" s="396"/>
      <c r="MCZ6" s="396"/>
      <c r="MDA6" s="396"/>
      <c r="MDB6" s="396"/>
      <c r="MDC6" s="396"/>
      <c r="MDD6" s="396"/>
      <c r="MDE6" s="396"/>
      <c r="MDF6" s="396"/>
      <c r="MDG6" s="396"/>
      <c r="MDH6" s="396"/>
      <c r="MDI6" s="396"/>
      <c r="MDJ6" s="396"/>
      <c r="MDK6" s="396"/>
      <c r="MDL6" s="396"/>
      <c r="MDM6" s="396"/>
      <c r="MDN6" s="396"/>
      <c r="MDO6" s="396"/>
      <c r="MDP6" s="396"/>
      <c r="MDQ6" s="396"/>
      <c r="MDR6" s="396"/>
      <c r="MDS6" s="396"/>
      <c r="MDT6" s="396"/>
      <c r="MDU6" s="396"/>
      <c r="MDV6" s="396"/>
      <c r="MDW6" s="396"/>
      <c r="MDX6" s="396"/>
      <c r="MDY6" s="396"/>
      <c r="MDZ6" s="396"/>
      <c r="MEA6" s="396"/>
      <c r="MEB6" s="396"/>
      <c r="MEC6" s="396"/>
      <c r="MED6" s="396"/>
      <c r="MEE6" s="396"/>
      <c r="MEF6" s="396"/>
      <c r="MEG6" s="396"/>
      <c r="MEH6" s="396"/>
      <c r="MEI6" s="396"/>
      <c r="MEJ6" s="396"/>
      <c r="MEK6" s="396"/>
      <c r="MEL6" s="396"/>
      <c r="MEM6" s="396"/>
      <c r="MEN6" s="396"/>
      <c r="MEO6" s="396"/>
      <c r="MEP6" s="396"/>
      <c r="MEQ6" s="396"/>
      <c r="MER6" s="396"/>
      <c r="MES6" s="396"/>
      <c r="MET6" s="396"/>
      <c r="MEU6" s="396"/>
      <c r="MEV6" s="396"/>
      <c r="MEW6" s="396"/>
      <c r="MEX6" s="396"/>
      <c r="MEY6" s="396"/>
      <c r="MEZ6" s="396"/>
      <c r="MFA6" s="396"/>
      <c r="MFB6" s="396"/>
      <c r="MFC6" s="396"/>
      <c r="MFD6" s="396"/>
      <c r="MFE6" s="396"/>
      <c r="MFF6" s="396"/>
      <c r="MFG6" s="396"/>
      <c r="MFH6" s="396"/>
      <c r="MFI6" s="396"/>
      <c r="MFJ6" s="396"/>
      <c r="MFK6" s="396"/>
      <c r="MFL6" s="396"/>
      <c r="MFM6" s="396"/>
      <c r="MFN6" s="396"/>
      <c r="MFO6" s="396"/>
      <c r="MFP6" s="396"/>
      <c r="MFQ6" s="396"/>
      <c r="MFR6" s="396"/>
      <c r="MFS6" s="396"/>
      <c r="MFT6" s="396"/>
      <c r="MFU6" s="396"/>
      <c r="MFV6" s="396"/>
      <c r="MFW6" s="396"/>
      <c r="MFX6" s="396"/>
      <c r="MFY6" s="396"/>
      <c r="MFZ6" s="396"/>
      <c r="MGA6" s="396"/>
      <c r="MGB6" s="396"/>
      <c r="MGC6" s="396"/>
      <c r="MGD6" s="396"/>
      <c r="MGE6" s="396"/>
      <c r="MGF6" s="396"/>
      <c r="MGG6" s="396"/>
      <c r="MGH6" s="396"/>
      <c r="MGI6" s="396"/>
      <c r="MGJ6" s="396"/>
      <c r="MGK6" s="396"/>
      <c r="MGL6" s="396"/>
      <c r="MGM6" s="396"/>
      <c r="MGN6" s="396"/>
      <c r="MGO6" s="396"/>
      <c r="MGP6" s="396"/>
      <c r="MGQ6" s="396"/>
      <c r="MGR6" s="396"/>
      <c r="MGS6" s="396"/>
      <c r="MGT6" s="396"/>
      <c r="MGU6" s="396"/>
      <c r="MGV6" s="396"/>
      <c r="MGW6" s="396"/>
      <c r="MGX6" s="396"/>
      <c r="MGY6" s="396"/>
      <c r="MGZ6" s="396"/>
      <c r="MHA6" s="396"/>
      <c r="MHB6" s="396"/>
      <c r="MHC6" s="396"/>
      <c r="MHD6" s="396"/>
      <c r="MHE6" s="396"/>
      <c r="MHF6" s="396"/>
      <c r="MHG6" s="396"/>
      <c r="MHH6" s="396"/>
      <c r="MHI6" s="396"/>
      <c r="MHJ6" s="396"/>
      <c r="MHK6" s="396"/>
      <c r="MHL6" s="396"/>
      <c r="MHM6" s="396"/>
      <c r="MHN6" s="396"/>
      <c r="MHO6" s="396"/>
      <c r="MHP6" s="396"/>
      <c r="MHQ6" s="396"/>
      <c r="MHR6" s="396"/>
      <c r="MHS6" s="396"/>
      <c r="MHT6" s="396"/>
      <c r="MHU6" s="396"/>
      <c r="MHV6" s="396"/>
      <c r="MHW6" s="396"/>
      <c r="MHX6" s="396"/>
      <c r="MHY6" s="396"/>
      <c r="MHZ6" s="396"/>
      <c r="MIA6" s="396"/>
      <c r="MIB6" s="396"/>
      <c r="MIC6" s="396"/>
      <c r="MID6" s="396"/>
      <c r="MIE6" s="396"/>
      <c r="MIF6" s="396"/>
      <c r="MIG6" s="396"/>
      <c r="MIH6" s="396"/>
      <c r="MII6" s="396"/>
      <c r="MIJ6" s="396"/>
      <c r="MIK6" s="396"/>
      <c r="MIL6" s="396"/>
      <c r="MIM6" s="396"/>
      <c r="MIN6" s="396"/>
      <c r="MIO6" s="396"/>
      <c r="MIP6" s="396"/>
      <c r="MIQ6" s="396"/>
      <c r="MIR6" s="396"/>
      <c r="MIS6" s="396"/>
      <c r="MIT6" s="396"/>
      <c r="MIU6" s="396"/>
      <c r="MIV6" s="396"/>
      <c r="MIW6" s="396"/>
      <c r="MIX6" s="396"/>
      <c r="MIY6" s="396"/>
      <c r="MIZ6" s="396"/>
      <c r="MJA6" s="396"/>
      <c r="MJB6" s="396"/>
      <c r="MJC6" s="396"/>
      <c r="MJD6" s="396"/>
      <c r="MJE6" s="396"/>
      <c r="MJF6" s="396"/>
      <c r="MJG6" s="396"/>
      <c r="MJH6" s="396"/>
      <c r="MJI6" s="396"/>
      <c r="MJJ6" s="396"/>
      <c r="MJK6" s="396"/>
      <c r="MJL6" s="396"/>
      <c r="MJM6" s="396"/>
      <c r="MJN6" s="396"/>
      <c r="MJO6" s="396"/>
      <c r="MJP6" s="396"/>
      <c r="MJQ6" s="396"/>
      <c r="MJR6" s="396"/>
      <c r="MJS6" s="396"/>
      <c r="MJT6" s="396"/>
      <c r="MJU6" s="396"/>
      <c r="MJV6" s="396"/>
      <c r="MJW6" s="396"/>
      <c r="MJX6" s="396"/>
      <c r="MJY6" s="396"/>
      <c r="MJZ6" s="396"/>
      <c r="MKA6" s="396"/>
      <c r="MKB6" s="396"/>
      <c r="MKC6" s="396"/>
      <c r="MKD6" s="396"/>
      <c r="MKE6" s="396"/>
      <c r="MKF6" s="396"/>
      <c r="MKG6" s="396"/>
      <c r="MKH6" s="396"/>
      <c r="MKI6" s="396"/>
      <c r="MKJ6" s="396"/>
      <c r="MKK6" s="396"/>
      <c r="MKL6" s="396"/>
      <c r="MKM6" s="396"/>
      <c r="MKN6" s="396"/>
      <c r="MKO6" s="396"/>
      <c r="MKP6" s="396"/>
      <c r="MKQ6" s="396"/>
      <c r="MKR6" s="396"/>
      <c r="MKS6" s="396"/>
      <c r="MKT6" s="396"/>
      <c r="MKU6" s="396"/>
      <c r="MKV6" s="396"/>
      <c r="MKW6" s="396"/>
      <c r="MKX6" s="396"/>
      <c r="MKY6" s="396"/>
      <c r="MKZ6" s="396"/>
      <c r="MLA6" s="396"/>
      <c r="MLB6" s="396"/>
      <c r="MLC6" s="396"/>
      <c r="MLD6" s="396"/>
      <c r="MLE6" s="396"/>
      <c r="MLF6" s="396"/>
      <c r="MLG6" s="396"/>
      <c r="MLH6" s="396"/>
      <c r="MLI6" s="396"/>
      <c r="MLJ6" s="396"/>
      <c r="MLK6" s="396"/>
      <c r="MLL6" s="396"/>
      <c r="MLM6" s="396"/>
      <c r="MLN6" s="396"/>
      <c r="MLO6" s="396"/>
      <c r="MLP6" s="396"/>
      <c r="MLQ6" s="396"/>
      <c r="MLR6" s="396"/>
      <c r="MLS6" s="396"/>
      <c r="MLT6" s="396"/>
      <c r="MLU6" s="396"/>
      <c r="MLV6" s="396"/>
      <c r="MLW6" s="396"/>
      <c r="MLX6" s="396"/>
      <c r="MLY6" s="396"/>
      <c r="MLZ6" s="396"/>
      <c r="MMA6" s="396"/>
      <c r="MMB6" s="396"/>
      <c r="MMC6" s="396"/>
      <c r="MMD6" s="396"/>
      <c r="MME6" s="396"/>
      <c r="MMF6" s="396"/>
      <c r="MMG6" s="396"/>
      <c r="MMH6" s="396"/>
      <c r="MMI6" s="396"/>
      <c r="MMJ6" s="396"/>
      <c r="MMK6" s="396"/>
      <c r="MML6" s="396"/>
      <c r="MMM6" s="396"/>
      <c r="MMN6" s="396"/>
      <c r="MMO6" s="396"/>
      <c r="MMP6" s="396"/>
      <c r="MMQ6" s="396"/>
      <c r="MMR6" s="396"/>
      <c r="MMS6" s="396"/>
      <c r="MMT6" s="396"/>
      <c r="MMU6" s="396"/>
      <c r="MMV6" s="396"/>
      <c r="MMW6" s="396"/>
      <c r="MMX6" s="396"/>
      <c r="MMY6" s="396"/>
      <c r="MMZ6" s="396"/>
      <c r="MNA6" s="396"/>
      <c r="MNB6" s="396"/>
      <c r="MNC6" s="396"/>
      <c r="MND6" s="396"/>
      <c r="MNE6" s="396"/>
      <c r="MNF6" s="396"/>
      <c r="MNG6" s="396"/>
      <c r="MNH6" s="396"/>
      <c r="MNI6" s="396"/>
      <c r="MNJ6" s="396"/>
      <c r="MNK6" s="396"/>
      <c r="MNL6" s="396"/>
      <c r="MNM6" s="396"/>
      <c r="MNN6" s="396"/>
      <c r="MNO6" s="396"/>
      <c r="MNP6" s="396"/>
      <c r="MNQ6" s="396"/>
      <c r="MNR6" s="396"/>
      <c r="MNS6" s="396"/>
      <c r="MNT6" s="396"/>
      <c r="MNU6" s="396"/>
      <c r="MNV6" s="396"/>
      <c r="MNW6" s="396"/>
      <c r="MNX6" s="396"/>
      <c r="MNY6" s="396"/>
      <c r="MNZ6" s="396"/>
      <c r="MOA6" s="396"/>
      <c r="MOB6" s="396"/>
      <c r="MOC6" s="396"/>
      <c r="MOD6" s="396"/>
      <c r="MOE6" s="396"/>
      <c r="MOF6" s="396"/>
      <c r="MOG6" s="396"/>
      <c r="MOH6" s="396"/>
      <c r="MOI6" s="396"/>
      <c r="MOJ6" s="396"/>
      <c r="MOK6" s="396"/>
      <c r="MOL6" s="396"/>
      <c r="MOM6" s="396"/>
      <c r="MON6" s="396"/>
      <c r="MOO6" s="396"/>
      <c r="MOP6" s="396"/>
      <c r="MOQ6" s="396"/>
      <c r="MOR6" s="396"/>
      <c r="MOS6" s="396"/>
      <c r="MOT6" s="396"/>
      <c r="MOU6" s="396"/>
      <c r="MOV6" s="396"/>
      <c r="MOW6" s="396"/>
      <c r="MOX6" s="396"/>
      <c r="MOY6" s="396"/>
      <c r="MOZ6" s="396"/>
      <c r="MPA6" s="396"/>
      <c r="MPB6" s="396"/>
      <c r="MPC6" s="396"/>
      <c r="MPD6" s="396"/>
      <c r="MPE6" s="396"/>
      <c r="MPF6" s="396"/>
      <c r="MPG6" s="396"/>
      <c r="MPH6" s="396"/>
      <c r="MPI6" s="396"/>
      <c r="MPJ6" s="396"/>
      <c r="MPK6" s="396"/>
      <c r="MPL6" s="396"/>
      <c r="MPM6" s="396"/>
      <c r="MPN6" s="396"/>
      <c r="MPO6" s="396"/>
      <c r="MPP6" s="396"/>
      <c r="MPQ6" s="396"/>
      <c r="MPR6" s="396"/>
      <c r="MPS6" s="396"/>
      <c r="MPT6" s="396"/>
      <c r="MPU6" s="396"/>
      <c r="MPV6" s="396"/>
      <c r="MPW6" s="396"/>
      <c r="MPX6" s="396"/>
      <c r="MPY6" s="396"/>
      <c r="MPZ6" s="396"/>
      <c r="MQA6" s="396"/>
      <c r="MQB6" s="396"/>
      <c r="MQC6" s="396"/>
      <c r="MQD6" s="396"/>
      <c r="MQE6" s="396"/>
      <c r="MQF6" s="396"/>
      <c r="MQG6" s="396"/>
      <c r="MQH6" s="396"/>
      <c r="MQI6" s="396"/>
      <c r="MQJ6" s="396"/>
      <c r="MQK6" s="396"/>
      <c r="MQL6" s="396"/>
      <c r="MQM6" s="396"/>
      <c r="MQN6" s="396"/>
      <c r="MQO6" s="396"/>
      <c r="MQP6" s="396"/>
      <c r="MQQ6" s="396"/>
      <c r="MQR6" s="396"/>
      <c r="MQS6" s="396"/>
      <c r="MQT6" s="396"/>
      <c r="MQU6" s="396"/>
      <c r="MQV6" s="396"/>
      <c r="MQW6" s="396"/>
      <c r="MQX6" s="396"/>
      <c r="MQY6" s="396"/>
      <c r="MQZ6" s="396"/>
      <c r="MRA6" s="396"/>
      <c r="MRB6" s="396"/>
      <c r="MRC6" s="396"/>
      <c r="MRD6" s="396"/>
      <c r="MRE6" s="396"/>
      <c r="MRF6" s="396"/>
      <c r="MRG6" s="396"/>
      <c r="MRH6" s="396"/>
      <c r="MRI6" s="396"/>
      <c r="MRJ6" s="396"/>
      <c r="MRK6" s="396"/>
      <c r="MRL6" s="396"/>
      <c r="MRM6" s="396"/>
      <c r="MRN6" s="396"/>
      <c r="MRO6" s="396"/>
      <c r="MRP6" s="396"/>
      <c r="MRQ6" s="396"/>
      <c r="MRR6" s="396"/>
      <c r="MRS6" s="396"/>
      <c r="MRT6" s="396"/>
      <c r="MRU6" s="396"/>
      <c r="MRV6" s="396"/>
      <c r="MRW6" s="396"/>
      <c r="MRX6" s="396"/>
      <c r="MRY6" s="396"/>
      <c r="MRZ6" s="396"/>
      <c r="MSA6" s="396"/>
      <c r="MSB6" s="396"/>
      <c r="MSC6" s="396"/>
      <c r="MSD6" s="396"/>
      <c r="MSE6" s="396"/>
      <c r="MSF6" s="396"/>
      <c r="MSG6" s="396"/>
      <c r="MSH6" s="396"/>
      <c r="MSI6" s="396"/>
      <c r="MSJ6" s="396"/>
      <c r="MSK6" s="396"/>
      <c r="MSL6" s="396"/>
      <c r="MSM6" s="396"/>
      <c r="MSN6" s="396"/>
      <c r="MSO6" s="396"/>
      <c r="MSP6" s="396"/>
      <c r="MSQ6" s="396"/>
      <c r="MSR6" s="396"/>
      <c r="MSS6" s="396"/>
      <c r="MST6" s="396"/>
      <c r="MSU6" s="396"/>
      <c r="MSV6" s="396"/>
      <c r="MSW6" s="396"/>
      <c r="MSX6" s="396"/>
      <c r="MSY6" s="396"/>
      <c r="MSZ6" s="396"/>
      <c r="MTA6" s="396"/>
      <c r="MTB6" s="396"/>
      <c r="MTC6" s="396"/>
      <c r="MTD6" s="396"/>
      <c r="MTE6" s="396"/>
      <c r="MTF6" s="396"/>
      <c r="MTG6" s="396"/>
      <c r="MTH6" s="396"/>
      <c r="MTI6" s="396"/>
      <c r="MTJ6" s="396"/>
      <c r="MTK6" s="396"/>
      <c r="MTL6" s="396"/>
      <c r="MTM6" s="396"/>
      <c r="MTN6" s="396"/>
      <c r="MTO6" s="396"/>
      <c r="MTP6" s="396"/>
      <c r="MTQ6" s="396"/>
      <c r="MTR6" s="396"/>
      <c r="MTS6" s="396"/>
      <c r="MTT6" s="396"/>
      <c r="MTU6" s="396"/>
      <c r="MTV6" s="396"/>
      <c r="MTW6" s="396"/>
      <c r="MTX6" s="396"/>
      <c r="MTY6" s="396"/>
      <c r="MTZ6" s="396"/>
      <c r="MUA6" s="396"/>
      <c r="MUB6" s="396"/>
      <c r="MUC6" s="396"/>
      <c r="MUD6" s="396"/>
      <c r="MUE6" s="396"/>
      <c r="MUF6" s="396"/>
      <c r="MUG6" s="396"/>
      <c r="MUH6" s="396"/>
      <c r="MUI6" s="396"/>
      <c r="MUJ6" s="396"/>
      <c r="MUK6" s="396"/>
      <c r="MUL6" s="396"/>
      <c r="MUM6" s="396"/>
      <c r="MUN6" s="396"/>
      <c r="MUO6" s="396"/>
      <c r="MUP6" s="396"/>
      <c r="MUQ6" s="396"/>
      <c r="MUR6" s="396"/>
      <c r="MUS6" s="396"/>
      <c r="MUT6" s="396"/>
      <c r="MUU6" s="396"/>
      <c r="MUV6" s="396"/>
      <c r="MUW6" s="396"/>
      <c r="MUX6" s="396"/>
      <c r="MUY6" s="396"/>
      <c r="MUZ6" s="396"/>
      <c r="MVA6" s="396"/>
      <c r="MVB6" s="396"/>
      <c r="MVC6" s="396"/>
      <c r="MVD6" s="396"/>
      <c r="MVE6" s="396"/>
      <c r="MVF6" s="396"/>
      <c r="MVG6" s="396"/>
      <c r="MVH6" s="396"/>
      <c r="MVI6" s="396"/>
      <c r="MVJ6" s="396"/>
      <c r="MVK6" s="396"/>
      <c r="MVL6" s="396"/>
      <c r="MVM6" s="396"/>
      <c r="MVN6" s="396"/>
      <c r="MVO6" s="396"/>
      <c r="MVP6" s="396"/>
      <c r="MVQ6" s="396"/>
      <c r="MVR6" s="396"/>
      <c r="MVS6" s="396"/>
      <c r="MVT6" s="396"/>
      <c r="MVU6" s="396"/>
      <c r="MVV6" s="396"/>
      <c r="MVW6" s="396"/>
      <c r="MVX6" s="396"/>
      <c r="MVY6" s="396"/>
      <c r="MVZ6" s="396"/>
      <c r="MWA6" s="396"/>
      <c r="MWB6" s="396"/>
      <c r="MWC6" s="396"/>
      <c r="MWD6" s="396"/>
      <c r="MWE6" s="396"/>
      <c r="MWF6" s="396"/>
      <c r="MWG6" s="396"/>
      <c r="MWH6" s="396"/>
      <c r="MWI6" s="396"/>
      <c r="MWJ6" s="396"/>
      <c r="MWK6" s="396"/>
      <c r="MWL6" s="396"/>
      <c r="MWM6" s="396"/>
      <c r="MWN6" s="396"/>
      <c r="MWO6" s="396"/>
      <c r="MWP6" s="396"/>
      <c r="MWQ6" s="396"/>
      <c r="MWR6" s="396"/>
      <c r="MWS6" s="396"/>
      <c r="MWT6" s="396"/>
      <c r="MWU6" s="396"/>
      <c r="MWV6" s="396"/>
      <c r="MWW6" s="396"/>
      <c r="MWX6" s="396"/>
      <c r="MWY6" s="396"/>
      <c r="MWZ6" s="396"/>
      <c r="MXA6" s="396"/>
      <c r="MXB6" s="396"/>
      <c r="MXC6" s="396"/>
      <c r="MXD6" s="396"/>
      <c r="MXE6" s="396"/>
      <c r="MXF6" s="396"/>
      <c r="MXG6" s="396"/>
      <c r="MXH6" s="396"/>
      <c r="MXI6" s="396"/>
      <c r="MXJ6" s="396"/>
      <c r="MXK6" s="396"/>
      <c r="MXL6" s="396"/>
      <c r="MXM6" s="396"/>
      <c r="MXN6" s="396"/>
      <c r="MXO6" s="396"/>
      <c r="MXP6" s="396"/>
      <c r="MXQ6" s="396"/>
      <c r="MXR6" s="396"/>
      <c r="MXS6" s="396"/>
      <c r="MXT6" s="396"/>
      <c r="MXU6" s="396"/>
      <c r="MXV6" s="396"/>
      <c r="MXW6" s="396"/>
      <c r="MXX6" s="396"/>
      <c r="MXY6" s="396"/>
      <c r="MXZ6" s="396"/>
      <c r="MYA6" s="396"/>
      <c r="MYB6" s="396"/>
      <c r="MYC6" s="396"/>
      <c r="MYD6" s="396"/>
      <c r="MYE6" s="396"/>
      <c r="MYF6" s="396"/>
      <c r="MYG6" s="396"/>
      <c r="MYH6" s="396"/>
      <c r="MYI6" s="396"/>
      <c r="MYJ6" s="396"/>
      <c r="MYK6" s="396"/>
      <c r="MYL6" s="396"/>
      <c r="MYM6" s="396"/>
      <c r="MYN6" s="396"/>
      <c r="MYO6" s="396"/>
      <c r="MYP6" s="396"/>
      <c r="MYQ6" s="396"/>
      <c r="MYR6" s="396"/>
      <c r="MYS6" s="396"/>
      <c r="MYT6" s="396"/>
      <c r="MYU6" s="396"/>
      <c r="MYV6" s="396"/>
      <c r="MYW6" s="396"/>
      <c r="MYX6" s="396"/>
      <c r="MYY6" s="396"/>
      <c r="MYZ6" s="396"/>
      <c r="MZA6" s="396"/>
      <c r="MZB6" s="396"/>
      <c r="MZC6" s="396"/>
      <c r="MZD6" s="396"/>
      <c r="MZE6" s="396"/>
      <c r="MZF6" s="396"/>
      <c r="MZG6" s="396"/>
      <c r="MZH6" s="396"/>
      <c r="MZI6" s="396"/>
      <c r="MZJ6" s="396"/>
      <c r="MZK6" s="396"/>
      <c r="MZL6" s="396"/>
      <c r="MZM6" s="396"/>
      <c r="MZN6" s="396"/>
      <c r="MZO6" s="396"/>
      <c r="MZP6" s="396"/>
      <c r="MZQ6" s="396"/>
      <c r="MZR6" s="396"/>
      <c r="MZS6" s="396"/>
      <c r="MZT6" s="396"/>
      <c r="MZU6" s="396"/>
      <c r="MZV6" s="396"/>
      <c r="MZW6" s="396"/>
      <c r="MZX6" s="396"/>
      <c r="MZY6" s="396"/>
      <c r="MZZ6" s="396"/>
      <c r="NAA6" s="396"/>
      <c r="NAB6" s="396"/>
      <c r="NAC6" s="396"/>
      <c r="NAD6" s="396"/>
      <c r="NAE6" s="396"/>
      <c r="NAF6" s="396"/>
      <c r="NAG6" s="396"/>
      <c r="NAH6" s="396"/>
      <c r="NAI6" s="396"/>
      <c r="NAJ6" s="396"/>
      <c r="NAK6" s="396"/>
      <c r="NAL6" s="396"/>
      <c r="NAM6" s="396"/>
      <c r="NAN6" s="396"/>
      <c r="NAO6" s="396"/>
      <c r="NAP6" s="396"/>
      <c r="NAQ6" s="396"/>
      <c r="NAR6" s="396"/>
      <c r="NAS6" s="396"/>
      <c r="NAT6" s="396"/>
      <c r="NAU6" s="396"/>
      <c r="NAV6" s="396"/>
      <c r="NAW6" s="396"/>
      <c r="NAX6" s="396"/>
      <c r="NAY6" s="396"/>
      <c r="NAZ6" s="396"/>
      <c r="NBA6" s="396"/>
      <c r="NBB6" s="396"/>
      <c r="NBC6" s="396"/>
      <c r="NBD6" s="396"/>
      <c r="NBE6" s="396"/>
      <c r="NBF6" s="396"/>
      <c r="NBG6" s="396"/>
      <c r="NBH6" s="396"/>
      <c r="NBI6" s="396"/>
      <c r="NBJ6" s="396"/>
      <c r="NBK6" s="396"/>
      <c r="NBL6" s="396"/>
      <c r="NBM6" s="396"/>
      <c r="NBN6" s="396"/>
      <c r="NBO6" s="396"/>
      <c r="NBP6" s="396"/>
      <c r="NBQ6" s="396"/>
      <c r="NBR6" s="396"/>
      <c r="NBS6" s="396"/>
      <c r="NBT6" s="396"/>
      <c r="NBU6" s="396"/>
      <c r="NBV6" s="396"/>
      <c r="NBW6" s="396"/>
      <c r="NBX6" s="396"/>
      <c r="NBY6" s="396"/>
      <c r="NBZ6" s="396"/>
      <c r="NCA6" s="396"/>
      <c r="NCB6" s="396"/>
      <c r="NCC6" s="396"/>
      <c r="NCD6" s="396"/>
      <c r="NCE6" s="396"/>
      <c r="NCF6" s="396"/>
      <c r="NCG6" s="396"/>
      <c r="NCH6" s="396"/>
      <c r="NCI6" s="396"/>
      <c r="NCJ6" s="396"/>
      <c r="NCK6" s="396"/>
      <c r="NCL6" s="396"/>
      <c r="NCM6" s="396"/>
      <c r="NCN6" s="396"/>
      <c r="NCO6" s="396"/>
      <c r="NCP6" s="396"/>
      <c r="NCQ6" s="396"/>
      <c r="NCR6" s="396"/>
      <c r="NCS6" s="396"/>
      <c r="NCT6" s="396"/>
      <c r="NCU6" s="396"/>
      <c r="NCV6" s="396"/>
      <c r="NCW6" s="396"/>
      <c r="NCX6" s="396"/>
      <c r="NCY6" s="396"/>
      <c r="NCZ6" s="396"/>
      <c r="NDA6" s="396"/>
      <c r="NDB6" s="396"/>
      <c r="NDC6" s="396"/>
      <c r="NDD6" s="396"/>
      <c r="NDE6" s="396"/>
      <c r="NDF6" s="396"/>
      <c r="NDG6" s="396"/>
      <c r="NDH6" s="396"/>
      <c r="NDI6" s="396"/>
      <c r="NDJ6" s="396"/>
      <c r="NDK6" s="396"/>
      <c r="NDL6" s="396"/>
      <c r="NDM6" s="396"/>
      <c r="NDN6" s="396"/>
      <c r="NDO6" s="396"/>
      <c r="NDP6" s="396"/>
      <c r="NDQ6" s="396"/>
      <c r="NDR6" s="396"/>
      <c r="NDS6" s="396"/>
      <c r="NDT6" s="396"/>
      <c r="NDU6" s="396"/>
      <c r="NDV6" s="396"/>
      <c r="NDW6" s="396"/>
      <c r="NDX6" s="396"/>
      <c r="NDY6" s="396"/>
      <c r="NDZ6" s="396"/>
      <c r="NEA6" s="396"/>
      <c r="NEB6" s="396"/>
      <c r="NEC6" s="396"/>
      <c r="NED6" s="396"/>
      <c r="NEE6" s="396"/>
      <c r="NEF6" s="396"/>
      <c r="NEG6" s="396"/>
      <c r="NEH6" s="396"/>
      <c r="NEI6" s="396"/>
      <c r="NEJ6" s="396"/>
      <c r="NEK6" s="396"/>
      <c r="NEL6" s="396"/>
      <c r="NEM6" s="396"/>
      <c r="NEN6" s="396"/>
      <c r="NEO6" s="396"/>
      <c r="NEP6" s="396"/>
      <c r="NEQ6" s="396"/>
      <c r="NER6" s="396"/>
      <c r="NES6" s="396"/>
      <c r="NET6" s="396"/>
      <c r="NEU6" s="396"/>
      <c r="NEV6" s="396"/>
      <c r="NEW6" s="396"/>
      <c r="NEX6" s="396"/>
      <c r="NEY6" s="396"/>
      <c r="NEZ6" s="396"/>
      <c r="NFA6" s="396"/>
      <c r="NFB6" s="396"/>
      <c r="NFC6" s="396"/>
      <c r="NFD6" s="396"/>
      <c r="NFE6" s="396"/>
      <c r="NFF6" s="396"/>
      <c r="NFG6" s="396"/>
      <c r="NFH6" s="396"/>
      <c r="NFI6" s="396"/>
      <c r="NFJ6" s="396"/>
      <c r="NFK6" s="396"/>
      <c r="NFL6" s="396"/>
      <c r="NFM6" s="396"/>
      <c r="NFN6" s="396"/>
      <c r="NFO6" s="396"/>
      <c r="NFP6" s="396"/>
      <c r="NFQ6" s="396"/>
      <c r="NFR6" s="396"/>
      <c r="NFS6" s="396"/>
      <c r="NFT6" s="396"/>
      <c r="NFU6" s="396"/>
      <c r="NFV6" s="396"/>
      <c r="NFW6" s="396"/>
      <c r="NFX6" s="396"/>
      <c r="NFY6" s="396"/>
      <c r="NFZ6" s="396"/>
      <c r="NGA6" s="396"/>
      <c r="NGB6" s="396"/>
      <c r="NGC6" s="396"/>
      <c r="NGD6" s="396"/>
      <c r="NGE6" s="396"/>
      <c r="NGF6" s="396"/>
      <c r="NGG6" s="396"/>
      <c r="NGH6" s="396"/>
      <c r="NGI6" s="396"/>
      <c r="NGJ6" s="396"/>
      <c r="NGK6" s="396"/>
      <c r="NGL6" s="396"/>
      <c r="NGM6" s="396"/>
      <c r="NGN6" s="396"/>
      <c r="NGO6" s="396"/>
      <c r="NGP6" s="396"/>
      <c r="NGQ6" s="396"/>
      <c r="NGR6" s="396"/>
      <c r="NGS6" s="396"/>
      <c r="NGT6" s="396"/>
      <c r="NGU6" s="396"/>
      <c r="NGV6" s="396"/>
      <c r="NGW6" s="396"/>
      <c r="NGX6" s="396"/>
      <c r="NGY6" s="396"/>
      <c r="NGZ6" s="396"/>
      <c r="NHA6" s="396"/>
      <c r="NHB6" s="396"/>
      <c r="NHC6" s="396"/>
      <c r="NHD6" s="396"/>
      <c r="NHE6" s="396"/>
      <c r="NHF6" s="396"/>
      <c r="NHG6" s="396"/>
      <c r="NHH6" s="396"/>
      <c r="NHI6" s="396"/>
      <c r="NHJ6" s="396"/>
      <c r="NHK6" s="396"/>
      <c r="NHL6" s="396"/>
      <c r="NHM6" s="396"/>
      <c r="NHN6" s="396"/>
      <c r="NHO6" s="396"/>
      <c r="NHP6" s="396"/>
      <c r="NHQ6" s="396"/>
      <c r="NHR6" s="396"/>
      <c r="NHS6" s="396"/>
      <c r="NHT6" s="396"/>
      <c r="NHU6" s="396"/>
      <c r="NHV6" s="396"/>
      <c r="NHW6" s="396"/>
      <c r="NHX6" s="396"/>
      <c r="NHY6" s="396"/>
      <c r="NHZ6" s="396"/>
      <c r="NIA6" s="396"/>
      <c r="NIB6" s="396"/>
      <c r="NIC6" s="396"/>
      <c r="NID6" s="396"/>
      <c r="NIE6" s="396"/>
      <c r="NIF6" s="396"/>
      <c r="NIG6" s="396"/>
      <c r="NIH6" s="396"/>
      <c r="NII6" s="396"/>
      <c r="NIJ6" s="396"/>
      <c r="NIK6" s="396"/>
      <c r="NIL6" s="396"/>
      <c r="NIM6" s="396"/>
      <c r="NIN6" s="396"/>
      <c r="NIO6" s="396"/>
      <c r="NIP6" s="396"/>
      <c r="NIQ6" s="396"/>
      <c r="NIR6" s="396"/>
      <c r="NIS6" s="396"/>
      <c r="NIT6" s="396"/>
      <c r="NIU6" s="396"/>
      <c r="NIV6" s="396"/>
      <c r="NIW6" s="396"/>
      <c r="NIX6" s="396"/>
      <c r="NIY6" s="396"/>
      <c r="NIZ6" s="396"/>
      <c r="NJA6" s="396"/>
      <c r="NJB6" s="396"/>
      <c r="NJC6" s="396"/>
      <c r="NJD6" s="396"/>
      <c r="NJE6" s="396"/>
      <c r="NJF6" s="396"/>
      <c r="NJG6" s="396"/>
      <c r="NJH6" s="396"/>
      <c r="NJI6" s="396"/>
      <c r="NJJ6" s="396"/>
      <c r="NJK6" s="396"/>
      <c r="NJL6" s="396"/>
      <c r="NJM6" s="396"/>
      <c r="NJN6" s="396"/>
      <c r="NJO6" s="396"/>
      <c r="NJP6" s="396"/>
      <c r="NJQ6" s="396"/>
      <c r="NJR6" s="396"/>
      <c r="NJS6" s="396"/>
      <c r="NJT6" s="396"/>
      <c r="NJU6" s="396"/>
      <c r="NJV6" s="396"/>
      <c r="NJW6" s="396"/>
      <c r="NJX6" s="396"/>
      <c r="NJY6" s="396"/>
      <c r="NJZ6" s="396"/>
      <c r="NKA6" s="396"/>
      <c r="NKB6" s="396"/>
      <c r="NKC6" s="396"/>
      <c r="NKD6" s="396"/>
      <c r="NKE6" s="396"/>
      <c r="NKF6" s="396"/>
      <c r="NKG6" s="396"/>
      <c r="NKH6" s="396"/>
      <c r="NKI6" s="396"/>
      <c r="NKJ6" s="396"/>
      <c r="NKK6" s="396"/>
      <c r="NKL6" s="396"/>
      <c r="NKM6" s="396"/>
      <c r="NKN6" s="396"/>
      <c r="NKO6" s="396"/>
      <c r="NKP6" s="396"/>
      <c r="NKQ6" s="396"/>
      <c r="NKR6" s="396"/>
      <c r="NKS6" s="396"/>
      <c r="NKT6" s="396"/>
      <c r="NKU6" s="396"/>
      <c r="NKV6" s="396"/>
      <c r="NKW6" s="396"/>
      <c r="NKX6" s="396"/>
      <c r="NKY6" s="396"/>
      <c r="NKZ6" s="396"/>
      <c r="NLA6" s="396"/>
      <c r="NLB6" s="396"/>
      <c r="NLC6" s="396"/>
      <c r="NLD6" s="396"/>
      <c r="NLE6" s="396"/>
      <c r="NLF6" s="396"/>
      <c r="NLG6" s="396"/>
      <c r="NLH6" s="396"/>
      <c r="NLI6" s="396"/>
      <c r="NLJ6" s="396"/>
      <c r="NLK6" s="396"/>
      <c r="NLL6" s="396"/>
      <c r="NLM6" s="396"/>
      <c r="NLN6" s="396"/>
      <c r="NLO6" s="396"/>
      <c r="NLP6" s="396"/>
      <c r="NLQ6" s="396"/>
      <c r="NLR6" s="396"/>
      <c r="NLS6" s="396"/>
      <c r="NLT6" s="396"/>
      <c r="NLU6" s="396"/>
      <c r="NLV6" s="396"/>
      <c r="NLW6" s="396"/>
      <c r="NLX6" s="396"/>
      <c r="NLY6" s="396"/>
      <c r="NLZ6" s="396"/>
      <c r="NMA6" s="396"/>
      <c r="NMB6" s="396"/>
      <c r="NMC6" s="396"/>
      <c r="NMD6" s="396"/>
      <c r="NME6" s="396"/>
      <c r="NMF6" s="396"/>
      <c r="NMG6" s="396"/>
      <c r="NMH6" s="396"/>
      <c r="NMI6" s="396"/>
      <c r="NMJ6" s="396"/>
      <c r="NMK6" s="396"/>
      <c r="NML6" s="396"/>
      <c r="NMM6" s="396"/>
      <c r="NMN6" s="396"/>
      <c r="NMO6" s="396"/>
      <c r="NMP6" s="396"/>
      <c r="NMQ6" s="396"/>
      <c r="NMR6" s="396"/>
      <c r="NMS6" s="396"/>
      <c r="NMT6" s="396"/>
      <c r="NMU6" s="396"/>
      <c r="NMV6" s="396"/>
      <c r="NMW6" s="396"/>
      <c r="NMX6" s="396"/>
      <c r="NMY6" s="396"/>
      <c r="NMZ6" s="396"/>
      <c r="NNA6" s="396"/>
      <c r="NNB6" s="396"/>
      <c r="NNC6" s="396"/>
      <c r="NND6" s="396"/>
      <c r="NNE6" s="396"/>
      <c r="NNF6" s="396"/>
      <c r="NNG6" s="396"/>
      <c r="NNH6" s="396"/>
      <c r="NNI6" s="396"/>
      <c r="NNJ6" s="396"/>
      <c r="NNK6" s="396"/>
      <c r="NNL6" s="396"/>
      <c r="NNM6" s="396"/>
      <c r="NNN6" s="396"/>
      <c r="NNO6" s="396"/>
      <c r="NNP6" s="396"/>
      <c r="NNQ6" s="396"/>
      <c r="NNR6" s="396"/>
      <c r="NNS6" s="396"/>
      <c r="NNT6" s="396"/>
      <c r="NNU6" s="396"/>
      <c r="NNV6" s="396"/>
      <c r="NNW6" s="396"/>
      <c r="NNX6" s="396"/>
      <c r="NNY6" s="396"/>
      <c r="NNZ6" s="396"/>
      <c r="NOA6" s="396"/>
      <c r="NOB6" s="396"/>
      <c r="NOC6" s="396"/>
      <c r="NOD6" s="396"/>
      <c r="NOE6" s="396"/>
      <c r="NOF6" s="396"/>
      <c r="NOG6" s="396"/>
      <c r="NOH6" s="396"/>
      <c r="NOI6" s="396"/>
      <c r="NOJ6" s="396"/>
      <c r="NOK6" s="396"/>
      <c r="NOL6" s="396"/>
      <c r="NOM6" s="396"/>
      <c r="NON6" s="396"/>
      <c r="NOO6" s="396"/>
      <c r="NOP6" s="396"/>
      <c r="NOQ6" s="396"/>
      <c r="NOR6" s="396"/>
      <c r="NOS6" s="396"/>
      <c r="NOT6" s="396"/>
      <c r="NOU6" s="396"/>
      <c r="NOV6" s="396"/>
      <c r="NOW6" s="396"/>
      <c r="NOX6" s="396"/>
      <c r="NOY6" s="396"/>
      <c r="NOZ6" s="396"/>
      <c r="NPA6" s="396"/>
      <c r="NPB6" s="396"/>
      <c r="NPC6" s="396"/>
      <c r="NPD6" s="396"/>
      <c r="NPE6" s="396"/>
      <c r="NPF6" s="396"/>
      <c r="NPG6" s="396"/>
      <c r="NPH6" s="396"/>
      <c r="NPI6" s="396"/>
      <c r="NPJ6" s="396"/>
      <c r="NPK6" s="396"/>
      <c r="NPL6" s="396"/>
      <c r="NPM6" s="396"/>
      <c r="NPN6" s="396"/>
      <c r="NPO6" s="396"/>
      <c r="NPP6" s="396"/>
      <c r="NPQ6" s="396"/>
      <c r="NPR6" s="396"/>
      <c r="NPS6" s="396"/>
      <c r="NPT6" s="396"/>
      <c r="NPU6" s="396"/>
      <c r="NPV6" s="396"/>
      <c r="NPW6" s="396"/>
      <c r="NPX6" s="396"/>
      <c r="NPY6" s="396"/>
      <c r="NPZ6" s="396"/>
      <c r="NQA6" s="396"/>
      <c r="NQB6" s="396"/>
      <c r="NQC6" s="396"/>
      <c r="NQD6" s="396"/>
      <c r="NQE6" s="396"/>
      <c r="NQF6" s="396"/>
      <c r="NQG6" s="396"/>
      <c r="NQH6" s="396"/>
      <c r="NQI6" s="396"/>
      <c r="NQJ6" s="396"/>
      <c r="NQK6" s="396"/>
      <c r="NQL6" s="396"/>
      <c r="NQM6" s="396"/>
      <c r="NQN6" s="396"/>
      <c r="NQO6" s="396"/>
      <c r="NQP6" s="396"/>
      <c r="NQQ6" s="396"/>
      <c r="NQR6" s="396"/>
      <c r="NQS6" s="396"/>
      <c r="NQT6" s="396"/>
      <c r="NQU6" s="396"/>
      <c r="NQV6" s="396"/>
      <c r="NQW6" s="396"/>
      <c r="NQX6" s="396"/>
      <c r="NQY6" s="396"/>
      <c r="NQZ6" s="396"/>
      <c r="NRA6" s="396"/>
      <c r="NRB6" s="396"/>
      <c r="NRC6" s="396"/>
      <c r="NRD6" s="396"/>
      <c r="NRE6" s="396"/>
      <c r="NRF6" s="396"/>
      <c r="NRG6" s="396"/>
      <c r="NRH6" s="396"/>
      <c r="NRI6" s="396"/>
      <c r="NRJ6" s="396"/>
      <c r="NRK6" s="396"/>
      <c r="NRL6" s="396"/>
      <c r="NRM6" s="396"/>
      <c r="NRN6" s="396"/>
      <c r="NRO6" s="396"/>
      <c r="NRP6" s="396"/>
      <c r="NRQ6" s="396"/>
      <c r="NRR6" s="396"/>
      <c r="NRS6" s="396"/>
      <c r="NRT6" s="396"/>
      <c r="NRU6" s="396"/>
      <c r="NRV6" s="396"/>
      <c r="NRW6" s="396"/>
      <c r="NRX6" s="396"/>
      <c r="NRY6" s="396"/>
      <c r="NRZ6" s="396"/>
      <c r="NSA6" s="396"/>
      <c r="NSB6" s="396"/>
      <c r="NSC6" s="396"/>
      <c r="NSD6" s="396"/>
      <c r="NSE6" s="396"/>
      <c r="NSF6" s="396"/>
      <c r="NSG6" s="396"/>
      <c r="NSH6" s="396"/>
      <c r="NSI6" s="396"/>
      <c r="NSJ6" s="396"/>
      <c r="NSK6" s="396"/>
      <c r="NSL6" s="396"/>
      <c r="NSM6" s="396"/>
      <c r="NSN6" s="396"/>
      <c r="NSO6" s="396"/>
      <c r="NSP6" s="396"/>
      <c r="NSQ6" s="396"/>
      <c r="NSR6" s="396"/>
      <c r="NSS6" s="396"/>
      <c r="NST6" s="396"/>
      <c r="NSU6" s="396"/>
      <c r="NSV6" s="396"/>
      <c r="NSW6" s="396"/>
      <c r="NSX6" s="396"/>
      <c r="NSY6" s="396"/>
      <c r="NSZ6" s="396"/>
      <c r="NTA6" s="396"/>
      <c r="NTB6" s="396"/>
      <c r="NTC6" s="396"/>
      <c r="NTD6" s="396"/>
      <c r="NTE6" s="396"/>
      <c r="NTF6" s="396"/>
      <c r="NTG6" s="396"/>
      <c r="NTH6" s="396"/>
      <c r="NTI6" s="396"/>
      <c r="NTJ6" s="396"/>
      <c r="NTK6" s="396"/>
      <c r="NTL6" s="396"/>
      <c r="NTM6" s="396"/>
      <c r="NTN6" s="396"/>
      <c r="NTO6" s="396"/>
      <c r="NTP6" s="396"/>
      <c r="NTQ6" s="396"/>
      <c r="NTR6" s="396"/>
      <c r="NTS6" s="396"/>
      <c r="NTT6" s="396"/>
      <c r="NTU6" s="396"/>
      <c r="NTV6" s="396"/>
      <c r="NTW6" s="396"/>
      <c r="NTX6" s="396"/>
      <c r="NTY6" s="396"/>
      <c r="NTZ6" s="396"/>
      <c r="NUA6" s="396"/>
      <c r="NUB6" s="396"/>
      <c r="NUC6" s="396"/>
      <c r="NUD6" s="396"/>
      <c r="NUE6" s="396"/>
      <c r="NUF6" s="396"/>
      <c r="NUG6" s="396"/>
      <c r="NUH6" s="396"/>
      <c r="NUI6" s="396"/>
      <c r="NUJ6" s="396"/>
      <c r="NUK6" s="396"/>
      <c r="NUL6" s="396"/>
      <c r="NUM6" s="396"/>
      <c r="NUN6" s="396"/>
      <c r="NUO6" s="396"/>
      <c r="NUP6" s="396"/>
      <c r="NUQ6" s="396"/>
      <c r="NUR6" s="396"/>
      <c r="NUS6" s="396"/>
      <c r="NUT6" s="396"/>
      <c r="NUU6" s="396"/>
      <c r="NUV6" s="396"/>
      <c r="NUW6" s="396"/>
      <c r="NUX6" s="396"/>
      <c r="NUY6" s="396"/>
      <c r="NUZ6" s="396"/>
      <c r="NVA6" s="396"/>
      <c r="NVB6" s="396"/>
      <c r="NVC6" s="396"/>
      <c r="NVD6" s="396"/>
      <c r="NVE6" s="396"/>
      <c r="NVF6" s="396"/>
      <c r="NVG6" s="396"/>
      <c r="NVH6" s="396"/>
      <c r="NVI6" s="396"/>
      <c r="NVJ6" s="396"/>
      <c r="NVK6" s="396"/>
      <c r="NVL6" s="396"/>
      <c r="NVM6" s="396"/>
      <c r="NVN6" s="396"/>
      <c r="NVO6" s="396"/>
      <c r="NVP6" s="396"/>
      <c r="NVQ6" s="396"/>
      <c r="NVR6" s="396"/>
      <c r="NVS6" s="396"/>
      <c r="NVT6" s="396"/>
      <c r="NVU6" s="396"/>
      <c r="NVV6" s="396"/>
      <c r="NVW6" s="396"/>
      <c r="NVX6" s="396"/>
      <c r="NVY6" s="396"/>
      <c r="NVZ6" s="396"/>
      <c r="NWA6" s="396"/>
      <c r="NWB6" s="396"/>
      <c r="NWC6" s="396"/>
      <c r="NWD6" s="396"/>
      <c r="NWE6" s="396"/>
      <c r="NWF6" s="396"/>
      <c r="NWG6" s="396"/>
      <c r="NWH6" s="396"/>
      <c r="NWI6" s="396"/>
      <c r="NWJ6" s="396"/>
      <c r="NWK6" s="396"/>
      <c r="NWL6" s="396"/>
      <c r="NWM6" s="396"/>
      <c r="NWN6" s="396"/>
      <c r="NWO6" s="396"/>
      <c r="NWP6" s="396"/>
      <c r="NWQ6" s="396"/>
      <c r="NWR6" s="396"/>
      <c r="NWS6" s="396"/>
      <c r="NWT6" s="396"/>
      <c r="NWU6" s="396"/>
      <c r="NWV6" s="396"/>
      <c r="NWW6" s="396"/>
      <c r="NWX6" s="396"/>
      <c r="NWY6" s="396"/>
      <c r="NWZ6" s="396"/>
      <c r="NXA6" s="396"/>
      <c r="NXB6" s="396"/>
      <c r="NXC6" s="396"/>
      <c r="NXD6" s="396"/>
      <c r="NXE6" s="396"/>
      <c r="NXF6" s="396"/>
      <c r="NXG6" s="396"/>
      <c r="NXH6" s="396"/>
      <c r="NXI6" s="396"/>
      <c r="NXJ6" s="396"/>
      <c r="NXK6" s="396"/>
      <c r="NXL6" s="396"/>
      <c r="NXM6" s="396"/>
      <c r="NXN6" s="396"/>
      <c r="NXO6" s="396"/>
      <c r="NXP6" s="396"/>
      <c r="NXQ6" s="396"/>
      <c r="NXR6" s="396"/>
      <c r="NXS6" s="396"/>
      <c r="NXT6" s="396"/>
      <c r="NXU6" s="396"/>
      <c r="NXV6" s="396"/>
      <c r="NXW6" s="396"/>
      <c r="NXX6" s="396"/>
      <c r="NXY6" s="396"/>
      <c r="NXZ6" s="396"/>
      <c r="NYA6" s="396"/>
      <c r="NYB6" s="396"/>
      <c r="NYC6" s="396"/>
      <c r="NYD6" s="396"/>
      <c r="NYE6" s="396"/>
      <c r="NYF6" s="396"/>
      <c r="NYG6" s="396"/>
      <c r="NYH6" s="396"/>
      <c r="NYI6" s="396"/>
      <c r="NYJ6" s="396"/>
      <c r="NYK6" s="396"/>
      <c r="NYL6" s="396"/>
      <c r="NYM6" s="396"/>
      <c r="NYN6" s="396"/>
      <c r="NYO6" s="396"/>
      <c r="NYP6" s="396"/>
      <c r="NYQ6" s="396"/>
      <c r="NYR6" s="396"/>
      <c r="NYS6" s="396"/>
      <c r="NYT6" s="396"/>
      <c r="NYU6" s="396"/>
      <c r="NYV6" s="396"/>
      <c r="NYW6" s="396"/>
      <c r="NYX6" s="396"/>
      <c r="NYY6" s="396"/>
      <c r="NYZ6" s="396"/>
      <c r="NZA6" s="396"/>
      <c r="NZB6" s="396"/>
      <c r="NZC6" s="396"/>
      <c r="NZD6" s="396"/>
      <c r="NZE6" s="396"/>
      <c r="NZF6" s="396"/>
      <c r="NZG6" s="396"/>
      <c r="NZH6" s="396"/>
      <c r="NZI6" s="396"/>
      <c r="NZJ6" s="396"/>
      <c r="NZK6" s="396"/>
      <c r="NZL6" s="396"/>
      <c r="NZM6" s="396"/>
      <c r="NZN6" s="396"/>
      <c r="NZO6" s="396"/>
      <c r="NZP6" s="396"/>
      <c r="NZQ6" s="396"/>
      <c r="NZR6" s="396"/>
      <c r="NZS6" s="396"/>
      <c r="NZT6" s="396"/>
      <c r="NZU6" s="396"/>
      <c r="NZV6" s="396"/>
      <c r="NZW6" s="396"/>
      <c r="NZX6" s="396"/>
      <c r="NZY6" s="396"/>
      <c r="NZZ6" s="396"/>
      <c r="OAA6" s="396"/>
      <c r="OAB6" s="396"/>
      <c r="OAC6" s="396"/>
      <c r="OAD6" s="396"/>
      <c r="OAE6" s="396"/>
      <c r="OAF6" s="396"/>
      <c r="OAG6" s="396"/>
      <c r="OAH6" s="396"/>
      <c r="OAI6" s="396"/>
      <c r="OAJ6" s="396"/>
      <c r="OAK6" s="396"/>
      <c r="OAL6" s="396"/>
      <c r="OAM6" s="396"/>
      <c r="OAN6" s="396"/>
      <c r="OAO6" s="396"/>
      <c r="OAP6" s="396"/>
      <c r="OAQ6" s="396"/>
      <c r="OAR6" s="396"/>
      <c r="OAS6" s="396"/>
      <c r="OAT6" s="396"/>
      <c r="OAU6" s="396"/>
      <c r="OAV6" s="396"/>
      <c r="OAW6" s="396"/>
      <c r="OAX6" s="396"/>
      <c r="OAY6" s="396"/>
      <c r="OAZ6" s="396"/>
      <c r="OBA6" s="396"/>
      <c r="OBB6" s="396"/>
      <c r="OBC6" s="396"/>
      <c r="OBD6" s="396"/>
      <c r="OBE6" s="396"/>
      <c r="OBF6" s="396"/>
      <c r="OBG6" s="396"/>
      <c r="OBH6" s="396"/>
      <c r="OBI6" s="396"/>
      <c r="OBJ6" s="396"/>
      <c r="OBK6" s="396"/>
      <c r="OBL6" s="396"/>
      <c r="OBM6" s="396"/>
      <c r="OBN6" s="396"/>
      <c r="OBO6" s="396"/>
      <c r="OBP6" s="396"/>
      <c r="OBQ6" s="396"/>
      <c r="OBR6" s="396"/>
      <c r="OBS6" s="396"/>
      <c r="OBT6" s="396"/>
      <c r="OBU6" s="396"/>
      <c r="OBV6" s="396"/>
      <c r="OBW6" s="396"/>
      <c r="OBX6" s="396"/>
      <c r="OBY6" s="396"/>
      <c r="OBZ6" s="396"/>
      <c r="OCA6" s="396"/>
      <c r="OCB6" s="396"/>
      <c r="OCC6" s="396"/>
      <c r="OCD6" s="396"/>
      <c r="OCE6" s="396"/>
      <c r="OCF6" s="396"/>
      <c r="OCG6" s="396"/>
      <c r="OCH6" s="396"/>
      <c r="OCI6" s="396"/>
      <c r="OCJ6" s="396"/>
      <c r="OCK6" s="396"/>
      <c r="OCL6" s="396"/>
      <c r="OCM6" s="396"/>
      <c r="OCN6" s="396"/>
      <c r="OCO6" s="396"/>
      <c r="OCP6" s="396"/>
      <c r="OCQ6" s="396"/>
      <c r="OCR6" s="396"/>
      <c r="OCS6" s="396"/>
      <c r="OCT6" s="396"/>
      <c r="OCU6" s="396"/>
      <c r="OCV6" s="396"/>
      <c r="OCW6" s="396"/>
      <c r="OCX6" s="396"/>
      <c r="OCY6" s="396"/>
      <c r="OCZ6" s="396"/>
      <c r="ODA6" s="396"/>
      <c r="ODB6" s="396"/>
      <c r="ODC6" s="396"/>
      <c r="ODD6" s="396"/>
      <c r="ODE6" s="396"/>
      <c r="ODF6" s="396"/>
      <c r="ODG6" s="396"/>
      <c r="ODH6" s="396"/>
      <c r="ODI6" s="396"/>
      <c r="ODJ6" s="396"/>
      <c r="ODK6" s="396"/>
      <c r="ODL6" s="396"/>
      <c r="ODM6" s="396"/>
      <c r="ODN6" s="396"/>
      <c r="ODO6" s="396"/>
      <c r="ODP6" s="396"/>
      <c r="ODQ6" s="396"/>
      <c r="ODR6" s="396"/>
      <c r="ODS6" s="396"/>
      <c r="ODT6" s="396"/>
      <c r="ODU6" s="396"/>
      <c r="ODV6" s="396"/>
      <c r="ODW6" s="396"/>
      <c r="ODX6" s="396"/>
      <c r="ODY6" s="396"/>
      <c r="ODZ6" s="396"/>
      <c r="OEA6" s="396"/>
      <c r="OEB6" s="396"/>
      <c r="OEC6" s="396"/>
      <c r="OED6" s="396"/>
      <c r="OEE6" s="396"/>
      <c r="OEF6" s="396"/>
      <c r="OEG6" s="396"/>
      <c r="OEH6" s="396"/>
      <c r="OEI6" s="396"/>
      <c r="OEJ6" s="396"/>
      <c r="OEK6" s="396"/>
      <c r="OEL6" s="396"/>
      <c r="OEM6" s="396"/>
      <c r="OEN6" s="396"/>
      <c r="OEO6" s="396"/>
      <c r="OEP6" s="396"/>
      <c r="OEQ6" s="396"/>
      <c r="OER6" s="396"/>
      <c r="OES6" s="396"/>
      <c r="OET6" s="396"/>
      <c r="OEU6" s="396"/>
      <c r="OEV6" s="396"/>
      <c r="OEW6" s="396"/>
      <c r="OEX6" s="396"/>
      <c r="OEY6" s="396"/>
      <c r="OEZ6" s="396"/>
      <c r="OFA6" s="396"/>
      <c r="OFB6" s="396"/>
      <c r="OFC6" s="396"/>
      <c r="OFD6" s="396"/>
      <c r="OFE6" s="396"/>
      <c r="OFF6" s="396"/>
      <c r="OFG6" s="396"/>
      <c r="OFH6" s="396"/>
      <c r="OFI6" s="396"/>
      <c r="OFJ6" s="396"/>
      <c r="OFK6" s="396"/>
      <c r="OFL6" s="396"/>
      <c r="OFM6" s="396"/>
      <c r="OFN6" s="396"/>
      <c r="OFO6" s="396"/>
      <c r="OFP6" s="396"/>
      <c r="OFQ6" s="396"/>
      <c r="OFR6" s="396"/>
      <c r="OFS6" s="396"/>
      <c r="OFT6" s="396"/>
      <c r="OFU6" s="396"/>
      <c r="OFV6" s="396"/>
      <c r="OFW6" s="396"/>
      <c r="OFX6" s="396"/>
      <c r="OFY6" s="396"/>
      <c r="OFZ6" s="396"/>
      <c r="OGA6" s="396"/>
      <c r="OGB6" s="396"/>
      <c r="OGC6" s="396"/>
      <c r="OGD6" s="396"/>
      <c r="OGE6" s="396"/>
      <c r="OGF6" s="396"/>
      <c r="OGG6" s="396"/>
      <c r="OGH6" s="396"/>
      <c r="OGI6" s="396"/>
      <c r="OGJ6" s="396"/>
      <c r="OGK6" s="396"/>
      <c r="OGL6" s="396"/>
      <c r="OGM6" s="396"/>
      <c r="OGN6" s="396"/>
      <c r="OGO6" s="396"/>
      <c r="OGP6" s="396"/>
      <c r="OGQ6" s="396"/>
      <c r="OGR6" s="396"/>
      <c r="OGS6" s="396"/>
      <c r="OGT6" s="396"/>
      <c r="OGU6" s="396"/>
      <c r="OGV6" s="396"/>
      <c r="OGW6" s="396"/>
      <c r="OGX6" s="396"/>
      <c r="OGY6" s="396"/>
      <c r="OGZ6" s="396"/>
      <c r="OHA6" s="396"/>
      <c r="OHB6" s="396"/>
      <c r="OHC6" s="396"/>
      <c r="OHD6" s="396"/>
      <c r="OHE6" s="396"/>
      <c r="OHF6" s="396"/>
      <c r="OHG6" s="396"/>
      <c r="OHH6" s="396"/>
      <c r="OHI6" s="396"/>
      <c r="OHJ6" s="396"/>
      <c r="OHK6" s="396"/>
      <c r="OHL6" s="396"/>
      <c r="OHM6" s="396"/>
      <c r="OHN6" s="396"/>
      <c r="OHO6" s="396"/>
      <c r="OHP6" s="396"/>
      <c r="OHQ6" s="396"/>
      <c r="OHR6" s="396"/>
      <c r="OHS6" s="396"/>
      <c r="OHT6" s="396"/>
      <c r="OHU6" s="396"/>
      <c r="OHV6" s="396"/>
      <c r="OHW6" s="396"/>
      <c r="OHX6" s="396"/>
      <c r="OHY6" s="396"/>
      <c r="OHZ6" s="396"/>
      <c r="OIA6" s="396"/>
      <c r="OIB6" s="396"/>
      <c r="OIC6" s="396"/>
      <c r="OID6" s="396"/>
      <c r="OIE6" s="396"/>
      <c r="OIF6" s="396"/>
      <c r="OIG6" s="396"/>
      <c r="OIH6" s="396"/>
      <c r="OII6" s="396"/>
      <c r="OIJ6" s="396"/>
      <c r="OIK6" s="396"/>
      <c r="OIL6" s="396"/>
      <c r="OIM6" s="396"/>
      <c r="OIN6" s="396"/>
      <c r="OIO6" s="396"/>
      <c r="OIP6" s="396"/>
      <c r="OIQ6" s="396"/>
      <c r="OIR6" s="396"/>
      <c r="OIS6" s="396"/>
      <c r="OIT6" s="396"/>
      <c r="OIU6" s="396"/>
      <c r="OIV6" s="396"/>
      <c r="OIW6" s="396"/>
      <c r="OIX6" s="396"/>
      <c r="OIY6" s="396"/>
      <c r="OIZ6" s="396"/>
      <c r="OJA6" s="396"/>
      <c r="OJB6" s="396"/>
      <c r="OJC6" s="396"/>
      <c r="OJD6" s="396"/>
      <c r="OJE6" s="396"/>
      <c r="OJF6" s="396"/>
      <c r="OJG6" s="396"/>
      <c r="OJH6" s="396"/>
      <c r="OJI6" s="396"/>
      <c r="OJJ6" s="396"/>
      <c r="OJK6" s="396"/>
      <c r="OJL6" s="396"/>
      <c r="OJM6" s="396"/>
      <c r="OJN6" s="396"/>
      <c r="OJO6" s="396"/>
      <c r="OJP6" s="396"/>
      <c r="OJQ6" s="396"/>
      <c r="OJR6" s="396"/>
      <c r="OJS6" s="396"/>
      <c r="OJT6" s="396"/>
      <c r="OJU6" s="396"/>
      <c r="OJV6" s="396"/>
      <c r="OJW6" s="396"/>
      <c r="OJX6" s="396"/>
      <c r="OJY6" s="396"/>
      <c r="OJZ6" s="396"/>
      <c r="OKA6" s="396"/>
      <c r="OKB6" s="396"/>
      <c r="OKC6" s="396"/>
      <c r="OKD6" s="396"/>
      <c r="OKE6" s="396"/>
      <c r="OKF6" s="396"/>
      <c r="OKG6" s="396"/>
      <c r="OKH6" s="396"/>
      <c r="OKI6" s="396"/>
      <c r="OKJ6" s="396"/>
      <c r="OKK6" s="396"/>
      <c r="OKL6" s="396"/>
      <c r="OKM6" s="396"/>
      <c r="OKN6" s="396"/>
      <c r="OKO6" s="396"/>
      <c r="OKP6" s="396"/>
      <c r="OKQ6" s="396"/>
      <c r="OKR6" s="396"/>
      <c r="OKS6" s="396"/>
      <c r="OKT6" s="396"/>
      <c r="OKU6" s="396"/>
      <c r="OKV6" s="396"/>
      <c r="OKW6" s="396"/>
      <c r="OKX6" s="396"/>
      <c r="OKY6" s="396"/>
      <c r="OKZ6" s="396"/>
      <c r="OLA6" s="396"/>
      <c r="OLB6" s="396"/>
      <c r="OLC6" s="396"/>
      <c r="OLD6" s="396"/>
      <c r="OLE6" s="396"/>
      <c r="OLF6" s="396"/>
      <c r="OLG6" s="396"/>
      <c r="OLH6" s="396"/>
      <c r="OLI6" s="396"/>
      <c r="OLJ6" s="396"/>
      <c r="OLK6" s="396"/>
      <c r="OLL6" s="396"/>
      <c r="OLM6" s="396"/>
      <c r="OLN6" s="396"/>
      <c r="OLO6" s="396"/>
      <c r="OLP6" s="396"/>
      <c r="OLQ6" s="396"/>
      <c r="OLR6" s="396"/>
      <c r="OLS6" s="396"/>
      <c r="OLT6" s="396"/>
      <c r="OLU6" s="396"/>
      <c r="OLV6" s="396"/>
      <c r="OLW6" s="396"/>
      <c r="OLX6" s="396"/>
      <c r="OLY6" s="396"/>
      <c r="OLZ6" s="396"/>
      <c r="OMA6" s="396"/>
      <c r="OMB6" s="396"/>
      <c r="OMC6" s="396"/>
      <c r="OMD6" s="396"/>
      <c r="OME6" s="396"/>
      <c r="OMF6" s="396"/>
      <c r="OMG6" s="396"/>
      <c r="OMH6" s="396"/>
      <c r="OMI6" s="396"/>
      <c r="OMJ6" s="396"/>
      <c r="OMK6" s="396"/>
      <c r="OML6" s="396"/>
      <c r="OMM6" s="396"/>
      <c r="OMN6" s="396"/>
      <c r="OMO6" s="396"/>
      <c r="OMP6" s="396"/>
      <c r="OMQ6" s="396"/>
      <c r="OMR6" s="396"/>
      <c r="OMS6" s="396"/>
      <c r="OMT6" s="396"/>
      <c r="OMU6" s="396"/>
      <c r="OMV6" s="396"/>
      <c r="OMW6" s="396"/>
      <c r="OMX6" s="396"/>
      <c r="OMY6" s="396"/>
      <c r="OMZ6" s="396"/>
      <c r="ONA6" s="396"/>
      <c r="ONB6" s="396"/>
      <c r="ONC6" s="396"/>
      <c r="OND6" s="396"/>
      <c r="ONE6" s="396"/>
      <c r="ONF6" s="396"/>
      <c r="ONG6" s="396"/>
      <c r="ONH6" s="396"/>
      <c r="ONI6" s="396"/>
      <c r="ONJ6" s="396"/>
      <c r="ONK6" s="396"/>
      <c r="ONL6" s="396"/>
      <c r="ONM6" s="396"/>
      <c r="ONN6" s="396"/>
      <c r="ONO6" s="396"/>
      <c r="ONP6" s="396"/>
      <c r="ONQ6" s="396"/>
      <c r="ONR6" s="396"/>
      <c r="ONS6" s="396"/>
      <c r="ONT6" s="396"/>
      <c r="ONU6" s="396"/>
      <c r="ONV6" s="396"/>
      <c r="ONW6" s="396"/>
      <c r="ONX6" s="396"/>
      <c r="ONY6" s="396"/>
      <c r="ONZ6" s="396"/>
      <c r="OOA6" s="396"/>
      <c r="OOB6" s="396"/>
      <c r="OOC6" s="396"/>
      <c r="OOD6" s="396"/>
      <c r="OOE6" s="396"/>
      <c r="OOF6" s="396"/>
      <c r="OOG6" s="396"/>
      <c r="OOH6" s="396"/>
      <c r="OOI6" s="396"/>
      <c r="OOJ6" s="396"/>
      <c r="OOK6" s="396"/>
      <c r="OOL6" s="396"/>
      <c r="OOM6" s="396"/>
      <c r="OON6" s="396"/>
      <c r="OOO6" s="396"/>
      <c r="OOP6" s="396"/>
      <c r="OOQ6" s="396"/>
      <c r="OOR6" s="396"/>
      <c r="OOS6" s="396"/>
      <c r="OOT6" s="396"/>
      <c r="OOU6" s="396"/>
      <c r="OOV6" s="396"/>
      <c r="OOW6" s="396"/>
      <c r="OOX6" s="396"/>
      <c r="OOY6" s="396"/>
      <c r="OOZ6" s="396"/>
      <c r="OPA6" s="396"/>
      <c r="OPB6" s="396"/>
      <c r="OPC6" s="396"/>
      <c r="OPD6" s="396"/>
      <c r="OPE6" s="396"/>
      <c r="OPF6" s="396"/>
      <c r="OPG6" s="396"/>
      <c r="OPH6" s="396"/>
      <c r="OPI6" s="396"/>
      <c r="OPJ6" s="396"/>
      <c r="OPK6" s="396"/>
      <c r="OPL6" s="396"/>
      <c r="OPM6" s="396"/>
      <c r="OPN6" s="396"/>
      <c r="OPO6" s="396"/>
      <c r="OPP6" s="396"/>
      <c r="OPQ6" s="396"/>
      <c r="OPR6" s="396"/>
      <c r="OPS6" s="396"/>
      <c r="OPT6" s="396"/>
      <c r="OPU6" s="396"/>
      <c r="OPV6" s="396"/>
      <c r="OPW6" s="396"/>
      <c r="OPX6" s="396"/>
      <c r="OPY6" s="396"/>
      <c r="OPZ6" s="396"/>
      <c r="OQA6" s="396"/>
      <c r="OQB6" s="396"/>
      <c r="OQC6" s="396"/>
      <c r="OQD6" s="396"/>
      <c r="OQE6" s="396"/>
      <c r="OQF6" s="396"/>
      <c r="OQG6" s="396"/>
      <c r="OQH6" s="396"/>
      <c r="OQI6" s="396"/>
      <c r="OQJ6" s="396"/>
      <c r="OQK6" s="396"/>
      <c r="OQL6" s="396"/>
      <c r="OQM6" s="396"/>
      <c r="OQN6" s="396"/>
      <c r="OQO6" s="396"/>
      <c r="OQP6" s="396"/>
      <c r="OQQ6" s="396"/>
      <c r="OQR6" s="396"/>
      <c r="OQS6" s="396"/>
      <c r="OQT6" s="396"/>
      <c r="OQU6" s="396"/>
      <c r="OQV6" s="396"/>
      <c r="OQW6" s="396"/>
      <c r="OQX6" s="396"/>
      <c r="OQY6" s="396"/>
      <c r="OQZ6" s="396"/>
      <c r="ORA6" s="396"/>
      <c r="ORB6" s="396"/>
      <c r="ORC6" s="396"/>
      <c r="ORD6" s="396"/>
      <c r="ORE6" s="396"/>
      <c r="ORF6" s="396"/>
      <c r="ORG6" s="396"/>
      <c r="ORH6" s="396"/>
      <c r="ORI6" s="396"/>
      <c r="ORJ6" s="396"/>
      <c r="ORK6" s="396"/>
      <c r="ORL6" s="396"/>
      <c r="ORM6" s="396"/>
      <c r="ORN6" s="396"/>
      <c r="ORO6" s="396"/>
      <c r="ORP6" s="396"/>
      <c r="ORQ6" s="396"/>
      <c r="ORR6" s="396"/>
      <c r="ORS6" s="396"/>
      <c r="ORT6" s="396"/>
      <c r="ORU6" s="396"/>
      <c r="ORV6" s="396"/>
      <c r="ORW6" s="396"/>
      <c r="ORX6" s="396"/>
      <c r="ORY6" s="396"/>
      <c r="ORZ6" s="396"/>
      <c r="OSA6" s="396"/>
      <c r="OSB6" s="396"/>
      <c r="OSC6" s="396"/>
      <c r="OSD6" s="396"/>
      <c r="OSE6" s="396"/>
      <c r="OSF6" s="396"/>
      <c r="OSG6" s="396"/>
      <c r="OSH6" s="396"/>
      <c r="OSI6" s="396"/>
      <c r="OSJ6" s="396"/>
      <c r="OSK6" s="396"/>
      <c r="OSL6" s="396"/>
      <c r="OSM6" s="396"/>
      <c r="OSN6" s="396"/>
      <c r="OSO6" s="396"/>
      <c r="OSP6" s="396"/>
      <c r="OSQ6" s="396"/>
      <c r="OSR6" s="396"/>
      <c r="OSS6" s="396"/>
      <c r="OST6" s="396"/>
      <c r="OSU6" s="396"/>
      <c r="OSV6" s="396"/>
      <c r="OSW6" s="396"/>
      <c r="OSX6" s="396"/>
      <c r="OSY6" s="396"/>
      <c r="OSZ6" s="396"/>
      <c r="OTA6" s="396"/>
      <c r="OTB6" s="396"/>
      <c r="OTC6" s="396"/>
      <c r="OTD6" s="396"/>
      <c r="OTE6" s="396"/>
      <c r="OTF6" s="396"/>
      <c r="OTG6" s="396"/>
      <c r="OTH6" s="396"/>
      <c r="OTI6" s="396"/>
      <c r="OTJ6" s="396"/>
      <c r="OTK6" s="396"/>
      <c r="OTL6" s="396"/>
      <c r="OTM6" s="396"/>
      <c r="OTN6" s="396"/>
      <c r="OTO6" s="396"/>
      <c r="OTP6" s="396"/>
      <c r="OTQ6" s="396"/>
      <c r="OTR6" s="396"/>
      <c r="OTS6" s="396"/>
      <c r="OTT6" s="396"/>
      <c r="OTU6" s="396"/>
      <c r="OTV6" s="396"/>
      <c r="OTW6" s="396"/>
      <c r="OTX6" s="396"/>
      <c r="OTY6" s="396"/>
      <c r="OTZ6" s="396"/>
      <c r="OUA6" s="396"/>
      <c r="OUB6" s="396"/>
      <c r="OUC6" s="396"/>
      <c r="OUD6" s="396"/>
      <c r="OUE6" s="396"/>
      <c r="OUF6" s="396"/>
      <c r="OUG6" s="396"/>
      <c r="OUH6" s="396"/>
      <c r="OUI6" s="396"/>
      <c r="OUJ6" s="396"/>
      <c r="OUK6" s="396"/>
      <c r="OUL6" s="396"/>
      <c r="OUM6" s="396"/>
      <c r="OUN6" s="396"/>
      <c r="OUO6" s="396"/>
      <c r="OUP6" s="396"/>
      <c r="OUQ6" s="396"/>
      <c r="OUR6" s="396"/>
      <c r="OUS6" s="396"/>
      <c r="OUT6" s="396"/>
      <c r="OUU6" s="396"/>
      <c r="OUV6" s="396"/>
      <c r="OUW6" s="396"/>
      <c r="OUX6" s="396"/>
      <c r="OUY6" s="396"/>
      <c r="OUZ6" s="396"/>
      <c r="OVA6" s="396"/>
      <c r="OVB6" s="396"/>
      <c r="OVC6" s="396"/>
      <c r="OVD6" s="396"/>
      <c r="OVE6" s="396"/>
      <c r="OVF6" s="396"/>
      <c r="OVG6" s="396"/>
      <c r="OVH6" s="396"/>
      <c r="OVI6" s="396"/>
      <c r="OVJ6" s="396"/>
      <c r="OVK6" s="396"/>
      <c r="OVL6" s="396"/>
      <c r="OVM6" s="396"/>
      <c r="OVN6" s="396"/>
      <c r="OVO6" s="396"/>
      <c r="OVP6" s="396"/>
      <c r="OVQ6" s="396"/>
      <c r="OVR6" s="396"/>
      <c r="OVS6" s="396"/>
      <c r="OVT6" s="396"/>
      <c r="OVU6" s="396"/>
      <c r="OVV6" s="396"/>
      <c r="OVW6" s="396"/>
      <c r="OVX6" s="396"/>
      <c r="OVY6" s="396"/>
      <c r="OVZ6" s="396"/>
      <c r="OWA6" s="396"/>
      <c r="OWB6" s="396"/>
      <c r="OWC6" s="396"/>
      <c r="OWD6" s="396"/>
      <c r="OWE6" s="396"/>
      <c r="OWF6" s="396"/>
      <c r="OWG6" s="396"/>
      <c r="OWH6" s="396"/>
      <c r="OWI6" s="396"/>
      <c r="OWJ6" s="396"/>
      <c r="OWK6" s="396"/>
      <c r="OWL6" s="396"/>
      <c r="OWM6" s="396"/>
      <c r="OWN6" s="396"/>
      <c r="OWO6" s="396"/>
      <c r="OWP6" s="396"/>
      <c r="OWQ6" s="396"/>
      <c r="OWR6" s="396"/>
      <c r="OWS6" s="396"/>
      <c r="OWT6" s="396"/>
      <c r="OWU6" s="396"/>
      <c r="OWV6" s="396"/>
      <c r="OWW6" s="396"/>
      <c r="OWX6" s="396"/>
      <c r="OWY6" s="396"/>
      <c r="OWZ6" s="396"/>
      <c r="OXA6" s="396"/>
      <c r="OXB6" s="396"/>
      <c r="OXC6" s="396"/>
      <c r="OXD6" s="396"/>
      <c r="OXE6" s="396"/>
      <c r="OXF6" s="396"/>
      <c r="OXG6" s="396"/>
      <c r="OXH6" s="396"/>
      <c r="OXI6" s="396"/>
      <c r="OXJ6" s="396"/>
      <c r="OXK6" s="396"/>
      <c r="OXL6" s="396"/>
      <c r="OXM6" s="396"/>
      <c r="OXN6" s="396"/>
      <c r="OXO6" s="396"/>
      <c r="OXP6" s="396"/>
      <c r="OXQ6" s="396"/>
      <c r="OXR6" s="396"/>
      <c r="OXS6" s="396"/>
      <c r="OXT6" s="396"/>
      <c r="OXU6" s="396"/>
      <c r="OXV6" s="396"/>
      <c r="OXW6" s="396"/>
      <c r="OXX6" s="396"/>
      <c r="OXY6" s="396"/>
      <c r="OXZ6" s="396"/>
      <c r="OYA6" s="396"/>
      <c r="OYB6" s="396"/>
      <c r="OYC6" s="396"/>
      <c r="OYD6" s="396"/>
      <c r="OYE6" s="396"/>
      <c r="OYF6" s="396"/>
      <c r="OYG6" s="396"/>
      <c r="OYH6" s="396"/>
      <c r="OYI6" s="396"/>
      <c r="OYJ6" s="396"/>
      <c r="OYK6" s="396"/>
      <c r="OYL6" s="396"/>
      <c r="OYM6" s="396"/>
      <c r="OYN6" s="396"/>
      <c r="OYO6" s="396"/>
      <c r="OYP6" s="396"/>
      <c r="OYQ6" s="396"/>
      <c r="OYR6" s="396"/>
      <c r="OYS6" s="396"/>
      <c r="OYT6" s="396"/>
      <c r="OYU6" s="396"/>
      <c r="OYV6" s="396"/>
      <c r="OYW6" s="396"/>
      <c r="OYX6" s="396"/>
      <c r="OYY6" s="396"/>
      <c r="OYZ6" s="396"/>
      <c r="OZA6" s="396"/>
      <c r="OZB6" s="396"/>
      <c r="OZC6" s="396"/>
      <c r="OZD6" s="396"/>
      <c r="OZE6" s="396"/>
      <c r="OZF6" s="396"/>
      <c r="OZG6" s="396"/>
      <c r="OZH6" s="396"/>
      <c r="OZI6" s="396"/>
      <c r="OZJ6" s="396"/>
      <c r="OZK6" s="396"/>
      <c r="OZL6" s="396"/>
      <c r="OZM6" s="396"/>
      <c r="OZN6" s="396"/>
      <c r="OZO6" s="396"/>
      <c r="OZP6" s="396"/>
      <c r="OZQ6" s="396"/>
      <c r="OZR6" s="396"/>
      <c r="OZS6" s="396"/>
      <c r="OZT6" s="396"/>
      <c r="OZU6" s="396"/>
      <c r="OZV6" s="396"/>
      <c r="OZW6" s="396"/>
      <c r="OZX6" s="396"/>
      <c r="OZY6" s="396"/>
      <c r="OZZ6" s="396"/>
      <c r="PAA6" s="396"/>
      <c r="PAB6" s="396"/>
      <c r="PAC6" s="396"/>
      <c r="PAD6" s="396"/>
      <c r="PAE6" s="396"/>
      <c r="PAF6" s="396"/>
      <c r="PAG6" s="396"/>
      <c r="PAH6" s="396"/>
      <c r="PAI6" s="396"/>
      <c r="PAJ6" s="396"/>
      <c r="PAK6" s="396"/>
      <c r="PAL6" s="396"/>
      <c r="PAM6" s="396"/>
      <c r="PAN6" s="396"/>
      <c r="PAO6" s="396"/>
      <c r="PAP6" s="396"/>
      <c r="PAQ6" s="396"/>
      <c r="PAR6" s="396"/>
      <c r="PAS6" s="396"/>
      <c r="PAT6" s="396"/>
      <c r="PAU6" s="396"/>
      <c r="PAV6" s="396"/>
      <c r="PAW6" s="396"/>
      <c r="PAX6" s="396"/>
      <c r="PAY6" s="396"/>
      <c r="PAZ6" s="396"/>
      <c r="PBA6" s="396"/>
      <c r="PBB6" s="396"/>
      <c r="PBC6" s="396"/>
      <c r="PBD6" s="396"/>
      <c r="PBE6" s="396"/>
      <c r="PBF6" s="396"/>
      <c r="PBG6" s="396"/>
      <c r="PBH6" s="396"/>
      <c r="PBI6" s="396"/>
      <c r="PBJ6" s="396"/>
      <c r="PBK6" s="396"/>
      <c r="PBL6" s="396"/>
      <c r="PBM6" s="396"/>
      <c r="PBN6" s="396"/>
      <c r="PBO6" s="396"/>
      <c r="PBP6" s="396"/>
      <c r="PBQ6" s="396"/>
      <c r="PBR6" s="396"/>
      <c r="PBS6" s="396"/>
      <c r="PBT6" s="396"/>
      <c r="PBU6" s="396"/>
      <c r="PBV6" s="396"/>
      <c r="PBW6" s="396"/>
      <c r="PBX6" s="396"/>
      <c r="PBY6" s="396"/>
      <c r="PBZ6" s="396"/>
      <c r="PCA6" s="396"/>
      <c r="PCB6" s="396"/>
      <c r="PCC6" s="396"/>
      <c r="PCD6" s="396"/>
      <c r="PCE6" s="396"/>
      <c r="PCF6" s="396"/>
      <c r="PCG6" s="396"/>
      <c r="PCH6" s="396"/>
      <c r="PCI6" s="396"/>
      <c r="PCJ6" s="396"/>
      <c r="PCK6" s="396"/>
      <c r="PCL6" s="396"/>
      <c r="PCM6" s="396"/>
      <c r="PCN6" s="396"/>
      <c r="PCO6" s="396"/>
      <c r="PCP6" s="396"/>
      <c r="PCQ6" s="396"/>
      <c r="PCR6" s="396"/>
      <c r="PCS6" s="396"/>
      <c r="PCT6" s="396"/>
      <c r="PCU6" s="396"/>
      <c r="PCV6" s="396"/>
      <c r="PCW6" s="396"/>
      <c r="PCX6" s="396"/>
      <c r="PCY6" s="396"/>
      <c r="PCZ6" s="396"/>
      <c r="PDA6" s="396"/>
      <c r="PDB6" s="396"/>
      <c r="PDC6" s="396"/>
      <c r="PDD6" s="396"/>
      <c r="PDE6" s="396"/>
      <c r="PDF6" s="396"/>
      <c r="PDG6" s="396"/>
      <c r="PDH6" s="396"/>
      <c r="PDI6" s="396"/>
      <c r="PDJ6" s="396"/>
      <c r="PDK6" s="396"/>
      <c r="PDL6" s="396"/>
      <c r="PDM6" s="396"/>
      <c r="PDN6" s="396"/>
      <c r="PDO6" s="396"/>
      <c r="PDP6" s="396"/>
      <c r="PDQ6" s="396"/>
      <c r="PDR6" s="396"/>
      <c r="PDS6" s="396"/>
      <c r="PDT6" s="396"/>
      <c r="PDU6" s="396"/>
      <c r="PDV6" s="396"/>
      <c r="PDW6" s="396"/>
      <c r="PDX6" s="396"/>
      <c r="PDY6" s="396"/>
      <c r="PDZ6" s="396"/>
      <c r="PEA6" s="396"/>
      <c r="PEB6" s="396"/>
      <c r="PEC6" s="396"/>
      <c r="PED6" s="396"/>
      <c r="PEE6" s="396"/>
      <c r="PEF6" s="396"/>
      <c r="PEG6" s="396"/>
      <c r="PEH6" s="396"/>
      <c r="PEI6" s="396"/>
      <c r="PEJ6" s="396"/>
      <c r="PEK6" s="396"/>
      <c r="PEL6" s="396"/>
      <c r="PEM6" s="396"/>
      <c r="PEN6" s="396"/>
      <c r="PEO6" s="396"/>
      <c r="PEP6" s="396"/>
      <c r="PEQ6" s="396"/>
      <c r="PER6" s="396"/>
      <c r="PES6" s="396"/>
      <c r="PET6" s="396"/>
      <c r="PEU6" s="396"/>
      <c r="PEV6" s="396"/>
      <c r="PEW6" s="396"/>
      <c r="PEX6" s="396"/>
      <c r="PEY6" s="396"/>
      <c r="PEZ6" s="396"/>
      <c r="PFA6" s="396"/>
      <c r="PFB6" s="396"/>
      <c r="PFC6" s="396"/>
      <c r="PFD6" s="396"/>
      <c r="PFE6" s="396"/>
      <c r="PFF6" s="396"/>
      <c r="PFG6" s="396"/>
      <c r="PFH6" s="396"/>
      <c r="PFI6" s="396"/>
      <c r="PFJ6" s="396"/>
      <c r="PFK6" s="396"/>
      <c r="PFL6" s="396"/>
      <c r="PFM6" s="396"/>
      <c r="PFN6" s="396"/>
      <c r="PFO6" s="396"/>
      <c r="PFP6" s="396"/>
      <c r="PFQ6" s="396"/>
      <c r="PFR6" s="396"/>
      <c r="PFS6" s="396"/>
      <c r="PFT6" s="396"/>
      <c r="PFU6" s="396"/>
      <c r="PFV6" s="396"/>
      <c r="PFW6" s="396"/>
      <c r="PFX6" s="396"/>
      <c r="PFY6" s="396"/>
      <c r="PFZ6" s="396"/>
      <c r="PGA6" s="396"/>
      <c r="PGB6" s="396"/>
      <c r="PGC6" s="396"/>
      <c r="PGD6" s="396"/>
      <c r="PGE6" s="396"/>
      <c r="PGF6" s="396"/>
      <c r="PGG6" s="396"/>
      <c r="PGH6" s="396"/>
      <c r="PGI6" s="396"/>
      <c r="PGJ6" s="396"/>
      <c r="PGK6" s="396"/>
      <c r="PGL6" s="396"/>
      <c r="PGM6" s="396"/>
      <c r="PGN6" s="396"/>
      <c r="PGO6" s="396"/>
      <c r="PGP6" s="396"/>
      <c r="PGQ6" s="396"/>
      <c r="PGR6" s="396"/>
      <c r="PGS6" s="396"/>
      <c r="PGT6" s="396"/>
      <c r="PGU6" s="396"/>
      <c r="PGV6" s="396"/>
      <c r="PGW6" s="396"/>
      <c r="PGX6" s="396"/>
      <c r="PGY6" s="396"/>
      <c r="PGZ6" s="396"/>
      <c r="PHA6" s="396"/>
      <c r="PHB6" s="396"/>
      <c r="PHC6" s="396"/>
      <c r="PHD6" s="396"/>
      <c r="PHE6" s="396"/>
      <c r="PHF6" s="396"/>
      <c r="PHG6" s="396"/>
      <c r="PHH6" s="396"/>
      <c r="PHI6" s="396"/>
      <c r="PHJ6" s="396"/>
      <c r="PHK6" s="396"/>
      <c r="PHL6" s="396"/>
      <c r="PHM6" s="396"/>
      <c r="PHN6" s="396"/>
      <c r="PHO6" s="396"/>
      <c r="PHP6" s="396"/>
      <c r="PHQ6" s="396"/>
      <c r="PHR6" s="396"/>
      <c r="PHS6" s="396"/>
      <c r="PHT6" s="396"/>
      <c r="PHU6" s="396"/>
      <c r="PHV6" s="396"/>
      <c r="PHW6" s="396"/>
      <c r="PHX6" s="396"/>
      <c r="PHY6" s="396"/>
      <c r="PHZ6" s="396"/>
      <c r="PIA6" s="396"/>
      <c r="PIB6" s="396"/>
      <c r="PIC6" s="396"/>
      <c r="PID6" s="396"/>
      <c r="PIE6" s="396"/>
      <c r="PIF6" s="396"/>
      <c r="PIG6" s="396"/>
      <c r="PIH6" s="396"/>
      <c r="PII6" s="396"/>
      <c r="PIJ6" s="396"/>
      <c r="PIK6" s="396"/>
      <c r="PIL6" s="396"/>
      <c r="PIM6" s="396"/>
      <c r="PIN6" s="396"/>
      <c r="PIO6" s="396"/>
      <c r="PIP6" s="396"/>
      <c r="PIQ6" s="396"/>
      <c r="PIR6" s="396"/>
      <c r="PIS6" s="396"/>
      <c r="PIT6" s="396"/>
      <c r="PIU6" s="396"/>
      <c r="PIV6" s="396"/>
      <c r="PIW6" s="396"/>
      <c r="PIX6" s="396"/>
      <c r="PIY6" s="396"/>
      <c r="PIZ6" s="396"/>
      <c r="PJA6" s="396"/>
      <c r="PJB6" s="396"/>
      <c r="PJC6" s="396"/>
      <c r="PJD6" s="396"/>
      <c r="PJE6" s="396"/>
      <c r="PJF6" s="396"/>
      <c r="PJG6" s="396"/>
      <c r="PJH6" s="396"/>
      <c r="PJI6" s="396"/>
      <c r="PJJ6" s="396"/>
      <c r="PJK6" s="396"/>
      <c r="PJL6" s="396"/>
      <c r="PJM6" s="396"/>
      <c r="PJN6" s="396"/>
      <c r="PJO6" s="396"/>
      <c r="PJP6" s="396"/>
      <c r="PJQ6" s="396"/>
      <c r="PJR6" s="396"/>
      <c r="PJS6" s="396"/>
      <c r="PJT6" s="396"/>
      <c r="PJU6" s="396"/>
      <c r="PJV6" s="396"/>
      <c r="PJW6" s="396"/>
      <c r="PJX6" s="396"/>
      <c r="PJY6" s="396"/>
      <c r="PJZ6" s="396"/>
      <c r="PKA6" s="396"/>
      <c r="PKB6" s="396"/>
      <c r="PKC6" s="396"/>
      <c r="PKD6" s="396"/>
      <c r="PKE6" s="396"/>
      <c r="PKF6" s="396"/>
      <c r="PKG6" s="396"/>
      <c r="PKH6" s="396"/>
      <c r="PKI6" s="396"/>
      <c r="PKJ6" s="396"/>
      <c r="PKK6" s="396"/>
      <c r="PKL6" s="396"/>
      <c r="PKM6" s="396"/>
      <c r="PKN6" s="396"/>
      <c r="PKO6" s="396"/>
      <c r="PKP6" s="396"/>
      <c r="PKQ6" s="396"/>
      <c r="PKR6" s="396"/>
      <c r="PKS6" s="396"/>
      <c r="PKT6" s="396"/>
      <c r="PKU6" s="396"/>
      <c r="PKV6" s="396"/>
      <c r="PKW6" s="396"/>
      <c r="PKX6" s="396"/>
      <c r="PKY6" s="396"/>
      <c r="PKZ6" s="396"/>
      <c r="PLA6" s="396"/>
      <c r="PLB6" s="396"/>
      <c r="PLC6" s="396"/>
      <c r="PLD6" s="396"/>
      <c r="PLE6" s="396"/>
      <c r="PLF6" s="396"/>
      <c r="PLG6" s="396"/>
      <c r="PLH6" s="396"/>
      <c r="PLI6" s="396"/>
      <c r="PLJ6" s="396"/>
      <c r="PLK6" s="396"/>
      <c r="PLL6" s="396"/>
      <c r="PLM6" s="396"/>
      <c r="PLN6" s="396"/>
      <c r="PLO6" s="396"/>
      <c r="PLP6" s="396"/>
      <c r="PLQ6" s="396"/>
      <c r="PLR6" s="396"/>
      <c r="PLS6" s="396"/>
      <c r="PLT6" s="396"/>
      <c r="PLU6" s="396"/>
      <c r="PLV6" s="396"/>
      <c r="PLW6" s="396"/>
      <c r="PLX6" s="396"/>
      <c r="PLY6" s="396"/>
      <c r="PLZ6" s="396"/>
      <c r="PMA6" s="396"/>
      <c r="PMB6" s="396"/>
      <c r="PMC6" s="396"/>
      <c r="PMD6" s="396"/>
      <c r="PME6" s="396"/>
      <c r="PMF6" s="396"/>
      <c r="PMG6" s="396"/>
      <c r="PMH6" s="396"/>
      <c r="PMI6" s="396"/>
      <c r="PMJ6" s="396"/>
      <c r="PMK6" s="396"/>
      <c r="PML6" s="396"/>
      <c r="PMM6" s="396"/>
      <c r="PMN6" s="396"/>
      <c r="PMO6" s="396"/>
      <c r="PMP6" s="396"/>
      <c r="PMQ6" s="396"/>
      <c r="PMR6" s="396"/>
      <c r="PMS6" s="396"/>
      <c r="PMT6" s="396"/>
      <c r="PMU6" s="396"/>
      <c r="PMV6" s="396"/>
      <c r="PMW6" s="396"/>
      <c r="PMX6" s="396"/>
      <c r="PMY6" s="396"/>
      <c r="PMZ6" s="396"/>
      <c r="PNA6" s="396"/>
      <c r="PNB6" s="396"/>
      <c r="PNC6" s="396"/>
      <c r="PND6" s="396"/>
      <c r="PNE6" s="396"/>
      <c r="PNF6" s="396"/>
      <c r="PNG6" s="396"/>
      <c r="PNH6" s="396"/>
      <c r="PNI6" s="396"/>
      <c r="PNJ6" s="396"/>
      <c r="PNK6" s="396"/>
      <c r="PNL6" s="396"/>
      <c r="PNM6" s="396"/>
      <c r="PNN6" s="396"/>
      <c r="PNO6" s="396"/>
      <c r="PNP6" s="396"/>
      <c r="PNQ6" s="396"/>
      <c r="PNR6" s="396"/>
      <c r="PNS6" s="396"/>
      <c r="PNT6" s="396"/>
      <c r="PNU6" s="396"/>
      <c r="PNV6" s="396"/>
      <c r="PNW6" s="396"/>
      <c r="PNX6" s="396"/>
      <c r="PNY6" s="396"/>
      <c r="PNZ6" s="396"/>
      <c r="POA6" s="396"/>
      <c r="POB6" s="396"/>
      <c r="POC6" s="396"/>
      <c r="POD6" s="396"/>
      <c r="POE6" s="396"/>
      <c r="POF6" s="396"/>
      <c r="POG6" s="396"/>
      <c r="POH6" s="396"/>
      <c r="POI6" s="396"/>
      <c r="POJ6" s="396"/>
      <c r="POK6" s="396"/>
      <c r="POL6" s="396"/>
      <c r="POM6" s="396"/>
      <c r="PON6" s="396"/>
      <c r="POO6" s="396"/>
      <c r="POP6" s="396"/>
      <c r="POQ6" s="396"/>
      <c r="POR6" s="396"/>
      <c r="POS6" s="396"/>
      <c r="POT6" s="396"/>
      <c r="POU6" s="396"/>
      <c r="POV6" s="396"/>
      <c r="POW6" s="396"/>
      <c r="POX6" s="396"/>
      <c r="POY6" s="396"/>
      <c r="POZ6" s="396"/>
      <c r="PPA6" s="396"/>
      <c r="PPB6" s="396"/>
      <c r="PPC6" s="396"/>
      <c r="PPD6" s="396"/>
      <c r="PPE6" s="396"/>
      <c r="PPF6" s="396"/>
      <c r="PPG6" s="396"/>
      <c r="PPH6" s="396"/>
      <c r="PPI6" s="396"/>
      <c r="PPJ6" s="396"/>
      <c r="PPK6" s="396"/>
      <c r="PPL6" s="396"/>
      <c r="PPM6" s="396"/>
      <c r="PPN6" s="396"/>
      <c r="PPO6" s="396"/>
      <c r="PPP6" s="396"/>
      <c r="PPQ6" s="396"/>
      <c r="PPR6" s="396"/>
      <c r="PPS6" s="396"/>
      <c r="PPT6" s="396"/>
      <c r="PPU6" s="396"/>
      <c r="PPV6" s="396"/>
      <c r="PPW6" s="396"/>
      <c r="PPX6" s="396"/>
      <c r="PPY6" s="396"/>
      <c r="PPZ6" s="396"/>
      <c r="PQA6" s="396"/>
      <c r="PQB6" s="396"/>
      <c r="PQC6" s="396"/>
      <c r="PQD6" s="396"/>
      <c r="PQE6" s="396"/>
      <c r="PQF6" s="396"/>
      <c r="PQG6" s="396"/>
      <c r="PQH6" s="396"/>
      <c r="PQI6" s="396"/>
      <c r="PQJ6" s="396"/>
      <c r="PQK6" s="396"/>
      <c r="PQL6" s="396"/>
      <c r="PQM6" s="396"/>
      <c r="PQN6" s="396"/>
      <c r="PQO6" s="396"/>
      <c r="PQP6" s="396"/>
      <c r="PQQ6" s="396"/>
      <c r="PQR6" s="396"/>
      <c r="PQS6" s="396"/>
      <c r="PQT6" s="396"/>
      <c r="PQU6" s="396"/>
      <c r="PQV6" s="396"/>
      <c r="PQW6" s="396"/>
      <c r="PQX6" s="396"/>
      <c r="PQY6" s="396"/>
      <c r="PQZ6" s="396"/>
      <c r="PRA6" s="396"/>
      <c r="PRB6" s="396"/>
      <c r="PRC6" s="396"/>
      <c r="PRD6" s="396"/>
      <c r="PRE6" s="396"/>
      <c r="PRF6" s="396"/>
      <c r="PRG6" s="396"/>
      <c r="PRH6" s="396"/>
      <c r="PRI6" s="396"/>
      <c r="PRJ6" s="396"/>
      <c r="PRK6" s="396"/>
      <c r="PRL6" s="396"/>
      <c r="PRM6" s="396"/>
      <c r="PRN6" s="396"/>
      <c r="PRO6" s="396"/>
      <c r="PRP6" s="396"/>
      <c r="PRQ6" s="396"/>
      <c r="PRR6" s="396"/>
      <c r="PRS6" s="396"/>
      <c r="PRT6" s="396"/>
      <c r="PRU6" s="396"/>
      <c r="PRV6" s="396"/>
      <c r="PRW6" s="396"/>
      <c r="PRX6" s="396"/>
      <c r="PRY6" s="396"/>
      <c r="PRZ6" s="396"/>
      <c r="PSA6" s="396"/>
      <c r="PSB6" s="396"/>
      <c r="PSC6" s="396"/>
      <c r="PSD6" s="396"/>
      <c r="PSE6" s="396"/>
      <c r="PSF6" s="396"/>
      <c r="PSG6" s="396"/>
      <c r="PSH6" s="396"/>
      <c r="PSI6" s="396"/>
      <c r="PSJ6" s="396"/>
      <c r="PSK6" s="396"/>
      <c r="PSL6" s="396"/>
      <c r="PSM6" s="396"/>
      <c r="PSN6" s="396"/>
      <c r="PSO6" s="396"/>
      <c r="PSP6" s="396"/>
      <c r="PSQ6" s="396"/>
      <c r="PSR6" s="396"/>
      <c r="PSS6" s="396"/>
      <c r="PST6" s="396"/>
      <c r="PSU6" s="396"/>
      <c r="PSV6" s="396"/>
      <c r="PSW6" s="396"/>
      <c r="PSX6" s="396"/>
      <c r="PSY6" s="396"/>
      <c r="PSZ6" s="396"/>
      <c r="PTA6" s="396"/>
      <c r="PTB6" s="396"/>
      <c r="PTC6" s="396"/>
      <c r="PTD6" s="396"/>
      <c r="PTE6" s="396"/>
      <c r="PTF6" s="396"/>
      <c r="PTG6" s="396"/>
      <c r="PTH6" s="396"/>
      <c r="PTI6" s="396"/>
      <c r="PTJ6" s="396"/>
      <c r="PTK6" s="396"/>
      <c r="PTL6" s="396"/>
      <c r="PTM6" s="396"/>
      <c r="PTN6" s="396"/>
      <c r="PTO6" s="396"/>
      <c r="PTP6" s="396"/>
      <c r="PTQ6" s="396"/>
      <c r="PTR6" s="396"/>
      <c r="PTS6" s="396"/>
      <c r="PTT6" s="396"/>
      <c r="PTU6" s="396"/>
      <c r="PTV6" s="396"/>
      <c r="PTW6" s="396"/>
      <c r="PTX6" s="396"/>
      <c r="PTY6" s="396"/>
      <c r="PTZ6" s="396"/>
      <c r="PUA6" s="396"/>
      <c r="PUB6" s="396"/>
      <c r="PUC6" s="396"/>
      <c r="PUD6" s="396"/>
      <c r="PUE6" s="396"/>
      <c r="PUF6" s="396"/>
      <c r="PUG6" s="396"/>
      <c r="PUH6" s="396"/>
      <c r="PUI6" s="396"/>
      <c r="PUJ6" s="396"/>
      <c r="PUK6" s="396"/>
      <c r="PUL6" s="396"/>
      <c r="PUM6" s="396"/>
      <c r="PUN6" s="396"/>
      <c r="PUO6" s="396"/>
      <c r="PUP6" s="396"/>
      <c r="PUQ6" s="396"/>
      <c r="PUR6" s="396"/>
      <c r="PUS6" s="396"/>
      <c r="PUT6" s="396"/>
      <c r="PUU6" s="396"/>
      <c r="PUV6" s="396"/>
      <c r="PUW6" s="396"/>
      <c r="PUX6" s="396"/>
      <c r="PUY6" s="396"/>
      <c r="PUZ6" s="396"/>
      <c r="PVA6" s="396"/>
      <c r="PVB6" s="396"/>
      <c r="PVC6" s="396"/>
      <c r="PVD6" s="396"/>
      <c r="PVE6" s="396"/>
      <c r="PVF6" s="396"/>
      <c r="PVG6" s="396"/>
      <c r="PVH6" s="396"/>
      <c r="PVI6" s="396"/>
      <c r="PVJ6" s="396"/>
      <c r="PVK6" s="396"/>
      <c r="PVL6" s="396"/>
      <c r="PVM6" s="396"/>
      <c r="PVN6" s="396"/>
      <c r="PVO6" s="396"/>
      <c r="PVP6" s="396"/>
      <c r="PVQ6" s="396"/>
      <c r="PVR6" s="396"/>
      <c r="PVS6" s="396"/>
      <c r="PVT6" s="396"/>
      <c r="PVU6" s="396"/>
      <c r="PVV6" s="396"/>
      <c r="PVW6" s="396"/>
      <c r="PVX6" s="396"/>
      <c r="PVY6" s="396"/>
      <c r="PVZ6" s="396"/>
      <c r="PWA6" s="396"/>
      <c r="PWB6" s="396"/>
      <c r="PWC6" s="396"/>
      <c r="PWD6" s="396"/>
      <c r="PWE6" s="396"/>
      <c r="PWF6" s="396"/>
      <c r="PWG6" s="396"/>
      <c r="PWH6" s="396"/>
      <c r="PWI6" s="396"/>
      <c r="PWJ6" s="396"/>
      <c r="PWK6" s="396"/>
      <c r="PWL6" s="396"/>
      <c r="PWM6" s="396"/>
      <c r="PWN6" s="396"/>
      <c r="PWO6" s="396"/>
      <c r="PWP6" s="396"/>
      <c r="PWQ6" s="396"/>
      <c r="PWR6" s="396"/>
      <c r="PWS6" s="396"/>
      <c r="PWT6" s="396"/>
      <c r="PWU6" s="396"/>
      <c r="PWV6" s="396"/>
      <c r="PWW6" s="396"/>
      <c r="PWX6" s="396"/>
      <c r="PWY6" s="396"/>
      <c r="PWZ6" s="396"/>
      <c r="PXA6" s="396"/>
      <c r="PXB6" s="396"/>
      <c r="PXC6" s="396"/>
      <c r="PXD6" s="396"/>
      <c r="PXE6" s="396"/>
      <c r="PXF6" s="396"/>
      <c r="PXG6" s="396"/>
      <c r="PXH6" s="396"/>
      <c r="PXI6" s="396"/>
      <c r="PXJ6" s="396"/>
      <c r="PXK6" s="396"/>
      <c r="PXL6" s="396"/>
      <c r="PXM6" s="396"/>
      <c r="PXN6" s="396"/>
      <c r="PXO6" s="396"/>
      <c r="PXP6" s="396"/>
      <c r="PXQ6" s="396"/>
      <c r="PXR6" s="396"/>
      <c r="PXS6" s="396"/>
      <c r="PXT6" s="396"/>
      <c r="PXU6" s="396"/>
      <c r="PXV6" s="396"/>
      <c r="PXW6" s="396"/>
      <c r="PXX6" s="396"/>
      <c r="PXY6" s="396"/>
      <c r="PXZ6" s="396"/>
      <c r="PYA6" s="396"/>
      <c r="PYB6" s="396"/>
      <c r="PYC6" s="396"/>
      <c r="PYD6" s="396"/>
      <c r="PYE6" s="396"/>
      <c r="PYF6" s="396"/>
      <c r="PYG6" s="396"/>
      <c r="PYH6" s="396"/>
      <c r="PYI6" s="396"/>
      <c r="PYJ6" s="396"/>
      <c r="PYK6" s="396"/>
      <c r="PYL6" s="396"/>
      <c r="PYM6" s="396"/>
      <c r="PYN6" s="396"/>
      <c r="PYO6" s="396"/>
      <c r="PYP6" s="396"/>
      <c r="PYQ6" s="396"/>
      <c r="PYR6" s="396"/>
      <c r="PYS6" s="396"/>
      <c r="PYT6" s="396"/>
      <c r="PYU6" s="396"/>
      <c r="PYV6" s="396"/>
      <c r="PYW6" s="396"/>
      <c r="PYX6" s="396"/>
      <c r="PYY6" s="396"/>
      <c r="PYZ6" s="396"/>
      <c r="PZA6" s="396"/>
      <c r="PZB6" s="396"/>
      <c r="PZC6" s="396"/>
      <c r="PZD6" s="396"/>
      <c r="PZE6" s="396"/>
      <c r="PZF6" s="396"/>
      <c r="PZG6" s="396"/>
      <c r="PZH6" s="396"/>
      <c r="PZI6" s="396"/>
      <c r="PZJ6" s="396"/>
      <c r="PZK6" s="396"/>
      <c r="PZL6" s="396"/>
      <c r="PZM6" s="396"/>
      <c r="PZN6" s="396"/>
      <c r="PZO6" s="396"/>
      <c r="PZP6" s="396"/>
      <c r="PZQ6" s="396"/>
      <c r="PZR6" s="396"/>
      <c r="PZS6" s="396"/>
      <c r="PZT6" s="396"/>
      <c r="PZU6" s="396"/>
      <c r="PZV6" s="396"/>
      <c r="PZW6" s="396"/>
      <c r="PZX6" s="396"/>
      <c r="PZY6" s="396"/>
      <c r="PZZ6" s="396"/>
      <c r="QAA6" s="396"/>
      <c r="QAB6" s="396"/>
      <c r="QAC6" s="396"/>
      <c r="QAD6" s="396"/>
      <c r="QAE6" s="396"/>
      <c r="QAF6" s="396"/>
      <c r="QAG6" s="396"/>
      <c r="QAH6" s="396"/>
      <c r="QAI6" s="396"/>
      <c r="QAJ6" s="396"/>
      <c r="QAK6" s="396"/>
      <c r="QAL6" s="396"/>
      <c r="QAM6" s="396"/>
      <c r="QAN6" s="396"/>
      <c r="QAO6" s="396"/>
      <c r="QAP6" s="396"/>
      <c r="QAQ6" s="396"/>
      <c r="QAR6" s="396"/>
      <c r="QAS6" s="396"/>
      <c r="QAT6" s="396"/>
      <c r="QAU6" s="396"/>
      <c r="QAV6" s="396"/>
      <c r="QAW6" s="396"/>
      <c r="QAX6" s="396"/>
      <c r="QAY6" s="396"/>
      <c r="QAZ6" s="396"/>
      <c r="QBA6" s="396"/>
      <c r="QBB6" s="396"/>
      <c r="QBC6" s="396"/>
      <c r="QBD6" s="396"/>
      <c r="QBE6" s="396"/>
      <c r="QBF6" s="396"/>
      <c r="QBG6" s="396"/>
      <c r="QBH6" s="396"/>
      <c r="QBI6" s="396"/>
      <c r="QBJ6" s="396"/>
      <c r="QBK6" s="396"/>
      <c r="QBL6" s="396"/>
      <c r="QBM6" s="396"/>
      <c r="QBN6" s="396"/>
      <c r="QBO6" s="396"/>
      <c r="QBP6" s="396"/>
      <c r="QBQ6" s="396"/>
      <c r="QBR6" s="396"/>
      <c r="QBS6" s="396"/>
      <c r="QBT6" s="396"/>
      <c r="QBU6" s="396"/>
      <c r="QBV6" s="396"/>
      <c r="QBW6" s="396"/>
      <c r="QBX6" s="396"/>
      <c r="QBY6" s="396"/>
      <c r="QBZ6" s="396"/>
      <c r="QCA6" s="396"/>
      <c r="QCB6" s="396"/>
      <c r="QCC6" s="396"/>
      <c r="QCD6" s="396"/>
      <c r="QCE6" s="396"/>
      <c r="QCF6" s="396"/>
      <c r="QCG6" s="396"/>
      <c r="QCH6" s="396"/>
      <c r="QCI6" s="396"/>
      <c r="QCJ6" s="396"/>
      <c r="QCK6" s="396"/>
      <c r="QCL6" s="396"/>
      <c r="QCM6" s="396"/>
      <c r="QCN6" s="396"/>
      <c r="QCO6" s="396"/>
      <c r="QCP6" s="396"/>
      <c r="QCQ6" s="396"/>
      <c r="QCR6" s="396"/>
      <c r="QCS6" s="396"/>
      <c r="QCT6" s="396"/>
      <c r="QCU6" s="396"/>
      <c r="QCV6" s="396"/>
      <c r="QCW6" s="396"/>
      <c r="QCX6" s="396"/>
      <c r="QCY6" s="396"/>
      <c r="QCZ6" s="396"/>
      <c r="QDA6" s="396"/>
      <c r="QDB6" s="396"/>
      <c r="QDC6" s="396"/>
      <c r="QDD6" s="396"/>
      <c r="QDE6" s="396"/>
      <c r="QDF6" s="396"/>
      <c r="QDG6" s="396"/>
      <c r="QDH6" s="396"/>
      <c r="QDI6" s="396"/>
      <c r="QDJ6" s="396"/>
      <c r="QDK6" s="396"/>
      <c r="QDL6" s="396"/>
      <c r="QDM6" s="396"/>
      <c r="QDN6" s="396"/>
      <c r="QDO6" s="396"/>
      <c r="QDP6" s="396"/>
      <c r="QDQ6" s="396"/>
      <c r="QDR6" s="396"/>
      <c r="QDS6" s="396"/>
      <c r="QDT6" s="396"/>
      <c r="QDU6" s="396"/>
      <c r="QDV6" s="396"/>
      <c r="QDW6" s="396"/>
      <c r="QDX6" s="396"/>
      <c r="QDY6" s="396"/>
      <c r="QDZ6" s="396"/>
      <c r="QEA6" s="396"/>
      <c r="QEB6" s="396"/>
      <c r="QEC6" s="396"/>
      <c r="QED6" s="396"/>
      <c r="QEE6" s="396"/>
      <c r="QEF6" s="396"/>
      <c r="QEG6" s="396"/>
      <c r="QEH6" s="396"/>
      <c r="QEI6" s="396"/>
      <c r="QEJ6" s="396"/>
      <c r="QEK6" s="396"/>
      <c r="QEL6" s="396"/>
      <c r="QEM6" s="396"/>
      <c r="QEN6" s="396"/>
      <c r="QEO6" s="396"/>
      <c r="QEP6" s="396"/>
      <c r="QEQ6" s="396"/>
      <c r="QER6" s="396"/>
      <c r="QES6" s="396"/>
      <c r="QET6" s="396"/>
      <c r="QEU6" s="396"/>
      <c r="QEV6" s="396"/>
      <c r="QEW6" s="396"/>
      <c r="QEX6" s="396"/>
      <c r="QEY6" s="396"/>
      <c r="QEZ6" s="396"/>
      <c r="QFA6" s="396"/>
      <c r="QFB6" s="396"/>
      <c r="QFC6" s="396"/>
      <c r="QFD6" s="396"/>
      <c r="QFE6" s="396"/>
      <c r="QFF6" s="396"/>
      <c r="QFG6" s="396"/>
      <c r="QFH6" s="396"/>
      <c r="QFI6" s="396"/>
      <c r="QFJ6" s="396"/>
      <c r="QFK6" s="396"/>
      <c r="QFL6" s="396"/>
      <c r="QFM6" s="396"/>
      <c r="QFN6" s="396"/>
      <c r="QFO6" s="396"/>
      <c r="QFP6" s="396"/>
      <c r="QFQ6" s="396"/>
      <c r="QFR6" s="396"/>
      <c r="QFS6" s="396"/>
      <c r="QFT6" s="396"/>
      <c r="QFU6" s="396"/>
      <c r="QFV6" s="396"/>
      <c r="QFW6" s="396"/>
      <c r="QFX6" s="396"/>
      <c r="QFY6" s="396"/>
      <c r="QFZ6" s="396"/>
      <c r="QGA6" s="396"/>
      <c r="QGB6" s="396"/>
      <c r="QGC6" s="396"/>
      <c r="QGD6" s="396"/>
      <c r="QGE6" s="396"/>
      <c r="QGF6" s="396"/>
      <c r="QGG6" s="396"/>
      <c r="QGH6" s="396"/>
      <c r="QGI6" s="396"/>
      <c r="QGJ6" s="396"/>
      <c r="QGK6" s="396"/>
      <c r="QGL6" s="396"/>
      <c r="QGM6" s="396"/>
      <c r="QGN6" s="396"/>
      <c r="QGO6" s="396"/>
      <c r="QGP6" s="396"/>
      <c r="QGQ6" s="396"/>
      <c r="QGR6" s="396"/>
      <c r="QGS6" s="396"/>
      <c r="QGT6" s="396"/>
      <c r="QGU6" s="396"/>
      <c r="QGV6" s="396"/>
      <c r="QGW6" s="396"/>
      <c r="QGX6" s="396"/>
      <c r="QGY6" s="396"/>
      <c r="QGZ6" s="396"/>
      <c r="QHA6" s="396"/>
      <c r="QHB6" s="396"/>
      <c r="QHC6" s="396"/>
      <c r="QHD6" s="396"/>
      <c r="QHE6" s="396"/>
      <c r="QHF6" s="396"/>
      <c r="QHG6" s="396"/>
      <c r="QHH6" s="396"/>
      <c r="QHI6" s="396"/>
      <c r="QHJ6" s="396"/>
      <c r="QHK6" s="396"/>
      <c r="QHL6" s="396"/>
      <c r="QHM6" s="396"/>
      <c r="QHN6" s="396"/>
      <c r="QHO6" s="396"/>
      <c r="QHP6" s="396"/>
      <c r="QHQ6" s="396"/>
      <c r="QHR6" s="396"/>
      <c r="QHS6" s="396"/>
      <c r="QHT6" s="396"/>
      <c r="QHU6" s="396"/>
      <c r="QHV6" s="396"/>
      <c r="QHW6" s="396"/>
      <c r="QHX6" s="396"/>
      <c r="QHY6" s="396"/>
      <c r="QHZ6" s="396"/>
      <c r="QIA6" s="396"/>
      <c r="QIB6" s="396"/>
      <c r="QIC6" s="396"/>
      <c r="QID6" s="396"/>
      <c r="QIE6" s="396"/>
      <c r="QIF6" s="396"/>
      <c r="QIG6" s="396"/>
      <c r="QIH6" s="396"/>
      <c r="QII6" s="396"/>
      <c r="QIJ6" s="396"/>
      <c r="QIK6" s="396"/>
      <c r="QIL6" s="396"/>
      <c r="QIM6" s="396"/>
      <c r="QIN6" s="396"/>
      <c r="QIO6" s="396"/>
      <c r="QIP6" s="396"/>
      <c r="QIQ6" s="396"/>
      <c r="QIR6" s="396"/>
      <c r="QIS6" s="396"/>
      <c r="QIT6" s="396"/>
      <c r="QIU6" s="396"/>
      <c r="QIV6" s="396"/>
      <c r="QIW6" s="396"/>
      <c r="QIX6" s="396"/>
      <c r="QIY6" s="396"/>
      <c r="QIZ6" s="396"/>
      <c r="QJA6" s="396"/>
      <c r="QJB6" s="396"/>
      <c r="QJC6" s="396"/>
      <c r="QJD6" s="396"/>
      <c r="QJE6" s="396"/>
      <c r="QJF6" s="396"/>
      <c r="QJG6" s="396"/>
      <c r="QJH6" s="396"/>
      <c r="QJI6" s="396"/>
      <c r="QJJ6" s="396"/>
      <c r="QJK6" s="396"/>
      <c r="QJL6" s="396"/>
      <c r="QJM6" s="396"/>
      <c r="QJN6" s="396"/>
      <c r="QJO6" s="396"/>
      <c r="QJP6" s="396"/>
      <c r="QJQ6" s="396"/>
      <c r="QJR6" s="396"/>
      <c r="QJS6" s="396"/>
      <c r="QJT6" s="396"/>
      <c r="QJU6" s="396"/>
      <c r="QJV6" s="396"/>
      <c r="QJW6" s="396"/>
      <c r="QJX6" s="396"/>
      <c r="QJY6" s="396"/>
      <c r="QJZ6" s="396"/>
      <c r="QKA6" s="396"/>
      <c r="QKB6" s="396"/>
      <c r="QKC6" s="396"/>
      <c r="QKD6" s="396"/>
      <c r="QKE6" s="396"/>
      <c r="QKF6" s="396"/>
      <c r="QKG6" s="396"/>
      <c r="QKH6" s="396"/>
      <c r="QKI6" s="396"/>
      <c r="QKJ6" s="396"/>
      <c r="QKK6" s="396"/>
      <c r="QKL6" s="396"/>
      <c r="QKM6" s="396"/>
      <c r="QKN6" s="396"/>
      <c r="QKO6" s="396"/>
      <c r="QKP6" s="396"/>
      <c r="QKQ6" s="396"/>
      <c r="QKR6" s="396"/>
      <c r="QKS6" s="396"/>
      <c r="QKT6" s="396"/>
      <c r="QKU6" s="396"/>
      <c r="QKV6" s="396"/>
      <c r="QKW6" s="396"/>
      <c r="QKX6" s="396"/>
      <c r="QKY6" s="396"/>
      <c r="QKZ6" s="396"/>
      <c r="QLA6" s="396"/>
      <c r="QLB6" s="396"/>
      <c r="QLC6" s="396"/>
      <c r="QLD6" s="396"/>
      <c r="QLE6" s="396"/>
      <c r="QLF6" s="396"/>
      <c r="QLG6" s="396"/>
      <c r="QLH6" s="396"/>
      <c r="QLI6" s="396"/>
      <c r="QLJ6" s="396"/>
      <c r="QLK6" s="396"/>
      <c r="QLL6" s="396"/>
      <c r="QLM6" s="396"/>
      <c r="QLN6" s="396"/>
      <c r="QLO6" s="396"/>
      <c r="QLP6" s="396"/>
      <c r="QLQ6" s="396"/>
      <c r="QLR6" s="396"/>
      <c r="QLS6" s="396"/>
      <c r="QLT6" s="396"/>
      <c r="QLU6" s="396"/>
      <c r="QLV6" s="396"/>
      <c r="QLW6" s="396"/>
      <c r="QLX6" s="396"/>
      <c r="QLY6" s="396"/>
      <c r="QLZ6" s="396"/>
      <c r="QMA6" s="396"/>
      <c r="QMB6" s="396"/>
      <c r="QMC6" s="396"/>
      <c r="QMD6" s="396"/>
      <c r="QME6" s="396"/>
      <c r="QMF6" s="396"/>
      <c r="QMG6" s="396"/>
      <c r="QMH6" s="396"/>
      <c r="QMI6" s="396"/>
      <c r="QMJ6" s="396"/>
      <c r="QMK6" s="396"/>
      <c r="QML6" s="396"/>
      <c r="QMM6" s="396"/>
      <c r="QMN6" s="396"/>
      <c r="QMO6" s="396"/>
      <c r="QMP6" s="396"/>
      <c r="QMQ6" s="396"/>
      <c r="QMR6" s="396"/>
      <c r="QMS6" s="396"/>
      <c r="QMT6" s="396"/>
      <c r="QMU6" s="396"/>
      <c r="QMV6" s="396"/>
      <c r="QMW6" s="396"/>
      <c r="QMX6" s="396"/>
      <c r="QMY6" s="396"/>
      <c r="QMZ6" s="396"/>
      <c r="QNA6" s="396"/>
      <c r="QNB6" s="396"/>
      <c r="QNC6" s="396"/>
      <c r="QND6" s="396"/>
      <c r="QNE6" s="396"/>
      <c r="QNF6" s="396"/>
      <c r="QNG6" s="396"/>
      <c r="QNH6" s="396"/>
      <c r="QNI6" s="396"/>
      <c r="QNJ6" s="396"/>
      <c r="QNK6" s="396"/>
      <c r="QNL6" s="396"/>
      <c r="QNM6" s="396"/>
      <c r="QNN6" s="396"/>
      <c r="QNO6" s="396"/>
      <c r="QNP6" s="396"/>
      <c r="QNQ6" s="396"/>
      <c r="QNR6" s="396"/>
      <c r="QNS6" s="396"/>
      <c r="QNT6" s="396"/>
      <c r="QNU6" s="396"/>
      <c r="QNV6" s="396"/>
      <c r="QNW6" s="396"/>
      <c r="QNX6" s="396"/>
      <c r="QNY6" s="396"/>
      <c r="QNZ6" s="396"/>
      <c r="QOA6" s="396"/>
      <c r="QOB6" s="396"/>
      <c r="QOC6" s="396"/>
      <c r="QOD6" s="396"/>
      <c r="QOE6" s="396"/>
      <c r="QOF6" s="396"/>
      <c r="QOG6" s="396"/>
      <c r="QOH6" s="396"/>
      <c r="QOI6" s="396"/>
      <c r="QOJ6" s="396"/>
      <c r="QOK6" s="396"/>
      <c r="QOL6" s="396"/>
      <c r="QOM6" s="396"/>
      <c r="QON6" s="396"/>
      <c r="QOO6" s="396"/>
      <c r="QOP6" s="396"/>
      <c r="QOQ6" s="396"/>
      <c r="QOR6" s="396"/>
      <c r="QOS6" s="396"/>
      <c r="QOT6" s="396"/>
      <c r="QOU6" s="396"/>
      <c r="QOV6" s="396"/>
      <c r="QOW6" s="396"/>
      <c r="QOX6" s="396"/>
      <c r="QOY6" s="396"/>
      <c r="QOZ6" s="396"/>
      <c r="QPA6" s="396"/>
      <c r="QPB6" s="396"/>
      <c r="QPC6" s="396"/>
      <c r="QPD6" s="396"/>
      <c r="QPE6" s="396"/>
      <c r="QPF6" s="396"/>
      <c r="QPG6" s="396"/>
      <c r="QPH6" s="396"/>
      <c r="QPI6" s="396"/>
      <c r="QPJ6" s="396"/>
      <c r="QPK6" s="396"/>
      <c r="QPL6" s="396"/>
      <c r="QPM6" s="396"/>
      <c r="QPN6" s="396"/>
      <c r="QPO6" s="396"/>
      <c r="QPP6" s="396"/>
      <c r="QPQ6" s="396"/>
      <c r="QPR6" s="396"/>
      <c r="QPS6" s="396"/>
      <c r="QPT6" s="396"/>
      <c r="QPU6" s="396"/>
      <c r="QPV6" s="396"/>
      <c r="QPW6" s="396"/>
      <c r="QPX6" s="396"/>
      <c r="QPY6" s="396"/>
      <c r="QPZ6" s="396"/>
      <c r="QQA6" s="396"/>
      <c r="QQB6" s="396"/>
      <c r="QQC6" s="396"/>
      <c r="QQD6" s="396"/>
      <c r="QQE6" s="396"/>
      <c r="QQF6" s="396"/>
      <c r="QQG6" s="396"/>
      <c r="QQH6" s="396"/>
      <c r="QQI6" s="396"/>
      <c r="QQJ6" s="396"/>
      <c r="QQK6" s="396"/>
      <c r="QQL6" s="396"/>
      <c r="QQM6" s="396"/>
      <c r="QQN6" s="396"/>
      <c r="QQO6" s="396"/>
      <c r="QQP6" s="396"/>
      <c r="QQQ6" s="396"/>
      <c r="QQR6" s="396"/>
      <c r="QQS6" s="396"/>
      <c r="QQT6" s="396"/>
      <c r="QQU6" s="396"/>
      <c r="QQV6" s="396"/>
      <c r="QQW6" s="396"/>
      <c r="QQX6" s="396"/>
      <c r="QQY6" s="396"/>
      <c r="QQZ6" s="396"/>
      <c r="QRA6" s="396"/>
      <c r="QRB6" s="396"/>
      <c r="QRC6" s="396"/>
      <c r="QRD6" s="396"/>
      <c r="QRE6" s="396"/>
      <c r="QRF6" s="396"/>
      <c r="QRG6" s="396"/>
      <c r="QRH6" s="396"/>
      <c r="QRI6" s="396"/>
      <c r="QRJ6" s="396"/>
      <c r="QRK6" s="396"/>
      <c r="QRL6" s="396"/>
      <c r="QRM6" s="396"/>
      <c r="QRN6" s="396"/>
      <c r="QRO6" s="396"/>
      <c r="QRP6" s="396"/>
      <c r="QRQ6" s="396"/>
      <c r="QRR6" s="396"/>
      <c r="QRS6" s="396"/>
      <c r="QRT6" s="396"/>
      <c r="QRU6" s="396"/>
      <c r="QRV6" s="396"/>
      <c r="QRW6" s="396"/>
      <c r="QRX6" s="396"/>
      <c r="QRY6" s="396"/>
      <c r="QRZ6" s="396"/>
      <c r="QSA6" s="396"/>
      <c r="QSB6" s="396"/>
      <c r="QSC6" s="396"/>
      <c r="QSD6" s="396"/>
      <c r="QSE6" s="396"/>
      <c r="QSF6" s="396"/>
      <c r="QSG6" s="396"/>
      <c r="QSH6" s="396"/>
      <c r="QSI6" s="396"/>
      <c r="QSJ6" s="396"/>
      <c r="QSK6" s="396"/>
      <c r="QSL6" s="396"/>
      <c r="QSM6" s="396"/>
      <c r="QSN6" s="396"/>
      <c r="QSO6" s="396"/>
      <c r="QSP6" s="396"/>
      <c r="QSQ6" s="396"/>
      <c r="QSR6" s="396"/>
      <c r="QSS6" s="396"/>
      <c r="QST6" s="396"/>
      <c r="QSU6" s="396"/>
      <c r="QSV6" s="396"/>
      <c r="QSW6" s="396"/>
      <c r="QSX6" s="396"/>
      <c r="QSY6" s="396"/>
      <c r="QSZ6" s="396"/>
      <c r="QTA6" s="396"/>
      <c r="QTB6" s="396"/>
      <c r="QTC6" s="396"/>
      <c r="QTD6" s="396"/>
      <c r="QTE6" s="396"/>
      <c r="QTF6" s="396"/>
      <c r="QTG6" s="396"/>
      <c r="QTH6" s="396"/>
      <c r="QTI6" s="396"/>
      <c r="QTJ6" s="396"/>
      <c r="QTK6" s="396"/>
      <c r="QTL6" s="396"/>
      <c r="QTM6" s="396"/>
      <c r="QTN6" s="396"/>
      <c r="QTO6" s="396"/>
      <c r="QTP6" s="396"/>
      <c r="QTQ6" s="396"/>
      <c r="QTR6" s="396"/>
      <c r="QTS6" s="396"/>
      <c r="QTT6" s="396"/>
      <c r="QTU6" s="396"/>
      <c r="QTV6" s="396"/>
      <c r="QTW6" s="396"/>
      <c r="QTX6" s="396"/>
      <c r="QTY6" s="396"/>
      <c r="QTZ6" s="396"/>
      <c r="QUA6" s="396"/>
      <c r="QUB6" s="396"/>
      <c r="QUC6" s="396"/>
      <c r="QUD6" s="396"/>
      <c r="QUE6" s="396"/>
      <c r="QUF6" s="396"/>
      <c r="QUG6" s="396"/>
      <c r="QUH6" s="396"/>
      <c r="QUI6" s="396"/>
      <c r="QUJ6" s="396"/>
      <c r="QUK6" s="396"/>
      <c r="QUL6" s="396"/>
      <c r="QUM6" s="396"/>
      <c r="QUN6" s="396"/>
      <c r="QUO6" s="396"/>
      <c r="QUP6" s="396"/>
      <c r="QUQ6" s="396"/>
      <c r="QUR6" s="396"/>
      <c r="QUS6" s="396"/>
      <c r="QUT6" s="396"/>
      <c r="QUU6" s="396"/>
      <c r="QUV6" s="396"/>
      <c r="QUW6" s="396"/>
      <c r="QUX6" s="396"/>
      <c r="QUY6" s="396"/>
      <c r="QUZ6" s="396"/>
      <c r="QVA6" s="396"/>
      <c r="QVB6" s="396"/>
      <c r="QVC6" s="396"/>
      <c r="QVD6" s="396"/>
      <c r="QVE6" s="396"/>
      <c r="QVF6" s="396"/>
      <c r="QVG6" s="396"/>
      <c r="QVH6" s="396"/>
      <c r="QVI6" s="396"/>
      <c r="QVJ6" s="396"/>
      <c r="QVK6" s="396"/>
      <c r="QVL6" s="396"/>
      <c r="QVM6" s="396"/>
      <c r="QVN6" s="396"/>
      <c r="QVO6" s="396"/>
      <c r="QVP6" s="396"/>
      <c r="QVQ6" s="396"/>
      <c r="QVR6" s="396"/>
      <c r="QVS6" s="396"/>
      <c r="QVT6" s="396"/>
      <c r="QVU6" s="396"/>
      <c r="QVV6" s="396"/>
      <c r="QVW6" s="396"/>
      <c r="QVX6" s="396"/>
      <c r="QVY6" s="396"/>
      <c r="QVZ6" s="396"/>
      <c r="QWA6" s="396"/>
      <c r="QWB6" s="396"/>
      <c r="QWC6" s="396"/>
      <c r="QWD6" s="396"/>
      <c r="QWE6" s="396"/>
      <c r="QWF6" s="396"/>
      <c r="QWG6" s="396"/>
      <c r="QWH6" s="396"/>
      <c r="QWI6" s="396"/>
      <c r="QWJ6" s="396"/>
      <c r="QWK6" s="396"/>
      <c r="QWL6" s="396"/>
      <c r="QWM6" s="396"/>
      <c r="QWN6" s="396"/>
      <c r="QWO6" s="396"/>
      <c r="QWP6" s="396"/>
      <c r="QWQ6" s="396"/>
      <c r="QWR6" s="396"/>
      <c r="QWS6" s="396"/>
      <c r="QWT6" s="396"/>
      <c r="QWU6" s="396"/>
      <c r="QWV6" s="396"/>
      <c r="QWW6" s="396"/>
      <c r="QWX6" s="396"/>
      <c r="QWY6" s="396"/>
      <c r="QWZ6" s="396"/>
      <c r="QXA6" s="396"/>
      <c r="QXB6" s="396"/>
      <c r="QXC6" s="396"/>
      <c r="QXD6" s="396"/>
      <c r="QXE6" s="396"/>
      <c r="QXF6" s="396"/>
      <c r="QXG6" s="396"/>
      <c r="QXH6" s="396"/>
      <c r="QXI6" s="396"/>
      <c r="QXJ6" s="396"/>
      <c r="QXK6" s="396"/>
      <c r="QXL6" s="396"/>
      <c r="QXM6" s="396"/>
      <c r="QXN6" s="396"/>
      <c r="QXO6" s="396"/>
      <c r="QXP6" s="396"/>
      <c r="QXQ6" s="396"/>
      <c r="QXR6" s="396"/>
      <c r="QXS6" s="396"/>
      <c r="QXT6" s="396"/>
      <c r="QXU6" s="396"/>
      <c r="QXV6" s="396"/>
      <c r="QXW6" s="396"/>
      <c r="QXX6" s="396"/>
      <c r="QXY6" s="396"/>
      <c r="QXZ6" s="396"/>
      <c r="QYA6" s="396"/>
      <c r="QYB6" s="396"/>
      <c r="QYC6" s="396"/>
      <c r="QYD6" s="396"/>
      <c r="QYE6" s="396"/>
      <c r="QYF6" s="396"/>
      <c r="QYG6" s="396"/>
      <c r="QYH6" s="396"/>
      <c r="QYI6" s="396"/>
      <c r="QYJ6" s="396"/>
      <c r="QYK6" s="396"/>
      <c r="QYL6" s="396"/>
      <c r="QYM6" s="396"/>
      <c r="QYN6" s="396"/>
      <c r="QYO6" s="396"/>
      <c r="QYP6" s="396"/>
      <c r="QYQ6" s="396"/>
      <c r="QYR6" s="396"/>
      <c r="QYS6" s="396"/>
      <c r="QYT6" s="396"/>
      <c r="QYU6" s="396"/>
      <c r="QYV6" s="396"/>
      <c r="QYW6" s="396"/>
      <c r="QYX6" s="396"/>
      <c r="QYY6" s="396"/>
      <c r="QYZ6" s="396"/>
      <c r="QZA6" s="396"/>
      <c r="QZB6" s="396"/>
      <c r="QZC6" s="396"/>
      <c r="QZD6" s="396"/>
      <c r="QZE6" s="396"/>
      <c r="QZF6" s="396"/>
      <c r="QZG6" s="396"/>
      <c r="QZH6" s="396"/>
      <c r="QZI6" s="396"/>
      <c r="QZJ6" s="396"/>
      <c r="QZK6" s="396"/>
      <c r="QZL6" s="396"/>
      <c r="QZM6" s="396"/>
      <c r="QZN6" s="396"/>
      <c r="QZO6" s="396"/>
      <c r="QZP6" s="396"/>
      <c r="QZQ6" s="396"/>
      <c r="QZR6" s="396"/>
      <c r="QZS6" s="396"/>
      <c r="QZT6" s="396"/>
      <c r="QZU6" s="396"/>
      <c r="QZV6" s="396"/>
      <c r="QZW6" s="396"/>
      <c r="QZX6" s="396"/>
      <c r="QZY6" s="396"/>
      <c r="QZZ6" s="396"/>
      <c r="RAA6" s="396"/>
      <c r="RAB6" s="396"/>
      <c r="RAC6" s="396"/>
      <c r="RAD6" s="396"/>
      <c r="RAE6" s="396"/>
      <c r="RAF6" s="396"/>
      <c r="RAG6" s="396"/>
      <c r="RAH6" s="396"/>
      <c r="RAI6" s="396"/>
      <c r="RAJ6" s="396"/>
      <c r="RAK6" s="396"/>
      <c r="RAL6" s="396"/>
      <c r="RAM6" s="396"/>
      <c r="RAN6" s="396"/>
      <c r="RAO6" s="396"/>
      <c r="RAP6" s="396"/>
      <c r="RAQ6" s="396"/>
      <c r="RAR6" s="396"/>
      <c r="RAS6" s="396"/>
      <c r="RAT6" s="396"/>
      <c r="RAU6" s="396"/>
      <c r="RAV6" s="396"/>
      <c r="RAW6" s="396"/>
      <c r="RAX6" s="396"/>
      <c r="RAY6" s="396"/>
      <c r="RAZ6" s="396"/>
      <c r="RBA6" s="396"/>
      <c r="RBB6" s="396"/>
      <c r="RBC6" s="396"/>
      <c r="RBD6" s="396"/>
      <c r="RBE6" s="396"/>
      <c r="RBF6" s="396"/>
      <c r="RBG6" s="396"/>
      <c r="RBH6" s="396"/>
      <c r="RBI6" s="396"/>
      <c r="RBJ6" s="396"/>
      <c r="RBK6" s="396"/>
      <c r="RBL6" s="396"/>
      <c r="RBM6" s="396"/>
      <c r="RBN6" s="396"/>
      <c r="RBO6" s="396"/>
      <c r="RBP6" s="396"/>
      <c r="RBQ6" s="396"/>
      <c r="RBR6" s="396"/>
      <c r="RBS6" s="396"/>
      <c r="RBT6" s="396"/>
      <c r="RBU6" s="396"/>
      <c r="RBV6" s="396"/>
      <c r="RBW6" s="396"/>
      <c r="RBX6" s="396"/>
      <c r="RBY6" s="396"/>
      <c r="RBZ6" s="396"/>
      <c r="RCA6" s="396"/>
      <c r="RCB6" s="396"/>
      <c r="RCC6" s="396"/>
      <c r="RCD6" s="396"/>
      <c r="RCE6" s="396"/>
      <c r="RCF6" s="396"/>
      <c r="RCG6" s="396"/>
      <c r="RCH6" s="396"/>
      <c r="RCI6" s="396"/>
      <c r="RCJ6" s="396"/>
      <c r="RCK6" s="396"/>
      <c r="RCL6" s="396"/>
      <c r="RCM6" s="396"/>
      <c r="RCN6" s="396"/>
      <c r="RCO6" s="396"/>
      <c r="RCP6" s="396"/>
      <c r="RCQ6" s="396"/>
      <c r="RCR6" s="396"/>
      <c r="RCS6" s="396"/>
      <c r="RCT6" s="396"/>
      <c r="RCU6" s="396"/>
      <c r="RCV6" s="396"/>
      <c r="RCW6" s="396"/>
      <c r="RCX6" s="396"/>
      <c r="RCY6" s="396"/>
      <c r="RCZ6" s="396"/>
      <c r="RDA6" s="396"/>
      <c r="RDB6" s="396"/>
      <c r="RDC6" s="396"/>
      <c r="RDD6" s="396"/>
      <c r="RDE6" s="396"/>
      <c r="RDF6" s="396"/>
      <c r="RDG6" s="396"/>
      <c r="RDH6" s="396"/>
      <c r="RDI6" s="396"/>
      <c r="RDJ6" s="396"/>
      <c r="RDK6" s="396"/>
      <c r="RDL6" s="396"/>
      <c r="RDM6" s="396"/>
      <c r="RDN6" s="396"/>
      <c r="RDO6" s="396"/>
      <c r="RDP6" s="396"/>
      <c r="RDQ6" s="396"/>
      <c r="RDR6" s="396"/>
      <c r="RDS6" s="396"/>
      <c r="RDT6" s="396"/>
      <c r="RDU6" s="396"/>
      <c r="RDV6" s="396"/>
      <c r="RDW6" s="396"/>
      <c r="RDX6" s="396"/>
      <c r="RDY6" s="396"/>
      <c r="RDZ6" s="396"/>
      <c r="REA6" s="396"/>
      <c r="REB6" s="396"/>
      <c r="REC6" s="396"/>
      <c r="RED6" s="396"/>
      <c r="REE6" s="396"/>
      <c r="REF6" s="396"/>
      <c r="REG6" s="396"/>
      <c r="REH6" s="396"/>
      <c r="REI6" s="396"/>
      <c r="REJ6" s="396"/>
      <c r="REK6" s="396"/>
      <c r="REL6" s="396"/>
      <c r="REM6" s="396"/>
      <c r="REN6" s="396"/>
      <c r="REO6" s="396"/>
      <c r="REP6" s="396"/>
      <c r="REQ6" s="396"/>
      <c r="RER6" s="396"/>
      <c r="RES6" s="396"/>
      <c r="RET6" s="396"/>
      <c r="REU6" s="396"/>
      <c r="REV6" s="396"/>
      <c r="REW6" s="396"/>
      <c r="REX6" s="396"/>
      <c r="REY6" s="396"/>
      <c r="REZ6" s="396"/>
      <c r="RFA6" s="396"/>
      <c r="RFB6" s="396"/>
      <c r="RFC6" s="396"/>
      <c r="RFD6" s="396"/>
      <c r="RFE6" s="396"/>
      <c r="RFF6" s="396"/>
      <c r="RFG6" s="396"/>
      <c r="RFH6" s="396"/>
      <c r="RFI6" s="396"/>
      <c r="RFJ6" s="396"/>
      <c r="RFK6" s="396"/>
      <c r="RFL6" s="396"/>
      <c r="RFM6" s="396"/>
      <c r="RFN6" s="396"/>
      <c r="RFO6" s="396"/>
      <c r="RFP6" s="396"/>
      <c r="RFQ6" s="396"/>
      <c r="RFR6" s="396"/>
      <c r="RFS6" s="396"/>
      <c r="RFT6" s="396"/>
      <c r="RFU6" s="396"/>
      <c r="RFV6" s="396"/>
      <c r="RFW6" s="396"/>
      <c r="RFX6" s="396"/>
      <c r="RFY6" s="396"/>
      <c r="RFZ6" s="396"/>
      <c r="RGA6" s="396"/>
      <c r="RGB6" s="396"/>
      <c r="RGC6" s="396"/>
      <c r="RGD6" s="396"/>
      <c r="RGE6" s="396"/>
      <c r="RGF6" s="396"/>
      <c r="RGG6" s="396"/>
      <c r="RGH6" s="396"/>
      <c r="RGI6" s="396"/>
      <c r="RGJ6" s="396"/>
      <c r="RGK6" s="396"/>
      <c r="RGL6" s="396"/>
      <c r="RGM6" s="396"/>
      <c r="RGN6" s="396"/>
      <c r="RGO6" s="396"/>
      <c r="RGP6" s="396"/>
      <c r="RGQ6" s="396"/>
      <c r="RGR6" s="396"/>
      <c r="RGS6" s="396"/>
      <c r="RGT6" s="396"/>
      <c r="RGU6" s="396"/>
      <c r="RGV6" s="396"/>
      <c r="RGW6" s="396"/>
      <c r="RGX6" s="396"/>
      <c r="RGY6" s="396"/>
      <c r="RGZ6" s="396"/>
      <c r="RHA6" s="396"/>
      <c r="RHB6" s="396"/>
      <c r="RHC6" s="396"/>
      <c r="RHD6" s="396"/>
      <c r="RHE6" s="396"/>
      <c r="RHF6" s="396"/>
      <c r="RHG6" s="396"/>
      <c r="RHH6" s="396"/>
      <c r="RHI6" s="396"/>
      <c r="RHJ6" s="396"/>
      <c r="RHK6" s="396"/>
      <c r="RHL6" s="396"/>
      <c r="RHM6" s="396"/>
      <c r="RHN6" s="396"/>
      <c r="RHO6" s="396"/>
      <c r="RHP6" s="396"/>
      <c r="RHQ6" s="396"/>
      <c r="RHR6" s="396"/>
      <c r="RHS6" s="396"/>
      <c r="RHT6" s="396"/>
      <c r="RHU6" s="396"/>
      <c r="RHV6" s="396"/>
      <c r="RHW6" s="396"/>
      <c r="RHX6" s="396"/>
      <c r="RHY6" s="396"/>
      <c r="RHZ6" s="396"/>
      <c r="RIA6" s="396"/>
      <c r="RIB6" s="396"/>
      <c r="RIC6" s="396"/>
      <c r="RID6" s="396"/>
      <c r="RIE6" s="396"/>
      <c r="RIF6" s="396"/>
      <c r="RIG6" s="396"/>
      <c r="RIH6" s="396"/>
      <c r="RII6" s="396"/>
      <c r="RIJ6" s="396"/>
      <c r="RIK6" s="396"/>
      <c r="RIL6" s="396"/>
      <c r="RIM6" s="396"/>
      <c r="RIN6" s="396"/>
      <c r="RIO6" s="396"/>
      <c r="RIP6" s="396"/>
      <c r="RIQ6" s="396"/>
      <c r="RIR6" s="396"/>
      <c r="RIS6" s="396"/>
      <c r="RIT6" s="396"/>
      <c r="RIU6" s="396"/>
      <c r="RIV6" s="396"/>
      <c r="RIW6" s="396"/>
      <c r="RIX6" s="396"/>
      <c r="RIY6" s="396"/>
      <c r="RIZ6" s="396"/>
      <c r="RJA6" s="396"/>
      <c r="RJB6" s="396"/>
      <c r="RJC6" s="396"/>
      <c r="RJD6" s="396"/>
      <c r="RJE6" s="396"/>
      <c r="RJF6" s="396"/>
      <c r="RJG6" s="396"/>
      <c r="RJH6" s="396"/>
      <c r="RJI6" s="396"/>
      <c r="RJJ6" s="396"/>
      <c r="RJK6" s="396"/>
      <c r="RJL6" s="396"/>
      <c r="RJM6" s="396"/>
      <c r="RJN6" s="396"/>
      <c r="RJO6" s="396"/>
      <c r="RJP6" s="396"/>
      <c r="RJQ6" s="396"/>
      <c r="RJR6" s="396"/>
      <c r="RJS6" s="396"/>
      <c r="RJT6" s="396"/>
      <c r="RJU6" s="396"/>
      <c r="RJV6" s="396"/>
      <c r="RJW6" s="396"/>
      <c r="RJX6" s="396"/>
      <c r="RJY6" s="396"/>
      <c r="RJZ6" s="396"/>
      <c r="RKA6" s="396"/>
      <c r="RKB6" s="396"/>
      <c r="RKC6" s="396"/>
      <c r="RKD6" s="396"/>
      <c r="RKE6" s="396"/>
      <c r="RKF6" s="396"/>
      <c r="RKG6" s="396"/>
      <c r="RKH6" s="396"/>
      <c r="RKI6" s="396"/>
      <c r="RKJ6" s="396"/>
      <c r="RKK6" s="396"/>
      <c r="RKL6" s="396"/>
      <c r="RKM6" s="396"/>
      <c r="RKN6" s="396"/>
      <c r="RKO6" s="396"/>
      <c r="RKP6" s="396"/>
      <c r="RKQ6" s="396"/>
      <c r="RKR6" s="396"/>
      <c r="RKS6" s="396"/>
      <c r="RKT6" s="396"/>
      <c r="RKU6" s="396"/>
      <c r="RKV6" s="396"/>
      <c r="RKW6" s="396"/>
      <c r="RKX6" s="396"/>
      <c r="RKY6" s="396"/>
      <c r="RKZ6" s="396"/>
      <c r="RLA6" s="396"/>
      <c r="RLB6" s="396"/>
      <c r="RLC6" s="396"/>
      <c r="RLD6" s="396"/>
      <c r="RLE6" s="396"/>
      <c r="RLF6" s="396"/>
      <c r="RLG6" s="396"/>
      <c r="RLH6" s="396"/>
      <c r="RLI6" s="396"/>
      <c r="RLJ6" s="396"/>
      <c r="RLK6" s="396"/>
      <c r="RLL6" s="396"/>
      <c r="RLM6" s="396"/>
      <c r="RLN6" s="396"/>
      <c r="RLO6" s="396"/>
      <c r="RLP6" s="396"/>
      <c r="RLQ6" s="396"/>
      <c r="RLR6" s="396"/>
      <c r="RLS6" s="396"/>
      <c r="RLT6" s="396"/>
      <c r="RLU6" s="396"/>
      <c r="RLV6" s="396"/>
      <c r="RLW6" s="396"/>
      <c r="RLX6" s="396"/>
      <c r="RLY6" s="396"/>
      <c r="RLZ6" s="396"/>
      <c r="RMA6" s="396"/>
      <c r="RMB6" s="396"/>
      <c r="RMC6" s="396"/>
      <c r="RMD6" s="396"/>
      <c r="RME6" s="396"/>
      <c r="RMF6" s="396"/>
      <c r="RMG6" s="396"/>
      <c r="RMH6" s="396"/>
      <c r="RMI6" s="396"/>
      <c r="RMJ6" s="396"/>
      <c r="RMK6" s="396"/>
      <c r="RML6" s="396"/>
      <c r="RMM6" s="396"/>
      <c r="RMN6" s="396"/>
      <c r="RMO6" s="396"/>
      <c r="RMP6" s="396"/>
      <c r="RMQ6" s="396"/>
      <c r="RMR6" s="396"/>
      <c r="RMS6" s="396"/>
      <c r="RMT6" s="396"/>
      <c r="RMU6" s="396"/>
      <c r="RMV6" s="396"/>
      <c r="RMW6" s="396"/>
      <c r="RMX6" s="396"/>
      <c r="RMY6" s="396"/>
      <c r="RMZ6" s="396"/>
      <c r="RNA6" s="396"/>
      <c r="RNB6" s="396"/>
      <c r="RNC6" s="396"/>
      <c r="RND6" s="396"/>
      <c r="RNE6" s="396"/>
      <c r="RNF6" s="396"/>
      <c r="RNG6" s="396"/>
      <c r="RNH6" s="396"/>
      <c r="RNI6" s="396"/>
      <c r="RNJ6" s="396"/>
      <c r="RNK6" s="396"/>
      <c r="RNL6" s="396"/>
      <c r="RNM6" s="396"/>
      <c r="RNN6" s="396"/>
      <c r="RNO6" s="396"/>
      <c r="RNP6" s="396"/>
      <c r="RNQ6" s="396"/>
      <c r="RNR6" s="396"/>
      <c r="RNS6" s="396"/>
      <c r="RNT6" s="396"/>
      <c r="RNU6" s="396"/>
      <c r="RNV6" s="396"/>
      <c r="RNW6" s="396"/>
      <c r="RNX6" s="396"/>
      <c r="RNY6" s="396"/>
      <c r="RNZ6" s="396"/>
      <c r="ROA6" s="396"/>
      <c r="ROB6" s="396"/>
      <c r="ROC6" s="396"/>
      <c r="ROD6" s="396"/>
      <c r="ROE6" s="396"/>
      <c r="ROF6" s="396"/>
      <c r="ROG6" s="396"/>
      <c r="ROH6" s="396"/>
      <c r="ROI6" s="396"/>
      <c r="ROJ6" s="396"/>
      <c r="ROK6" s="396"/>
      <c r="ROL6" s="396"/>
      <c r="ROM6" s="396"/>
      <c r="RON6" s="396"/>
      <c r="ROO6" s="396"/>
      <c r="ROP6" s="396"/>
      <c r="ROQ6" s="396"/>
      <c r="ROR6" s="396"/>
      <c r="ROS6" s="396"/>
      <c r="ROT6" s="396"/>
      <c r="ROU6" s="396"/>
      <c r="ROV6" s="396"/>
      <c r="ROW6" s="396"/>
      <c r="ROX6" s="396"/>
      <c r="ROY6" s="396"/>
      <c r="ROZ6" s="396"/>
      <c r="RPA6" s="396"/>
      <c r="RPB6" s="396"/>
      <c r="RPC6" s="396"/>
      <c r="RPD6" s="396"/>
      <c r="RPE6" s="396"/>
      <c r="RPF6" s="396"/>
      <c r="RPG6" s="396"/>
      <c r="RPH6" s="396"/>
      <c r="RPI6" s="396"/>
      <c r="RPJ6" s="396"/>
      <c r="RPK6" s="396"/>
      <c r="RPL6" s="396"/>
      <c r="RPM6" s="396"/>
      <c r="RPN6" s="396"/>
      <c r="RPO6" s="396"/>
      <c r="RPP6" s="396"/>
      <c r="RPQ6" s="396"/>
      <c r="RPR6" s="396"/>
      <c r="RPS6" s="396"/>
      <c r="RPT6" s="396"/>
      <c r="RPU6" s="396"/>
      <c r="RPV6" s="396"/>
      <c r="RPW6" s="396"/>
      <c r="RPX6" s="396"/>
      <c r="RPY6" s="396"/>
      <c r="RPZ6" s="396"/>
      <c r="RQA6" s="396"/>
      <c r="RQB6" s="396"/>
      <c r="RQC6" s="396"/>
      <c r="RQD6" s="396"/>
      <c r="RQE6" s="396"/>
      <c r="RQF6" s="396"/>
      <c r="RQG6" s="396"/>
      <c r="RQH6" s="396"/>
      <c r="RQI6" s="396"/>
      <c r="RQJ6" s="396"/>
      <c r="RQK6" s="396"/>
      <c r="RQL6" s="396"/>
      <c r="RQM6" s="396"/>
      <c r="RQN6" s="396"/>
      <c r="RQO6" s="396"/>
      <c r="RQP6" s="396"/>
      <c r="RQQ6" s="396"/>
      <c r="RQR6" s="396"/>
      <c r="RQS6" s="396"/>
      <c r="RQT6" s="396"/>
      <c r="RQU6" s="396"/>
      <c r="RQV6" s="396"/>
      <c r="RQW6" s="396"/>
      <c r="RQX6" s="396"/>
      <c r="RQY6" s="396"/>
      <c r="RQZ6" s="396"/>
      <c r="RRA6" s="396"/>
      <c r="RRB6" s="396"/>
      <c r="RRC6" s="396"/>
      <c r="RRD6" s="396"/>
      <c r="RRE6" s="396"/>
      <c r="RRF6" s="396"/>
      <c r="RRG6" s="396"/>
      <c r="RRH6" s="396"/>
      <c r="RRI6" s="396"/>
      <c r="RRJ6" s="396"/>
      <c r="RRK6" s="396"/>
      <c r="RRL6" s="396"/>
      <c r="RRM6" s="396"/>
      <c r="RRN6" s="396"/>
      <c r="RRO6" s="396"/>
      <c r="RRP6" s="396"/>
      <c r="RRQ6" s="396"/>
      <c r="RRR6" s="396"/>
      <c r="RRS6" s="396"/>
      <c r="RRT6" s="396"/>
      <c r="RRU6" s="396"/>
      <c r="RRV6" s="396"/>
      <c r="RRW6" s="396"/>
      <c r="RRX6" s="396"/>
      <c r="RRY6" s="396"/>
      <c r="RRZ6" s="396"/>
      <c r="RSA6" s="396"/>
      <c r="RSB6" s="396"/>
      <c r="RSC6" s="396"/>
      <c r="RSD6" s="396"/>
      <c r="RSE6" s="396"/>
      <c r="RSF6" s="396"/>
      <c r="RSG6" s="396"/>
      <c r="RSH6" s="396"/>
      <c r="RSI6" s="396"/>
      <c r="RSJ6" s="396"/>
      <c r="RSK6" s="396"/>
      <c r="RSL6" s="396"/>
      <c r="RSM6" s="396"/>
      <c r="RSN6" s="396"/>
      <c r="RSO6" s="396"/>
      <c r="RSP6" s="396"/>
      <c r="RSQ6" s="396"/>
      <c r="RSR6" s="396"/>
      <c r="RSS6" s="396"/>
      <c r="RST6" s="396"/>
      <c r="RSU6" s="396"/>
      <c r="RSV6" s="396"/>
      <c r="RSW6" s="396"/>
      <c r="RSX6" s="396"/>
      <c r="RSY6" s="396"/>
      <c r="RSZ6" s="396"/>
      <c r="RTA6" s="396"/>
      <c r="RTB6" s="396"/>
      <c r="RTC6" s="396"/>
      <c r="RTD6" s="396"/>
      <c r="RTE6" s="396"/>
      <c r="RTF6" s="396"/>
      <c r="RTG6" s="396"/>
      <c r="RTH6" s="396"/>
      <c r="RTI6" s="396"/>
      <c r="RTJ6" s="396"/>
      <c r="RTK6" s="396"/>
      <c r="RTL6" s="396"/>
      <c r="RTM6" s="396"/>
      <c r="RTN6" s="396"/>
      <c r="RTO6" s="396"/>
      <c r="RTP6" s="396"/>
      <c r="RTQ6" s="396"/>
      <c r="RTR6" s="396"/>
      <c r="RTS6" s="396"/>
      <c r="RTT6" s="396"/>
      <c r="RTU6" s="396"/>
      <c r="RTV6" s="396"/>
      <c r="RTW6" s="396"/>
      <c r="RTX6" s="396"/>
      <c r="RTY6" s="396"/>
      <c r="RTZ6" s="396"/>
      <c r="RUA6" s="396"/>
      <c r="RUB6" s="396"/>
      <c r="RUC6" s="396"/>
      <c r="RUD6" s="396"/>
      <c r="RUE6" s="396"/>
      <c r="RUF6" s="396"/>
      <c r="RUG6" s="396"/>
      <c r="RUH6" s="396"/>
      <c r="RUI6" s="396"/>
      <c r="RUJ6" s="396"/>
      <c r="RUK6" s="396"/>
      <c r="RUL6" s="396"/>
      <c r="RUM6" s="396"/>
      <c r="RUN6" s="396"/>
      <c r="RUO6" s="396"/>
      <c r="RUP6" s="396"/>
      <c r="RUQ6" s="396"/>
      <c r="RUR6" s="396"/>
      <c r="RUS6" s="396"/>
      <c r="RUT6" s="396"/>
      <c r="RUU6" s="396"/>
      <c r="RUV6" s="396"/>
      <c r="RUW6" s="396"/>
      <c r="RUX6" s="396"/>
      <c r="RUY6" s="396"/>
      <c r="RUZ6" s="396"/>
      <c r="RVA6" s="396"/>
      <c r="RVB6" s="396"/>
      <c r="RVC6" s="396"/>
      <c r="RVD6" s="396"/>
      <c r="RVE6" s="396"/>
      <c r="RVF6" s="396"/>
      <c r="RVG6" s="396"/>
      <c r="RVH6" s="396"/>
      <c r="RVI6" s="396"/>
      <c r="RVJ6" s="396"/>
      <c r="RVK6" s="396"/>
      <c r="RVL6" s="396"/>
      <c r="RVM6" s="396"/>
      <c r="RVN6" s="396"/>
      <c r="RVO6" s="396"/>
      <c r="RVP6" s="396"/>
      <c r="RVQ6" s="396"/>
      <c r="RVR6" s="396"/>
      <c r="RVS6" s="396"/>
      <c r="RVT6" s="396"/>
      <c r="RVU6" s="396"/>
      <c r="RVV6" s="396"/>
      <c r="RVW6" s="396"/>
      <c r="RVX6" s="396"/>
      <c r="RVY6" s="396"/>
      <c r="RVZ6" s="396"/>
      <c r="RWA6" s="396"/>
      <c r="RWB6" s="396"/>
      <c r="RWC6" s="396"/>
      <c r="RWD6" s="396"/>
      <c r="RWE6" s="396"/>
      <c r="RWF6" s="396"/>
      <c r="RWG6" s="396"/>
      <c r="RWH6" s="396"/>
      <c r="RWI6" s="396"/>
      <c r="RWJ6" s="396"/>
      <c r="RWK6" s="396"/>
      <c r="RWL6" s="396"/>
      <c r="RWM6" s="396"/>
      <c r="RWN6" s="396"/>
      <c r="RWO6" s="396"/>
      <c r="RWP6" s="396"/>
      <c r="RWQ6" s="396"/>
      <c r="RWR6" s="396"/>
      <c r="RWS6" s="396"/>
      <c r="RWT6" s="396"/>
      <c r="RWU6" s="396"/>
      <c r="RWV6" s="396"/>
      <c r="RWW6" s="396"/>
      <c r="RWX6" s="396"/>
      <c r="RWY6" s="396"/>
      <c r="RWZ6" s="396"/>
      <c r="RXA6" s="396"/>
      <c r="RXB6" s="396"/>
      <c r="RXC6" s="396"/>
      <c r="RXD6" s="396"/>
      <c r="RXE6" s="396"/>
      <c r="RXF6" s="396"/>
      <c r="RXG6" s="396"/>
      <c r="RXH6" s="396"/>
      <c r="RXI6" s="396"/>
      <c r="RXJ6" s="396"/>
      <c r="RXK6" s="396"/>
      <c r="RXL6" s="396"/>
      <c r="RXM6" s="396"/>
      <c r="RXN6" s="396"/>
      <c r="RXO6" s="396"/>
      <c r="RXP6" s="396"/>
      <c r="RXQ6" s="396"/>
      <c r="RXR6" s="396"/>
      <c r="RXS6" s="396"/>
      <c r="RXT6" s="396"/>
      <c r="RXU6" s="396"/>
      <c r="RXV6" s="396"/>
      <c r="RXW6" s="396"/>
      <c r="RXX6" s="396"/>
      <c r="RXY6" s="396"/>
      <c r="RXZ6" s="396"/>
      <c r="RYA6" s="396"/>
      <c r="RYB6" s="396"/>
      <c r="RYC6" s="396"/>
      <c r="RYD6" s="396"/>
      <c r="RYE6" s="396"/>
      <c r="RYF6" s="396"/>
      <c r="RYG6" s="396"/>
      <c r="RYH6" s="396"/>
      <c r="RYI6" s="396"/>
      <c r="RYJ6" s="396"/>
      <c r="RYK6" s="396"/>
      <c r="RYL6" s="396"/>
      <c r="RYM6" s="396"/>
      <c r="RYN6" s="396"/>
      <c r="RYO6" s="396"/>
      <c r="RYP6" s="396"/>
      <c r="RYQ6" s="396"/>
      <c r="RYR6" s="396"/>
      <c r="RYS6" s="396"/>
      <c r="RYT6" s="396"/>
      <c r="RYU6" s="396"/>
      <c r="RYV6" s="396"/>
      <c r="RYW6" s="396"/>
      <c r="RYX6" s="396"/>
      <c r="RYY6" s="396"/>
      <c r="RYZ6" s="396"/>
      <c r="RZA6" s="396"/>
      <c r="RZB6" s="396"/>
      <c r="RZC6" s="396"/>
      <c r="RZD6" s="396"/>
      <c r="RZE6" s="396"/>
      <c r="RZF6" s="396"/>
      <c r="RZG6" s="396"/>
      <c r="RZH6" s="396"/>
      <c r="RZI6" s="396"/>
      <c r="RZJ6" s="396"/>
      <c r="RZK6" s="396"/>
      <c r="RZL6" s="396"/>
      <c r="RZM6" s="396"/>
      <c r="RZN6" s="396"/>
      <c r="RZO6" s="396"/>
      <c r="RZP6" s="396"/>
      <c r="RZQ6" s="396"/>
      <c r="RZR6" s="396"/>
      <c r="RZS6" s="396"/>
      <c r="RZT6" s="396"/>
      <c r="RZU6" s="396"/>
      <c r="RZV6" s="396"/>
      <c r="RZW6" s="396"/>
      <c r="RZX6" s="396"/>
      <c r="RZY6" s="396"/>
      <c r="RZZ6" s="396"/>
      <c r="SAA6" s="396"/>
      <c r="SAB6" s="396"/>
      <c r="SAC6" s="396"/>
      <c r="SAD6" s="396"/>
      <c r="SAE6" s="396"/>
      <c r="SAF6" s="396"/>
      <c r="SAG6" s="396"/>
      <c r="SAH6" s="396"/>
      <c r="SAI6" s="396"/>
      <c r="SAJ6" s="396"/>
      <c r="SAK6" s="396"/>
      <c r="SAL6" s="396"/>
      <c r="SAM6" s="396"/>
      <c r="SAN6" s="396"/>
      <c r="SAO6" s="396"/>
      <c r="SAP6" s="396"/>
      <c r="SAQ6" s="396"/>
      <c r="SAR6" s="396"/>
      <c r="SAS6" s="396"/>
      <c r="SAT6" s="396"/>
      <c r="SAU6" s="396"/>
      <c r="SAV6" s="396"/>
      <c r="SAW6" s="396"/>
      <c r="SAX6" s="396"/>
      <c r="SAY6" s="396"/>
      <c r="SAZ6" s="396"/>
      <c r="SBA6" s="396"/>
      <c r="SBB6" s="396"/>
      <c r="SBC6" s="396"/>
      <c r="SBD6" s="396"/>
      <c r="SBE6" s="396"/>
      <c r="SBF6" s="396"/>
      <c r="SBG6" s="396"/>
      <c r="SBH6" s="396"/>
      <c r="SBI6" s="396"/>
      <c r="SBJ6" s="396"/>
      <c r="SBK6" s="396"/>
      <c r="SBL6" s="396"/>
      <c r="SBM6" s="396"/>
      <c r="SBN6" s="396"/>
      <c r="SBO6" s="396"/>
      <c r="SBP6" s="396"/>
      <c r="SBQ6" s="396"/>
      <c r="SBR6" s="396"/>
      <c r="SBS6" s="396"/>
      <c r="SBT6" s="396"/>
      <c r="SBU6" s="396"/>
      <c r="SBV6" s="396"/>
      <c r="SBW6" s="396"/>
      <c r="SBX6" s="396"/>
      <c r="SBY6" s="396"/>
      <c r="SBZ6" s="396"/>
      <c r="SCA6" s="396"/>
      <c r="SCB6" s="396"/>
      <c r="SCC6" s="396"/>
      <c r="SCD6" s="396"/>
      <c r="SCE6" s="396"/>
      <c r="SCF6" s="396"/>
      <c r="SCG6" s="396"/>
      <c r="SCH6" s="396"/>
      <c r="SCI6" s="396"/>
      <c r="SCJ6" s="396"/>
      <c r="SCK6" s="396"/>
      <c r="SCL6" s="396"/>
      <c r="SCM6" s="396"/>
      <c r="SCN6" s="396"/>
      <c r="SCO6" s="396"/>
      <c r="SCP6" s="396"/>
      <c r="SCQ6" s="396"/>
      <c r="SCR6" s="396"/>
      <c r="SCS6" s="396"/>
      <c r="SCT6" s="396"/>
      <c r="SCU6" s="396"/>
      <c r="SCV6" s="396"/>
      <c r="SCW6" s="396"/>
      <c r="SCX6" s="396"/>
      <c r="SCY6" s="396"/>
      <c r="SCZ6" s="396"/>
      <c r="SDA6" s="396"/>
      <c r="SDB6" s="396"/>
      <c r="SDC6" s="396"/>
      <c r="SDD6" s="396"/>
      <c r="SDE6" s="396"/>
      <c r="SDF6" s="396"/>
      <c r="SDG6" s="396"/>
      <c r="SDH6" s="396"/>
      <c r="SDI6" s="396"/>
      <c r="SDJ6" s="396"/>
      <c r="SDK6" s="396"/>
      <c r="SDL6" s="396"/>
      <c r="SDM6" s="396"/>
      <c r="SDN6" s="396"/>
      <c r="SDO6" s="396"/>
      <c r="SDP6" s="396"/>
      <c r="SDQ6" s="396"/>
      <c r="SDR6" s="396"/>
      <c r="SDS6" s="396"/>
      <c r="SDT6" s="396"/>
      <c r="SDU6" s="396"/>
      <c r="SDV6" s="396"/>
      <c r="SDW6" s="396"/>
      <c r="SDX6" s="396"/>
      <c r="SDY6" s="396"/>
      <c r="SDZ6" s="396"/>
      <c r="SEA6" s="396"/>
      <c r="SEB6" s="396"/>
      <c r="SEC6" s="396"/>
      <c r="SED6" s="396"/>
      <c r="SEE6" s="396"/>
      <c r="SEF6" s="396"/>
      <c r="SEG6" s="396"/>
      <c r="SEH6" s="396"/>
      <c r="SEI6" s="396"/>
      <c r="SEJ6" s="396"/>
      <c r="SEK6" s="396"/>
      <c r="SEL6" s="396"/>
      <c r="SEM6" s="396"/>
      <c r="SEN6" s="396"/>
      <c r="SEO6" s="396"/>
      <c r="SEP6" s="396"/>
      <c r="SEQ6" s="396"/>
      <c r="SER6" s="396"/>
      <c r="SES6" s="396"/>
      <c r="SET6" s="396"/>
      <c r="SEU6" s="396"/>
      <c r="SEV6" s="396"/>
      <c r="SEW6" s="396"/>
      <c r="SEX6" s="396"/>
      <c r="SEY6" s="396"/>
      <c r="SEZ6" s="396"/>
      <c r="SFA6" s="396"/>
      <c r="SFB6" s="396"/>
      <c r="SFC6" s="396"/>
      <c r="SFD6" s="396"/>
      <c r="SFE6" s="396"/>
      <c r="SFF6" s="396"/>
      <c r="SFG6" s="396"/>
      <c r="SFH6" s="396"/>
      <c r="SFI6" s="396"/>
      <c r="SFJ6" s="396"/>
      <c r="SFK6" s="396"/>
      <c r="SFL6" s="396"/>
      <c r="SFM6" s="396"/>
      <c r="SFN6" s="396"/>
      <c r="SFO6" s="396"/>
      <c r="SFP6" s="396"/>
      <c r="SFQ6" s="396"/>
      <c r="SFR6" s="396"/>
      <c r="SFS6" s="396"/>
      <c r="SFT6" s="396"/>
      <c r="SFU6" s="396"/>
      <c r="SFV6" s="396"/>
      <c r="SFW6" s="396"/>
      <c r="SFX6" s="396"/>
      <c r="SFY6" s="396"/>
      <c r="SFZ6" s="396"/>
      <c r="SGA6" s="396"/>
      <c r="SGB6" s="396"/>
      <c r="SGC6" s="396"/>
      <c r="SGD6" s="396"/>
      <c r="SGE6" s="396"/>
      <c r="SGF6" s="396"/>
      <c r="SGG6" s="396"/>
      <c r="SGH6" s="396"/>
      <c r="SGI6" s="396"/>
      <c r="SGJ6" s="396"/>
      <c r="SGK6" s="396"/>
      <c r="SGL6" s="396"/>
      <c r="SGM6" s="396"/>
      <c r="SGN6" s="396"/>
      <c r="SGO6" s="396"/>
      <c r="SGP6" s="396"/>
      <c r="SGQ6" s="396"/>
      <c r="SGR6" s="396"/>
      <c r="SGS6" s="396"/>
      <c r="SGT6" s="396"/>
      <c r="SGU6" s="396"/>
      <c r="SGV6" s="396"/>
      <c r="SGW6" s="396"/>
      <c r="SGX6" s="396"/>
      <c r="SGY6" s="396"/>
      <c r="SGZ6" s="396"/>
      <c r="SHA6" s="396"/>
      <c r="SHB6" s="396"/>
      <c r="SHC6" s="396"/>
      <c r="SHD6" s="396"/>
      <c r="SHE6" s="396"/>
      <c r="SHF6" s="396"/>
      <c r="SHG6" s="396"/>
      <c r="SHH6" s="396"/>
      <c r="SHI6" s="396"/>
      <c r="SHJ6" s="396"/>
      <c r="SHK6" s="396"/>
      <c r="SHL6" s="396"/>
      <c r="SHM6" s="396"/>
      <c r="SHN6" s="396"/>
      <c r="SHO6" s="396"/>
      <c r="SHP6" s="396"/>
      <c r="SHQ6" s="396"/>
      <c r="SHR6" s="396"/>
      <c r="SHS6" s="396"/>
      <c r="SHT6" s="396"/>
      <c r="SHU6" s="396"/>
      <c r="SHV6" s="396"/>
      <c r="SHW6" s="396"/>
      <c r="SHX6" s="396"/>
      <c r="SHY6" s="396"/>
      <c r="SHZ6" s="396"/>
      <c r="SIA6" s="396"/>
      <c r="SIB6" s="396"/>
      <c r="SIC6" s="396"/>
      <c r="SID6" s="396"/>
      <c r="SIE6" s="396"/>
      <c r="SIF6" s="396"/>
      <c r="SIG6" s="396"/>
      <c r="SIH6" s="396"/>
      <c r="SII6" s="396"/>
      <c r="SIJ6" s="396"/>
      <c r="SIK6" s="396"/>
      <c r="SIL6" s="396"/>
      <c r="SIM6" s="396"/>
      <c r="SIN6" s="396"/>
      <c r="SIO6" s="396"/>
      <c r="SIP6" s="396"/>
      <c r="SIQ6" s="396"/>
      <c r="SIR6" s="396"/>
      <c r="SIS6" s="396"/>
      <c r="SIT6" s="396"/>
      <c r="SIU6" s="396"/>
      <c r="SIV6" s="396"/>
      <c r="SIW6" s="396"/>
      <c r="SIX6" s="396"/>
      <c r="SIY6" s="396"/>
      <c r="SIZ6" s="396"/>
      <c r="SJA6" s="396"/>
      <c r="SJB6" s="396"/>
      <c r="SJC6" s="396"/>
      <c r="SJD6" s="396"/>
      <c r="SJE6" s="396"/>
      <c r="SJF6" s="396"/>
      <c r="SJG6" s="396"/>
      <c r="SJH6" s="396"/>
      <c r="SJI6" s="396"/>
      <c r="SJJ6" s="396"/>
      <c r="SJK6" s="396"/>
      <c r="SJL6" s="396"/>
      <c r="SJM6" s="396"/>
      <c r="SJN6" s="396"/>
      <c r="SJO6" s="396"/>
      <c r="SJP6" s="396"/>
      <c r="SJQ6" s="396"/>
      <c r="SJR6" s="396"/>
      <c r="SJS6" s="396"/>
      <c r="SJT6" s="396"/>
      <c r="SJU6" s="396"/>
      <c r="SJV6" s="396"/>
      <c r="SJW6" s="396"/>
      <c r="SJX6" s="396"/>
      <c r="SJY6" s="396"/>
      <c r="SJZ6" s="396"/>
      <c r="SKA6" s="396"/>
      <c r="SKB6" s="396"/>
      <c r="SKC6" s="396"/>
      <c r="SKD6" s="396"/>
      <c r="SKE6" s="396"/>
      <c r="SKF6" s="396"/>
      <c r="SKG6" s="396"/>
      <c r="SKH6" s="396"/>
      <c r="SKI6" s="396"/>
      <c r="SKJ6" s="396"/>
      <c r="SKK6" s="396"/>
      <c r="SKL6" s="396"/>
      <c r="SKM6" s="396"/>
      <c r="SKN6" s="396"/>
      <c r="SKO6" s="396"/>
      <c r="SKP6" s="396"/>
      <c r="SKQ6" s="396"/>
      <c r="SKR6" s="396"/>
      <c r="SKS6" s="396"/>
      <c r="SKT6" s="396"/>
      <c r="SKU6" s="396"/>
      <c r="SKV6" s="396"/>
      <c r="SKW6" s="396"/>
      <c r="SKX6" s="396"/>
      <c r="SKY6" s="396"/>
      <c r="SKZ6" s="396"/>
      <c r="SLA6" s="396"/>
      <c r="SLB6" s="396"/>
      <c r="SLC6" s="396"/>
      <c r="SLD6" s="396"/>
      <c r="SLE6" s="396"/>
      <c r="SLF6" s="396"/>
      <c r="SLG6" s="396"/>
      <c r="SLH6" s="396"/>
      <c r="SLI6" s="396"/>
      <c r="SLJ6" s="396"/>
      <c r="SLK6" s="396"/>
      <c r="SLL6" s="396"/>
      <c r="SLM6" s="396"/>
      <c r="SLN6" s="396"/>
      <c r="SLO6" s="396"/>
      <c r="SLP6" s="396"/>
      <c r="SLQ6" s="396"/>
      <c r="SLR6" s="396"/>
      <c r="SLS6" s="396"/>
      <c r="SLT6" s="396"/>
      <c r="SLU6" s="396"/>
      <c r="SLV6" s="396"/>
      <c r="SLW6" s="396"/>
      <c r="SLX6" s="396"/>
      <c r="SLY6" s="396"/>
      <c r="SLZ6" s="396"/>
      <c r="SMA6" s="396"/>
      <c r="SMB6" s="396"/>
      <c r="SMC6" s="396"/>
      <c r="SMD6" s="396"/>
      <c r="SME6" s="396"/>
      <c r="SMF6" s="396"/>
      <c r="SMG6" s="396"/>
      <c r="SMH6" s="396"/>
      <c r="SMI6" s="396"/>
      <c r="SMJ6" s="396"/>
      <c r="SMK6" s="396"/>
      <c r="SML6" s="396"/>
      <c r="SMM6" s="396"/>
      <c r="SMN6" s="396"/>
      <c r="SMO6" s="396"/>
      <c r="SMP6" s="396"/>
      <c r="SMQ6" s="396"/>
      <c r="SMR6" s="396"/>
      <c r="SMS6" s="396"/>
      <c r="SMT6" s="396"/>
      <c r="SMU6" s="396"/>
      <c r="SMV6" s="396"/>
      <c r="SMW6" s="396"/>
      <c r="SMX6" s="396"/>
      <c r="SMY6" s="396"/>
      <c r="SMZ6" s="396"/>
      <c r="SNA6" s="396"/>
      <c r="SNB6" s="396"/>
      <c r="SNC6" s="396"/>
      <c r="SND6" s="396"/>
      <c r="SNE6" s="396"/>
      <c r="SNF6" s="396"/>
      <c r="SNG6" s="396"/>
      <c r="SNH6" s="396"/>
      <c r="SNI6" s="396"/>
      <c r="SNJ6" s="396"/>
      <c r="SNK6" s="396"/>
      <c r="SNL6" s="396"/>
      <c r="SNM6" s="396"/>
      <c r="SNN6" s="396"/>
      <c r="SNO6" s="396"/>
      <c r="SNP6" s="396"/>
      <c r="SNQ6" s="396"/>
      <c r="SNR6" s="396"/>
      <c r="SNS6" s="396"/>
      <c r="SNT6" s="396"/>
      <c r="SNU6" s="396"/>
      <c r="SNV6" s="396"/>
      <c r="SNW6" s="396"/>
      <c r="SNX6" s="396"/>
      <c r="SNY6" s="396"/>
      <c r="SNZ6" s="396"/>
      <c r="SOA6" s="396"/>
      <c r="SOB6" s="396"/>
      <c r="SOC6" s="396"/>
      <c r="SOD6" s="396"/>
      <c r="SOE6" s="396"/>
      <c r="SOF6" s="396"/>
      <c r="SOG6" s="396"/>
      <c r="SOH6" s="396"/>
      <c r="SOI6" s="396"/>
      <c r="SOJ6" s="396"/>
      <c r="SOK6" s="396"/>
      <c r="SOL6" s="396"/>
      <c r="SOM6" s="396"/>
      <c r="SON6" s="396"/>
      <c r="SOO6" s="396"/>
      <c r="SOP6" s="396"/>
      <c r="SOQ6" s="396"/>
      <c r="SOR6" s="396"/>
      <c r="SOS6" s="396"/>
      <c r="SOT6" s="396"/>
      <c r="SOU6" s="396"/>
      <c r="SOV6" s="396"/>
      <c r="SOW6" s="396"/>
      <c r="SOX6" s="396"/>
      <c r="SOY6" s="396"/>
      <c r="SOZ6" s="396"/>
      <c r="SPA6" s="396"/>
      <c r="SPB6" s="396"/>
      <c r="SPC6" s="396"/>
      <c r="SPD6" s="396"/>
      <c r="SPE6" s="396"/>
      <c r="SPF6" s="396"/>
      <c r="SPG6" s="396"/>
      <c r="SPH6" s="396"/>
      <c r="SPI6" s="396"/>
      <c r="SPJ6" s="396"/>
      <c r="SPK6" s="396"/>
      <c r="SPL6" s="396"/>
      <c r="SPM6" s="396"/>
      <c r="SPN6" s="396"/>
      <c r="SPO6" s="396"/>
      <c r="SPP6" s="396"/>
      <c r="SPQ6" s="396"/>
      <c r="SPR6" s="396"/>
      <c r="SPS6" s="396"/>
      <c r="SPT6" s="396"/>
      <c r="SPU6" s="396"/>
      <c r="SPV6" s="396"/>
      <c r="SPW6" s="396"/>
      <c r="SPX6" s="396"/>
      <c r="SPY6" s="396"/>
      <c r="SPZ6" s="396"/>
      <c r="SQA6" s="396"/>
      <c r="SQB6" s="396"/>
      <c r="SQC6" s="396"/>
      <c r="SQD6" s="396"/>
      <c r="SQE6" s="396"/>
      <c r="SQF6" s="396"/>
      <c r="SQG6" s="396"/>
      <c r="SQH6" s="396"/>
      <c r="SQI6" s="396"/>
      <c r="SQJ6" s="396"/>
      <c r="SQK6" s="396"/>
      <c r="SQL6" s="396"/>
      <c r="SQM6" s="396"/>
      <c r="SQN6" s="396"/>
      <c r="SQO6" s="396"/>
      <c r="SQP6" s="396"/>
      <c r="SQQ6" s="396"/>
      <c r="SQR6" s="396"/>
      <c r="SQS6" s="396"/>
      <c r="SQT6" s="396"/>
      <c r="SQU6" s="396"/>
      <c r="SQV6" s="396"/>
      <c r="SQW6" s="396"/>
      <c r="SQX6" s="396"/>
      <c r="SQY6" s="396"/>
      <c r="SQZ6" s="396"/>
      <c r="SRA6" s="396"/>
      <c r="SRB6" s="396"/>
      <c r="SRC6" s="396"/>
      <c r="SRD6" s="396"/>
      <c r="SRE6" s="396"/>
      <c r="SRF6" s="396"/>
      <c r="SRG6" s="396"/>
      <c r="SRH6" s="396"/>
      <c r="SRI6" s="396"/>
      <c r="SRJ6" s="396"/>
      <c r="SRK6" s="396"/>
      <c r="SRL6" s="396"/>
      <c r="SRM6" s="396"/>
      <c r="SRN6" s="396"/>
      <c r="SRO6" s="396"/>
      <c r="SRP6" s="396"/>
      <c r="SRQ6" s="396"/>
      <c r="SRR6" s="396"/>
      <c r="SRS6" s="396"/>
      <c r="SRT6" s="396"/>
      <c r="SRU6" s="396"/>
      <c r="SRV6" s="396"/>
      <c r="SRW6" s="396"/>
      <c r="SRX6" s="396"/>
      <c r="SRY6" s="396"/>
      <c r="SRZ6" s="396"/>
      <c r="SSA6" s="396"/>
      <c r="SSB6" s="396"/>
      <c r="SSC6" s="396"/>
      <c r="SSD6" s="396"/>
      <c r="SSE6" s="396"/>
      <c r="SSF6" s="396"/>
      <c r="SSG6" s="396"/>
      <c r="SSH6" s="396"/>
      <c r="SSI6" s="396"/>
      <c r="SSJ6" s="396"/>
      <c r="SSK6" s="396"/>
      <c r="SSL6" s="396"/>
      <c r="SSM6" s="396"/>
      <c r="SSN6" s="396"/>
      <c r="SSO6" s="396"/>
      <c r="SSP6" s="396"/>
      <c r="SSQ6" s="396"/>
      <c r="SSR6" s="396"/>
      <c r="SSS6" s="396"/>
      <c r="SST6" s="396"/>
      <c r="SSU6" s="396"/>
      <c r="SSV6" s="396"/>
      <c r="SSW6" s="396"/>
      <c r="SSX6" s="396"/>
      <c r="SSY6" s="396"/>
      <c r="SSZ6" s="396"/>
      <c r="STA6" s="396"/>
      <c r="STB6" s="396"/>
      <c r="STC6" s="396"/>
      <c r="STD6" s="396"/>
      <c r="STE6" s="396"/>
      <c r="STF6" s="396"/>
      <c r="STG6" s="396"/>
      <c r="STH6" s="396"/>
      <c r="STI6" s="396"/>
      <c r="STJ6" s="396"/>
      <c r="STK6" s="396"/>
      <c r="STL6" s="396"/>
      <c r="STM6" s="396"/>
      <c r="STN6" s="396"/>
      <c r="STO6" s="396"/>
      <c r="STP6" s="396"/>
      <c r="STQ6" s="396"/>
      <c r="STR6" s="396"/>
      <c r="STS6" s="396"/>
      <c r="STT6" s="396"/>
      <c r="STU6" s="396"/>
      <c r="STV6" s="396"/>
      <c r="STW6" s="396"/>
      <c r="STX6" s="396"/>
      <c r="STY6" s="396"/>
      <c r="STZ6" s="396"/>
      <c r="SUA6" s="396"/>
      <c r="SUB6" s="396"/>
      <c r="SUC6" s="396"/>
      <c r="SUD6" s="396"/>
      <c r="SUE6" s="396"/>
      <c r="SUF6" s="396"/>
      <c r="SUG6" s="396"/>
      <c r="SUH6" s="396"/>
      <c r="SUI6" s="396"/>
      <c r="SUJ6" s="396"/>
      <c r="SUK6" s="396"/>
      <c r="SUL6" s="396"/>
      <c r="SUM6" s="396"/>
      <c r="SUN6" s="396"/>
      <c r="SUO6" s="396"/>
      <c r="SUP6" s="396"/>
      <c r="SUQ6" s="396"/>
      <c r="SUR6" s="396"/>
      <c r="SUS6" s="396"/>
      <c r="SUT6" s="396"/>
      <c r="SUU6" s="396"/>
      <c r="SUV6" s="396"/>
      <c r="SUW6" s="396"/>
      <c r="SUX6" s="396"/>
      <c r="SUY6" s="396"/>
      <c r="SUZ6" s="396"/>
      <c r="SVA6" s="396"/>
      <c r="SVB6" s="396"/>
      <c r="SVC6" s="396"/>
      <c r="SVD6" s="396"/>
      <c r="SVE6" s="396"/>
      <c r="SVF6" s="396"/>
      <c r="SVG6" s="396"/>
      <c r="SVH6" s="396"/>
      <c r="SVI6" s="396"/>
      <c r="SVJ6" s="396"/>
      <c r="SVK6" s="396"/>
      <c r="SVL6" s="396"/>
      <c r="SVM6" s="396"/>
      <c r="SVN6" s="396"/>
      <c r="SVO6" s="396"/>
      <c r="SVP6" s="396"/>
      <c r="SVQ6" s="396"/>
      <c r="SVR6" s="396"/>
      <c r="SVS6" s="396"/>
      <c r="SVT6" s="396"/>
      <c r="SVU6" s="396"/>
      <c r="SVV6" s="396"/>
      <c r="SVW6" s="396"/>
      <c r="SVX6" s="396"/>
      <c r="SVY6" s="396"/>
      <c r="SVZ6" s="396"/>
      <c r="SWA6" s="396"/>
      <c r="SWB6" s="396"/>
      <c r="SWC6" s="396"/>
      <c r="SWD6" s="396"/>
      <c r="SWE6" s="396"/>
      <c r="SWF6" s="396"/>
      <c r="SWG6" s="396"/>
      <c r="SWH6" s="396"/>
      <c r="SWI6" s="396"/>
      <c r="SWJ6" s="396"/>
      <c r="SWK6" s="396"/>
      <c r="SWL6" s="396"/>
      <c r="SWM6" s="396"/>
      <c r="SWN6" s="396"/>
      <c r="SWO6" s="396"/>
      <c r="SWP6" s="396"/>
      <c r="SWQ6" s="396"/>
      <c r="SWR6" s="396"/>
      <c r="SWS6" s="396"/>
      <c r="SWT6" s="396"/>
      <c r="SWU6" s="396"/>
      <c r="SWV6" s="396"/>
      <c r="SWW6" s="396"/>
      <c r="SWX6" s="396"/>
      <c r="SWY6" s="396"/>
      <c r="SWZ6" s="396"/>
      <c r="SXA6" s="396"/>
      <c r="SXB6" s="396"/>
      <c r="SXC6" s="396"/>
      <c r="SXD6" s="396"/>
      <c r="SXE6" s="396"/>
      <c r="SXF6" s="396"/>
      <c r="SXG6" s="396"/>
      <c r="SXH6" s="396"/>
      <c r="SXI6" s="396"/>
      <c r="SXJ6" s="396"/>
      <c r="SXK6" s="396"/>
      <c r="SXL6" s="396"/>
      <c r="SXM6" s="396"/>
      <c r="SXN6" s="396"/>
      <c r="SXO6" s="396"/>
      <c r="SXP6" s="396"/>
      <c r="SXQ6" s="396"/>
      <c r="SXR6" s="396"/>
      <c r="SXS6" s="396"/>
      <c r="SXT6" s="396"/>
      <c r="SXU6" s="396"/>
      <c r="SXV6" s="396"/>
      <c r="SXW6" s="396"/>
      <c r="SXX6" s="396"/>
      <c r="SXY6" s="396"/>
      <c r="SXZ6" s="396"/>
      <c r="SYA6" s="396"/>
      <c r="SYB6" s="396"/>
      <c r="SYC6" s="396"/>
      <c r="SYD6" s="396"/>
      <c r="SYE6" s="396"/>
      <c r="SYF6" s="396"/>
      <c r="SYG6" s="396"/>
      <c r="SYH6" s="396"/>
      <c r="SYI6" s="396"/>
      <c r="SYJ6" s="396"/>
      <c r="SYK6" s="396"/>
      <c r="SYL6" s="396"/>
      <c r="SYM6" s="396"/>
      <c r="SYN6" s="396"/>
      <c r="SYO6" s="396"/>
      <c r="SYP6" s="396"/>
      <c r="SYQ6" s="396"/>
      <c r="SYR6" s="396"/>
      <c r="SYS6" s="396"/>
      <c r="SYT6" s="396"/>
      <c r="SYU6" s="396"/>
      <c r="SYV6" s="396"/>
      <c r="SYW6" s="396"/>
      <c r="SYX6" s="396"/>
      <c r="SYY6" s="396"/>
      <c r="SYZ6" s="396"/>
      <c r="SZA6" s="396"/>
      <c r="SZB6" s="396"/>
      <c r="SZC6" s="396"/>
      <c r="SZD6" s="396"/>
      <c r="SZE6" s="396"/>
      <c r="SZF6" s="396"/>
      <c r="SZG6" s="396"/>
      <c r="SZH6" s="396"/>
      <c r="SZI6" s="396"/>
      <c r="SZJ6" s="396"/>
      <c r="SZK6" s="396"/>
      <c r="SZL6" s="396"/>
      <c r="SZM6" s="396"/>
      <c r="SZN6" s="396"/>
      <c r="SZO6" s="396"/>
      <c r="SZP6" s="396"/>
      <c r="SZQ6" s="396"/>
      <c r="SZR6" s="396"/>
      <c r="SZS6" s="396"/>
      <c r="SZT6" s="396"/>
      <c r="SZU6" s="396"/>
      <c r="SZV6" s="396"/>
      <c r="SZW6" s="396"/>
      <c r="SZX6" s="396"/>
      <c r="SZY6" s="396"/>
      <c r="SZZ6" s="396"/>
      <c r="TAA6" s="396"/>
      <c r="TAB6" s="396"/>
      <c r="TAC6" s="396"/>
      <c r="TAD6" s="396"/>
      <c r="TAE6" s="396"/>
      <c r="TAF6" s="396"/>
      <c r="TAG6" s="396"/>
      <c r="TAH6" s="396"/>
      <c r="TAI6" s="396"/>
      <c r="TAJ6" s="396"/>
      <c r="TAK6" s="396"/>
      <c r="TAL6" s="396"/>
      <c r="TAM6" s="396"/>
      <c r="TAN6" s="396"/>
      <c r="TAO6" s="396"/>
      <c r="TAP6" s="396"/>
      <c r="TAQ6" s="396"/>
      <c r="TAR6" s="396"/>
      <c r="TAS6" s="396"/>
      <c r="TAT6" s="396"/>
      <c r="TAU6" s="396"/>
      <c r="TAV6" s="396"/>
      <c r="TAW6" s="396"/>
      <c r="TAX6" s="396"/>
      <c r="TAY6" s="396"/>
      <c r="TAZ6" s="396"/>
      <c r="TBA6" s="396"/>
      <c r="TBB6" s="396"/>
      <c r="TBC6" s="396"/>
      <c r="TBD6" s="396"/>
      <c r="TBE6" s="396"/>
      <c r="TBF6" s="396"/>
      <c r="TBG6" s="396"/>
      <c r="TBH6" s="396"/>
      <c r="TBI6" s="396"/>
      <c r="TBJ6" s="396"/>
      <c r="TBK6" s="396"/>
      <c r="TBL6" s="396"/>
      <c r="TBM6" s="396"/>
      <c r="TBN6" s="396"/>
      <c r="TBO6" s="396"/>
      <c r="TBP6" s="396"/>
      <c r="TBQ6" s="396"/>
      <c r="TBR6" s="396"/>
      <c r="TBS6" s="396"/>
      <c r="TBT6" s="396"/>
      <c r="TBU6" s="396"/>
      <c r="TBV6" s="396"/>
      <c r="TBW6" s="396"/>
      <c r="TBX6" s="396"/>
      <c r="TBY6" s="396"/>
      <c r="TBZ6" s="396"/>
      <c r="TCA6" s="396"/>
      <c r="TCB6" s="396"/>
      <c r="TCC6" s="396"/>
      <c r="TCD6" s="396"/>
      <c r="TCE6" s="396"/>
      <c r="TCF6" s="396"/>
      <c r="TCG6" s="396"/>
      <c r="TCH6" s="396"/>
      <c r="TCI6" s="396"/>
      <c r="TCJ6" s="396"/>
      <c r="TCK6" s="396"/>
      <c r="TCL6" s="396"/>
      <c r="TCM6" s="396"/>
      <c r="TCN6" s="396"/>
      <c r="TCO6" s="396"/>
      <c r="TCP6" s="396"/>
      <c r="TCQ6" s="396"/>
      <c r="TCR6" s="396"/>
      <c r="TCS6" s="396"/>
      <c r="TCT6" s="396"/>
      <c r="TCU6" s="396"/>
      <c r="TCV6" s="396"/>
      <c r="TCW6" s="396"/>
      <c r="TCX6" s="396"/>
      <c r="TCY6" s="396"/>
      <c r="TCZ6" s="396"/>
      <c r="TDA6" s="396"/>
      <c r="TDB6" s="396"/>
      <c r="TDC6" s="396"/>
      <c r="TDD6" s="396"/>
      <c r="TDE6" s="396"/>
      <c r="TDF6" s="396"/>
      <c r="TDG6" s="396"/>
      <c r="TDH6" s="396"/>
      <c r="TDI6" s="396"/>
      <c r="TDJ6" s="396"/>
      <c r="TDK6" s="396"/>
      <c r="TDL6" s="396"/>
      <c r="TDM6" s="396"/>
      <c r="TDN6" s="396"/>
      <c r="TDO6" s="396"/>
      <c r="TDP6" s="396"/>
      <c r="TDQ6" s="396"/>
      <c r="TDR6" s="396"/>
      <c r="TDS6" s="396"/>
      <c r="TDT6" s="396"/>
      <c r="TDU6" s="396"/>
      <c r="TDV6" s="396"/>
      <c r="TDW6" s="396"/>
      <c r="TDX6" s="396"/>
      <c r="TDY6" s="396"/>
      <c r="TDZ6" s="396"/>
      <c r="TEA6" s="396"/>
      <c r="TEB6" s="396"/>
      <c r="TEC6" s="396"/>
      <c r="TED6" s="396"/>
      <c r="TEE6" s="396"/>
      <c r="TEF6" s="396"/>
      <c r="TEG6" s="396"/>
      <c r="TEH6" s="396"/>
      <c r="TEI6" s="396"/>
      <c r="TEJ6" s="396"/>
      <c r="TEK6" s="396"/>
      <c r="TEL6" s="396"/>
      <c r="TEM6" s="396"/>
      <c r="TEN6" s="396"/>
      <c r="TEO6" s="396"/>
      <c r="TEP6" s="396"/>
      <c r="TEQ6" s="396"/>
      <c r="TER6" s="396"/>
      <c r="TES6" s="396"/>
      <c r="TET6" s="396"/>
      <c r="TEU6" s="396"/>
      <c r="TEV6" s="396"/>
      <c r="TEW6" s="396"/>
      <c r="TEX6" s="396"/>
      <c r="TEY6" s="396"/>
      <c r="TEZ6" s="396"/>
      <c r="TFA6" s="396"/>
      <c r="TFB6" s="396"/>
      <c r="TFC6" s="396"/>
      <c r="TFD6" s="396"/>
      <c r="TFE6" s="396"/>
      <c r="TFF6" s="396"/>
      <c r="TFG6" s="396"/>
      <c r="TFH6" s="396"/>
      <c r="TFI6" s="396"/>
      <c r="TFJ6" s="396"/>
      <c r="TFK6" s="396"/>
      <c r="TFL6" s="396"/>
      <c r="TFM6" s="396"/>
      <c r="TFN6" s="396"/>
      <c r="TFO6" s="396"/>
      <c r="TFP6" s="396"/>
      <c r="TFQ6" s="396"/>
      <c r="TFR6" s="396"/>
      <c r="TFS6" s="396"/>
      <c r="TFT6" s="396"/>
      <c r="TFU6" s="396"/>
      <c r="TFV6" s="396"/>
      <c r="TFW6" s="396"/>
      <c r="TFX6" s="396"/>
      <c r="TFY6" s="396"/>
      <c r="TFZ6" s="396"/>
      <c r="TGA6" s="396"/>
      <c r="TGB6" s="396"/>
      <c r="TGC6" s="396"/>
      <c r="TGD6" s="396"/>
      <c r="TGE6" s="396"/>
      <c r="TGF6" s="396"/>
      <c r="TGG6" s="396"/>
      <c r="TGH6" s="396"/>
      <c r="TGI6" s="396"/>
      <c r="TGJ6" s="396"/>
      <c r="TGK6" s="396"/>
      <c r="TGL6" s="396"/>
      <c r="TGM6" s="396"/>
      <c r="TGN6" s="396"/>
      <c r="TGO6" s="396"/>
      <c r="TGP6" s="396"/>
      <c r="TGQ6" s="396"/>
      <c r="TGR6" s="396"/>
      <c r="TGS6" s="396"/>
      <c r="TGT6" s="396"/>
      <c r="TGU6" s="396"/>
      <c r="TGV6" s="396"/>
      <c r="TGW6" s="396"/>
      <c r="TGX6" s="396"/>
      <c r="TGY6" s="396"/>
      <c r="TGZ6" s="396"/>
      <c r="THA6" s="396"/>
      <c r="THB6" s="396"/>
      <c r="THC6" s="396"/>
      <c r="THD6" s="396"/>
      <c r="THE6" s="396"/>
      <c r="THF6" s="396"/>
      <c r="THG6" s="396"/>
      <c r="THH6" s="396"/>
      <c r="THI6" s="396"/>
      <c r="THJ6" s="396"/>
      <c r="THK6" s="396"/>
      <c r="THL6" s="396"/>
      <c r="THM6" s="396"/>
      <c r="THN6" s="396"/>
      <c r="THO6" s="396"/>
      <c r="THP6" s="396"/>
      <c r="THQ6" s="396"/>
      <c r="THR6" s="396"/>
      <c r="THS6" s="396"/>
      <c r="THT6" s="396"/>
      <c r="THU6" s="396"/>
      <c r="THV6" s="396"/>
      <c r="THW6" s="396"/>
      <c r="THX6" s="396"/>
      <c r="THY6" s="396"/>
      <c r="THZ6" s="396"/>
      <c r="TIA6" s="396"/>
      <c r="TIB6" s="396"/>
      <c r="TIC6" s="396"/>
      <c r="TID6" s="396"/>
      <c r="TIE6" s="396"/>
      <c r="TIF6" s="396"/>
      <c r="TIG6" s="396"/>
      <c r="TIH6" s="396"/>
      <c r="TII6" s="396"/>
      <c r="TIJ6" s="396"/>
      <c r="TIK6" s="396"/>
      <c r="TIL6" s="396"/>
      <c r="TIM6" s="396"/>
      <c r="TIN6" s="396"/>
      <c r="TIO6" s="396"/>
      <c r="TIP6" s="396"/>
      <c r="TIQ6" s="396"/>
      <c r="TIR6" s="396"/>
      <c r="TIS6" s="396"/>
      <c r="TIT6" s="396"/>
      <c r="TIU6" s="396"/>
      <c r="TIV6" s="396"/>
      <c r="TIW6" s="396"/>
      <c r="TIX6" s="396"/>
      <c r="TIY6" s="396"/>
      <c r="TIZ6" s="396"/>
      <c r="TJA6" s="396"/>
      <c r="TJB6" s="396"/>
      <c r="TJC6" s="396"/>
      <c r="TJD6" s="396"/>
      <c r="TJE6" s="396"/>
      <c r="TJF6" s="396"/>
      <c r="TJG6" s="396"/>
      <c r="TJH6" s="396"/>
      <c r="TJI6" s="396"/>
      <c r="TJJ6" s="396"/>
      <c r="TJK6" s="396"/>
      <c r="TJL6" s="396"/>
      <c r="TJM6" s="396"/>
      <c r="TJN6" s="396"/>
      <c r="TJO6" s="396"/>
      <c r="TJP6" s="396"/>
      <c r="TJQ6" s="396"/>
      <c r="TJR6" s="396"/>
      <c r="TJS6" s="396"/>
      <c r="TJT6" s="396"/>
      <c r="TJU6" s="396"/>
      <c r="TJV6" s="396"/>
      <c r="TJW6" s="396"/>
      <c r="TJX6" s="396"/>
      <c r="TJY6" s="396"/>
      <c r="TJZ6" s="396"/>
      <c r="TKA6" s="396"/>
      <c r="TKB6" s="396"/>
      <c r="TKC6" s="396"/>
      <c r="TKD6" s="396"/>
      <c r="TKE6" s="396"/>
      <c r="TKF6" s="396"/>
      <c r="TKG6" s="396"/>
      <c r="TKH6" s="396"/>
      <c r="TKI6" s="396"/>
      <c r="TKJ6" s="396"/>
      <c r="TKK6" s="396"/>
      <c r="TKL6" s="396"/>
      <c r="TKM6" s="396"/>
      <c r="TKN6" s="396"/>
      <c r="TKO6" s="396"/>
      <c r="TKP6" s="396"/>
      <c r="TKQ6" s="396"/>
      <c r="TKR6" s="396"/>
      <c r="TKS6" s="396"/>
      <c r="TKT6" s="396"/>
      <c r="TKU6" s="396"/>
      <c r="TKV6" s="396"/>
      <c r="TKW6" s="396"/>
      <c r="TKX6" s="396"/>
      <c r="TKY6" s="396"/>
      <c r="TKZ6" s="396"/>
      <c r="TLA6" s="396"/>
      <c r="TLB6" s="396"/>
      <c r="TLC6" s="396"/>
      <c r="TLD6" s="396"/>
      <c r="TLE6" s="396"/>
      <c r="TLF6" s="396"/>
      <c r="TLG6" s="396"/>
      <c r="TLH6" s="396"/>
      <c r="TLI6" s="396"/>
      <c r="TLJ6" s="396"/>
      <c r="TLK6" s="396"/>
      <c r="TLL6" s="396"/>
      <c r="TLM6" s="396"/>
      <c r="TLN6" s="396"/>
      <c r="TLO6" s="396"/>
      <c r="TLP6" s="396"/>
      <c r="TLQ6" s="396"/>
      <c r="TLR6" s="396"/>
      <c r="TLS6" s="396"/>
      <c r="TLT6" s="396"/>
      <c r="TLU6" s="396"/>
      <c r="TLV6" s="396"/>
      <c r="TLW6" s="396"/>
      <c r="TLX6" s="396"/>
      <c r="TLY6" s="396"/>
      <c r="TLZ6" s="396"/>
      <c r="TMA6" s="396"/>
      <c r="TMB6" s="396"/>
      <c r="TMC6" s="396"/>
      <c r="TMD6" s="396"/>
      <c r="TME6" s="396"/>
      <c r="TMF6" s="396"/>
      <c r="TMG6" s="396"/>
      <c r="TMH6" s="396"/>
      <c r="TMI6" s="396"/>
      <c r="TMJ6" s="396"/>
      <c r="TMK6" s="396"/>
      <c r="TML6" s="396"/>
      <c r="TMM6" s="396"/>
      <c r="TMN6" s="396"/>
      <c r="TMO6" s="396"/>
      <c r="TMP6" s="396"/>
      <c r="TMQ6" s="396"/>
      <c r="TMR6" s="396"/>
      <c r="TMS6" s="396"/>
      <c r="TMT6" s="396"/>
      <c r="TMU6" s="396"/>
      <c r="TMV6" s="396"/>
      <c r="TMW6" s="396"/>
      <c r="TMX6" s="396"/>
      <c r="TMY6" s="396"/>
      <c r="TMZ6" s="396"/>
      <c r="TNA6" s="396"/>
      <c r="TNB6" s="396"/>
      <c r="TNC6" s="396"/>
      <c r="TND6" s="396"/>
      <c r="TNE6" s="396"/>
      <c r="TNF6" s="396"/>
      <c r="TNG6" s="396"/>
      <c r="TNH6" s="396"/>
      <c r="TNI6" s="396"/>
      <c r="TNJ6" s="396"/>
      <c r="TNK6" s="396"/>
      <c r="TNL6" s="396"/>
      <c r="TNM6" s="396"/>
      <c r="TNN6" s="396"/>
      <c r="TNO6" s="396"/>
      <c r="TNP6" s="396"/>
      <c r="TNQ6" s="396"/>
      <c r="TNR6" s="396"/>
      <c r="TNS6" s="396"/>
      <c r="TNT6" s="396"/>
      <c r="TNU6" s="396"/>
      <c r="TNV6" s="396"/>
      <c r="TNW6" s="396"/>
      <c r="TNX6" s="396"/>
      <c r="TNY6" s="396"/>
      <c r="TNZ6" s="396"/>
      <c r="TOA6" s="396"/>
      <c r="TOB6" s="396"/>
      <c r="TOC6" s="396"/>
      <c r="TOD6" s="396"/>
      <c r="TOE6" s="396"/>
      <c r="TOF6" s="396"/>
      <c r="TOG6" s="396"/>
      <c r="TOH6" s="396"/>
      <c r="TOI6" s="396"/>
      <c r="TOJ6" s="396"/>
      <c r="TOK6" s="396"/>
      <c r="TOL6" s="396"/>
      <c r="TOM6" s="396"/>
      <c r="TON6" s="396"/>
      <c r="TOO6" s="396"/>
      <c r="TOP6" s="396"/>
      <c r="TOQ6" s="396"/>
      <c r="TOR6" s="396"/>
      <c r="TOS6" s="396"/>
      <c r="TOT6" s="396"/>
      <c r="TOU6" s="396"/>
      <c r="TOV6" s="396"/>
      <c r="TOW6" s="396"/>
      <c r="TOX6" s="396"/>
      <c r="TOY6" s="396"/>
      <c r="TOZ6" s="396"/>
      <c r="TPA6" s="396"/>
      <c r="TPB6" s="396"/>
      <c r="TPC6" s="396"/>
      <c r="TPD6" s="396"/>
      <c r="TPE6" s="396"/>
      <c r="TPF6" s="396"/>
      <c r="TPG6" s="396"/>
      <c r="TPH6" s="396"/>
      <c r="TPI6" s="396"/>
      <c r="TPJ6" s="396"/>
      <c r="TPK6" s="396"/>
      <c r="TPL6" s="396"/>
      <c r="TPM6" s="396"/>
      <c r="TPN6" s="396"/>
      <c r="TPO6" s="396"/>
      <c r="TPP6" s="396"/>
      <c r="TPQ6" s="396"/>
      <c r="TPR6" s="396"/>
      <c r="TPS6" s="396"/>
      <c r="TPT6" s="396"/>
      <c r="TPU6" s="396"/>
      <c r="TPV6" s="396"/>
      <c r="TPW6" s="396"/>
      <c r="TPX6" s="396"/>
      <c r="TPY6" s="396"/>
      <c r="TPZ6" s="396"/>
      <c r="TQA6" s="396"/>
      <c r="TQB6" s="396"/>
      <c r="TQC6" s="396"/>
      <c r="TQD6" s="396"/>
      <c r="TQE6" s="396"/>
      <c r="TQF6" s="396"/>
      <c r="TQG6" s="396"/>
      <c r="TQH6" s="396"/>
      <c r="TQI6" s="396"/>
      <c r="TQJ6" s="396"/>
      <c r="TQK6" s="396"/>
      <c r="TQL6" s="396"/>
      <c r="TQM6" s="396"/>
      <c r="TQN6" s="396"/>
      <c r="TQO6" s="396"/>
      <c r="TQP6" s="396"/>
      <c r="TQQ6" s="396"/>
      <c r="TQR6" s="396"/>
      <c r="TQS6" s="396"/>
      <c r="TQT6" s="396"/>
      <c r="TQU6" s="396"/>
      <c r="TQV6" s="396"/>
      <c r="TQW6" s="396"/>
      <c r="TQX6" s="396"/>
      <c r="TQY6" s="396"/>
      <c r="TQZ6" s="396"/>
      <c r="TRA6" s="396"/>
      <c r="TRB6" s="396"/>
      <c r="TRC6" s="396"/>
      <c r="TRD6" s="396"/>
      <c r="TRE6" s="396"/>
      <c r="TRF6" s="396"/>
      <c r="TRG6" s="396"/>
      <c r="TRH6" s="396"/>
      <c r="TRI6" s="396"/>
      <c r="TRJ6" s="396"/>
      <c r="TRK6" s="396"/>
      <c r="TRL6" s="396"/>
      <c r="TRM6" s="396"/>
      <c r="TRN6" s="396"/>
      <c r="TRO6" s="396"/>
      <c r="TRP6" s="396"/>
      <c r="TRQ6" s="396"/>
      <c r="TRR6" s="396"/>
      <c r="TRS6" s="396"/>
      <c r="TRT6" s="396"/>
      <c r="TRU6" s="396"/>
      <c r="TRV6" s="396"/>
      <c r="TRW6" s="396"/>
      <c r="TRX6" s="396"/>
      <c r="TRY6" s="396"/>
      <c r="TRZ6" s="396"/>
      <c r="TSA6" s="396"/>
      <c r="TSB6" s="396"/>
      <c r="TSC6" s="396"/>
      <c r="TSD6" s="396"/>
      <c r="TSE6" s="396"/>
      <c r="TSF6" s="396"/>
      <c r="TSG6" s="396"/>
      <c r="TSH6" s="396"/>
      <c r="TSI6" s="396"/>
      <c r="TSJ6" s="396"/>
      <c r="TSK6" s="396"/>
      <c r="TSL6" s="396"/>
      <c r="TSM6" s="396"/>
      <c r="TSN6" s="396"/>
      <c r="TSO6" s="396"/>
      <c r="TSP6" s="396"/>
      <c r="TSQ6" s="396"/>
      <c r="TSR6" s="396"/>
      <c r="TSS6" s="396"/>
      <c r="TST6" s="396"/>
      <c r="TSU6" s="396"/>
      <c r="TSV6" s="396"/>
      <c r="TSW6" s="396"/>
      <c r="TSX6" s="396"/>
      <c r="TSY6" s="396"/>
      <c r="TSZ6" s="396"/>
      <c r="TTA6" s="396"/>
      <c r="TTB6" s="396"/>
      <c r="TTC6" s="396"/>
      <c r="TTD6" s="396"/>
      <c r="TTE6" s="396"/>
      <c r="TTF6" s="396"/>
      <c r="TTG6" s="396"/>
      <c r="TTH6" s="396"/>
      <c r="TTI6" s="396"/>
      <c r="TTJ6" s="396"/>
      <c r="TTK6" s="396"/>
      <c r="TTL6" s="396"/>
      <c r="TTM6" s="396"/>
      <c r="TTN6" s="396"/>
      <c r="TTO6" s="396"/>
      <c r="TTP6" s="396"/>
      <c r="TTQ6" s="396"/>
      <c r="TTR6" s="396"/>
      <c r="TTS6" s="396"/>
      <c r="TTT6" s="396"/>
      <c r="TTU6" s="396"/>
      <c r="TTV6" s="396"/>
      <c r="TTW6" s="396"/>
      <c r="TTX6" s="396"/>
      <c r="TTY6" s="396"/>
      <c r="TTZ6" s="396"/>
      <c r="TUA6" s="396"/>
      <c r="TUB6" s="396"/>
      <c r="TUC6" s="396"/>
      <c r="TUD6" s="396"/>
      <c r="TUE6" s="396"/>
      <c r="TUF6" s="396"/>
      <c r="TUG6" s="396"/>
      <c r="TUH6" s="396"/>
      <c r="TUI6" s="396"/>
      <c r="TUJ6" s="396"/>
      <c r="TUK6" s="396"/>
      <c r="TUL6" s="396"/>
      <c r="TUM6" s="396"/>
      <c r="TUN6" s="396"/>
      <c r="TUO6" s="396"/>
      <c r="TUP6" s="396"/>
      <c r="TUQ6" s="396"/>
      <c r="TUR6" s="396"/>
      <c r="TUS6" s="396"/>
      <c r="TUT6" s="396"/>
      <c r="TUU6" s="396"/>
      <c r="TUV6" s="396"/>
      <c r="TUW6" s="396"/>
      <c r="TUX6" s="396"/>
      <c r="TUY6" s="396"/>
      <c r="TUZ6" s="396"/>
      <c r="TVA6" s="396"/>
      <c r="TVB6" s="396"/>
      <c r="TVC6" s="396"/>
      <c r="TVD6" s="396"/>
      <c r="TVE6" s="396"/>
      <c r="TVF6" s="396"/>
      <c r="TVG6" s="396"/>
      <c r="TVH6" s="396"/>
      <c r="TVI6" s="396"/>
      <c r="TVJ6" s="396"/>
      <c r="TVK6" s="396"/>
      <c r="TVL6" s="396"/>
      <c r="TVM6" s="396"/>
      <c r="TVN6" s="396"/>
      <c r="TVO6" s="396"/>
      <c r="TVP6" s="396"/>
      <c r="TVQ6" s="396"/>
      <c r="TVR6" s="396"/>
      <c r="TVS6" s="396"/>
      <c r="TVT6" s="396"/>
      <c r="TVU6" s="396"/>
      <c r="TVV6" s="396"/>
      <c r="TVW6" s="396"/>
      <c r="TVX6" s="396"/>
      <c r="TVY6" s="396"/>
      <c r="TVZ6" s="396"/>
      <c r="TWA6" s="396"/>
      <c r="TWB6" s="396"/>
      <c r="TWC6" s="396"/>
      <c r="TWD6" s="396"/>
      <c r="TWE6" s="396"/>
      <c r="TWF6" s="396"/>
      <c r="TWG6" s="396"/>
      <c r="TWH6" s="396"/>
      <c r="TWI6" s="396"/>
      <c r="TWJ6" s="396"/>
      <c r="TWK6" s="396"/>
      <c r="TWL6" s="396"/>
      <c r="TWM6" s="396"/>
      <c r="TWN6" s="396"/>
      <c r="TWO6" s="396"/>
      <c r="TWP6" s="396"/>
      <c r="TWQ6" s="396"/>
      <c r="TWR6" s="396"/>
      <c r="TWS6" s="396"/>
      <c r="TWT6" s="396"/>
      <c r="TWU6" s="396"/>
      <c r="TWV6" s="396"/>
      <c r="TWW6" s="396"/>
      <c r="TWX6" s="396"/>
      <c r="TWY6" s="396"/>
      <c r="TWZ6" s="396"/>
      <c r="TXA6" s="396"/>
      <c r="TXB6" s="396"/>
      <c r="TXC6" s="396"/>
      <c r="TXD6" s="396"/>
      <c r="TXE6" s="396"/>
      <c r="TXF6" s="396"/>
      <c r="TXG6" s="396"/>
      <c r="TXH6" s="396"/>
      <c r="TXI6" s="396"/>
      <c r="TXJ6" s="396"/>
      <c r="TXK6" s="396"/>
      <c r="TXL6" s="396"/>
      <c r="TXM6" s="396"/>
      <c r="TXN6" s="396"/>
      <c r="TXO6" s="396"/>
      <c r="TXP6" s="396"/>
      <c r="TXQ6" s="396"/>
      <c r="TXR6" s="396"/>
      <c r="TXS6" s="396"/>
      <c r="TXT6" s="396"/>
      <c r="TXU6" s="396"/>
      <c r="TXV6" s="396"/>
      <c r="TXW6" s="396"/>
      <c r="TXX6" s="396"/>
      <c r="TXY6" s="396"/>
      <c r="TXZ6" s="396"/>
      <c r="TYA6" s="396"/>
      <c r="TYB6" s="396"/>
      <c r="TYC6" s="396"/>
      <c r="TYD6" s="396"/>
      <c r="TYE6" s="396"/>
      <c r="TYF6" s="396"/>
      <c r="TYG6" s="396"/>
      <c r="TYH6" s="396"/>
      <c r="TYI6" s="396"/>
      <c r="TYJ6" s="396"/>
      <c r="TYK6" s="396"/>
      <c r="TYL6" s="396"/>
      <c r="TYM6" s="396"/>
      <c r="TYN6" s="396"/>
      <c r="TYO6" s="396"/>
      <c r="TYP6" s="396"/>
      <c r="TYQ6" s="396"/>
      <c r="TYR6" s="396"/>
      <c r="TYS6" s="396"/>
      <c r="TYT6" s="396"/>
      <c r="TYU6" s="396"/>
      <c r="TYV6" s="396"/>
      <c r="TYW6" s="396"/>
      <c r="TYX6" s="396"/>
      <c r="TYY6" s="396"/>
      <c r="TYZ6" s="396"/>
      <c r="TZA6" s="396"/>
      <c r="TZB6" s="396"/>
      <c r="TZC6" s="396"/>
      <c r="TZD6" s="396"/>
      <c r="TZE6" s="396"/>
      <c r="TZF6" s="396"/>
      <c r="TZG6" s="396"/>
      <c r="TZH6" s="396"/>
      <c r="TZI6" s="396"/>
      <c r="TZJ6" s="396"/>
      <c r="TZK6" s="396"/>
      <c r="TZL6" s="396"/>
      <c r="TZM6" s="396"/>
      <c r="TZN6" s="396"/>
      <c r="TZO6" s="396"/>
      <c r="TZP6" s="396"/>
      <c r="TZQ6" s="396"/>
      <c r="TZR6" s="396"/>
      <c r="TZS6" s="396"/>
      <c r="TZT6" s="396"/>
      <c r="TZU6" s="396"/>
      <c r="TZV6" s="396"/>
      <c r="TZW6" s="396"/>
      <c r="TZX6" s="396"/>
      <c r="TZY6" s="396"/>
      <c r="TZZ6" s="396"/>
      <c r="UAA6" s="396"/>
      <c r="UAB6" s="396"/>
      <c r="UAC6" s="396"/>
      <c r="UAD6" s="396"/>
      <c r="UAE6" s="396"/>
      <c r="UAF6" s="396"/>
      <c r="UAG6" s="396"/>
      <c r="UAH6" s="396"/>
      <c r="UAI6" s="396"/>
      <c r="UAJ6" s="396"/>
      <c r="UAK6" s="396"/>
      <c r="UAL6" s="396"/>
      <c r="UAM6" s="396"/>
      <c r="UAN6" s="396"/>
      <c r="UAO6" s="396"/>
      <c r="UAP6" s="396"/>
      <c r="UAQ6" s="396"/>
      <c r="UAR6" s="396"/>
      <c r="UAS6" s="396"/>
      <c r="UAT6" s="396"/>
      <c r="UAU6" s="396"/>
      <c r="UAV6" s="396"/>
      <c r="UAW6" s="396"/>
      <c r="UAX6" s="396"/>
      <c r="UAY6" s="396"/>
      <c r="UAZ6" s="396"/>
      <c r="UBA6" s="396"/>
      <c r="UBB6" s="396"/>
      <c r="UBC6" s="396"/>
      <c r="UBD6" s="396"/>
      <c r="UBE6" s="396"/>
      <c r="UBF6" s="396"/>
      <c r="UBG6" s="396"/>
      <c r="UBH6" s="396"/>
      <c r="UBI6" s="396"/>
      <c r="UBJ6" s="396"/>
      <c r="UBK6" s="396"/>
      <c r="UBL6" s="396"/>
      <c r="UBM6" s="396"/>
      <c r="UBN6" s="396"/>
      <c r="UBO6" s="396"/>
      <c r="UBP6" s="396"/>
      <c r="UBQ6" s="396"/>
      <c r="UBR6" s="396"/>
      <c r="UBS6" s="396"/>
      <c r="UBT6" s="396"/>
      <c r="UBU6" s="396"/>
      <c r="UBV6" s="396"/>
      <c r="UBW6" s="396"/>
      <c r="UBX6" s="396"/>
      <c r="UBY6" s="396"/>
      <c r="UBZ6" s="396"/>
      <c r="UCA6" s="396"/>
      <c r="UCB6" s="396"/>
      <c r="UCC6" s="396"/>
      <c r="UCD6" s="396"/>
      <c r="UCE6" s="396"/>
      <c r="UCF6" s="396"/>
      <c r="UCG6" s="396"/>
      <c r="UCH6" s="396"/>
      <c r="UCI6" s="396"/>
      <c r="UCJ6" s="396"/>
      <c r="UCK6" s="396"/>
      <c r="UCL6" s="396"/>
      <c r="UCM6" s="396"/>
      <c r="UCN6" s="396"/>
      <c r="UCO6" s="396"/>
      <c r="UCP6" s="396"/>
      <c r="UCQ6" s="396"/>
      <c r="UCR6" s="396"/>
      <c r="UCS6" s="396"/>
      <c r="UCT6" s="396"/>
      <c r="UCU6" s="396"/>
      <c r="UCV6" s="396"/>
      <c r="UCW6" s="396"/>
      <c r="UCX6" s="396"/>
      <c r="UCY6" s="396"/>
      <c r="UCZ6" s="396"/>
      <c r="UDA6" s="396"/>
      <c r="UDB6" s="396"/>
      <c r="UDC6" s="396"/>
      <c r="UDD6" s="396"/>
      <c r="UDE6" s="396"/>
      <c r="UDF6" s="396"/>
      <c r="UDG6" s="396"/>
      <c r="UDH6" s="396"/>
      <c r="UDI6" s="396"/>
      <c r="UDJ6" s="396"/>
      <c r="UDK6" s="396"/>
      <c r="UDL6" s="396"/>
      <c r="UDM6" s="396"/>
      <c r="UDN6" s="396"/>
      <c r="UDO6" s="396"/>
      <c r="UDP6" s="396"/>
      <c r="UDQ6" s="396"/>
      <c r="UDR6" s="396"/>
      <c r="UDS6" s="396"/>
      <c r="UDT6" s="396"/>
      <c r="UDU6" s="396"/>
      <c r="UDV6" s="396"/>
      <c r="UDW6" s="396"/>
      <c r="UDX6" s="396"/>
      <c r="UDY6" s="396"/>
      <c r="UDZ6" s="396"/>
      <c r="UEA6" s="396"/>
      <c r="UEB6" s="396"/>
      <c r="UEC6" s="396"/>
      <c r="UED6" s="396"/>
      <c r="UEE6" s="396"/>
      <c r="UEF6" s="396"/>
      <c r="UEG6" s="396"/>
      <c r="UEH6" s="396"/>
      <c r="UEI6" s="396"/>
      <c r="UEJ6" s="396"/>
      <c r="UEK6" s="396"/>
      <c r="UEL6" s="396"/>
      <c r="UEM6" s="396"/>
      <c r="UEN6" s="396"/>
      <c r="UEO6" s="396"/>
      <c r="UEP6" s="396"/>
      <c r="UEQ6" s="396"/>
      <c r="UER6" s="396"/>
      <c r="UES6" s="396"/>
      <c r="UET6" s="396"/>
      <c r="UEU6" s="396"/>
      <c r="UEV6" s="396"/>
      <c r="UEW6" s="396"/>
      <c r="UEX6" s="396"/>
      <c r="UEY6" s="396"/>
      <c r="UEZ6" s="396"/>
      <c r="UFA6" s="396"/>
      <c r="UFB6" s="396"/>
      <c r="UFC6" s="396"/>
      <c r="UFD6" s="396"/>
      <c r="UFE6" s="396"/>
      <c r="UFF6" s="396"/>
      <c r="UFG6" s="396"/>
      <c r="UFH6" s="396"/>
      <c r="UFI6" s="396"/>
      <c r="UFJ6" s="396"/>
      <c r="UFK6" s="396"/>
      <c r="UFL6" s="396"/>
      <c r="UFM6" s="396"/>
      <c r="UFN6" s="396"/>
      <c r="UFO6" s="396"/>
      <c r="UFP6" s="396"/>
      <c r="UFQ6" s="396"/>
      <c r="UFR6" s="396"/>
      <c r="UFS6" s="396"/>
      <c r="UFT6" s="396"/>
      <c r="UFU6" s="396"/>
      <c r="UFV6" s="396"/>
      <c r="UFW6" s="396"/>
      <c r="UFX6" s="396"/>
      <c r="UFY6" s="396"/>
      <c r="UFZ6" s="396"/>
      <c r="UGA6" s="396"/>
      <c r="UGB6" s="396"/>
      <c r="UGC6" s="396"/>
      <c r="UGD6" s="396"/>
      <c r="UGE6" s="396"/>
      <c r="UGF6" s="396"/>
      <c r="UGG6" s="396"/>
      <c r="UGH6" s="396"/>
      <c r="UGI6" s="396"/>
      <c r="UGJ6" s="396"/>
      <c r="UGK6" s="396"/>
      <c r="UGL6" s="396"/>
      <c r="UGM6" s="396"/>
      <c r="UGN6" s="396"/>
      <c r="UGO6" s="396"/>
      <c r="UGP6" s="396"/>
      <c r="UGQ6" s="396"/>
      <c r="UGR6" s="396"/>
      <c r="UGS6" s="396"/>
      <c r="UGT6" s="396"/>
      <c r="UGU6" s="396"/>
      <c r="UGV6" s="396"/>
      <c r="UGW6" s="396"/>
      <c r="UGX6" s="396"/>
      <c r="UGY6" s="396"/>
      <c r="UGZ6" s="396"/>
      <c r="UHA6" s="396"/>
      <c r="UHB6" s="396"/>
      <c r="UHC6" s="396"/>
      <c r="UHD6" s="396"/>
      <c r="UHE6" s="396"/>
      <c r="UHF6" s="396"/>
      <c r="UHG6" s="396"/>
      <c r="UHH6" s="396"/>
      <c r="UHI6" s="396"/>
      <c r="UHJ6" s="396"/>
      <c r="UHK6" s="396"/>
      <c r="UHL6" s="396"/>
      <c r="UHM6" s="396"/>
      <c r="UHN6" s="396"/>
      <c r="UHO6" s="396"/>
      <c r="UHP6" s="396"/>
      <c r="UHQ6" s="396"/>
      <c r="UHR6" s="396"/>
      <c r="UHS6" s="396"/>
      <c r="UHT6" s="396"/>
      <c r="UHU6" s="396"/>
      <c r="UHV6" s="396"/>
      <c r="UHW6" s="396"/>
      <c r="UHX6" s="396"/>
      <c r="UHY6" s="396"/>
      <c r="UHZ6" s="396"/>
      <c r="UIA6" s="396"/>
      <c r="UIB6" s="396"/>
      <c r="UIC6" s="396"/>
      <c r="UID6" s="396"/>
      <c r="UIE6" s="396"/>
      <c r="UIF6" s="396"/>
      <c r="UIG6" s="396"/>
      <c r="UIH6" s="396"/>
      <c r="UII6" s="396"/>
      <c r="UIJ6" s="396"/>
      <c r="UIK6" s="396"/>
      <c r="UIL6" s="396"/>
      <c r="UIM6" s="396"/>
      <c r="UIN6" s="396"/>
      <c r="UIO6" s="396"/>
      <c r="UIP6" s="396"/>
      <c r="UIQ6" s="396"/>
      <c r="UIR6" s="396"/>
      <c r="UIS6" s="396"/>
      <c r="UIT6" s="396"/>
      <c r="UIU6" s="396"/>
      <c r="UIV6" s="396"/>
      <c r="UIW6" s="396"/>
      <c r="UIX6" s="396"/>
      <c r="UIY6" s="396"/>
      <c r="UIZ6" s="396"/>
      <c r="UJA6" s="396"/>
      <c r="UJB6" s="396"/>
      <c r="UJC6" s="396"/>
      <c r="UJD6" s="396"/>
      <c r="UJE6" s="396"/>
      <c r="UJF6" s="396"/>
      <c r="UJG6" s="396"/>
      <c r="UJH6" s="396"/>
      <c r="UJI6" s="396"/>
      <c r="UJJ6" s="396"/>
      <c r="UJK6" s="396"/>
      <c r="UJL6" s="396"/>
      <c r="UJM6" s="396"/>
      <c r="UJN6" s="396"/>
      <c r="UJO6" s="396"/>
      <c r="UJP6" s="396"/>
      <c r="UJQ6" s="396"/>
      <c r="UJR6" s="396"/>
      <c r="UJS6" s="396"/>
      <c r="UJT6" s="396"/>
      <c r="UJU6" s="396"/>
      <c r="UJV6" s="396"/>
      <c r="UJW6" s="396"/>
      <c r="UJX6" s="396"/>
      <c r="UJY6" s="396"/>
      <c r="UJZ6" s="396"/>
      <c r="UKA6" s="396"/>
      <c r="UKB6" s="396"/>
      <c r="UKC6" s="396"/>
      <c r="UKD6" s="396"/>
      <c r="UKE6" s="396"/>
      <c r="UKF6" s="396"/>
      <c r="UKG6" s="396"/>
      <c r="UKH6" s="396"/>
      <c r="UKI6" s="396"/>
      <c r="UKJ6" s="396"/>
      <c r="UKK6" s="396"/>
      <c r="UKL6" s="396"/>
      <c r="UKM6" s="396"/>
      <c r="UKN6" s="396"/>
      <c r="UKO6" s="396"/>
      <c r="UKP6" s="396"/>
      <c r="UKQ6" s="396"/>
      <c r="UKR6" s="396"/>
      <c r="UKS6" s="396"/>
      <c r="UKT6" s="396"/>
      <c r="UKU6" s="396"/>
      <c r="UKV6" s="396"/>
      <c r="UKW6" s="396"/>
      <c r="UKX6" s="396"/>
      <c r="UKY6" s="396"/>
      <c r="UKZ6" s="396"/>
      <c r="ULA6" s="396"/>
      <c r="ULB6" s="396"/>
      <c r="ULC6" s="396"/>
      <c r="ULD6" s="396"/>
      <c r="ULE6" s="396"/>
      <c r="ULF6" s="396"/>
      <c r="ULG6" s="396"/>
      <c r="ULH6" s="396"/>
      <c r="ULI6" s="396"/>
      <c r="ULJ6" s="396"/>
      <c r="ULK6" s="396"/>
      <c r="ULL6" s="396"/>
      <c r="ULM6" s="396"/>
      <c r="ULN6" s="396"/>
      <c r="ULO6" s="396"/>
      <c r="ULP6" s="396"/>
      <c r="ULQ6" s="396"/>
      <c r="ULR6" s="396"/>
      <c r="ULS6" s="396"/>
      <c r="ULT6" s="396"/>
      <c r="ULU6" s="396"/>
      <c r="ULV6" s="396"/>
      <c r="ULW6" s="396"/>
      <c r="ULX6" s="396"/>
      <c r="ULY6" s="396"/>
      <c r="ULZ6" s="396"/>
      <c r="UMA6" s="396"/>
      <c r="UMB6" s="396"/>
      <c r="UMC6" s="396"/>
      <c r="UMD6" s="396"/>
      <c r="UME6" s="396"/>
      <c r="UMF6" s="396"/>
      <c r="UMG6" s="396"/>
      <c r="UMH6" s="396"/>
      <c r="UMI6" s="396"/>
      <c r="UMJ6" s="396"/>
      <c r="UMK6" s="396"/>
      <c r="UML6" s="396"/>
      <c r="UMM6" s="396"/>
      <c r="UMN6" s="396"/>
      <c r="UMO6" s="396"/>
      <c r="UMP6" s="396"/>
      <c r="UMQ6" s="396"/>
      <c r="UMR6" s="396"/>
      <c r="UMS6" s="396"/>
      <c r="UMT6" s="396"/>
      <c r="UMU6" s="396"/>
      <c r="UMV6" s="396"/>
      <c r="UMW6" s="396"/>
      <c r="UMX6" s="396"/>
      <c r="UMY6" s="396"/>
      <c r="UMZ6" s="396"/>
      <c r="UNA6" s="396"/>
      <c r="UNB6" s="396"/>
      <c r="UNC6" s="396"/>
      <c r="UND6" s="396"/>
      <c r="UNE6" s="396"/>
      <c r="UNF6" s="396"/>
      <c r="UNG6" s="396"/>
      <c r="UNH6" s="396"/>
      <c r="UNI6" s="396"/>
      <c r="UNJ6" s="396"/>
      <c r="UNK6" s="396"/>
      <c r="UNL6" s="396"/>
      <c r="UNM6" s="396"/>
      <c r="UNN6" s="396"/>
      <c r="UNO6" s="396"/>
      <c r="UNP6" s="396"/>
      <c r="UNQ6" s="396"/>
      <c r="UNR6" s="396"/>
      <c r="UNS6" s="396"/>
      <c r="UNT6" s="396"/>
      <c r="UNU6" s="396"/>
      <c r="UNV6" s="396"/>
      <c r="UNW6" s="396"/>
      <c r="UNX6" s="396"/>
      <c r="UNY6" s="396"/>
      <c r="UNZ6" s="396"/>
      <c r="UOA6" s="396"/>
      <c r="UOB6" s="396"/>
      <c r="UOC6" s="396"/>
      <c r="UOD6" s="396"/>
      <c r="UOE6" s="396"/>
      <c r="UOF6" s="396"/>
      <c r="UOG6" s="396"/>
      <c r="UOH6" s="396"/>
      <c r="UOI6" s="396"/>
      <c r="UOJ6" s="396"/>
      <c r="UOK6" s="396"/>
      <c r="UOL6" s="396"/>
      <c r="UOM6" s="396"/>
      <c r="UON6" s="396"/>
      <c r="UOO6" s="396"/>
      <c r="UOP6" s="396"/>
      <c r="UOQ6" s="396"/>
      <c r="UOR6" s="396"/>
      <c r="UOS6" s="396"/>
      <c r="UOT6" s="396"/>
      <c r="UOU6" s="396"/>
      <c r="UOV6" s="396"/>
      <c r="UOW6" s="396"/>
      <c r="UOX6" s="396"/>
      <c r="UOY6" s="396"/>
      <c r="UOZ6" s="396"/>
      <c r="UPA6" s="396"/>
      <c r="UPB6" s="396"/>
      <c r="UPC6" s="396"/>
      <c r="UPD6" s="396"/>
      <c r="UPE6" s="396"/>
      <c r="UPF6" s="396"/>
      <c r="UPG6" s="396"/>
      <c r="UPH6" s="396"/>
      <c r="UPI6" s="396"/>
      <c r="UPJ6" s="396"/>
      <c r="UPK6" s="396"/>
      <c r="UPL6" s="396"/>
      <c r="UPM6" s="396"/>
      <c r="UPN6" s="396"/>
      <c r="UPO6" s="396"/>
      <c r="UPP6" s="396"/>
      <c r="UPQ6" s="396"/>
      <c r="UPR6" s="396"/>
      <c r="UPS6" s="396"/>
      <c r="UPT6" s="396"/>
      <c r="UPU6" s="396"/>
      <c r="UPV6" s="396"/>
      <c r="UPW6" s="396"/>
      <c r="UPX6" s="396"/>
      <c r="UPY6" s="396"/>
      <c r="UPZ6" s="396"/>
      <c r="UQA6" s="396"/>
      <c r="UQB6" s="396"/>
      <c r="UQC6" s="396"/>
      <c r="UQD6" s="396"/>
      <c r="UQE6" s="396"/>
      <c r="UQF6" s="396"/>
      <c r="UQG6" s="396"/>
      <c r="UQH6" s="396"/>
      <c r="UQI6" s="396"/>
      <c r="UQJ6" s="396"/>
      <c r="UQK6" s="396"/>
      <c r="UQL6" s="396"/>
      <c r="UQM6" s="396"/>
      <c r="UQN6" s="396"/>
      <c r="UQO6" s="396"/>
      <c r="UQP6" s="396"/>
      <c r="UQQ6" s="396"/>
      <c r="UQR6" s="396"/>
      <c r="UQS6" s="396"/>
      <c r="UQT6" s="396"/>
      <c r="UQU6" s="396"/>
      <c r="UQV6" s="396"/>
      <c r="UQW6" s="396"/>
      <c r="UQX6" s="396"/>
      <c r="UQY6" s="396"/>
      <c r="UQZ6" s="396"/>
      <c r="URA6" s="396"/>
      <c r="URB6" s="396"/>
      <c r="URC6" s="396"/>
      <c r="URD6" s="396"/>
      <c r="URE6" s="396"/>
      <c r="URF6" s="396"/>
      <c r="URG6" s="396"/>
      <c r="URH6" s="396"/>
      <c r="URI6" s="396"/>
      <c r="URJ6" s="396"/>
      <c r="URK6" s="396"/>
      <c r="URL6" s="396"/>
      <c r="URM6" s="396"/>
      <c r="URN6" s="396"/>
      <c r="URO6" s="396"/>
      <c r="URP6" s="396"/>
      <c r="URQ6" s="396"/>
      <c r="URR6" s="396"/>
      <c r="URS6" s="396"/>
      <c r="URT6" s="396"/>
      <c r="URU6" s="396"/>
      <c r="URV6" s="396"/>
      <c r="URW6" s="396"/>
      <c r="URX6" s="396"/>
      <c r="URY6" s="396"/>
      <c r="URZ6" s="396"/>
      <c r="USA6" s="396"/>
      <c r="USB6" s="396"/>
      <c r="USC6" s="396"/>
      <c r="USD6" s="396"/>
      <c r="USE6" s="396"/>
      <c r="USF6" s="396"/>
      <c r="USG6" s="396"/>
      <c r="USH6" s="396"/>
      <c r="USI6" s="396"/>
      <c r="USJ6" s="396"/>
      <c r="USK6" s="396"/>
      <c r="USL6" s="396"/>
      <c r="USM6" s="396"/>
      <c r="USN6" s="396"/>
      <c r="USO6" s="396"/>
      <c r="USP6" s="396"/>
      <c r="USQ6" s="396"/>
      <c r="USR6" s="396"/>
      <c r="USS6" s="396"/>
      <c r="UST6" s="396"/>
      <c r="USU6" s="396"/>
      <c r="USV6" s="396"/>
      <c r="USW6" s="396"/>
      <c r="USX6" s="396"/>
      <c r="USY6" s="396"/>
      <c r="USZ6" s="396"/>
      <c r="UTA6" s="396"/>
      <c r="UTB6" s="396"/>
      <c r="UTC6" s="396"/>
      <c r="UTD6" s="396"/>
      <c r="UTE6" s="396"/>
      <c r="UTF6" s="396"/>
      <c r="UTG6" s="396"/>
      <c r="UTH6" s="396"/>
      <c r="UTI6" s="396"/>
      <c r="UTJ6" s="396"/>
      <c r="UTK6" s="396"/>
      <c r="UTL6" s="396"/>
      <c r="UTM6" s="396"/>
      <c r="UTN6" s="396"/>
      <c r="UTO6" s="396"/>
      <c r="UTP6" s="396"/>
      <c r="UTQ6" s="396"/>
      <c r="UTR6" s="396"/>
      <c r="UTS6" s="396"/>
      <c r="UTT6" s="396"/>
      <c r="UTU6" s="396"/>
      <c r="UTV6" s="396"/>
      <c r="UTW6" s="396"/>
      <c r="UTX6" s="396"/>
      <c r="UTY6" s="396"/>
      <c r="UTZ6" s="396"/>
      <c r="UUA6" s="396"/>
      <c r="UUB6" s="396"/>
      <c r="UUC6" s="396"/>
      <c r="UUD6" s="396"/>
      <c r="UUE6" s="396"/>
      <c r="UUF6" s="396"/>
      <c r="UUG6" s="396"/>
      <c r="UUH6" s="396"/>
      <c r="UUI6" s="396"/>
      <c r="UUJ6" s="396"/>
      <c r="UUK6" s="396"/>
      <c r="UUL6" s="396"/>
      <c r="UUM6" s="396"/>
      <c r="UUN6" s="396"/>
      <c r="UUO6" s="396"/>
      <c r="UUP6" s="396"/>
      <c r="UUQ6" s="396"/>
      <c r="UUR6" s="396"/>
      <c r="UUS6" s="396"/>
      <c r="UUT6" s="396"/>
      <c r="UUU6" s="396"/>
      <c r="UUV6" s="396"/>
      <c r="UUW6" s="396"/>
      <c r="UUX6" s="396"/>
      <c r="UUY6" s="396"/>
      <c r="UUZ6" s="396"/>
      <c r="UVA6" s="396"/>
      <c r="UVB6" s="396"/>
      <c r="UVC6" s="396"/>
      <c r="UVD6" s="396"/>
      <c r="UVE6" s="396"/>
      <c r="UVF6" s="396"/>
      <c r="UVG6" s="396"/>
      <c r="UVH6" s="396"/>
      <c r="UVI6" s="396"/>
      <c r="UVJ6" s="396"/>
      <c r="UVK6" s="396"/>
      <c r="UVL6" s="396"/>
      <c r="UVM6" s="396"/>
      <c r="UVN6" s="396"/>
      <c r="UVO6" s="396"/>
      <c r="UVP6" s="396"/>
      <c r="UVQ6" s="396"/>
      <c r="UVR6" s="396"/>
      <c r="UVS6" s="396"/>
      <c r="UVT6" s="396"/>
      <c r="UVU6" s="396"/>
      <c r="UVV6" s="396"/>
      <c r="UVW6" s="396"/>
      <c r="UVX6" s="396"/>
      <c r="UVY6" s="396"/>
      <c r="UVZ6" s="396"/>
      <c r="UWA6" s="396"/>
      <c r="UWB6" s="396"/>
      <c r="UWC6" s="396"/>
      <c r="UWD6" s="396"/>
      <c r="UWE6" s="396"/>
      <c r="UWF6" s="396"/>
      <c r="UWG6" s="396"/>
      <c r="UWH6" s="396"/>
      <c r="UWI6" s="396"/>
      <c r="UWJ6" s="396"/>
      <c r="UWK6" s="396"/>
      <c r="UWL6" s="396"/>
      <c r="UWM6" s="396"/>
      <c r="UWN6" s="396"/>
      <c r="UWO6" s="396"/>
      <c r="UWP6" s="396"/>
      <c r="UWQ6" s="396"/>
      <c r="UWR6" s="396"/>
      <c r="UWS6" s="396"/>
      <c r="UWT6" s="396"/>
      <c r="UWU6" s="396"/>
      <c r="UWV6" s="396"/>
      <c r="UWW6" s="396"/>
      <c r="UWX6" s="396"/>
      <c r="UWY6" s="396"/>
      <c r="UWZ6" s="396"/>
      <c r="UXA6" s="396"/>
      <c r="UXB6" s="396"/>
      <c r="UXC6" s="396"/>
      <c r="UXD6" s="396"/>
      <c r="UXE6" s="396"/>
      <c r="UXF6" s="396"/>
      <c r="UXG6" s="396"/>
      <c r="UXH6" s="396"/>
      <c r="UXI6" s="396"/>
      <c r="UXJ6" s="396"/>
      <c r="UXK6" s="396"/>
      <c r="UXL6" s="396"/>
      <c r="UXM6" s="396"/>
      <c r="UXN6" s="396"/>
      <c r="UXO6" s="396"/>
      <c r="UXP6" s="396"/>
      <c r="UXQ6" s="396"/>
      <c r="UXR6" s="396"/>
      <c r="UXS6" s="396"/>
      <c r="UXT6" s="396"/>
      <c r="UXU6" s="396"/>
      <c r="UXV6" s="396"/>
      <c r="UXW6" s="396"/>
      <c r="UXX6" s="396"/>
      <c r="UXY6" s="396"/>
      <c r="UXZ6" s="396"/>
      <c r="UYA6" s="396"/>
      <c r="UYB6" s="396"/>
      <c r="UYC6" s="396"/>
      <c r="UYD6" s="396"/>
      <c r="UYE6" s="396"/>
      <c r="UYF6" s="396"/>
      <c r="UYG6" s="396"/>
      <c r="UYH6" s="396"/>
      <c r="UYI6" s="396"/>
      <c r="UYJ6" s="396"/>
      <c r="UYK6" s="396"/>
      <c r="UYL6" s="396"/>
      <c r="UYM6" s="396"/>
      <c r="UYN6" s="396"/>
      <c r="UYO6" s="396"/>
      <c r="UYP6" s="396"/>
      <c r="UYQ6" s="396"/>
      <c r="UYR6" s="396"/>
      <c r="UYS6" s="396"/>
      <c r="UYT6" s="396"/>
      <c r="UYU6" s="396"/>
      <c r="UYV6" s="396"/>
      <c r="UYW6" s="396"/>
      <c r="UYX6" s="396"/>
      <c r="UYY6" s="396"/>
      <c r="UYZ6" s="396"/>
      <c r="UZA6" s="396"/>
      <c r="UZB6" s="396"/>
      <c r="UZC6" s="396"/>
      <c r="UZD6" s="396"/>
      <c r="UZE6" s="396"/>
      <c r="UZF6" s="396"/>
      <c r="UZG6" s="396"/>
      <c r="UZH6" s="396"/>
      <c r="UZI6" s="396"/>
      <c r="UZJ6" s="396"/>
      <c r="UZK6" s="396"/>
      <c r="UZL6" s="396"/>
      <c r="UZM6" s="396"/>
      <c r="UZN6" s="396"/>
      <c r="UZO6" s="396"/>
      <c r="UZP6" s="396"/>
      <c r="UZQ6" s="396"/>
      <c r="UZR6" s="396"/>
      <c r="UZS6" s="396"/>
      <c r="UZT6" s="396"/>
      <c r="UZU6" s="396"/>
      <c r="UZV6" s="396"/>
      <c r="UZW6" s="396"/>
      <c r="UZX6" s="396"/>
      <c r="UZY6" s="396"/>
      <c r="UZZ6" s="396"/>
      <c r="VAA6" s="396"/>
      <c r="VAB6" s="396"/>
      <c r="VAC6" s="396"/>
      <c r="VAD6" s="396"/>
      <c r="VAE6" s="396"/>
      <c r="VAF6" s="396"/>
      <c r="VAG6" s="396"/>
      <c r="VAH6" s="396"/>
      <c r="VAI6" s="396"/>
      <c r="VAJ6" s="396"/>
      <c r="VAK6" s="396"/>
      <c r="VAL6" s="396"/>
      <c r="VAM6" s="396"/>
      <c r="VAN6" s="396"/>
      <c r="VAO6" s="396"/>
      <c r="VAP6" s="396"/>
      <c r="VAQ6" s="396"/>
      <c r="VAR6" s="396"/>
      <c r="VAS6" s="396"/>
      <c r="VAT6" s="396"/>
      <c r="VAU6" s="396"/>
      <c r="VAV6" s="396"/>
      <c r="VAW6" s="396"/>
      <c r="VAX6" s="396"/>
      <c r="VAY6" s="396"/>
      <c r="VAZ6" s="396"/>
      <c r="VBA6" s="396"/>
      <c r="VBB6" s="396"/>
      <c r="VBC6" s="396"/>
      <c r="VBD6" s="396"/>
      <c r="VBE6" s="396"/>
      <c r="VBF6" s="396"/>
      <c r="VBG6" s="396"/>
      <c r="VBH6" s="396"/>
      <c r="VBI6" s="396"/>
      <c r="VBJ6" s="396"/>
      <c r="VBK6" s="396"/>
      <c r="VBL6" s="396"/>
      <c r="VBM6" s="396"/>
      <c r="VBN6" s="396"/>
      <c r="VBO6" s="396"/>
      <c r="VBP6" s="396"/>
      <c r="VBQ6" s="396"/>
      <c r="VBR6" s="396"/>
      <c r="VBS6" s="396"/>
      <c r="VBT6" s="396"/>
      <c r="VBU6" s="396"/>
      <c r="VBV6" s="396"/>
      <c r="VBW6" s="396"/>
      <c r="VBX6" s="396"/>
      <c r="VBY6" s="396"/>
      <c r="VBZ6" s="396"/>
      <c r="VCA6" s="396"/>
      <c r="VCB6" s="396"/>
      <c r="VCC6" s="396"/>
      <c r="VCD6" s="396"/>
      <c r="VCE6" s="396"/>
      <c r="VCF6" s="396"/>
      <c r="VCG6" s="396"/>
      <c r="VCH6" s="396"/>
      <c r="VCI6" s="396"/>
      <c r="VCJ6" s="396"/>
      <c r="VCK6" s="396"/>
      <c r="VCL6" s="396"/>
      <c r="VCM6" s="396"/>
      <c r="VCN6" s="396"/>
      <c r="VCO6" s="396"/>
      <c r="VCP6" s="396"/>
      <c r="VCQ6" s="396"/>
      <c r="VCR6" s="396"/>
      <c r="VCS6" s="396"/>
      <c r="VCT6" s="396"/>
      <c r="VCU6" s="396"/>
      <c r="VCV6" s="396"/>
      <c r="VCW6" s="396"/>
      <c r="VCX6" s="396"/>
      <c r="VCY6" s="396"/>
      <c r="VCZ6" s="396"/>
      <c r="VDA6" s="396"/>
      <c r="VDB6" s="396"/>
      <c r="VDC6" s="396"/>
      <c r="VDD6" s="396"/>
      <c r="VDE6" s="396"/>
      <c r="VDF6" s="396"/>
      <c r="VDG6" s="396"/>
      <c r="VDH6" s="396"/>
      <c r="VDI6" s="396"/>
      <c r="VDJ6" s="396"/>
      <c r="VDK6" s="396"/>
      <c r="VDL6" s="396"/>
      <c r="VDM6" s="396"/>
      <c r="VDN6" s="396"/>
      <c r="VDO6" s="396"/>
      <c r="VDP6" s="396"/>
      <c r="VDQ6" s="396"/>
      <c r="VDR6" s="396"/>
      <c r="VDS6" s="396"/>
      <c r="VDT6" s="396"/>
      <c r="VDU6" s="396"/>
      <c r="VDV6" s="396"/>
      <c r="VDW6" s="396"/>
      <c r="VDX6" s="396"/>
      <c r="VDY6" s="396"/>
      <c r="VDZ6" s="396"/>
      <c r="VEA6" s="396"/>
      <c r="VEB6" s="396"/>
      <c r="VEC6" s="396"/>
      <c r="VED6" s="396"/>
      <c r="VEE6" s="396"/>
      <c r="VEF6" s="396"/>
      <c r="VEG6" s="396"/>
      <c r="VEH6" s="396"/>
      <c r="VEI6" s="396"/>
      <c r="VEJ6" s="396"/>
      <c r="VEK6" s="396"/>
      <c r="VEL6" s="396"/>
      <c r="VEM6" s="396"/>
      <c r="VEN6" s="396"/>
      <c r="VEO6" s="396"/>
      <c r="VEP6" s="396"/>
      <c r="VEQ6" s="396"/>
      <c r="VER6" s="396"/>
      <c r="VES6" s="396"/>
      <c r="VET6" s="396"/>
      <c r="VEU6" s="396"/>
      <c r="VEV6" s="396"/>
      <c r="VEW6" s="396"/>
      <c r="VEX6" s="396"/>
      <c r="VEY6" s="396"/>
      <c r="VEZ6" s="396"/>
      <c r="VFA6" s="396"/>
      <c r="VFB6" s="396"/>
      <c r="VFC6" s="396"/>
      <c r="VFD6" s="396"/>
      <c r="VFE6" s="396"/>
      <c r="VFF6" s="396"/>
      <c r="VFG6" s="396"/>
      <c r="VFH6" s="396"/>
      <c r="VFI6" s="396"/>
      <c r="VFJ6" s="396"/>
      <c r="VFK6" s="396"/>
      <c r="VFL6" s="396"/>
      <c r="VFM6" s="396"/>
      <c r="VFN6" s="396"/>
      <c r="VFO6" s="396"/>
      <c r="VFP6" s="396"/>
      <c r="VFQ6" s="396"/>
      <c r="VFR6" s="396"/>
      <c r="VFS6" s="396"/>
      <c r="VFT6" s="396"/>
      <c r="VFU6" s="396"/>
      <c r="VFV6" s="396"/>
      <c r="VFW6" s="396"/>
      <c r="VFX6" s="396"/>
      <c r="VFY6" s="396"/>
      <c r="VFZ6" s="396"/>
      <c r="VGA6" s="396"/>
      <c r="VGB6" s="396"/>
      <c r="VGC6" s="396"/>
      <c r="VGD6" s="396"/>
      <c r="VGE6" s="396"/>
      <c r="VGF6" s="396"/>
      <c r="VGG6" s="396"/>
      <c r="VGH6" s="396"/>
      <c r="VGI6" s="396"/>
      <c r="VGJ6" s="396"/>
      <c r="VGK6" s="396"/>
      <c r="VGL6" s="396"/>
      <c r="VGM6" s="396"/>
      <c r="VGN6" s="396"/>
      <c r="VGO6" s="396"/>
      <c r="VGP6" s="396"/>
      <c r="VGQ6" s="396"/>
      <c r="VGR6" s="396"/>
      <c r="VGS6" s="396"/>
      <c r="VGT6" s="396"/>
      <c r="VGU6" s="396"/>
      <c r="VGV6" s="396"/>
      <c r="VGW6" s="396"/>
      <c r="VGX6" s="396"/>
      <c r="VGY6" s="396"/>
      <c r="VGZ6" s="396"/>
      <c r="VHA6" s="396"/>
      <c r="VHB6" s="396"/>
      <c r="VHC6" s="396"/>
      <c r="VHD6" s="396"/>
      <c r="VHE6" s="396"/>
      <c r="VHF6" s="396"/>
      <c r="VHG6" s="396"/>
      <c r="VHH6" s="396"/>
      <c r="VHI6" s="396"/>
      <c r="VHJ6" s="396"/>
      <c r="VHK6" s="396"/>
      <c r="VHL6" s="396"/>
      <c r="VHM6" s="396"/>
      <c r="VHN6" s="396"/>
      <c r="VHO6" s="396"/>
      <c r="VHP6" s="396"/>
      <c r="VHQ6" s="396"/>
      <c r="VHR6" s="396"/>
      <c r="VHS6" s="396"/>
      <c r="VHT6" s="396"/>
      <c r="VHU6" s="396"/>
      <c r="VHV6" s="396"/>
      <c r="VHW6" s="396"/>
      <c r="VHX6" s="396"/>
      <c r="VHY6" s="396"/>
      <c r="VHZ6" s="396"/>
      <c r="VIA6" s="396"/>
      <c r="VIB6" s="396"/>
      <c r="VIC6" s="396"/>
      <c r="VID6" s="396"/>
      <c r="VIE6" s="396"/>
      <c r="VIF6" s="396"/>
      <c r="VIG6" s="396"/>
      <c r="VIH6" s="396"/>
      <c r="VII6" s="396"/>
      <c r="VIJ6" s="396"/>
      <c r="VIK6" s="396"/>
      <c r="VIL6" s="396"/>
      <c r="VIM6" s="396"/>
      <c r="VIN6" s="396"/>
      <c r="VIO6" s="396"/>
      <c r="VIP6" s="396"/>
      <c r="VIQ6" s="396"/>
      <c r="VIR6" s="396"/>
      <c r="VIS6" s="396"/>
      <c r="VIT6" s="396"/>
      <c r="VIU6" s="396"/>
      <c r="VIV6" s="396"/>
      <c r="VIW6" s="396"/>
      <c r="VIX6" s="396"/>
      <c r="VIY6" s="396"/>
      <c r="VIZ6" s="396"/>
      <c r="VJA6" s="396"/>
      <c r="VJB6" s="396"/>
      <c r="VJC6" s="396"/>
      <c r="VJD6" s="396"/>
      <c r="VJE6" s="396"/>
      <c r="VJF6" s="396"/>
      <c r="VJG6" s="396"/>
      <c r="VJH6" s="396"/>
      <c r="VJI6" s="396"/>
      <c r="VJJ6" s="396"/>
      <c r="VJK6" s="396"/>
      <c r="VJL6" s="396"/>
      <c r="VJM6" s="396"/>
      <c r="VJN6" s="396"/>
      <c r="VJO6" s="396"/>
      <c r="VJP6" s="396"/>
      <c r="VJQ6" s="396"/>
      <c r="VJR6" s="396"/>
      <c r="VJS6" s="396"/>
      <c r="VJT6" s="396"/>
      <c r="VJU6" s="396"/>
      <c r="VJV6" s="396"/>
      <c r="VJW6" s="396"/>
      <c r="VJX6" s="396"/>
      <c r="VJY6" s="396"/>
      <c r="VJZ6" s="396"/>
      <c r="VKA6" s="396"/>
      <c r="VKB6" s="396"/>
      <c r="VKC6" s="396"/>
      <c r="VKD6" s="396"/>
      <c r="VKE6" s="396"/>
      <c r="VKF6" s="396"/>
      <c r="VKG6" s="396"/>
      <c r="VKH6" s="396"/>
      <c r="VKI6" s="396"/>
      <c r="VKJ6" s="396"/>
      <c r="VKK6" s="396"/>
      <c r="VKL6" s="396"/>
      <c r="VKM6" s="396"/>
      <c r="VKN6" s="396"/>
      <c r="VKO6" s="396"/>
      <c r="VKP6" s="396"/>
      <c r="VKQ6" s="396"/>
      <c r="VKR6" s="396"/>
      <c r="VKS6" s="396"/>
      <c r="VKT6" s="396"/>
      <c r="VKU6" s="396"/>
      <c r="VKV6" s="396"/>
      <c r="VKW6" s="396"/>
      <c r="VKX6" s="396"/>
      <c r="VKY6" s="396"/>
      <c r="VKZ6" s="396"/>
      <c r="VLA6" s="396"/>
      <c r="VLB6" s="396"/>
      <c r="VLC6" s="396"/>
      <c r="VLD6" s="396"/>
      <c r="VLE6" s="396"/>
      <c r="VLF6" s="396"/>
      <c r="VLG6" s="396"/>
      <c r="VLH6" s="396"/>
      <c r="VLI6" s="396"/>
      <c r="VLJ6" s="396"/>
      <c r="VLK6" s="396"/>
      <c r="VLL6" s="396"/>
      <c r="VLM6" s="396"/>
      <c r="VLN6" s="396"/>
      <c r="VLO6" s="396"/>
      <c r="VLP6" s="396"/>
      <c r="VLQ6" s="396"/>
      <c r="VLR6" s="396"/>
      <c r="VLS6" s="396"/>
      <c r="VLT6" s="396"/>
      <c r="VLU6" s="396"/>
      <c r="VLV6" s="396"/>
      <c r="VLW6" s="396"/>
      <c r="VLX6" s="396"/>
      <c r="VLY6" s="396"/>
      <c r="VLZ6" s="396"/>
      <c r="VMA6" s="396"/>
      <c r="VMB6" s="396"/>
      <c r="VMC6" s="396"/>
      <c r="VMD6" s="396"/>
      <c r="VME6" s="396"/>
      <c r="VMF6" s="396"/>
      <c r="VMG6" s="396"/>
      <c r="VMH6" s="396"/>
      <c r="VMI6" s="396"/>
      <c r="VMJ6" s="396"/>
      <c r="VMK6" s="396"/>
      <c r="VML6" s="396"/>
      <c r="VMM6" s="396"/>
      <c r="VMN6" s="396"/>
      <c r="VMO6" s="396"/>
      <c r="VMP6" s="396"/>
      <c r="VMQ6" s="396"/>
      <c r="VMR6" s="396"/>
      <c r="VMS6" s="396"/>
      <c r="VMT6" s="396"/>
      <c r="VMU6" s="396"/>
      <c r="VMV6" s="396"/>
      <c r="VMW6" s="396"/>
      <c r="VMX6" s="396"/>
      <c r="VMY6" s="396"/>
      <c r="VMZ6" s="396"/>
      <c r="VNA6" s="396"/>
      <c r="VNB6" s="396"/>
      <c r="VNC6" s="396"/>
      <c r="VND6" s="396"/>
      <c r="VNE6" s="396"/>
      <c r="VNF6" s="396"/>
      <c r="VNG6" s="396"/>
      <c r="VNH6" s="396"/>
      <c r="VNI6" s="396"/>
      <c r="VNJ6" s="396"/>
      <c r="VNK6" s="396"/>
      <c r="VNL6" s="396"/>
      <c r="VNM6" s="396"/>
      <c r="VNN6" s="396"/>
      <c r="VNO6" s="396"/>
      <c r="VNP6" s="396"/>
      <c r="VNQ6" s="396"/>
      <c r="VNR6" s="396"/>
      <c r="VNS6" s="396"/>
      <c r="VNT6" s="396"/>
      <c r="VNU6" s="396"/>
      <c r="VNV6" s="396"/>
      <c r="VNW6" s="396"/>
      <c r="VNX6" s="396"/>
      <c r="VNY6" s="396"/>
      <c r="VNZ6" s="396"/>
      <c r="VOA6" s="396"/>
      <c r="VOB6" s="396"/>
      <c r="VOC6" s="396"/>
      <c r="VOD6" s="396"/>
      <c r="VOE6" s="396"/>
      <c r="VOF6" s="396"/>
      <c r="VOG6" s="396"/>
      <c r="VOH6" s="396"/>
      <c r="VOI6" s="396"/>
      <c r="VOJ6" s="396"/>
      <c r="VOK6" s="396"/>
      <c r="VOL6" s="396"/>
      <c r="VOM6" s="396"/>
      <c r="VON6" s="396"/>
      <c r="VOO6" s="396"/>
      <c r="VOP6" s="396"/>
      <c r="VOQ6" s="396"/>
      <c r="VOR6" s="396"/>
      <c r="VOS6" s="396"/>
      <c r="VOT6" s="396"/>
      <c r="VOU6" s="396"/>
      <c r="VOV6" s="396"/>
      <c r="VOW6" s="396"/>
      <c r="VOX6" s="396"/>
      <c r="VOY6" s="396"/>
      <c r="VOZ6" s="396"/>
      <c r="VPA6" s="396"/>
      <c r="VPB6" s="396"/>
      <c r="VPC6" s="396"/>
      <c r="VPD6" s="396"/>
      <c r="VPE6" s="396"/>
      <c r="VPF6" s="396"/>
      <c r="VPG6" s="396"/>
      <c r="VPH6" s="396"/>
      <c r="VPI6" s="396"/>
      <c r="VPJ6" s="396"/>
      <c r="VPK6" s="396"/>
      <c r="VPL6" s="396"/>
      <c r="VPM6" s="396"/>
      <c r="VPN6" s="396"/>
      <c r="VPO6" s="396"/>
      <c r="VPP6" s="396"/>
      <c r="VPQ6" s="396"/>
      <c r="VPR6" s="396"/>
      <c r="VPS6" s="396"/>
      <c r="VPT6" s="396"/>
      <c r="VPU6" s="396"/>
      <c r="VPV6" s="396"/>
      <c r="VPW6" s="396"/>
      <c r="VPX6" s="396"/>
      <c r="VPY6" s="396"/>
      <c r="VPZ6" s="396"/>
      <c r="VQA6" s="396"/>
      <c r="VQB6" s="396"/>
      <c r="VQC6" s="396"/>
      <c r="VQD6" s="396"/>
      <c r="VQE6" s="396"/>
      <c r="VQF6" s="396"/>
      <c r="VQG6" s="396"/>
      <c r="VQH6" s="396"/>
      <c r="VQI6" s="396"/>
      <c r="VQJ6" s="396"/>
      <c r="VQK6" s="396"/>
      <c r="VQL6" s="396"/>
      <c r="VQM6" s="396"/>
      <c r="VQN6" s="396"/>
      <c r="VQO6" s="396"/>
      <c r="VQP6" s="396"/>
      <c r="VQQ6" s="396"/>
      <c r="VQR6" s="396"/>
      <c r="VQS6" s="396"/>
      <c r="VQT6" s="396"/>
      <c r="VQU6" s="396"/>
      <c r="VQV6" s="396"/>
      <c r="VQW6" s="396"/>
      <c r="VQX6" s="396"/>
      <c r="VQY6" s="396"/>
      <c r="VQZ6" s="396"/>
      <c r="VRA6" s="396"/>
      <c r="VRB6" s="396"/>
      <c r="VRC6" s="396"/>
      <c r="VRD6" s="396"/>
      <c r="VRE6" s="396"/>
      <c r="VRF6" s="396"/>
      <c r="VRG6" s="396"/>
      <c r="VRH6" s="396"/>
      <c r="VRI6" s="396"/>
      <c r="VRJ6" s="396"/>
      <c r="VRK6" s="396"/>
      <c r="VRL6" s="396"/>
      <c r="VRM6" s="396"/>
      <c r="VRN6" s="396"/>
      <c r="VRO6" s="396"/>
      <c r="VRP6" s="396"/>
      <c r="VRQ6" s="396"/>
      <c r="VRR6" s="396"/>
      <c r="VRS6" s="396"/>
      <c r="VRT6" s="396"/>
      <c r="VRU6" s="396"/>
      <c r="VRV6" s="396"/>
      <c r="VRW6" s="396"/>
      <c r="VRX6" s="396"/>
      <c r="VRY6" s="396"/>
      <c r="VRZ6" s="396"/>
      <c r="VSA6" s="396"/>
      <c r="VSB6" s="396"/>
      <c r="VSC6" s="396"/>
      <c r="VSD6" s="396"/>
      <c r="VSE6" s="396"/>
      <c r="VSF6" s="396"/>
      <c r="VSG6" s="396"/>
      <c r="VSH6" s="396"/>
      <c r="VSI6" s="396"/>
      <c r="VSJ6" s="396"/>
      <c r="VSK6" s="396"/>
      <c r="VSL6" s="396"/>
      <c r="VSM6" s="396"/>
      <c r="VSN6" s="396"/>
      <c r="VSO6" s="396"/>
      <c r="VSP6" s="396"/>
      <c r="VSQ6" s="396"/>
      <c r="VSR6" s="396"/>
      <c r="VSS6" s="396"/>
      <c r="VST6" s="396"/>
      <c r="VSU6" s="396"/>
      <c r="VSV6" s="396"/>
      <c r="VSW6" s="396"/>
      <c r="VSX6" s="396"/>
      <c r="VSY6" s="396"/>
      <c r="VSZ6" s="396"/>
      <c r="VTA6" s="396"/>
      <c r="VTB6" s="396"/>
      <c r="VTC6" s="396"/>
      <c r="VTD6" s="396"/>
      <c r="VTE6" s="396"/>
      <c r="VTF6" s="396"/>
      <c r="VTG6" s="396"/>
      <c r="VTH6" s="396"/>
      <c r="VTI6" s="396"/>
      <c r="VTJ6" s="396"/>
      <c r="VTK6" s="396"/>
      <c r="VTL6" s="396"/>
      <c r="VTM6" s="396"/>
      <c r="VTN6" s="396"/>
      <c r="VTO6" s="396"/>
      <c r="VTP6" s="396"/>
      <c r="VTQ6" s="396"/>
      <c r="VTR6" s="396"/>
      <c r="VTS6" s="396"/>
      <c r="VTT6" s="396"/>
      <c r="VTU6" s="396"/>
      <c r="VTV6" s="396"/>
      <c r="VTW6" s="396"/>
      <c r="VTX6" s="396"/>
      <c r="VTY6" s="396"/>
      <c r="VTZ6" s="396"/>
      <c r="VUA6" s="396"/>
      <c r="VUB6" s="396"/>
      <c r="VUC6" s="396"/>
      <c r="VUD6" s="396"/>
      <c r="VUE6" s="396"/>
      <c r="VUF6" s="396"/>
      <c r="VUG6" s="396"/>
      <c r="VUH6" s="396"/>
      <c r="VUI6" s="396"/>
      <c r="VUJ6" s="396"/>
      <c r="VUK6" s="396"/>
      <c r="VUL6" s="396"/>
      <c r="VUM6" s="396"/>
      <c r="VUN6" s="396"/>
      <c r="VUO6" s="396"/>
      <c r="VUP6" s="396"/>
      <c r="VUQ6" s="396"/>
      <c r="VUR6" s="396"/>
      <c r="VUS6" s="396"/>
      <c r="VUT6" s="396"/>
      <c r="VUU6" s="396"/>
      <c r="VUV6" s="396"/>
      <c r="VUW6" s="396"/>
      <c r="VUX6" s="396"/>
      <c r="VUY6" s="396"/>
      <c r="VUZ6" s="396"/>
      <c r="VVA6" s="396"/>
      <c r="VVB6" s="396"/>
      <c r="VVC6" s="396"/>
      <c r="VVD6" s="396"/>
      <c r="VVE6" s="396"/>
      <c r="VVF6" s="396"/>
      <c r="VVG6" s="396"/>
      <c r="VVH6" s="396"/>
      <c r="VVI6" s="396"/>
      <c r="VVJ6" s="396"/>
      <c r="VVK6" s="396"/>
      <c r="VVL6" s="396"/>
      <c r="VVM6" s="396"/>
      <c r="VVN6" s="396"/>
      <c r="VVO6" s="396"/>
      <c r="VVP6" s="396"/>
      <c r="VVQ6" s="396"/>
      <c r="VVR6" s="396"/>
      <c r="VVS6" s="396"/>
      <c r="VVT6" s="396"/>
      <c r="VVU6" s="396"/>
      <c r="VVV6" s="396"/>
      <c r="VVW6" s="396"/>
      <c r="VVX6" s="396"/>
      <c r="VVY6" s="396"/>
      <c r="VVZ6" s="396"/>
      <c r="VWA6" s="396"/>
      <c r="VWB6" s="396"/>
      <c r="VWC6" s="396"/>
      <c r="VWD6" s="396"/>
      <c r="VWE6" s="396"/>
      <c r="VWF6" s="396"/>
      <c r="VWG6" s="396"/>
      <c r="VWH6" s="396"/>
      <c r="VWI6" s="396"/>
      <c r="VWJ6" s="396"/>
      <c r="VWK6" s="396"/>
      <c r="VWL6" s="396"/>
      <c r="VWM6" s="396"/>
      <c r="VWN6" s="396"/>
      <c r="VWO6" s="396"/>
      <c r="VWP6" s="396"/>
      <c r="VWQ6" s="396"/>
      <c r="VWR6" s="396"/>
      <c r="VWS6" s="396"/>
      <c r="VWT6" s="396"/>
      <c r="VWU6" s="396"/>
      <c r="VWV6" s="396"/>
      <c r="VWW6" s="396"/>
      <c r="VWX6" s="396"/>
      <c r="VWY6" s="396"/>
      <c r="VWZ6" s="396"/>
      <c r="VXA6" s="396"/>
      <c r="VXB6" s="396"/>
      <c r="VXC6" s="396"/>
      <c r="VXD6" s="396"/>
      <c r="VXE6" s="396"/>
      <c r="VXF6" s="396"/>
      <c r="VXG6" s="396"/>
      <c r="VXH6" s="396"/>
      <c r="VXI6" s="396"/>
      <c r="VXJ6" s="396"/>
      <c r="VXK6" s="396"/>
      <c r="VXL6" s="396"/>
      <c r="VXM6" s="396"/>
      <c r="VXN6" s="396"/>
      <c r="VXO6" s="396"/>
      <c r="VXP6" s="396"/>
      <c r="VXQ6" s="396"/>
      <c r="VXR6" s="396"/>
      <c r="VXS6" s="396"/>
      <c r="VXT6" s="396"/>
      <c r="VXU6" s="396"/>
      <c r="VXV6" s="396"/>
      <c r="VXW6" s="396"/>
      <c r="VXX6" s="396"/>
      <c r="VXY6" s="396"/>
      <c r="VXZ6" s="396"/>
      <c r="VYA6" s="396"/>
      <c r="VYB6" s="396"/>
      <c r="VYC6" s="396"/>
      <c r="VYD6" s="396"/>
      <c r="VYE6" s="396"/>
      <c r="VYF6" s="396"/>
      <c r="VYG6" s="396"/>
      <c r="VYH6" s="396"/>
      <c r="VYI6" s="396"/>
      <c r="VYJ6" s="396"/>
      <c r="VYK6" s="396"/>
      <c r="VYL6" s="396"/>
      <c r="VYM6" s="396"/>
      <c r="VYN6" s="396"/>
      <c r="VYO6" s="396"/>
      <c r="VYP6" s="396"/>
      <c r="VYQ6" s="396"/>
      <c r="VYR6" s="396"/>
      <c r="VYS6" s="396"/>
      <c r="VYT6" s="396"/>
      <c r="VYU6" s="396"/>
      <c r="VYV6" s="396"/>
      <c r="VYW6" s="396"/>
      <c r="VYX6" s="396"/>
      <c r="VYY6" s="396"/>
      <c r="VYZ6" s="396"/>
      <c r="VZA6" s="396"/>
      <c r="VZB6" s="396"/>
      <c r="VZC6" s="396"/>
      <c r="VZD6" s="396"/>
      <c r="VZE6" s="396"/>
      <c r="VZF6" s="396"/>
      <c r="VZG6" s="396"/>
      <c r="VZH6" s="396"/>
      <c r="VZI6" s="396"/>
      <c r="VZJ6" s="396"/>
      <c r="VZK6" s="396"/>
      <c r="VZL6" s="396"/>
      <c r="VZM6" s="396"/>
      <c r="VZN6" s="396"/>
      <c r="VZO6" s="396"/>
      <c r="VZP6" s="396"/>
      <c r="VZQ6" s="396"/>
      <c r="VZR6" s="396"/>
      <c r="VZS6" s="396"/>
      <c r="VZT6" s="396"/>
      <c r="VZU6" s="396"/>
      <c r="VZV6" s="396"/>
      <c r="VZW6" s="396"/>
      <c r="VZX6" s="396"/>
      <c r="VZY6" s="396"/>
      <c r="VZZ6" s="396"/>
      <c r="WAA6" s="396"/>
      <c r="WAB6" s="396"/>
      <c r="WAC6" s="396"/>
      <c r="WAD6" s="396"/>
      <c r="WAE6" s="396"/>
      <c r="WAF6" s="396"/>
      <c r="WAG6" s="396"/>
      <c r="WAH6" s="396"/>
      <c r="WAI6" s="396"/>
      <c r="WAJ6" s="396"/>
      <c r="WAK6" s="396"/>
      <c r="WAL6" s="396"/>
      <c r="WAM6" s="396"/>
      <c r="WAN6" s="396"/>
      <c r="WAO6" s="396"/>
      <c r="WAP6" s="396"/>
      <c r="WAQ6" s="396"/>
      <c r="WAR6" s="396"/>
      <c r="WAS6" s="396"/>
      <c r="WAT6" s="396"/>
      <c r="WAU6" s="396"/>
      <c r="WAV6" s="396"/>
      <c r="WAW6" s="396"/>
      <c r="WAX6" s="396"/>
      <c r="WAY6" s="396"/>
      <c r="WAZ6" s="396"/>
      <c r="WBA6" s="396"/>
      <c r="WBB6" s="396"/>
      <c r="WBC6" s="396"/>
      <c r="WBD6" s="396"/>
      <c r="WBE6" s="396"/>
      <c r="WBF6" s="396"/>
      <c r="WBG6" s="396"/>
      <c r="WBH6" s="396"/>
      <c r="WBI6" s="396"/>
      <c r="WBJ6" s="396"/>
      <c r="WBK6" s="396"/>
      <c r="WBL6" s="396"/>
      <c r="WBM6" s="396"/>
      <c r="WBN6" s="396"/>
      <c r="WBO6" s="396"/>
      <c r="WBP6" s="396"/>
      <c r="WBQ6" s="396"/>
      <c r="WBR6" s="396"/>
      <c r="WBS6" s="396"/>
      <c r="WBT6" s="396"/>
      <c r="WBU6" s="396"/>
      <c r="WBV6" s="396"/>
      <c r="WBW6" s="396"/>
      <c r="WBX6" s="396"/>
      <c r="WBY6" s="396"/>
      <c r="WBZ6" s="396"/>
      <c r="WCA6" s="396"/>
      <c r="WCB6" s="396"/>
      <c r="WCC6" s="396"/>
      <c r="WCD6" s="396"/>
      <c r="WCE6" s="396"/>
      <c r="WCF6" s="396"/>
      <c r="WCG6" s="396"/>
      <c r="WCH6" s="396"/>
      <c r="WCI6" s="396"/>
      <c r="WCJ6" s="396"/>
      <c r="WCK6" s="396"/>
      <c r="WCL6" s="396"/>
      <c r="WCM6" s="396"/>
      <c r="WCN6" s="396"/>
      <c r="WCO6" s="396"/>
      <c r="WCP6" s="396"/>
      <c r="WCQ6" s="396"/>
      <c r="WCR6" s="396"/>
      <c r="WCS6" s="396"/>
      <c r="WCT6" s="396"/>
      <c r="WCU6" s="396"/>
      <c r="WCV6" s="396"/>
      <c r="WCW6" s="396"/>
      <c r="WCX6" s="396"/>
      <c r="WCY6" s="396"/>
      <c r="WCZ6" s="396"/>
      <c r="WDA6" s="396"/>
      <c r="WDB6" s="396"/>
      <c r="WDC6" s="396"/>
      <c r="WDD6" s="396"/>
      <c r="WDE6" s="396"/>
      <c r="WDF6" s="396"/>
      <c r="WDG6" s="396"/>
      <c r="WDH6" s="396"/>
      <c r="WDI6" s="396"/>
      <c r="WDJ6" s="396"/>
      <c r="WDK6" s="396"/>
      <c r="WDL6" s="396"/>
      <c r="WDM6" s="396"/>
      <c r="WDN6" s="396"/>
      <c r="WDO6" s="396"/>
      <c r="WDP6" s="396"/>
      <c r="WDQ6" s="396"/>
      <c r="WDR6" s="396"/>
      <c r="WDS6" s="396"/>
      <c r="WDT6" s="396"/>
      <c r="WDU6" s="396"/>
      <c r="WDV6" s="396"/>
      <c r="WDW6" s="396"/>
      <c r="WDX6" s="396"/>
      <c r="WDY6" s="396"/>
      <c r="WDZ6" s="396"/>
      <c r="WEA6" s="396"/>
      <c r="WEB6" s="396"/>
      <c r="WEC6" s="396"/>
      <c r="WED6" s="396"/>
      <c r="WEE6" s="396"/>
      <c r="WEF6" s="396"/>
      <c r="WEG6" s="396"/>
      <c r="WEH6" s="396"/>
      <c r="WEI6" s="396"/>
      <c r="WEJ6" s="396"/>
      <c r="WEK6" s="396"/>
      <c r="WEL6" s="396"/>
      <c r="WEM6" s="396"/>
      <c r="WEN6" s="396"/>
      <c r="WEO6" s="396"/>
      <c r="WEP6" s="396"/>
      <c r="WEQ6" s="396"/>
      <c r="WER6" s="396"/>
      <c r="WES6" s="396"/>
      <c r="WET6" s="396"/>
      <c r="WEU6" s="396"/>
      <c r="WEV6" s="396"/>
      <c r="WEW6" s="396"/>
      <c r="WEX6" s="396"/>
      <c r="WEY6" s="396"/>
      <c r="WEZ6" s="396"/>
      <c r="WFA6" s="396"/>
      <c r="WFB6" s="396"/>
      <c r="WFC6" s="396"/>
      <c r="WFD6" s="396"/>
      <c r="WFE6" s="396"/>
      <c r="WFF6" s="396"/>
      <c r="WFG6" s="396"/>
      <c r="WFH6" s="396"/>
      <c r="WFI6" s="396"/>
      <c r="WFJ6" s="396"/>
      <c r="WFK6" s="396"/>
      <c r="WFL6" s="396"/>
      <c r="WFM6" s="396"/>
      <c r="WFN6" s="396"/>
      <c r="WFO6" s="396"/>
      <c r="WFP6" s="396"/>
      <c r="WFQ6" s="396"/>
      <c r="WFR6" s="396"/>
      <c r="WFS6" s="396"/>
      <c r="WFT6" s="396"/>
      <c r="WFU6" s="396"/>
      <c r="WFV6" s="396"/>
      <c r="WFW6" s="396"/>
      <c r="WFX6" s="396"/>
      <c r="WFY6" s="396"/>
      <c r="WFZ6" s="396"/>
      <c r="WGA6" s="396"/>
      <c r="WGB6" s="396"/>
      <c r="WGC6" s="396"/>
      <c r="WGD6" s="396"/>
      <c r="WGE6" s="396"/>
      <c r="WGF6" s="396"/>
      <c r="WGG6" s="396"/>
      <c r="WGH6" s="396"/>
      <c r="WGI6" s="396"/>
      <c r="WGJ6" s="396"/>
      <c r="WGK6" s="396"/>
      <c r="WGL6" s="396"/>
      <c r="WGM6" s="396"/>
      <c r="WGN6" s="396"/>
      <c r="WGO6" s="396"/>
      <c r="WGP6" s="396"/>
      <c r="WGQ6" s="396"/>
      <c r="WGR6" s="396"/>
      <c r="WGS6" s="396"/>
      <c r="WGT6" s="396"/>
      <c r="WGU6" s="396"/>
      <c r="WGV6" s="396"/>
      <c r="WGW6" s="396"/>
      <c r="WGX6" s="396"/>
      <c r="WGY6" s="396"/>
      <c r="WGZ6" s="396"/>
      <c r="WHA6" s="396"/>
      <c r="WHB6" s="396"/>
      <c r="WHC6" s="396"/>
      <c r="WHD6" s="396"/>
      <c r="WHE6" s="396"/>
      <c r="WHF6" s="396"/>
      <c r="WHG6" s="396"/>
      <c r="WHH6" s="396"/>
      <c r="WHI6" s="396"/>
      <c r="WHJ6" s="396"/>
      <c r="WHK6" s="396"/>
      <c r="WHL6" s="396"/>
      <c r="WHM6" s="396"/>
      <c r="WHN6" s="396"/>
      <c r="WHO6" s="396"/>
      <c r="WHP6" s="396"/>
      <c r="WHQ6" s="396"/>
      <c r="WHR6" s="396"/>
      <c r="WHS6" s="396"/>
      <c r="WHT6" s="396"/>
      <c r="WHU6" s="396"/>
      <c r="WHV6" s="396"/>
      <c r="WHW6" s="396"/>
      <c r="WHX6" s="396"/>
      <c r="WHY6" s="396"/>
      <c r="WHZ6" s="396"/>
      <c r="WIA6" s="396"/>
      <c r="WIB6" s="396"/>
      <c r="WIC6" s="396"/>
      <c r="WID6" s="396"/>
      <c r="WIE6" s="396"/>
      <c r="WIF6" s="396"/>
      <c r="WIG6" s="396"/>
      <c r="WIH6" s="396"/>
      <c r="WII6" s="396"/>
      <c r="WIJ6" s="396"/>
      <c r="WIK6" s="396"/>
      <c r="WIL6" s="396"/>
      <c r="WIM6" s="396"/>
      <c r="WIN6" s="396"/>
      <c r="WIO6" s="396"/>
      <c r="WIP6" s="396"/>
      <c r="WIQ6" s="396"/>
      <c r="WIR6" s="396"/>
      <c r="WIS6" s="396"/>
      <c r="WIT6" s="396"/>
      <c r="WIU6" s="396"/>
      <c r="WIV6" s="396"/>
      <c r="WIW6" s="396"/>
      <c r="WIX6" s="396"/>
      <c r="WIY6" s="396"/>
      <c r="WIZ6" s="396"/>
      <c r="WJA6" s="396"/>
      <c r="WJB6" s="396"/>
      <c r="WJC6" s="396"/>
      <c r="WJD6" s="396"/>
      <c r="WJE6" s="396"/>
      <c r="WJF6" s="396"/>
      <c r="WJG6" s="396"/>
      <c r="WJH6" s="396"/>
      <c r="WJI6" s="396"/>
      <c r="WJJ6" s="396"/>
      <c r="WJK6" s="396"/>
      <c r="WJL6" s="396"/>
      <c r="WJM6" s="396"/>
      <c r="WJN6" s="396"/>
      <c r="WJO6" s="396"/>
      <c r="WJP6" s="396"/>
      <c r="WJQ6" s="396"/>
      <c r="WJR6" s="396"/>
      <c r="WJS6" s="396"/>
      <c r="WJT6" s="396"/>
      <c r="WJU6" s="396"/>
      <c r="WJV6" s="396"/>
      <c r="WJW6" s="396"/>
      <c r="WJX6" s="396"/>
      <c r="WJY6" s="396"/>
      <c r="WJZ6" s="396"/>
      <c r="WKA6" s="396"/>
      <c r="WKB6" s="396"/>
      <c r="WKC6" s="396"/>
      <c r="WKD6" s="396"/>
      <c r="WKE6" s="396"/>
      <c r="WKF6" s="396"/>
      <c r="WKG6" s="396"/>
      <c r="WKH6" s="396"/>
      <c r="WKI6" s="396"/>
      <c r="WKJ6" s="396"/>
      <c r="WKK6" s="396"/>
      <c r="WKL6" s="396"/>
      <c r="WKM6" s="396"/>
      <c r="WKN6" s="396"/>
      <c r="WKO6" s="396"/>
      <c r="WKP6" s="396"/>
      <c r="WKQ6" s="396"/>
      <c r="WKR6" s="396"/>
      <c r="WKS6" s="396"/>
      <c r="WKT6" s="396"/>
      <c r="WKU6" s="396"/>
      <c r="WKV6" s="396"/>
      <c r="WKW6" s="396"/>
      <c r="WKX6" s="396"/>
      <c r="WKY6" s="396"/>
      <c r="WKZ6" s="396"/>
      <c r="WLA6" s="396"/>
      <c r="WLB6" s="396"/>
      <c r="WLC6" s="396"/>
      <c r="WLD6" s="396"/>
      <c r="WLE6" s="396"/>
      <c r="WLF6" s="396"/>
      <c r="WLG6" s="396"/>
      <c r="WLH6" s="396"/>
      <c r="WLI6" s="396"/>
      <c r="WLJ6" s="396"/>
      <c r="WLK6" s="396"/>
      <c r="WLL6" s="396"/>
      <c r="WLM6" s="396"/>
      <c r="WLN6" s="396"/>
      <c r="WLO6" s="396"/>
      <c r="WLP6" s="396"/>
      <c r="WLQ6" s="396"/>
      <c r="WLR6" s="396"/>
      <c r="WLS6" s="396"/>
      <c r="WLT6" s="396"/>
      <c r="WLU6" s="396"/>
      <c r="WLV6" s="396"/>
      <c r="WLW6" s="396"/>
      <c r="WLX6" s="396"/>
      <c r="WLY6" s="396"/>
      <c r="WLZ6" s="396"/>
      <c r="WMA6" s="396"/>
      <c r="WMB6" s="396"/>
      <c r="WMC6" s="396"/>
      <c r="WMD6" s="396"/>
      <c r="WME6" s="396"/>
      <c r="WMF6" s="396"/>
      <c r="WMG6" s="396"/>
      <c r="WMH6" s="396"/>
      <c r="WMI6" s="396"/>
      <c r="WMJ6" s="396"/>
      <c r="WMK6" s="396"/>
      <c r="WML6" s="396"/>
      <c r="WMM6" s="396"/>
      <c r="WMN6" s="396"/>
      <c r="WMO6" s="396"/>
      <c r="WMP6" s="396"/>
      <c r="WMQ6" s="396"/>
      <c r="WMR6" s="396"/>
      <c r="WMS6" s="396"/>
      <c r="WMT6" s="396"/>
      <c r="WMU6" s="396"/>
      <c r="WMV6" s="396"/>
      <c r="WMW6" s="396"/>
      <c r="WMX6" s="396"/>
      <c r="WMY6" s="396"/>
      <c r="WMZ6" s="396"/>
      <c r="WNA6" s="396"/>
      <c r="WNB6" s="396"/>
      <c r="WNC6" s="396"/>
      <c r="WND6" s="396"/>
      <c r="WNE6" s="396"/>
      <c r="WNF6" s="396"/>
      <c r="WNG6" s="396"/>
      <c r="WNH6" s="396"/>
      <c r="WNI6" s="396"/>
      <c r="WNJ6" s="396"/>
      <c r="WNK6" s="396"/>
      <c r="WNL6" s="396"/>
      <c r="WNM6" s="396"/>
      <c r="WNN6" s="396"/>
      <c r="WNO6" s="396"/>
      <c r="WNP6" s="396"/>
      <c r="WNQ6" s="396"/>
      <c r="WNR6" s="396"/>
      <c r="WNS6" s="396"/>
      <c r="WNT6" s="396"/>
      <c r="WNU6" s="396"/>
      <c r="WNV6" s="396"/>
      <c r="WNW6" s="396"/>
      <c r="WNX6" s="396"/>
      <c r="WNY6" s="396"/>
      <c r="WNZ6" s="396"/>
      <c r="WOA6" s="396"/>
      <c r="WOB6" s="396"/>
      <c r="WOC6" s="396"/>
      <c r="WOD6" s="396"/>
      <c r="WOE6" s="396"/>
      <c r="WOF6" s="396"/>
      <c r="WOG6" s="396"/>
      <c r="WOH6" s="396"/>
      <c r="WOI6" s="396"/>
      <c r="WOJ6" s="396"/>
      <c r="WOK6" s="396"/>
      <c r="WOL6" s="396"/>
      <c r="WOM6" s="396"/>
      <c r="WON6" s="396"/>
      <c r="WOO6" s="396"/>
      <c r="WOP6" s="396"/>
      <c r="WOQ6" s="396"/>
      <c r="WOR6" s="396"/>
      <c r="WOS6" s="396"/>
      <c r="WOT6" s="396"/>
      <c r="WOU6" s="396"/>
      <c r="WOV6" s="396"/>
      <c r="WOW6" s="396"/>
      <c r="WOX6" s="396"/>
      <c r="WOY6" s="396"/>
      <c r="WOZ6" s="396"/>
      <c r="WPA6" s="396"/>
      <c r="WPB6" s="396"/>
      <c r="WPC6" s="396"/>
      <c r="WPD6" s="396"/>
      <c r="WPE6" s="396"/>
      <c r="WPF6" s="396"/>
      <c r="WPG6" s="396"/>
      <c r="WPH6" s="396"/>
      <c r="WPI6" s="396"/>
      <c r="WPJ6" s="396"/>
      <c r="WPK6" s="396"/>
      <c r="WPL6" s="396"/>
      <c r="WPM6" s="396"/>
      <c r="WPN6" s="396"/>
      <c r="WPO6" s="396"/>
      <c r="WPP6" s="396"/>
      <c r="WPQ6" s="396"/>
      <c r="WPR6" s="396"/>
      <c r="WPS6" s="396"/>
      <c r="WPT6" s="396"/>
      <c r="WPU6" s="396"/>
      <c r="WPV6" s="396"/>
      <c r="WPW6" s="396"/>
      <c r="WPX6" s="396"/>
      <c r="WPY6" s="396"/>
      <c r="WPZ6" s="396"/>
      <c r="WQA6" s="396"/>
      <c r="WQB6" s="396"/>
      <c r="WQC6" s="396"/>
      <c r="WQD6" s="396"/>
      <c r="WQE6" s="396"/>
      <c r="WQF6" s="396"/>
      <c r="WQG6" s="396"/>
      <c r="WQH6" s="396"/>
      <c r="WQI6" s="396"/>
      <c r="WQJ6" s="396"/>
      <c r="WQK6" s="396"/>
      <c r="WQL6" s="396"/>
      <c r="WQM6" s="396"/>
      <c r="WQN6" s="396"/>
      <c r="WQO6" s="396"/>
      <c r="WQP6" s="396"/>
      <c r="WQQ6" s="396"/>
      <c r="WQR6" s="396"/>
      <c r="WQS6" s="396"/>
      <c r="WQT6" s="396"/>
      <c r="WQU6" s="396"/>
      <c r="WQV6" s="396"/>
      <c r="WQW6" s="396"/>
      <c r="WQX6" s="396"/>
      <c r="WQY6" s="396"/>
      <c r="WQZ6" s="396"/>
      <c r="WRA6" s="396"/>
      <c r="WRB6" s="396"/>
      <c r="WRC6" s="396"/>
      <c r="WRD6" s="396"/>
      <c r="WRE6" s="396"/>
      <c r="WRF6" s="396"/>
      <c r="WRG6" s="396"/>
      <c r="WRH6" s="396"/>
      <c r="WRI6" s="396"/>
      <c r="WRJ6" s="396"/>
      <c r="WRK6" s="396"/>
      <c r="WRL6" s="396"/>
      <c r="WRM6" s="396"/>
      <c r="WRN6" s="396"/>
      <c r="WRO6" s="396"/>
      <c r="WRP6" s="396"/>
      <c r="WRQ6" s="396"/>
      <c r="WRR6" s="396"/>
      <c r="WRS6" s="396"/>
      <c r="WRT6" s="396"/>
      <c r="WRU6" s="396"/>
      <c r="WRV6" s="396"/>
      <c r="WRW6" s="396"/>
      <c r="WRX6" s="396"/>
      <c r="WRY6" s="396"/>
      <c r="WRZ6" s="396"/>
      <c r="WSA6" s="396"/>
      <c r="WSB6" s="396"/>
      <c r="WSC6" s="396"/>
      <c r="WSD6" s="396"/>
      <c r="WSE6" s="396"/>
      <c r="WSF6" s="396"/>
      <c r="WSG6" s="396"/>
      <c r="WSH6" s="396"/>
      <c r="WSI6" s="396"/>
      <c r="WSJ6" s="396"/>
      <c r="WSK6" s="396"/>
      <c r="WSL6" s="396"/>
      <c r="WSM6" s="396"/>
      <c r="WSN6" s="396"/>
      <c r="WSO6" s="396"/>
      <c r="WSP6" s="396"/>
      <c r="WSQ6" s="396"/>
      <c r="WSR6" s="396"/>
      <c r="WSS6" s="396"/>
      <c r="WST6" s="396"/>
      <c r="WSU6" s="396"/>
      <c r="WSV6" s="396"/>
      <c r="WSW6" s="396"/>
      <c r="WSX6" s="396"/>
      <c r="WSY6" s="396"/>
      <c r="WSZ6" s="396"/>
      <c r="WTA6" s="396"/>
      <c r="WTB6" s="396"/>
      <c r="WTC6" s="396"/>
      <c r="WTD6" s="396"/>
      <c r="WTE6" s="396"/>
      <c r="WTF6" s="396"/>
      <c r="WTG6" s="396"/>
      <c r="WTH6" s="396"/>
      <c r="WTI6" s="396"/>
      <c r="WTJ6" s="396"/>
      <c r="WTK6" s="396"/>
      <c r="WTL6" s="396"/>
      <c r="WTM6" s="396"/>
      <c r="WTN6" s="396"/>
      <c r="WTO6" s="396"/>
      <c r="WTP6" s="396"/>
      <c r="WTQ6" s="396"/>
      <c r="WTR6" s="396"/>
      <c r="WTS6" s="396"/>
      <c r="WTT6" s="396"/>
      <c r="WTU6" s="396"/>
      <c r="WTV6" s="396"/>
      <c r="WTW6" s="396"/>
      <c r="WTX6" s="396"/>
      <c r="WTY6" s="396"/>
      <c r="WTZ6" s="396"/>
      <c r="WUA6" s="396"/>
      <c r="WUB6" s="396"/>
      <c r="WUC6" s="396"/>
      <c r="WUD6" s="396"/>
      <c r="WUE6" s="396"/>
      <c r="WUF6" s="396"/>
      <c r="WUG6" s="396"/>
      <c r="WUH6" s="396"/>
      <c r="WUI6" s="396"/>
      <c r="WUJ6" s="396"/>
      <c r="WUK6" s="396"/>
      <c r="WUL6" s="396"/>
      <c r="WUM6" s="396"/>
      <c r="WUN6" s="396"/>
      <c r="WUO6" s="396"/>
      <c r="WUP6" s="396"/>
      <c r="WUQ6" s="396"/>
      <c r="WUR6" s="396"/>
      <c r="WUS6" s="396"/>
      <c r="WUT6" s="396"/>
      <c r="WUU6" s="396"/>
      <c r="WUV6" s="396"/>
      <c r="WUW6" s="396"/>
      <c r="WUX6" s="396"/>
      <c r="WUY6" s="396"/>
      <c r="WUZ6" s="396"/>
      <c r="WVA6" s="396"/>
      <c r="WVB6" s="396"/>
      <c r="WVC6" s="396"/>
      <c r="WVD6" s="396"/>
      <c r="WVE6" s="396"/>
      <c r="WVF6" s="396"/>
      <c r="WVG6" s="396"/>
      <c r="WVH6" s="396"/>
      <c r="WVI6" s="396"/>
      <c r="WVJ6" s="396"/>
      <c r="WVK6" s="396"/>
      <c r="WVL6" s="396"/>
      <c r="WVM6" s="396"/>
      <c r="WVN6" s="396"/>
      <c r="WVO6" s="396"/>
      <c r="WVP6" s="396"/>
      <c r="WVQ6" s="396"/>
      <c r="WVR6" s="396"/>
      <c r="WVS6" s="396"/>
      <c r="WVT6" s="396"/>
      <c r="WVU6" s="396"/>
      <c r="WVV6" s="396"/>
      <c r="WVW6" s="396"/>
      <c r="WVX6" s="396"/>
      <c r="WVY6" s="396"/>
      <c r="WVZ6" s="396"/>
      <c r="WWA6" s="396"/>
      <c r="WWB6" s="396"/>
      <c r="WWC6" s="396"/>
      <c r="WWD6" s="396"/>
      <c r="WWE6" s="396"/>
      <c r="WWF6" s="396"/>
      <c r="WWG6" s="396"/>
      <c r="WWH6" s="396"/>
      <c r="WWI6" s="396"/>
      <c r="WWJ6" s="396"/>
      <c r="WWK6" s="396"/>
      <c r="WWL6" s="396"/>
      <c r="WWM6" s="396"/>
      <c r="WWN6" s="396"/>
      <c r="WWO6" s="396"/>
      <c r="WWP6" s="396"/>
      <c r="WWQ6" s="396"/>
      <c r="WWR6" s="396"/>
      <c r="WWS6" s="396"/>
      <c r="WWT6" s="396"/>
      <c r="WWU6" s="396"/>
      <c r="WWV6" s="396"/>
      <c r="WWW6" s="396"/>
      <c r="WWX6" s="396"/>
      <c r="WWY6" s="396"/>
      <c r="WWZ6" s="396"/>
      <c r="WXA6" s="396"/>
      <c r="WXB6" s="396"/>
      <c r="WXC6" s="396"/>
      <c r="WXD6" s="396"/>
      <c r="WXE6" s="396"/>
      <c r="WXF6" s="396"/>
      <c r="WXG6" s="396"/>
      <c r="WXH6" s="396"/>
      <c r="WXI6" s="396"/>
      <c r="WXJ6" s="396"/>
      <c r="WXK6" s="396"/>
      <c r="WXL6" s="396"/>
      <c r="WXM6" s="396"/>
      <c r="WXN6" s="396"/>
      <c r="WXO6" s="396"/>
      <c r="WXP6" s="396"/>
      <c r="WXQ6" s="396"/>
      <c r="WXR6" s="396"/>
      <c r="WXS6" s="396"/>
      <c r="WXT6" s="396"/>
      <c r="WXU6" s="396"/>
      <c r="WXV6" s="396"/>
      <c r="WXW6" s="396"/>
      <c r="WXX6" s="396"/>
      <c r="WXY6" s="396"/>
      <c r="WXZ6" s="396"/>
      <c r="WYA6" s="396"/>
      <c r="WYB6" s="396"/>
      <c r="WYC6" s="396"/>
      <c r="WYD6" s="396"/>
      <c r="WYE6" s="396"/>
      <c r="WYF6" s="396"/>
      <c r="WYG6" s="396"/>
      <c r="WYH6" s="396"/>
      <c r="WYI6" s="396"/>
      <c r="WYJ6" s="396"/>
      <c r="WYK6" s="396"/>
      <c r="WYL6" s="396"/>
      <c r="WYM6" s="396"/>
      <c r="WYN6" s="396"/>
      <c r="WYO6" s="396"/>
      <c r="WYP6" s="396"/>
      <c r="WYQ6" s="396"/>
      <c r="WYR6" s="396"/>
      <c r="WYS6" s="396"/>
      <c r="WYT6" s="396"/>
      <c r="WYU6" s="396"/>
      <c r="WYV6" s="396"/>
      <c r="WYW6" s="396"/>
      <c r="WYX6" s="396"/>
      <c r="WYY6" s="396"/>
      <c r="WYZ6" s="396"/>
      <c r="WZA6" s="396"/>
      <c r="WZB6" s="396"/>
      <c r="WZC6" s="396"/>
      <c r="WZD6" s="396"/>
      <c r="WZE6" s="396"/>
      <c r="WZF6" s="396"/>
      <c r="WZG6" s="396"/>
      <c r="WZH6" s="396"/>
      <c r="WZI6" s="396"/>
      <c r="WZJ6" s="396"/>
      <c r="WZK6" s="396"/>
      <c r="WZL6" s="396"/>
      <c r="WZM6" s="396"/>
      <c r="WZN6" s="396"/>
      <c r="WZO6" s="396"/>
      <c r="WZP6" s="396"/>
      <c r="WZQ6" s="396"/>
      <c r="WZR6" s="396"/>
      <c r="WZS6" s="396"/>
      <c r="WZT6" s="396"/>
      <c r="WZU6" s="396"/>
      <c r="WZV6" s="396"/>
      <c r="WZW6" s="396"/>
      <c r="WZX6" s="396"/>
      <c r="WZY6" s="396"/>
      <c r="WZZ6" s="396"/>
      <c r="XAA6" s="396"/>
      <c r="XAB6" s="396"/>
      <c r="XAC6" s="396"/>
      <c r="XAD6" s="396"/>
      <c r="XAE6" s="396"/>
      <c r="XAF6" s="396"/>
      <c r="XAG6" s="396"/>
      <c r="XAH6" s="396"/>
      <c r="XAI6" s="396"/>
      <c r="XAJ6" s="396"/>
      <c r="XAK6" s="396"/>
      <c r="XAL6" s="396"/>
      <c r="XAM6" s="396"/>
      <c r="XAN6" s="396"/>
      <c r="XAO6" s="396"/>
      <c r="XAP6" s="396"/>
      <c r="XAQ6" s="396"/>
      <c r="XAR6" s="396"/>
      <c r="XAS6" s="396"/>
      <c r="XAT6" s="396"/>
      <c r="XAU6" s="396"/>
      <c r="XAV6" s="396"/>
      <c r="XAW6" s="396"/>
      <c r="XAX6" s="396"/>
      <c r="XAY6" s="396"/>
      <c r="XAZ6" s="396"/>
      <c r="XBA6" s="396"/>
      <c r="XBB6" s="396"/>
      <c r="XBC6" s="396"/>
      <c r="XBD6" s="396"/>
      <c r="XBE6" s="396"/>
      <c r="XBF6" s="396"/>
      <c r="XBG6" s="396"/>
      <c r="XBH6" s="396"/>
      <c r="XBI6" s="396"/>
      <c r="XBJ6" s="396"/>
      <c r="XBK6" s="396"/>
      <c r="XBL6" s="396"/>
      <c r="XBM6" s="396"/>
      <c r="XBN6" s="396"/>
      <c r="XBO6" s="396"/>
      <c r="XBP6" s="396"/>
      <c r="XBQ6" s="396"/>
      <c r="XBR6" s="396"/>
      <c r="XBS6" s="396"/>
      <c r="XBT6" s="396"/>
      <c r="XBU6" s="396"/>
      <c r="XBV6" s="396"/>
      <c r="XBW6" s="396"/>
      <c r="XBX6" s="396"/>
      <c r="XBY6" s="396"/>
      <c r="XBZ6" s="396"/>
      <c r="XCA6" s="396"/>
      <c r="XCB6" s="396"/>
      <c r="XCC6" s="396"/>
      <c r="XCD6" s="396"/>
      <c r="XCE6" s="396"/>
      <c r="XCF6" s="396"/>
      <c r="XCG6" s="396"/>
      <c r="XCH6" s="396"/>
      <c r="XCI6" s="396"/>
      <c r="XCJ6" s="396"/>
      <c r="XCK6" s="396"/>
      <c r="XCL6" s="396"/>
      <c r="XCM6" s="396"/>
      <c r="XCN6" s="396"/>
      <c r="XCO6" s="396"/>
      <c r="XCP6" s="396"/>
      <c r="XCQ6" s="396"/>
      <c r="XCR6" s="396"/>
      <c r="XCS6" s="396"/>
      <c r="XCT6" s="396"/>
      <c r="XCU6" s="396"/>
      <c r="XCV6" s="396"/>
      <c r="XCW6" s="396"/>
      <c r="XCX6" s="396"/>
      <c r="XCY6" s="396"/>
      <c r="XCZ6" s="396"/>
      <c r="XDA6" s="396"/>
      <c r="XDB6" s="396"/>
      <c r="XDC6" s="396"/>
      <c r="XDD6" s="396"/>
      <c r="XDE6" s="396"/>
      <c r="XDF6" s="396"/>
      <c r="XDG6" s="396"/>
      <c r="XDH6" s="396"/>
      <c r="XDI6" s="396"/>
      <c r="XDJ6" s="396"/>
      <c r="XDK6" s="396"/>
      <c r="XDL6" s="396"/>
      <c r="XDM6" s="396"/>
      <c r="XDN6" s="396"/>
      <c r="XDO6" s="396"/>
      <c r="XDP6" s="396"/>
      <c r="XDQ6" s="396"/>
      <c r="XDR6" s="396"/>
      <c r="XDS6" s="396"/>
      <c r="XDT6" s="396"/>
      <c r="XDU6" s="473"/>
      <c r="XDV6" s="473"/>
      <c r="XDW6" s="473"/>
      <c r="XDX6" s="473"/>
      <c r="XDY6" s="473"/>
      <c r="XDZ6" s="473"/>
      <c r="XEA6" s="473"/>
      <c r="XEB6" s="473"/>
      <c r="XEC6" s="473"/>
      <c r="XED6" s="473"/>
      <c r="XEE6" s="473"/>
      <c r="XEF6" s="473"/>
      <c r="XEG6" s="473"/>
      <c r="XEH6" s="473"/>
      <c r="XEI6" s="473"/>
      <c r="XEJ6" s="473"/>
    </row>
    <row r="7" s="395" customFormat="1" customHeight="1" spans="1:1024 1025:16364">
      <c r="A7" s="140" t="s">
        <v>232</v>
      </c>
      <c r="B7" s="413">
        <v>9.4</v>
      </c>
      <c r="C7" s="40">
        <v>1610</v>
      </c>
      <c r="D7" s="413">
        <v>9.4</v>
      </c>
      <c r="E7" s="40">
        <v>1610</v>
      </c>
      <c r="F7" s="40" t="s">
        <v>408</v>
      </c>
      <c r="G7" s="40" t="s">
        <v>401</v>
      </c>
      <c r="H7" s="413">
        <v>10.7</v>
      </c>
      <c r="I7" s="413">
        <v>1820</v>
      </c>
      <c r="J7" s="413">
        <v>10.7</v>
      </c>
      <c r="K7" s="413">
        <v>1820</v>
      </c>
      <c r="L7" s="413">
        <v>20.32</v>
      </c>
      <c r="M7" s="413" t="s">
        <v>409</v>
      </c>
      <c r="N7" s="140" t="s">
        <v>410</v>
      </c>
      <c r="O7" s="413">
        <v>8.4</v>
      </c>
      <c r="P7" s="40">
        <v>1410</v>
      </c>
      <c r="Q7" s="413">
        <v>8.7</v>
      </c>
      <c r="R7" s="40">
        <v>1470</v>
      </c>
      <c r="S7" s="40" t="s">
        <v>397</v>
      </c>
      <c r="T7" s="40" t="s">
        <v>411</v>
      </c>
      <c r="V7" s="28"/>
    </row>
    <row r="8" s="395" customFormat="1" customHeight="1" spans="1:1024 1025:16364">
      <c r="A8" s="140" t="s">
        <v>412</v>
      </c>
      <c r="B8" s="413">
        <v>9.2</v>
      </c>
      <c r="C8" s="40">
        <v>1570</v>
      </c>
      <c r="D8" s="413">
        <v>9.2</v>
      </c>
      <c r="E8" s="40">
        <v>1570</v>
      </c>
      <c r="F8" s="40" t="s">
        <v>408</v>
      </c>
      <c r="G8" s="40" t="s">
        <v>401</v>
      </c>
      <c r="H8" s="413">
        <v>10.7</v>
      </c>
      <c r="I8" s="413">
        <v>1820</v>
      </c>
      <c r="J8" s="413">
        <v>10.7</v>
      </c>
      <c r="K8" s="413">
        <v>1820</v>
      </c>
      <c r="L8" s="413">
        <v>20.32</v>
      </c>
      <c r="M8" s="413" t="s">
        <v>409</v>
      </c>
      <c r="N8" s="140" t="s">
        <v>413</v>
      </c>
      <c r="O8" s="413">
        <v>8.4</v>
      </c>
      <c r="P8" s="40">
        <v>1410</v>
      </c>
      <c r="Q8" s="413">
        <v>8.7</v>
      </c>
      <c r="R8" s="40">
        <v>1470</v>
      </c>
      <c r="S8" s="40" t="s">
        <v>397</v>
      </c>
      <c r="T8" s="40" t="s">
        <v>411</v>
      </c>
    </row>
    <row r="9" s="395" customFormat="1" customHeight="1" spans="1:1024 1025:16364">
      <c r="A9" s="140" t="s">
        <v>414</v>
      </c>
      <c r="B9" s="413">
        <v>9.2</v>
      </c>
      <c r="C9" s="40">
        <v>1570</v>
      </c>
      <c r="D9" s="413">
        <v>9.2</v>
      </c>
      <c r="E9" s="40">
        <v>1570</v>
      </c>
      <c r="F9" s="40" t="s">
        <v>408</v>
      </c>
      <c r="G9" s="40" t="s">
        <v>401</v>
      </c>
      <c r="H9" s="413">
        <v>10.7</v>
      </c>
      <c r="I9" s="413">
        <v>1820</v>
      </c>
      <c r="J9" s="413">
        <v>10.7</v>
      </c>
      <c r="K9" s="413">
        <v>1820</v>
      </c>
      <c r="L9" s="413">
        <v>20.32</v>
      </c>
      <c r="M9" s="413" t="s">
        <v>409</v>
      </c>
      <c r="N9" s="140" t="s">
        <v>415</v>
      </c>
      <c r="O9" s="413">
        <v>8.4</v>
      </c>
      <c r="P9" s="40">
        <v>1410</v>
      </c>
      <c r="Q9" s="413">
        <v>8.7</v>
      </c>
      <c r="R9" s="40">
        <v>1470</v>
      </c>
      <c r="S9" s="40" t="s">
        <v>397</v>
      </c>
      <c r="T9" s="40" t="s">
        <v>411</v>
      </c>
    </row>
    <row r="10" s="395" customFormat="1" customHeight="1" spans="1:1024 1025:16364">
      <c r="A10" s="140" t="s">
        <v>416</v>
      </c>
      <c r="B10" s="413">
        <v>9.2</v>
      </c>
      <c r="C10" s="40">
        <v>1570</v>
      </c>
      <c r="D10" s="413">
        <v>9.2</v>
      </c>
      <c r="E10" s="40">
        <v>1570</v>
      </c>
      <c r="F10" s="40" t="s">
        <v>408</v>
      </c>
      <c r="G10" s="40" t="s">
        <v>401</v>
      </c>
      <c r="H10" s="413">
        <v>10.7</v>
      </c>
      <c r="I10" s="413">
        <v>1820</v>
      </c>
      <c r="J10" s="413">
        <v>10.7</v>
      </c>
      <c r="K10" s="413">
        <v>1820</v>
      </c>
      <c r="L10" s="413">
        <v>20.32</v>
      </c>
      <c r="M10" s="413" t="s">
        <v>386</v>
      </c>
      <c r="N10" s="140" t="s">
        <v>417</v>
      </c>
      <c r="O10" s="413">
        <v>8.4</v>
      </c>
      <c r="P10" s="40">
        <v>1410</v>
      </c>
      <c r="Q10" s="413">
        <v>8.7</v>
      </c>
      <c r="R10" s="40">
        <v>1470</v>
      </c>
      <c r="S10" s="40" t="s">
        <v>397</v>
      </c>
      <c r="T10" s="40" t="s">
        <v>411</v>
      </c>
    </row>
    <row r="11" s="395" customFormat="1" customHeight="1" spans="1:1024 1025:16364">
      <c r="A11" s="140" t="s">
        <v>418</v>
      </c>
      <c r="B11" s="413">
        <v>9.3</v>
      </c>
      <c r="C11" s="40">
        <v>1590</v>
      </c>
      <c r="D11" s="413">
        <v>9.3</v>
      </c>
      <c r="E11" s="40">
        <v>1590</v>
      </c>
      <c r="F11" s="40" t="s">
        <v>408</v>
      </c>
      <c r="G11" s="40" t="s">
        <v>401</v>
      </c>
      <c r="H11" s="413">
        <v>11</v>
      </c>
      <c r="I11" s="413">
        <v>1840</v>
      </c>
      <c r="J11" s="413">
        <v>11</v>
      </c>
      <c r="K11" s="413">
        <v>1840</v>
      </c>
      <c r="L11" s="413">
        <v>20.32</v>
      </c>
      <c r="M11" s="413" t="s">
        <v>386</v>
      </c>
      <c r="N11" s="140" t="s">
        <v>419</v>
      </c>
      <c r="O11" s="413">
        <v>8.4</v>
      </c>
      <c r="P11" s="40">
        <v>1410</v>
      </c>
      <c r="Q11" s="413">
        <v>8.7</v>
      </c>
      <c r="R11" s="40">
        <v>1470</v>
      </c>
      <c r="S11" s="40" t="s">
        <v>397</v>
      </c>
      <c r="T11" s="40" t="s">
        <v>398</v>
      </c>
    </row>
    <row r="12" s="395" customFormat="1" customHeight="1" spans="1:1024 1025:16364">
      <c r="A12" s="140" t="s">
        <v>351</v>
      </c>
      <c r="B12" s="413">
        <v>9.3</v>
      </c>
      <c r="C12" s="40">
        <v>1590</v>
      </c>
      <c r="D12" s="413">
        <v>9.3</v>
      </c>
      <c r="E12" s="40">
        <v>1590</v>
      </c>
      <c r="F12" s="40" t="s">
        <v>408</v>
      </c>
      <c r="G12" s="40" t="s">
        <v>401</v>
      </c>
      <c r="H12" s="413">
        <v>11</v>
      </c>
      <c r="I12" s="413">
        <v>1840</v>
      </c>
      <c r="J12" s="413">
        <v>11</v>
      </c>
      <c r="K12" s="413">
        <v>1840</v>
      </c>
      <c r="L12" s="413">
        <v>20.32</v>
      </c>
      <c r="M12" s="413" t="s">
        <v>386</v>
      </c>
      <c r="N12" s="140" t="s">
        <v>344</v>
      </c>
      <c r="O12" s="413">
        <v>8.5</v>
      </c>
      <c r="P12" s="40">
        <v>1410</v>
      </c>
      <c r="Q12" s="413">
        <v>8.8</v>
      </c>
      <c r="R12" s="40">
        <v>1470</v>
      </c>
      <c r="S12" s="40" t="s">
        <v>397</v>
      </c>
      <c r="T12" s="40" t="s">
        <v>398</v>
      </c>
    </row>
    <row r="13" s="395" customFormat="1" customHeight="1" spans="1:1024 1025:16364">
      <c r="A13" s="140" t="s">
        <v>420</v>
      </c>
      <c r="B13" s="413">
        <v>9.9</v>
      </c>
      <c r="C13" s="40">
        <v>1640</v>
      </c>
      <c r="D13" s="413">
        <v>9.9</v>
      </c>
      <c r="E13" s="40">
        <v>1640</v>
      </c>
      <c r="F13" s="40" t="s">
        <v>408</v>
      </c>
      <c r="G13" s="40" t="s">
        <v>421</v>
      </c>
      <c r="H13" s="413">
        <v>11.6</v>
      </c>
      <c r="I13" s="413">
        <v>1960</v>
      </c>
      <c r="J13" s="413">
        <v>11.6</v>
      </c>
      <c r="K13" s="413">
        <v>1960</v>
      </c>
      <c r="L13" s="413">
        <v>20.32</v>
      </c>
      <c r="M13" s="413" t="s">
        <v>386</v>
      </c>
      <c r="N13" s="140" t="s">
        <v>343</v>
      </c>
      <c r="O13" s="413">
        <v>8.9</v>
      </c>
      <c r="P13" s="40">
        <v>1520</v>
      </c>
      <c r="Q13" s="413">
        <v>9.2</v>
      </c>
      <c r="R13" s="40">
        <v>1580</v>
      </c>
      <c r="S13" s="40" t="s">
        <v>397</v>
      </c>
      <c r="T13" s="40" t="s">
        <v>398</v>
      </c>
    </row>
    <row r="14" s="395" customFormat="1" customHeight="1" spans="1:1024 1025:16364">
      <c r="A14" s="140" t="s">
        <v>422</v>
      </c>
      <c r="B14" s="413">
        <v>9.9</v>
      </c>
      <c r="C14" s="40">
        <v>1640</v>
      </c>
      <c r="D14" s="413">
        <v>9.9</v>
      </c>
      <c r="E14" s="40">
        <v>1640</v>
      </c>
      <c r="F14" s="40" t="s">
        <v>408</v>
      </c>
      <c r="G14" s="40" t="s">
        <v>421</v>
      </c>
      <c r="H14" s="413">
        <v>11.6</v>
      </c>
      <c r="I14" s="413">
        <v>1960</v>
      </c>
      <c r="J14" s="413">
        <v>11.6</v>
      </c>
      <c r="K14" s="413">
        <v>1960</v>
      </c>
      <c r="L14" s="413">
        <v>20.32</v>
      </c>
      <c r="M14" s="413" t="s">
        <v>386</v>
      </c>
      <c r="N14" s="140" t="s">
        <v>423</v>
      </c>
      <c r="O14" s="413">
        <v>9</v>
      </c>
      <c r="P14" s="40">
        <v>1520</v>
      </c>
      <c r="Q14" s="413">
        <v>9.3</v>
      </c>
      <c r="R14" s="40">
        <v>1580</v>
      </c>
      <c r="S14" s="40" t="s">
        <v>397</v>
      </c>
      <c r="T14" s="40" t="s">
        <v>411</v>
      </c>
    </row>
    <row r="15" s="395" customFormat="1" customHeight="1" spans="1:1024 1025:16364">
      <c r="A15" s="140" t="s">
        <v>424</v>
      </c>
      <c r="B15" s="413">
        <v>9.9</v>
      </c>
      <c r="C15" s="40">
        <v>1640</v>
      </c>
      <c r="D15" s="413">
        <v>9.9</v>
      </c>
      <c r="E15" s="40">
        <v>1640</v>
      </c>
      <c r="F15" s="40" t="s">
        <v>408</v>
      </c>
      <c r="G15" s="40" t="s">
        <v>421</v>
      </c>
      <c r="H15" s="413">
        <v>11.6</v>
      </c>
      <c r="I15" s="413">
        <v>1960</v>
      </c>
      <c r="J15" s="413">
        <v>11.6</v>
      </c>
      <c r="K15" s="413">
        <v>1960</v>
      </c>
      <c r="L15" s="413">
        <v>20.32</v>
      </c>
      <c r="M15" s="413" t="s">
        <v>386</v>
      </c>
      <c r="N15" s="140" t="s">
        <v>425</v>
      </c>
      <c r="O15" s="413">
        <v>9</v>
      </c>
      <c r="P15" s="40">
        <v>1520</v>
      </c>
      <c r="Q15" s="413">
        <v>9.3</v>
      </c>
      <c r="R15" s="40">
        <v>1580</v>
      </c>
      <c r="S15" s="40" t="s">
        <v>397</v>
      </c>
      <c r="T15" s="40" t="s">
        <v>398</v>
      </c>
    </row>
    <row r="16" s="395" customFormat="1" customHeight="1" spans="1:1024 1025:16364">
      <c r="A16" s="140" t="s">
        <v>347</v>
      </c>
      <c r="B16" s="413">
        <v>9.9</v>
      </c>
      <c r="C16" s="40">
        <v>1640</v>
      </c>
      <c r="D16" s="413">
        <v>9.9</v>
      </c>
      <c r="E16" s="40">
        <v>1640</v>
      </c>
      <c r="F16" s="40" t="s">
        <v>408</v>
      </c>
      <c r="G16" s="40" t="s">
        <v>421</v>
      </c>
      <c r="H16" s="413">
        <v>11.6</v>
      </c>
      <c r="I16" s="413">
        <v>1960</v>
      </c>
      <c r="J16" s="413">
        <v>11.6</v>
      </c>
      <c r="K16" s="413">
        <v>1960</v>
      </c>
      <c r="L16" s="413">
        <v>20.32</v>
      </c>
      <c r="M16" s="413" t="s">
        <v>386</v>
      </c>
      <c r="N16" s="140" t="s">
        <v>426</v>
      </c>
      <c r="O16" s="413">
        <v>9</v>
      </c>
      <c r="P16" s="40">
        <v>1520</v>
      </c>
      <c r="Q16" s="413">
        <v>9.3</v>
      </c>
      <c r="R16" s="40">
        <v>1580</v>
      </c>
      <c r="S16" s="40" t="s">
        <v>397</v>
      </c>
      <c r="T16" s="40" t="s">
        <v>398</v>
      </c>
    </row>
    <row r="17" s="395" customFormat="1" customHeight="1" spans="1:20 16349:16364">
      <c r="A17" s="140" t="s">
        <v>349</v>
      </c>
      <c r="B17" s="413">
        <v>9.9</v>
      </c>
      <c r="C17" s="40">
        <v>1640</v>
      </c>
      <c r="D17" s="413">
        <v>9.9</v>
      </c>
      <c r="E17" s="40">
        <v>1640</v>
      </c>
      <c r="F17" s="40" t="s">
        <v>408</v>
      </c>
      <c r="G17" s="40" t="s">
        <v>421</v>
      </c>
      <c r="H17" s="413">
        <v>11.6</v>
      </c>
      <c r="I17" s="413">
        <v>1960</v>
      </c>
      <c r="J17" s="413">
        <v>11.6</v>
      </c>
      <c r="K17" s="413">
        <v>1960</v>
      </c>
      <c r="L17" s="413">
        <v>20.32</v>
      </c>
      <c r="M17" s="413" t="s">
        <v>386</v>
      </c>
      <c r="N17" s="140" t="s">
        <v>427</v>
      </c>
      <c r="O17" s="413">
        <v>9.1</v>
      </c>
      <c r="P17" s="40">
        <v>1520</v>
      </c>
      <c r="Q17" s="413">
        <v>9.4</v>
      </c>
      <c r="R17" s="40">
        <v>1580</v>
      </c>
      <c r="S17" s="40" t="s">
        <v>397</v>
      </c>
      <c r="T17" s="40" t="s">
        <v>411</v>
      </c>
    </row>
    <row r="18" s="395" customFormat="1" customHeight="1" spans="1:20 16349:16364">
      <c r="A18" s="140" t="s">
        <v>348</v>
      </c>
      <c r="B18" s="413">
        <v>9.9</v>
      </c>
      <c r="C18" s="40">
        <v>1640</v>
      </c>
      <c r="D18" s="413">
        <v>9.9</v>
      </c>
      <c r="E18" s="40">
        <v>1640</v>
      </c>
      <c r="F18" s="40" t="s">
        <v>408</v>
      </c>
      <c r="G18" s="40" t="s">
        <v>421</v>
      </c>
      <c r="H18" s="413">
        <v>11.6</v>
      </c>
      <c r="I18" s="413">
        <v>1960</v>
      </c>
      <c r="J18" s="413">
        <v>11.6</v>
      </c>
      <c r="K18" s="413">
        <v>1960</v>
      </c>
      <c r="L18" s="413">
        <v>20.32</v>
      </c>
      <c r="M18" s="413" t="s">
        <v>386</v>
      </c>
      <c r="N18" s="140" t="s">
        <v>428</v>
      </c>
      <c r="O18" s="413">
        <v>9.1</v>
      </c>
      <c r="P18" s="40">
        <v>1520</v>
      </c>
      <c r="Q18" s="413">
        <v>9.4</v>
      </c>
      <c r="R18" s="40">
        <v>1580</v>
      </c>
      <c r="S18" s="40" t="s">
        <v>397</v>
      </c>
      <c r="T18" s="40" t="s">
        <v>411</v>
      </c>
    </row>
    <row r="19" s="395" customFormat="1" customHeight="1" spans="1:20 16349:16364">
      <c r="A19" s="140" t="s">
        <v>429</v>
      </c>
      <c r="B19" s="413">
        <v>9.5</v>
      </c>
      <c r="C19" s="40">
        <v>1610</v>
      </c>
      <c r="D19" s="413">
        <v>9.5</v>
      </c>
      <c r="E19" s="40">
        <v>1610</v>
      </c>
      <c r="F19" s="40" t="s">
        <v>408</v>
      </c>
      <c r="G19" s="40" t="s">
        <v>421</v>
      </c>
      <c r="H19" s="413">
        <v>11.6</v>
      </c>
      <c r="I19" s="413">
        <v>1960</v>
      </c>
      <c r="J19" s="413">
        <v>11.6</v>
      </c>
      <c r="K19" s="413">
        <v>1960</v>
      </c>
      <c r="L19" s="413">
        <v>20.32</v>
      </c>
      <c r="M19" s="413" t="s">
        <v>386</v>
      </c>
      <c r="N19" s="140" t="s">
        <v>430</v>
      </c>
      <c r="O19" s="413">
        <v>9</v>
      </c>
      <c r="P19" s="40">
        <v>1520</v>
      </c>
      <c r="Q19" s="413">
        <v>9.3</v>
      </c>
      <c r="R19" s="40">
        <v>1580</v>
      </c>
      <c r="S19" s="40" t="s">
        <v>397</v>
      </c>
      <c r="T19" s="40" t="s">
        <v>411</v>
      </c>
    </row>
    <row r="20" s="395" customFormat="1" customHeight="1" spans="1:20 16349:16364">
      <c r="A20" s="140" t="s">
        <v>431</v>
      </c>
      <c r="B20" s="413">
        <v>10.2</v>
      </c>
      <c r="C20" s="40">
        <v>1710</v>
      </c>
      <c r="D20" s="413">
        <v>10.2</v>
      </c>
      <c r="E20" s="40">
        <v>1710</v>
      </c>
      <c r="F20" s="40" t="s">
        <v>408</v>
      </c>
      <c r="G20" s="40" t="s">
        <v>421</v>
      </c>
      <c r="H20" s="413">
        <v>12.1</v>
      </c>
      <c r="I20" s="413">
        <v>2070</v>
      </c>
      <c r="J20" s="413">
        <v>12.1</v>
      </c>
      <c r="K20" s="413">
        <v>2070</v>
      </c>
      <c r="L20" s="413">
        <v>20.32</v>
      </c>
      <c r="M20" s="413" t="s">
        <v>386</v>
      </c>
      <c r="N20" s="140" t="s">
        <v>432</v>
      </c>
      <c r="O20" s="413">
        <v>9.1</v>
      </c>
      <c r="P20" s="40">
        <v>1520</v>
      </c>
      <c r="Q20" s="413">
        <v>9.4</v>
      </c>
      <c r="R20" s="40">
        <v>1580</v>
      </c>
      <c r="S20" s="40" t="s">
        <v>397</v>
      </c>
      <c r="T20" s="40" t="s">
        <v>411</v>
      </c>
    </row>
    <row r="21" s="395" customFormat="1" customHeight="1" spans="1:20 16349:16364">
      <c r="A21" s="140" t="s">
        <v>433</v>
      </c>
      <c r="B21" s="413">
        <v>10.2</v>
      </c>
      <c r="C21" s="40">
        <v>1710</v>
      </c>
      <c r="D21" s="413">
        <v>10.2</v>
      </c>
      <c r="E21" s="40">
        <v>1710</v>
      </c>
      <c r="F21" s="40" t="s">
        <v>408</v>
      </c>
      <c r="G21" s="40" t="s">
        <v>421</v>
      </c>
      <c r="H21" s="413">
        <v>12.1</v>
      </c>
      <c r="I21" s="413">
        <v>2070</v>
      </c>
      <c r="J21" s="413">
        <v>12.1</v>
      </c>
      <c r="K21" s="413">
        <v>2070</v>
      </c>
      <c r="L21" s="413">
        <v>20.32</v>
      </c>
      <c r="M21" s="413" t="s">
        <v>386</v>
      </c>
      <c r="N21" s="140" t="s">
        <v>434</v>
      </c>
      <c r="O21" s="413">
        <v>9.1</v>
      </c>
      <c r="P21" s="40">
        <v>1520</v>
      </c>
      <c r="Q21" s="413">
        <v>9.4</v>
      </c>
      <c r="R21" s="40">
        <v>1580</v>
      </c>
      <c r="S21" s="40" t="s">
        <v>397</v>
      </c>
      <c r="T21" s="40" t="s">
        <v>398</v>
      </c>
    </row>
    <row r="22" s="395" customFormat="1" customHeight="1" spans="1:20 16349:16364">
      <c r="A22" s="140" t="s">
        <v>435</v>
      </c>
      <c r="B22" s="413">
        <v>10.2</v>
      </c>
      <c r="C22" s="40">
        <v>1710</v>
      </c>
      <c r="D22" s="413">
        <v>10.2</v>
      </c>
      <c r="E22" s="40">
        <v>1710</v>
      </c>
      <c r="F22" s="40" t="s">
        <v>408</v>
      </c>
      <c r="G22" s="40" t="s">
        <v>421</v>
      </c>
      <c r="H22" s="413">
        <v>12.1</v>
      </c>
      <c r="I22" s="413">
        <v>2070</v>
      </c>
      <c r="J22" s="413">
        <v>12.1</v>
      </c>
      <c r="K22" s="413">
        <v>2070</v>
      </c>
      <c r="L22" s="413">
        <v>20.32</v>
      </c>
      <c r="M22" s="413" t="s">
        <v>386</v>
      </c>
      <c r="N22" s="140" t="s">
        <v>436</v>
      </c>
      <c r="O22" s="413">
        <v>9.1</v>
      </c>
      <c r="P22" s="40">
        <v>1520</v>
      </c>
      <c r="Q22" s="413">
        <v>9.4</v>
      </c>
      <c r="R22" s="40">
        <v>1580</v>
      </c>
      <c r="S22" s="40" t="s">
        <v>397</v>
      </c>
      <c r="T22" s="40" t="s">
        <v>411</v>
      </c>
    </row>
    <row r="23" s="395" customFormat="1" customHeight="1" spans="1:20 16349:16364">
      <c r="A23" s="140" t="s">
        <v>437</v>
      </c>
      <c r="B23" s="413">
        <v>10.2</v>
      </c>
      <c r="C23" s="40">
        <v>1710</v>
      </c>
      <c r="D23" s="413">
        <v>10.2</v>
      </c>
      <c r="E23" s="40">
        <v>1710</v>
      </c>
      <c r="F23" s="40" t="s">
        <v>408</v>
      </c>
      <c r="G23" s="40" t="s">
        <v>421</v>
      </c>
      <c r="H23" s="413">
        <v>12.1</v>
      </c>
      <c r="I23" s="413">
        <v>2070</v>
      </c>
      <c r="J23" s="413">
        <v>12.1</v>
      </c>
      <c r="K23" s="413">
        <v>2070</v>
      </c>
      <c r="L23" s="413">
        <v>20.32</v>
      </c>
      <c r="M23" s="413" t="s">
        <v>386</v>
      </c>
      <c r="N23" s="140" t="s">
        <v>438</v>
      </c>
      <c r="O23" s="413">
        <v>9.1</v>
      </c>
      <c r="P23" s="40">
        <v>1520</v>
      </c>
      <c r="Q23" s="413">
        <v>9.4</v>
      </c>
      <c r="R23" s="40">
        <v>1580</v>
      </c>
      <c r="S23" s="40" t="s">
        <v>397</v>
      </c>
      <c r="T23" s="40" t="s">
        <v>439</v>
      </c>
    </row>
    <row r="24" s="395" customFormat="1" customHeight="1" spans="1:20 16349:16364">
      <c r="A24" s="140" t="s">
        <v>440</v>
      </c>
      <c r="B24" s="413">
        <v>10.2</v>
      </c>
      <c r="C24" s="40">
        <v>1710</v>
      </c>
      <c r="D24" s="413">
        <v>10.2</v>
      </c>
      <c r="E24" s="40">
        <v>1710</v>
      </c>
      <c r="F24" s="40" t="s">
        <v>408</v>
      </c>
      <c r="G24" s="40" t="s">
        <v>421</v>
      </c>
      <c r="H24" s="413">
        <v>12.1</v>
      </c>
      <c r="I24" s="413">
        <v>2070</v>
      </c>
      <c r="J24" s="413">
        <v>12.1</v>
      </c>
      <c r="K24" s="413">
        <v>2070</v>
      </c>
      <c r="L24" s="413">
        <v>20.32</v>
      </c>
      <c r="M24" s="413" t="s">
        <v>386</v>
      </c>
      <c r="N24" s="140" t="s">
        <v>441</v>
      </c>
      <c r="O24" s="413">
        <v>9.1</v>
      </c>
      <c r="P24" s="40">
        <v>1520</v>
      </c>
      <c r="Q24" s="413">
        <v>9.4</v>
      </c>
      <c r="R24" s="40">
        <v>1580</v>
      </c>
      <c r="S24" s="40" t="s">
        <v>397</v>
      </c>
      <c r="T24" s="40" t="s">
        <v>439</v>
      </c>
    </row>
    <row r="25" s="395" customFormat="1" customHeight="1" spans="1:20 16349:16364">
      <c r="A25" s="140" t="s">
        <v>442</v>
      </c>
      <c r="B25" s="413">
        <v>10.5</v>
      </c>
      <c r="C25" s="40">
        <v>1790</v>
      </c>
      <c r="D25" s="413">
        <v>10.5</v>
      </c>
      <c r="E25" s="40">
        <v>1790</v>
      </c>
      <c r="F25" s="40" t="s">
        <v>408</v>
      </c>
      <c r="G25" s="40" t="s">
        <v>421</v>
      </c>
      <c r="H25" s="413">
        <v>12.7</v>
      </c>
      <c r="I25" s="413">
        <v>2200</v>
      </c>
      <c r="J25" s="413">
        <v>12.7</v>
      </c>
      <c r="K25" s="413">
        <v>2200</v>
      </c>
      <c r="L25" s="413">
        <v>20.32</v>
      </c>
      <c r="M25" s="413" t="s">
        <v>386</v>
      </c>
      <c r="N25" s="140" t="s">
        <v>443</v>
      </c>
      <c r="O25" s="413">
        <v>9.1</v>
      </c>
      <c r="P25" s="40">
        <v>1520</v>
      </c>
      <c r="Q25" s="413">
        <v>9.4</v>
      </c>
      <c r="R25" s="40">
        <v>1580</v>
      </c>
      <c r="S25" s="40" t="s">
        <v>397</v>
      </c>
      <c r="T25" s="40" t="s">
        <v>439</v>
      </c>
    </row>
    <row r="26" s="395" customFormat="1" customHeight="1" spans="1:20 16349:16364">
      <c r="A26" s="140" t="s">
        <v>444</v>
      </c>
      <c r="B26" s="413">
        <v>10.5</v>
      </c>
      <c r="C26" s="40">
        <v>1790</v>
      </c>
      <c r="D26" s="413">
        <v>10.5</v>
      </c>
      <c r="E26" s="40">
        <v>1790</v>
      </c>
      <c r="F26" s="40" t="s">
        <v>408</v>
      </c>
      <c r="G26" s="40" t="s">
        <v>421</v>
      </c>
      <c r="H26" s="413">
        <v>12.7</v>
      </c>
      <c r="I26" s="413">
        <v>2200</v>
      </c>
      <c r="J26" s="413">
        <v>12.7</v>
      </c>
      <c r="K26" s="413">
        <v>2200</v>
      </c>
      <c r="L26" s="413">
        <v>20.32</v>
      </c>
      <c r="M26" s="413" t="s">
        <v>386</v>
      </c>
      <c r="N26" s="140" t="s">
        <v>445</v>
      </c>
      <c r="O26" s="413">
        <v>9.6</v>
      </c>
      <c r="P26" s="40">
        <v>1610</v>
      </c>
      <c r="Q26" s="413">
        <v>9.9</v>
      </c>
      <c r="R26" s="40">
        <v>1670</v>
      </c>
      <c r="S26" s="40" t="s">
        <v>397</v>
      </c>
      <c r="T26" s="40" t="s">
        <v>411</v>
      </c>
    </row>
    <row r="27" s="395" customFormat="1" customHeight="1" spans="1:20 16349:16364">
      <c r="A27" s="140" t="s">
        <v>446</v>
      </c>
      <c r="B27" s="413">
        <v>11.98</v>
      </c>
      <c r="C27" s="40">
        <v>2090</v>
      </c>
      <c r="D27" s="413">
        <v>11.98</v>
      </c>
      <c r="E27" s="40">
        <v>2090</v>
      </c>
      <c r="F27" s="40" t="s">
        <v>408</v>
      </c>
      <c r="G27" s="40" t="s">
        <v>421</v>
      </c>
      <c r="H27" s="181" t="s">
        <v>253</v>
      </c>
      <c r="I27" s="40" t="s">
        <v>253</v>
      </c>
      <c r="J27" s="40" t="s">
        <v>253</v>
      </c>
      <c r="K27" s="40" t="s">
        <v>253</v>
      </c>
      <c r="L27" s="40" t="s">
        <v>253</v>
      </c>
      <c r="M27" s="40" t="s">
        <v>253</v>
      </c>
      <c r="N27" s="140" t="s">
        <v>447</v>
      </c>
      <c r="O27" s="413">
        <v>9.7</v>
      </c>
      <c r="P27" s="40">
        <v>1610</v>
      </c>
      <c r="Q27" s="413">
        <v>10</v>
      </c>
      <c r="R27" s="40">
        <v>1670</v>
      </c>
      <c r="S27" s="40" t="s">
        <v>397</v>
      </c>
      <c r="T27" s="40" t="s">
        <v>398</v>
      </c>
    </row>
    <row r="28" s="395" customFormat="1" customHeight="1" spans="1:20 16349:16364">
      <c r="A28" s="474" t="s">
        <v>148</v>
      </c>
      <c r="B28" s="181" t="s">
        <v>148</v>
      </c>
      <c r="C28" s="40" t="s">
        <v>148</v>
      </c>
      <c r="D28" s="40" t="s">
        <v>148</v>
      </c>
      <c r="E28" s="40" t="s">
        <v>148</v>
      </c>
      <c r="F28" s="40" t="s">
        <v>148</v>
      </c>
      <c r="G28" s="40" t="s">
        <v>148</v>
      </c>
      <c r="H28" s="181" t="s">
        <v>148</v>
      </c>
      <c r="I28" s="40" t="s">
        <v>148</v>
      </c>
      <c r="J28" s="40" t="s">
        <v>148</v>
      </c>
      <c r="K28" s="40" t="s">
        <v>148</v>
      </c>
      <c r="L28" s="40" t="s">
        <v>148</v>
      </c>
      <c r="M28" s="40" t="s">
        <v>148</v>
      </c>
      <c r="N28" s="140" t="s">
        <v>448</v>
      </c>
      <c r="O28" s="413">
        <v>9.7</v>
      </c>
      <c r="P28" s="40">
        <v>1610</v>
      </c>
      <c r="Q28" s="413">
        <v>10</v>
      </c>
      <c r="R28" s="40">
        <v>1670</v>
      </c>
      <c r="S28" s="40" t="s">
        <v>397</v>
      </c>
      <c r="T28" s="40" t="s">
        <v>398</v>
      </c>
    </row>
    <row r="29" s="395" customFormat="1" customHeight="1" spans="1:20 16349:16364">
      <c r="A29" s="474" t="s">
        <v>148</v>
      </c>
      <c r="B29" s="40" t="s">
        <v>148</v>
      </c>
      <c r="C29" s="40" t="s">
        <v>148</v>
      </c>
      <c r="D29" s="40" t="s">
        <v>148</v>
      </c>
      <c r="E29" s="40" t="s">
        <v>148</v>
      </c>
      <c r="F29" s="40" t="s">
        <v>148</v>
      </c>
      <c r="G29" s="40" t="s">
        <v>148</v>
      </c>
      <c r="H29" s="40" t="s">
        <v>148</v>
      </c>
      <c r="I29" s="40" t="s">
        <v>148</v>
      </c>
      <c r="J29" s="40" t="s">
        <v>148</v>
      </c>
      <c r="K29" s="40" t="s">
        <v>148</v>
      </c>
      <c r="L29" s="40" t="s">
        <v>148</v>
      </c>
      <c r="M29" s="40" t="s">
        <v>148</v>
      </c>
      <c r="N29" s="140" t="s">
        <v>449</v>
      </c>
      <c r="O29" s="40">
        <v>9.7</v>
      </c>
      <c r="P29" s="40">
        <v>1610</v>
      </c>
      <c r="Q29" s="40">
        <v>10</v>
      </c>
      <c r="R29" s="40">
        <v>1670</v>
      </c>
      <c r="S29" s="40" t="s">
        <v>397</v>
      </c>
      <c r="T29" s="40" t="s">
        <v>398</v>
      </c>
    </row>
    <row r="30" s="394" customFormat="1" customHeight="1" spans="1:20 16349:16364">
      <c r="A30" s="474" t="s">
        <v>148</v>
      </c>
      <c r="B30" s="40" t="s">
        <v>148</v>
      </c>
      <c r="C30" s="40" t="s">
        <v>148</v>
      </c>
      <c r="D30" s="40" t="s">
        <v>148</v>
      </c>
      <c r="E30" s="40" t="s">
        <v>148</v>
      </c>
      <c r="F30" s="40" t="s">
        <v>148</v>
      </c>
      <c r="G30" s="40" t="s">
        <v>148</v>
      </c>
      <c r="H30" s="40" t="s">
        <v>148</v>
      </c>
      <c r="I30" s="40" t="s">
        <v>148</v>
      </c>
      <c r="J30" s="40" t="s">
        <v>148</v>
      </c>
      <c r="K30" s="40" t="s">
        <v>148</v>
      </c>
      <c r="L30" s="40" t="s">
        <v>148</v>
      </c>
      <c r="M30" s="40" t="s">
        <v>148</v>
      </c>
      <c r="N30" s="140" t="s">
        <v>450</v>
      </c>
      <c r="O30" s="413">
        <v>9.7</v>
      </c>
      <c r="P30" s="40">
        <v>1610</v>
      </c>
      <c r="Q30" s="413">
        <v>10</v>
      </c>
      <c r="R30" s="40">
        <v>1670</v>
      </c>
      <c r="S30" s="40" t="s">
        <v>397</v>
      </c>
      <c r="T30" s="40" t="s">
        <v>439</v>
      </c>
      <c r="XDU30" s="397"/>
      <c r="XDV30" s="397"/>
      <c r="XDW30" s="397"/>
      <c r="XDX30" s="397"/>
      <c r="XDY30" s="397"/>
      <c r="XDZ30" s="397"/>
      <c r="XEA30" s="397"/>
      <c r="XEB30" s="397"/>
      <c r="XEC30" s="397"/>
      <c r="XED30" s="397"/>
      <c r="XEE30" s="397"/>
      <c r="XEF30" s="397"/>
      <c r="XEG30" s="397"/>
      <c r="XEH30" s="397"/>
      <c r="XEI30" s="397"/>
      <c r="XEJ30" s="397"/>
    </row>
    <row r="31" customHeight="1" spans="1:20 16349:16364">
      <c r="A31" s="474" t="s">
        <v>148</v>
      </c>
      <c r="B31" s="40" t="s">
        <v>148</v>
      </c>
      <c r="C31" s="40" t="s">
        <v>148</v>
      </c>
      <c r="D31" s="40" t="s">
        <v>148</v>
      </c>
      <c r="E31" s="40" t="s">
        <v>148</v>
      </c>
      <c r="F31" s="40" t="s">
        <v>148</v>
      </c>
      <c r="G31" s="40" t="s">
        <v>148</v>
      </c>
      <c r="H31" s="40" t="s">
        <v>148</v>
      </c>
      <c r="I31" s="40" t="s">
        <v>148</v>
      </c>
      <c r="J31" s="40" t="s">
        <v>148</v>
      </c>
      <c r="K31" s="40" t="s">
        <v>148</v>
      </c>
      <c r="L31" s="40" t="s">
        <v>148</v>
      </c>
      <c r="M31" s="40" t="s">
        <v>148</v>
      </c>
      <c r="N31" s="140" t="s">
        <v>442</v>
      </c>
      <c r="O31" s="413">
        <v>10.1</v>
      </c>
      <c r="P31" s="40">
        <v>1650</v>
      </c>
      <c r="Q31" s="413">
        <v>10.4</v>
      </c>
      <c r="R31" s="40">
        <v>1710</v>
      </c>
      <c r="S31" s="40" t="s">
        <v>397</v>
      </c>
      <c r="T31" s="40" t="s">
        <v>439</v>
      </c>
    </row>
    <row r="32" ht="121" customHeight="1" spans="1:20 16349:16364">
      <c r="A32" s="475" t="s">
        <v>61</v>
      </c>
      <c r="B32" s="476" t="s">
        <v>451</v>
      </c>
      <c r="C32" s="477"/>
      <c r="D32" s="477"/>
      <c r="E32" s="477"/>
      <c r="F32" s="477"/>
      <c r="G32" s="477"/>
      <c r="H32" s="477"/>
      <c r="I32" s="477"/>
      <c r="J32" s="477"/>
      <c r="K32" s="477"/>
      <c r="L32" s="477"/>
      <c r="M32" s="477"/>
      <c r="N32" s="478"/>
      <c r="O32" s="477"/>
      <c r="P32" s="477"/>
      <c r="Q32" s="477"/>
      <c r="R32" s="477"/>
      <c r="S32" s="477"/>
      <c r="T32" s="479"/>
    </row>
    <row r="35" ht="186" customHeight="1"/>
  </sheetData>
  <mergeCells count="19">
    <mergeCell ref="A4:G4"/>
    <mergeCell ref="H4:M4"/>
    <mergeCell ref="N4:T4"/>
    <mergeCell ref="B5:C5"/>
    <mergeCell ref="D5:E5"/>
    <mergeCell ref="H5:I5"/>
    <mergeCell ref="J5:K5"/>
    <mergeCell ref="O5:P5"/>
    <mergeCell ref="Q5:R5"/>
    <mergeCell ref="B32:T32"/>
    <mergeCell ref="A5:A6"/>
    <mergeCell ref="F5:F6"/>
    <mergeCell ref="G5:G6"/>
    <mergeCell ref="L5:L6"/>
    <mergeCell ref="M5:M6"/>
    <mergeCell ref="N5:N6"/>
    <mergeCell ref="S5:S6"/>
    <mergeCell ref="T5:T6"/>
    <mergeCell ref="A1:T3"/>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XDR73"/>
  <sheetViews>
    <sheetView zoomScale="70" zoomScaleNormal="70" workbookViewId="0">
      <pane ySplit="6" topLeftCell="A7" activePane="bottomLeft" state="frozen"/>
      <selection/>
      <selection pane="bottomLeft" activeCell="N7" sqref="N7:Q63"/>
    </sheetView>
  </sheetViews>
  <sheetFormatPr defaultColWidth="11.8083333333333" defaultRowHeight="29" customHeight="1"/>
  <cols>
    <col min="1" max="1" width="11.8083333333333" style="396" customWidth="1"/>
    <col min="2" max="6" width="11.8083333333333" style="394" customWidth="1"/>
    <col min="7" max="7" width="14.725" style="394" customWidth="1"/>
    <col min="8" max="11" width="11.8083333333333" style="394" customWidth="1"/>
    <col min="12" max="12" width="14.1666666666667" style="394" customWidth="1"/>
    <col min="13" max="13" width="10.5583333333333" style="394" customWidth="1"/>
    <col min="14" max="16334" width="11.8083333333333" style="394" customWidth="1"/>
    <col min="16335" max="16345" width="11.8083333333333" style="397" customWidth="1"/>
    <col min="16346" max="16349" width="11.8083333333333" style="424" customWidth="1"/>
    <col min="16350" max="16384" width="11.8083333333333" style="424"/>
  </cols>
  <sheetData>
    <row r="1" s="393" customFormat="1" customHeight="1" spans="1:1024 1025:16346">
      <c r="A1" s="398" t="s">
        <v>452</v>
      </c>
      <c r="B1" s="399"/>
      <c r="C1" s="399"/>
      <c r="D1" s="399"/>
      <c r="E1" s="399"/>
      <c r="F1" s="399"/>
      <c r="G1" s="399"/>
      <c r="H1" s="399"/>
      <c r="I1" s="399"/>
      <c r="J1" s="399"/>
      <c r="K1" s="399"/>
      <c r="L1" s="399"/>
      <c r="M1" s="400"/>
      <c r="N1" s="399"/>
      <c r="O1" s="399"/>
      <c r="P1" s="399"/>
      <c r="Q1" s="399"/>
      <c r="R1" s="399"/>
      <c r="S1" s="399"/>
      <c r="T1" s="400"/>
    </row>
    <row r="2" s="393" customFormat="1" ht="25" customHeight="1" spans="1:1024 1025:16346">
      <c r="A2" s="425"/>
      <c r="B2" s="426"/>
      <c r="C2" s="426"/>
      <c r="D2" s="426"/>
      <c r="E2" s="426"/>
      <c r="F2" s="426"/>
      <c r="G2" s="426"/>
      <c r="H2" s="426"/>
      <c r="I2" s="426"/>
      <c r="J2" s="426"/>
      <c r="K2" s="426"/>
      <c r="L2" s="426"/>
      <c r="M2" s="427"/>
      <c r="N2" s="428"/>
      <c r="O2" s="428"/>
      <c r="P2" s="428"/>
      <c r="Q2" s="428"/>
      <c r="R2" s="428"/>
      <c r="S2" s="428"/>
      <c r="T2" s="427"/>
    </row>
    <row r="3" s="393" customFormat="1" ht="35" customHeight="1" spans="1:1024 1025:16346">
      <c r="A3" s="425"/>
      <c r="B3" s="426"/>
      <c r="C3" s="426"/>
      <c r="D3" s="426"/>
      <c r="E3" s="426"/>
      <c r="F3" s="426"/>
      <c r="G3" s="426"/>
      <c r="H3" s="426"/>
      <c r="I3" s="429"/>
      <c r="J3" s="426"/>
      <c r="K3" s="426"/>
      <c r="L3" s="426"/>
      <c r="M3" s="427"/>
      <c r="N3" s="428"/>
      <c r="O3" s="428"/>
      <c r="P3" s="428"/>
      <c r="Q3" s="428"/>
      <c r="R3" s="428"/>
      <c r="S3" s="428"/>
      <c r="T3" s="427"/>
    </row>
    <row r="4" s="393" customFormat="1" customHeight="1" spans="1:1024 1025:16346">
      <c r="A4" s="430" t="s">
        <v>216</v>
      </c>
      <c r="B4" s="431"/>
      <c r="C4" s="431"/>
      <c r="D4" s="431"/>
      <c r="E4" s="431"/>
      <c r="F4" s="432"/>
      <c r="G4" s="432"/>
      <c r="H4" s="433" t="s">
        <v>219</v>
      </c>
      <c r="I4" s="434"/>
      <c r="J4" s="435"/>
      <c r="K4" s="436"/>
      <c r="L4" s="431"/>
      <c r="M4" s="437"/>
      <c r="N4" s="438" t="s">
        <v>220</v>
      </c>
      <c r="O4" s="431"/>
      <c r="P4" s="431"/>
      <c r="Q4" s="431"/>
      <c r="R4" s="431"/>
      <c r="S4" s="439"/>
      <c r="T4" s="439"/>
    </row>
    <row r="5" s="422" customFormat="1" customHeight="1" spans="1:1024 1025:16346">
      <c r="A5" s="440" t="s">
        <v>287</v>
      </c>
      <c r="B5" s="441" t="s">
        <v>184</v>
      </c>
      <c r="C5" s="441"/>
      <c r="D5" s="441" t="s">
        <v>260</v>
      </c>
      <c r="E5" s="441"/>
      <c r="F5" s="410" t="s">
        <v>376</v>
      </c>
      <c r="G5" s="410" t="s">
        <v>288</v>
      </c>
      <c r="H5" s="441" t="s">
        <v>184</v>
      </c>
      <c r="I5" s="441"/>
      <c r="J5" s="441" t="s">
        <v>260</v>
      </c>
      <c r="K5" s="441"/>
      <c r="L5" s="410" t="s">
        <v>376</v>
      </c>
      <c r="M5" s="410" t="s">
        <v>288</v>
      </c>
      <c r="N5" s="441" t="s">
        <v>184</v>
      </c>
      <c r="O5" s="441"/>
      <c r="P5" s="441" t="s">
        <v>260</v>
      </c>
      <c r="Q5" s="441"/>
      <c r="R5" s="410" t="s">
        <v>376</v>
      </c>
      <c r="S5" s="410" t="s">
        <v>288</v>
      </c>
      <c r="T5" s="442" t="s">
        <v>453</v>
      </c>
      <c r="XDG5" s="443"/>
      <c r="XDH5" s="443"/>
      <c r="XDI5" s="443"/>
      <c r="XDJ5" s="443"/>
      <c r="XDK5" s="443"/>
      <c r="XDL5" s="443"/>
      <c r="XDM5" s="443"/>
      <c r="XDN5" s="443"/>
      <c r="XDO5" s="443"/>
      <c r="XDP5" s="443"/>
      <c r="XDQ5" s="443"/>
      <c r="XDR5" s="444"/>
    </row>
    <row r="6" s="423" customFormat="1" customHeight="1" spans="1:1024 1025:16346">
      <c r="A6" s="445"/>
      <c r="B6" s="140" t="s">
        <v>290</v>
      </c>
      <c r="C6" s="140" t="s">
        <v>291</v>
      </c>
      <c r="D6" s="140" t="s">
        <v>290</v>
      </c>
      <c r="E6" s="140" t="s">
        <v>291</v>
      </c>
      <c r="F6" s="140"/>
      <c r="G6" s="140"/>
      <c r="H6" s="140" t="s">
        <v>290</v>
      </c>
      <c r="I6" s="140" t="s">
        <v>291</v>
      </c>
      <c r="J6" s="140" t="s">
        <v>290</v>
      </c>
      <c r="K6" s="140" t="s">
        <v>291</v>
      </c>
      <c r="L6" s="140"/>
      <c r="M6" s="140"/>
      <c r="N6" s="140" t="s">
        <v>290</v>
      </c>
      <c r="O6" s="140" t="s">
        <v>291</v>
      </c>
      <c r="P6" s="140" t="s">
        <v>290</v>
      </c>
      <c r="Q6" s="140" t="s">
        <v>291</v>
      </c>
      <c r="R6" s="140"/>
      <c r="S6" s="140"/>
      <c r="T6" s="446"/>
      <c r="U6" s="447"/>
      <c r="V6" s="447"/>
      <c r="W6" s="447"/>
      <c r="X6" s="447"/>
      <c r="Y6" s="447"/>
      <c r="Z6" s="447"/>
      <c r="AA6" s="447"/>
      <c r="AB6" s="447"/>
      <c r="AC6" s="447"/>
      <c r="AD6" s="447"/>
      <c r="AE6" s="447"/>
      <c r="AF6" s="447"/>
      <c r="AG6" s="447"/>
      <c r="AH6" s="447"/>
      <c r="AI6" s="447"/>
      <c r="AJ6" s="447"/>
      <c r="AK6" s="447"/>
      <c r="AL6" s="447"/>
      <c r="AM6" s="447"/>
      <c r="AN6" s="447"/>
      <c r="AO6" s="447"/>
      <c r="AP6" s="447"/>
      <c r="AQ6" s="447"/>
      <c r="AR6" s="447"/>
      <c r="AS6" s="447"/>
      <c r="AT6" s="447"/>
      <c r="AU6" s="447"/>
      <c r="AV6" s="447"/>
      <c r="AW6" s="447"/>
      <c r="AX6" s="447"/>
      <c r="AY6" s="447"/>
      <c r="AZ6" s="447"/>
      <c r="BA6" s="447"/>
      <c r="BB6" s="447"/>
      <c r="BC6" s="447"/>
      <c r="BD6" s="447"/>
      <c r="BE6" s="447"/>
      <c r="BF6" s="447"/>
      <c r="BG6" s="447"/>
      <c r="BH6" s="447"/>
      <c r="BI6" s="447"/>
      <c r="BJ6" s="447"/>
      <c r="BK6" s="447"/>
      <c r="BL6" s="447"/>
      <c r="BM6" s="447"/>
      <c r="BN6" s="447"/>
      <c r="BO6" s="447"/>
      <c r="BP6" s="447"/>
      <c r="BQ6" s="447"/>
      <c r="BR6" s="447"/>
      <c r="BS6" s="447"/>
      <c r="BT6" s="447"/>
      <c r="BU6" s="447"/>
      <c r="BV6" s="447"/>
      <c r="BW6" s="447"/>
      <c r="BX6" s="447"/>
      <c r="BY6" s="447"/>
      <c r="BZ6" s="447"/>
      <c r="CA6" s="447"/>
      <c r="CB6" s="447"/>
      <c r="CC6" s="447"/>
      <c r="CD6" s="447"/>
      <c r="CE6" s="447"/>
      <c r="CF6" s="447"/>
      <c r="CG6" s="447"/>
      <c r="CH6" s="447"/>
      <c r="CI6" s="447"/>
      <c r="CJ6" s="447"/>
      <c r="CK6" s="447"/>
      <c r="CL6" s="447"/>
      <c r="CM6" s="447"/>
      <c r="CN6" s="447"/>
      <c r="CO6" s="447"/>
      <c r="CP6" s="447"/>
      <c r="CQ6" s="447"/>
      <c r="CR6" s="447"/>
      <c r="CS6" s="447"/>
      <c r="CT6" s="447"/>
      <c r="CU6" s="447"/>
      <c r="CV6" s="447"/>
      <c r="CW6" s="447"/>
      <c r="CX6" s="447"/>
      <c r="CY6" s="447"/>
      <c r="CZ6" s="447"/>
      <c r="DA6" s="447"/>
      <c r="DB6" s="447"/>
      <c r="DC6" s="447"/>
      <c r="DD6" s="447"/>
      <c r="DE6" s="447"/>
      <c r="DF6" s="447"/>
      <c r="DG6" s="447"/>
      <c r="DH6" s="447"/>
      <c r="DI6" s="447"/>
      <c r="DJ6" s="447"/>
      <c r="DK6" s="447"/>
      <c r="DL6" s="447"/>
      <c r="DM6" s="447"/>
      <c r="DN6" s="447"/>
      <c r="DO6" s="447"/>
      <c r="DP6" s="447"/>
      <c r="DQ6" s="447"/>
      <c r="DR6" s="447"/>
      <c r="DS6" s="447"/>
      <c r="DT6" s="447"/>
      <c r="DU6" s="447"/>
      <c r="DV6" s="447"/>
      <c r="DW6" s="447"/>
      <c r="DX6" s="447"/>
      <c r="DY6" s="447"/>
      <c r="DZ6" s="447"/>
      <c r="EA6" s="447"/>
      <c r="EB6" s="447"/>
      <c r="EC6" s="447"/>
      <c r="ED6" s="447"/>
      <c r="EE6" s="447"/>
      <c r="EF6" s="447"/>
      <c r="EG6" s="447"/>
      <c r="EH6" s="447"/>
      <c r="EI6" s="447"/>
      <c r="EJ6" s="447"/>
      <c r="EK6" s="447"/>
      <c r="EL6" s="447"/>
      <c r="EM6" s="447"/>
      <c r="EN6" s="447"/>
      <c r="EO6" s="447"/>
      <c r="EP6" s="447"/>
      <c r="EQ6" s="447"/>
      <c r="ER6" s="447"/>
      <c r="ES6" s="447"/>
      <c r="ET6" s="447"/>
      <c r="EU6" s="447"/>
      <c r="EV6" s="447"/>
      <c r="EW6" s="447"/>
      <c r="EX6" s="447"/>
      <c r="EY6" s="447"/>
      <c r="EZ6" s="447"/>
      <c r="FA6" s="447"/>
      <c r="FB6" s="447"/>
      <c r="FC6" s="447"/>
      <c r="FD6" s="447"/>
      <c r="FE6" s="447"/>
      <c r="FF6" s="447"/>
      <c r="FG6" s="447"/>
      <c r="FH6" s="447"/>
      <c r="FI6" s="447"/>
      <c r="FJ6" s="447"/>
      <c r="FK6" s="447"/>
      <c r="FL6" s="447"/>
      <c r="FM6" s="447"/>
      <c r="FN6" s="447"/>
      <c r="FO6" s="447"/>
      <c r="FP6" s="447"/>
      <c r="FQ6" s="447"/>
      <c r="FR6" s="447"/>
      <c r="FS6" s="447"/>
      <c r="FT6" s="447"/>
      <c r="FU6" s="447"/>
      <c r="FV6" s="447"/>
      <c r="FW6" s="447"/>
      <c r="FX6" s="447"/>
      <c r="FY6" s="447"/>
      <c r="FZ6" s="447"/>
      <c r="GA6" s="447"/>
      <c r="GB6" s="447"/>
      <c r="GC6" s="447"/>
      <c r="GD6" s="447"/>
      <c r="GE6" s="447"/>
      <c r="GF6" s="447"/>
      <c r="GG6" s="447"/>
      <c r="GH6" s="447"/>
      <c r="GI6" s="447"/>
      <c r="GJ6" s="447"/>
      <c r="GK6" s="447"/>
      <c r="GL6" s="447"/>
      <c r="GM6" s="447"/>
      <c r="GN6" s="447"/>
      <c r="GO6" s="447"/>
      <c r="GP6" s="447"/>
      <c r="GQ6" s="447"/>
      <c r="GR6" s="447"/>
      <c r="GS6" s="447"/>
      <c r="GT6" s="447"/>
      <c r="GU6" s="447"/>
      <c r="GV6" s="447"/>
      <c r="GW6" s="447"/>
      <c r="GX6" s="447"/>
      <c r="GY6" s="447"/>
      <c r="GZ6" s="447"/>
      <c r="HA6" s="447"/>
      <c r="HB6" s="447"/>
      <c r="HC6" s="447"/>
      <c r="HD6" s="447"/>
      <c r="HE6" s="447"/>
      <c r="HF6" s="447"/>
      <c r="HG6" s="447"/>
      <c r="HH6" s="447"/>
      <c r="HI6" s="447"/>
      <c r="HJ6" s="447"/>
      <c r="HK6" s="447"/>
      <c r="HL6" s="447"/>
      <c r="HM6" s="447"/>
      <c r="HN6" s="447"/>
      <c r="HO6" s="447"/>
      <c r="HP6" s="447"/>
      <c r="HQ6" s="447"/>
      <c r="HR6" s="447"/>
      <c r="HS6" s="447"/>
      <c r="HT6" s="447"/>
      <c r="HU6" s="447"/>
      <c r="HV6" s="447"/>
      <c r="HW6" s="447"/>
      <c r="HX6" s="447"/>
      <c r="HY6" s="447"/>
      <c r="HZ6" s="447"/>
      <c r="IA6" s="447"/>
      <c r="IB6" s="447"/>
      <c r="IC6" s="447"/>
      <c r="ID6" s="447"/>
      <c r="IE6" s="447"/>
      <c r="IF6" s="447"/>
      <c r="IG6" s="447"/>
      <c r="IH6" s="447"/>
      <c r="II6" s="447"/>
      <c r="IJ6" s="447"/>
      <c r="IK6" s="447"/>
      <c r="IL6" s="447"/>
      <c r="IM6" s="447"/>
      <c r="IN6" s="447"/>
      <c r="IO6" s="447"/>
      <c r="IP6" s="447"/>
      <c r="IQ6" s="447"/>
      <c r="IR6" s="447"/>
      <c r="IS6" s="447"/>
      <c r="IT6" s="447"/>
      <c r="IU6" s="447"/>
      <c r="IV6" s="447"/>
      <c r="IW6" s="447"/>
      <c r="IX6" s="447"/>
      <c r="IY6" s="447"/>
      <c r="IZ6" s="447"/>
      <c r="JA6" s="447"/>
      <c r="JB6" s="447"/>
      <c r="JC6" s="447"/>
      <c r="JD6" s="447"/>
      <c r="JE6" s="447"/>
      <c r="JF6" s="447"/>
      <c r="JG6" s="447"/>
      <c r="JH6" s="447"/>
      <c r="JI6" s="447"/>
      <c r="JJ6" s="447"/>
      <c r="JK6" s="447"/>
      <c r="JL6" s="447"/>
      <c r="JM6" s="447"/>
      <c r="JN6" s="447"/>
      <c r="JO6" s="447"/>
      <c r="JP6" s="447"/>
      <c r="JQ6" s="447"/>
      <c r="JR6" s="447"/>
      <c r="JS6" s="447"/>
      <c r="JT6" s="447"/>
      <c r="JU6" s="447"/>
      <c r="JV6" s="447"/>
      <c r="JW6" s="447"/>
      <c r="JX6" s="447"/>
      <c r="JY6" s="447"/>
      <c r="JZ6" s="447"/>
      <c r="KA6" s="447"/>
      <c r="KB6" s="447"/>
      <c r="KC6" s="447"/>
      <c r="KD6" s="447"/>
      <c r="KE6" s="447"/>
      <c r="KF6" s="447"/>
      <c r="KG6" s="447"/>
      <c r="KH6" s="447"/>
      <c r="KI6" s="447"/>
      <c r="KJ6" s="447"/>
      <c r="KK6" s="447"/>
      <c r="KL6" s="447"/>
      <c r="KM6" s="447"/>
      <c r="KN6" s="447"/>
      <c r="KO6" s="447"/>
      <c r="KP6" s="447"/>
      <c r="KQ6" s="447"/>
      <c r="KR6" s="447"/>
      <c r="KS6" s="447"/>
      <c r="KT6" s="447"/>
      <c r="KU6" s="447"/>
      <c r="KV6" s="447"/>
      <c r="KW6" s="447"/>
      <c r="KX6" s="447"/>
      <c r="KY6" s="447"/>
      <c r="KZ6" s="447"/>
      <c r="LA6" s="447"/>
      <c r="LB6" s="447"/>
      <c r="LC6" s="447"/>
      <c r="LD6" s="447"/>
      <c r="LE6" s="447"/>
      <c r="LF6" s="447"/>
      <c r="LG6" s="447"/>
      <c r="LH6" s="447"/>
      <c r="LI6" s="447"/>
      <c r="LJ6" s="447"/>
      <c r="LK6" s="447"/>
      <c r="LL6" s="447"/>
      <c r="LM6" s="447"/>
      <c r="LN6" s="447"/>
      <c r="LO6" s="447"/>
      <c r="LP6" s="447"/>
      <c r="LQ6" s="447"/>
      <c r="LR6" s="447"/>
      <c r="LS6" s="447"/>
      <c r="LT6" s="447"/>
      <c r="LU6" s="447"/>
      <c r="LV6" s="447"/>
      <c r="LW6" s="447"/>
      <c r="LX6" s="447"/>
      <c r="LY6" s="447"/>
      <c r="LZ6" s="447"/>
      <c r="MA6" s="447"/>
      <c r="MB6" s="447"/>
      <c r="MC6" s="447"/>
      <c r="MD6" s="447"/>
      <c r="ME6" s="447"/>
      <c r="MF6" s="447"/>
      <c r="MG6" s="447"/>
      <c r="MH6" s="447"/>
      <c r="MI6" s="447"/>
      <c r="MJ6" s="447"/>
      <c r="MK6" s="447"/>
      <c r="ML6" s="447"/>
      <c r="MM6" s="447"/>
      <c r="MN6" s="447"/>
      <c r="MO6" s="447"/>
      <c r="MP6" s="447"/>
      <c r="MQ6" s="447"/>
      <c r="MR6" s="447"/>
      <c r="MS6" s="447"/>
      <c r="MT6" s="447"/>
      <c r="MU6" s="447"/>
      <c r="MV6" s="447"/>
      <c r="MW6" s="447"/>
      <c r="MX6" s="447"/>
      <c r="MY6" s="447"/>
      <c r="MZ6" s="447"/>
      <c r="NA6" s="447"/>
      <c r="NB6" s="447"/>
      <c r="NC6" s="447"/>
      <c r="ND6" s="447"/>
      <c r="NE6" s="447"/>
      <c r="NF6" s="447"/>
      <c r="NG6" s="447"/>
      <c r="NH6" s="447"/>
      <c r="NI6" s="447"/>
      <c r="NJ6" s="447"/>
      <c r="NK6" s="447"/>
      <c r="NL6" s="447"/>
      <c r="NM6" s="447"/>
      <c r="NN6" s="447"/>
      <c r="NO6" s="447"/>
      <c r="NP6" s="447"/>
      <c r="NQ6" s="447"/>
      <c r="NR6" s="447"/>
      <c r="NS6" s="447"/>
      <c r="NT6" s="447"/>
      <c r="NU6" s="447"/>
      <c r="NV6" s="447"/>
      <c r="NW6" s="447"/>
      <c r="NX6" s="447"/>
      <c r="NY6" s="447"/>
      <c r="NZ6" s="447"/>
      <c r="OA6" s="447"/>
      <c r="OB6" s="447"/>
      <c r="OC6" s="447"/>
      <c r="OD6" s="447"/>
      <c r="OE6" s="447"/>
      <c r="OF6" s="447"/>
      <c r="OG6" s="447"/>
      <c r="OH6" s="447"/>
      <c r="OI6" s="447"/>
      <c r="OJ6" s="447"/>
      <c r="OK6" s="447"/>
      <c r="OL6" s="447"/>
      <c r="OM6" s="447"/>
      <c r="ON6" s="447"/>
      <c r="OO6" s="447"/>
      <c r="OP6" s="447"/>
      <c r="OQ6" s="447"/>
      <c r="OR6" s="447"/>
      <c r="OS6" s="447"/>
      <c r="OT6" s="447"/>
      <c r="OU6" s="447"/>
      <c r="OV6" s="447"/>
      <c r="OW6" s="447"/>
      <c r="OX6" s="447"/>
      <c r="OY6" s="447"/>
      <c r="OZ6" s="447"/>
      <c r="PA6" s="447"/>
      <c r="PB6" s="447"/>
      <c r="PC6" s="447"/>
      <c r="PD6" s="447"/>
      <c r="PE6" s="447"/>
      <c r="PF6" s="447"/>
      <c r="PG6" s="447"/>
      <c r="PH6" s="447"/>
      <c r="PI6" s="447"/>
      <c r="PJ6" s="447"/>
      <c r="PK6" s="447"/>
      <c r="PL6" s="447"/>
      <c r="PM6" s="447"/>
      <c r="PN6" s="447"/>
      <c r="PO6" s="447"/>
      <c r="PP6" s="447"/>
      <c r="PQ6" s="447"/>
      <c r="PR6" s="447"/>
      <c r="PS6" s="447"/>
      <c r="PT6" s="447"/>
      <c r="PU6" s="447"/>
      <c r="PV6" s="447"/>
      <c r="PW6" s="447"/>
      <c r="PX6" s="447"/>
      <c r="PY6" s="447"/>
      <c r="PZ6" s="447"/>
      <c r="QA6" s="447"/>
      <c r="QB6" s="447"/>
      <c r="QC6" s="447"/>
      <c r="QD6" s="447"/>
      <c r="QE6" s="447"/>
      <c r="QF6" s="447"/>
      <c r="QG6" s="447"/>
      <c r="QH6" s="447"/>
      <c r="QI6" s="447"/>
      <c r="QJ6" s="447"/>
      <c r="QK6" s="447"/>
      <c r="QL6" s="447"/>
      <c r="QM6" s="447"/>
      <c r="QN6" s="447"/>
      <c r="QO6" s="447"/>
      <c r="QP6" s="447"/>
      <c r="QQ6" s="447"/>
      <c r="QR6" s="447"/>
      <c r="QS6" s="447"/>
      <c r="QT6" s="447"/>
      <c r="QU6" s="447"/>
      <c r="QV6" s="447"/>
      <c r="QW6" s="447"/>
      <c r="QX6" s="447"/>
      <c r="QY6" s="447"/>
      <c r="QZ6" s="447"/>
      <c r="RA6" s="447"/>
      <c r="RB6" s="447"/>
      <c r="RC6" s="447"/>
      <c r="RD6" s="447"/>
      <c r="RE6" s="447"/>
      <c r="RF6" s="447"/>
      <c r="RG6" s="447"/>
      <c r="RH6" s="447"/>
      <c r="RI6" s="447"/>
      <c r="RJ6" s="447"/>
      <c r="RK6" s="447"/>
      <c r="RL6" s="447"/>
      <c r="RM6" s="447"/>
      <c r="RN6" s="447"/>
      <c r="RO6" s="447"/>
      <c r="RP6" s="447"/>
      <c r="RQ6" s="447"/>
      <c r="RR6" s="447"/>
      <c r="RS6" s="447"/>
      <c r="RT6" s="447"/>
      <c r="RU6" s="447"/>
      <c r="RV6" s="447"/>
      <c r="RW6" s="447"/>
      <c r="RX6" s="447"/>
      <c r="RY6" s="447"/>
      <c r="RZ6" s="447"/>
      <c r="SA6" s="447"/>
      <c r="SB6" s="447"/>
      <c r="SC6" s="447"/>
      <c r="SD6" s="447"/>
      <c r="SE6" s="447"/>
      <c r="SF6" s="447"/>
      <c r="SG6" s="447"/>
      <c r="SH6" s="447"/>
      <c r="SI6" s="447"/>
      <c r="SJ6" s="447"/>
      <c r="SK6" s="447"/>
      <c r="SL6" s="447"/>
      <c r="SM6" s="447"/>
      <c r="SN6" s="447"/>
      <c r="SO6" s="447"/>
      <c r="SP6" s="447"/>
      <c r="SQ6" s="447"/>
      <c r="SR6" s="447"/>
      <c r="SS6" s="447"/>
      <c r="ST6" s="447"/>
      <c r="SU6" s="447"/>
      <c r="SV6" s="447"/>
      <c r="SW6" s="447"/>
      <c r="SX6" s="447"/>
      <c r="SY6" s="447"/>
      <c r="SZ6" s="447"/>
      <c r="TA6" s="447"/>
      <c r="TB6" s="447"/>
      <c r="TC6" s="447"/>
      <c r="TD6" s="447"/>
      <c r="TE6" s="447"/>
      <c r="TF6" s="447"/>
      <c r="TG6" s="447"/>
      <c r="TH6" s="447"/>
      <c r="TI6" s="447"/>
      <c r="TJ6" s="447"/>
      <c r="TK6" s="447"/>
      <c r="TL6" s="447"/>
      <c r="TM6" s="447"/>
      <c r="TN6" s="447"/>
      <c r="TO6" s="447"/>
      <c r="TP6" s="447"/>
      <c r="TQ6" s="447"/>
      <c r="TR6" s="447"/>
      <c r="TS6" s="447"/>
      <c r="TT6" s="447"/>
      <c r="TU6" s="447"/>
      <c r="TV6" s="447"/>
      <c r="TW6" s="447"/>
      <c r="TX6" s="447"/>
      <c r="TY6" s="447"/>
      <c r="TZ6" s="447"/>
      <c r="UA6" s="447"/>
      <c r="UB6" s="447"/>
      <c r="UC6" s="447"/>
      <c r="UD6" s="447"/>
      <c r="UE6" s="447"/>
      <c r="UF6" s="447"/>
      <c r="UG6" s="447"/>
      <c r="UH6" s="447"/>
      <c r="UI6" s="447"/>
      <c r="UJ6" s="447"/>
      <c r="UK6" s="447"/>
      <c r="UL6" s="447"/>
      <c r="UM6" s="447"/>
      <c r="UN6" s="447"/>
      <c r="UO6" s="447"/>
      <c r="UP6" s="447"/>
      <c r="UQ6" s="447"/>
      <c r="UR6" s="447"/>
      <c r="US6" s="447"/>
      <c r="UT6" s="447"/>
      <c r="UU6" s="447"/>
      <c r="UV6" s="447"/>
      <c r="UW6" s="447"/>
      <c r="UX6" s="447"/>
      <c r="UY6" s="447"/>
      <c r="UZ6" s="447"/>
      <c r="VA6" s="447"/>
      <c r="VB6" s="447"/>
      <c r="VC6" s="447"/>
      <c r="VD6" s="447"/>
      <c r="VE6" s="447"/>
      <c r="VF6" s="447"/>
      <c r="VG6" s="447"/>
      <c r="VH6" s="447"/>
      <c r="VI6" s="447"/>
      <c r="VJ6" s="447"/>
      <c r="VK6" s="447"/>
      <c r="VL6" s="447"/>
      <c r="VM6" s="447"/>
      <c r="VN6" s="447"/>
      <c r="VO6" s="447"/>
      <c r="VP6" s="447"/>
      <c r="VQ6" s="447"/>
      <c r="VR6" s="447"/>
      <c r="VS6" s="447"/>
      <c r="VT6" s="447"/>
      <c r="VU6" s="447"/>
      <c r="VV6" s="447"/>
      <c r="VW6" s="447"/>
      <c r="VX6" s="447"/>
      <c r="VY6" s="447"/>
      <c r="VZ6" s="447"/>
      <c r="WA6" s="447"/>
      <c r="WB6" s="447"/>
      <c r="WC6" s="447"/>
      <c r="WD6" s="447"/>
      <c r="WE6" s="447"/>
      <c r="WF6" s="447"/>
      <c r="WG6" s="447"/>
      <c r="WH6" s="447"/>
      <c r="WI6" s="447"/>
      <c r="WJ6" s="447"/>
      <c r="WK6" s="447"/>
      <c r="WL6" s="447"/>
      <c r="WM6" s="447"/>
      <c r="WN6" s="447"/>
      <c r="WO6" s="447"/>
      <c r="WP6" s="447"/>
      <c r="WQ6" s="447"/>
      <c r="WR6" s="447"/>
      <c r="WS6" s="447"/>
      <c r="WT6" s="447"/>
      <c r="WU6" s="447"/>
      <c r="WV6" s="447"/>
      <c r="WW6" s="447"/>
      <c r="WX6" s="447"/>
      <c r="WY6" s="447"/>
      <c r="WZ6" s="447"/>
      <c r="XA6" s="447"/>
      <c r="XB6" s="447"/>
      <c r="XC6" s="447"/>
      <c r="XD6" s="447"/>
      <c r="XE6" s="447"/>
      <c r="XF6" s="447"/>
      <c r="XG6" s="447"/>
      <c r="XH6" s="447"/>
      <c r="XI6" s="447"/>
      <c r="XJ6" s="447"/>
      <c r="XK6" s="447"/>
      <c r="XL6" s="447"/>
      <c r="XM6" s="447"/>
      <c r="XN6" s="447"/>
      <c r="XO6" s="447"/>
      <c r="XP6" s="447"/>
      <c r="XQ6" s="447"/>
      <c r="XR6" s="447"/>
      <c r="XS6" s="447"/>
      <c r="XT6" s="447"/>
      <c r="XU6" s="447"/>
      <c r="XV6" s="447"/>
      <c r="XW6" s="447"/>
      <c r="XX6" s="447"/>
      <c r="XY6" s="447"/>
      <c r="XZ6" s="447"/>
      <c r="YA6" s="447"/>
      <c r="YB6" s="447"/>
      <c r="YC6" s="447"/>
      <c r="YD6" s="447"/>
      <c r="YE6" s="447"/>
      <c r="YF6" s="447"/>
      <c r="YG6" s="447"/>
      <c r="YH6" s="447"/>
      <c r="YI6" s="447"/>
      <c r="YJ6" s="447"/>
      <c r="YK6" s="447"/>
      <c r="YL6" s="447"/>
      <c r="YM6" s="447"/>
      <c r="YN6" s="447"/>
      <c r="YO6" s="447"/>
      <c r="YP6" s="447"/>
      <c r="YQ6" s="447"/>
      <c r="YR6" s="447"/>
      <c r="YS6" s="447"/>
      <c r="YT6" s="447"/>
      <c r="YU6" s="447"/>
      <c r="YV6" s="447"/>
      <c r="YW6" s="447"/>
      <c r="YX6" s="447"/>
      <c r="YY6" s="447"/>
      <c r="YZ6" s="447"/>
      <c r="ZA6" s="447"/>
      <c r="ZB6" s="447"/>
      <c r="ZC6" s="447"/>
      <c r="ZD6" s="447"/>
      <c r="ZE6" s="447"/>
      <c r="ZF6" s="447"/>
      <c r="ZG6" s="447"/>
      <c r="ZH6" s="447"/>
      <c r="ZI6" s="447"/>
      <c r="ZJ6" s="447"/>
      <c r="ZK6" s="447"/>
      <c r="ZL6" s="447"/>
      <c r="ZM6" s="447"/>
      <c r="ZN6" s="447"/>
      <c r="ZO6" s="447"/>
      <c r="ZP6" s="447"/>
      <c r="ZQ6" s="447"/>
      <c r="ZR6" s="447"/>
      <c r="ZS6" s="447"/>
      <c r="ZT6" s="447"/>
      <c r="ZU6" s="447"/>
      <c r="ZV6" s="447"/>
      <c r="ZW6" s="447"/>
      <c r="ZX6" s="447"/>
      <c r="ZY6" s="447"/>
      <c r="ZZ6" s="447"/>
      <c r="AAA6" s="447"/>
      <c r="AAB6" s="447"/>
      <c r="AAC6" s="447"/>
      <c r="AAD6" s="447"/>
      <c r="AAE6" s="447"/>
      <c r="AAF6" s="447"/>
      <c r="AAG6" s="447"/>
      <c r="AAH6" s="447"/>
      <c r="AAI6" s="447"/>
      <c r="AAJ6" s="447"/>
      <c r="AAK6" s="447"/>
      <c r="AAL6" s="447"/>
      <c r="AAM6" s="447"/>
      <c r="AAN6" s="447"/>
      <c r="AAO6" s="447"/>
      <c r="AAP6" s="447"/>
      <c r="AAQ6" s="447"/>
      <c r="AAR6" s="447"/>
      <c r="AAS6" s="447"/>
      <c r="AAT6" s="447"/>
      <c r="AAU6" s="447"/>
      <c r="AAV6" s="447"/>
      <c r="AAW6" s="447"/>
      <c r="AAX6" s="447"/>
      <c r="AAY6" s="447"/>
      <c r="AAZ6" s="447"/>
      <c r="ABA6" s="447"/>
      <c r="ABB6" s="447"/>
      <c r="ABC6" s="447"/>
      <c r="ABD6" s="447"/>
      <c r="ABE6" s="447"/>
      <c r="ABF6" s="447"/>
      <c r="ABG6" s="447"/>
      <c r="ABH6" s="447"/>
      <c r="ABI6" s="447"/>
      <c r="ABJ6" s="447"/>
      <c r="ABK6" s="447"/>
      <c r="ABL6" s="447"/>
      <c r="ABM6" s="447"/>
      <c r="ABN6" s="447"/>
      <c r="ABO6" s="447"/>
      <c r="ABP6" s="447"/>
      <c r="ABQ6" s="447"/>
      <c r="ABR6" s="447"/>
      <c r="ABS6" s="447"/>
      <c r="ABT6" s="447"/>
      <c r="ABU6" s="447"/>
      <c r="ABV6" s="447"/>
      <c r="ABW6" s="447"/>
      <c r="ABX6" s="447"/>
      <c r="ABY6" s="447"/>
      <c r="ABZ6" s="447"/>
      <c r="ACA6" s="447"/>
      <c r="ACB6" s="447"/>
      <c r="ACC6" s="447"/>
      <c r="ACD6" s="447"/>
      <c r="ACE6" s="447"/>
      <c r="ACF6" s="447"/>
      <c r="ACG6" s="447"/>
      <c r="ACH6" s="447"/>
      <c r="ACI6" s="447"/>
      <c r="ACJ6" s="447"/>
      <c r="ACK6" s="447"/>
      <c r="ACL6" s="447"/>
      <c r="ACM6" s="447"/>
      <c r="ACN6" s="447"/>
      <c r="ACO6" s="447"/>
      <c r="ACP6" s="447"/>
      <c r="ACQ6" s="447"/>
      <c r="ACR6" s="447"/>
      <c r="ACS6" s="447"/>
      <c r="ACT6" s="447"/>
      <c r="ACU6" s="447"/>
      <c r="ACV6" s="447"/>
      <c r="ACW6" s="447"/>
      <c r="ACX6" s="447"/>
      <c r="ACY6" s="447"/>
      <c r="ACZ6" s="447"/>
      <c r="ADA6" s="447"/>
      <c r="ADB6" s="447"/>
      <c r="ADC6" s="447"/>
      <c r="ADD6" s="447"/>
      <c r="ADE6" s="447"/>
      <c r="ADF6" s="447"/>
      <c r="ADG6" s="447"/>
      <c r="ADH6" s="447"/>
      <c r="ADI6" s="447"/>
      <c r="ADJ6" s="447"/>
      <c r="ADK6" s="447"/>
      <c r="ADL6" s="447"/>
      <c r="ADM6" s="447"/>
      <c r="ADN6" s="447"/>
      <c r="ADO6" s="447"/>
      <c r="ADP6" s="447"/>
      <c r="ADQ6" s="447"/>
      <c r="ADR6" s="447"/>
      <c r="ADS6" s="447"/>
      <c r="ADT6" s="447"/>
      <c r="ADU6" s="447"/>
      <c r="ADV6" s="447"/>
      <c r="ADW6" s="447"/>
      <c r="ADX6" s="447"/>
      <c r="ADY6" s="447"/>
      <c r="ADZ6" s="447"/>
      <c r="AEA6" s="447"/>
      <c r="AEB6" s="447"/>
      <c r="AEC6" s="447"/>
      <c r="AED6" s="447"/>
      <c r="AEE6" s="447"/>
      <c r="AEF6" s="447"/>
      <c r="AEG6" s="447"/>
      <c r="AEH6" s="447"/>
      <c r="AEI6" s="447"/>
      <c r="AEJ6" s="447"/>
      <c r="AEK6" s="447"/>
      <c r="AEL6" s="447"/>
      <c r="AEM6" s="447"/>
      <c r="AEN6" s="447"/>
      <c r="AEO6" s="447"/>
      <c r="AEP6" s="447"/>
      <c r="AEQ6" s="447"/>
      <c r="AER6" s="447"/>
      <c r="AES6" s="447"/>
      <c r="AET6" s="447"/>
      <c r="AEU6" s="447"/>
      <c r="AEV6" s="447"/>
      <c r="AEW6" s="447"/>
      <c r="AEX6" s="447"/>
      <c r="AEY6" s="447"/>
      <c r="AEZ6" s="447"/>
      <c r="AFA6" s="447"/>
      <c r="AFB6" s="447"/>
      <c r="AFC6" s="447"/>
      <c r="AFD6" s="447"/>
      <c r="AFE6" s="447"/>
      <c r="AFF6" s="447"/>
      <c r="AFG6" s="447"/>
      <c r="AFH6" s="447"/>
      <c r="AFI6" s="447"/>
      <c r="AFJ6" s="447"/>
      <c r="AFK6" s="447"/>
      <c r="AFL6" s="447"/>
      <c r="AFM6" s="447"/>
      <c r="AFN6" s="447"/>
      <c r="AFO6" s="447"/>
      <c r="AFP6" s="447"/>
      <c r="AFQ6" s="447"/>
      <c r="AFR6" s="447"/>
      <c r="AFS6" s="447"/>
      <c r="AFT6" s="447"/>
      <c r="AFU6" s="447"/>
      <c r="AFV6" s="447"/>
      <c r="AFW6" s="447"/>
      <c r="AFX6" s="447"/>
      <c r="AFY6" s="447"/>
      <c r="AFZ6" s="447"/>
      <c r="AGA6" s="447"/>
      <c r="AGB6" s="447"/>
      <c r="AGC6" s="447"/>
      <c r="AGD6" s="447"/>
      <c r="AGE6" s="447"/>
      <c r="AGF6" s="447"/>
      <c r="AGG6" s="447"/>
      <c r="AGH6" s="447"/>
      <c r="AGI6" s="447"/>
      <c r="AGJ6" s="447"/>
      <c r="AGK6" s="447"/>
      <c r="AGL6" s="447"/>
      <c r="AGM6" s="447"/>
      <c r="AGN6" s="447"/>
      <c r="AGO6" s="447"/>
      <c r="AGP6" s="447"/>
      <c r="AGQ6" s="447"/>
      <c r="AGR6" s="447"/>
      <c r="AGS6" s="447"/>
      <c r="AGT6" s="447"/>
      <c r="AGU6" s="447"/>
      <c r="AGV6" s="447"/>
      <c r="AGW6" s="447"/>
      <c r="AGX6" s="447"/>
      <c r="AGY6" s="447"/>
      <c r="AGZ6" s="447"/>
      <c r="AHA6" s="447"/>
      <c r="AHB6" s="447"/>
      <c r="AHC6" s="447"/>
      <c r="AHD6" s="447"/>
      <c r="AHE6" s="447"/>
      <c r="AHF6" s="447"/>
      <c r="AHG6" s="447"/>
      <c r="AHH6" s="447"/>
      <c r="AHI6" s="447"/>
      <c r="AHJ6" s="447"/>
      <c r="AHK6" s="447"/>
      <c r="AHL6" s="447"/>
      <c r="AHM6" s="447"/>
      <c r="AHN6" s="447"/>
      <c r="AHO6" s="447"/>
      <c r="AHP6" s="447"/>
      <c r="AHQ6" s="447"/>
      <c r="AHR6" s="447"/>
      <c r="AHS6" s="447"/>
      <c r="AHT6" s="447"/>
      <c r="AHU6" s="447"/>
      <c r="AHV6" s="447"/>
      <c r="AHW6" s="447"/>
      <c r="AHX6" s="447"/>
      <c r="AHY6" s="447"/>
      <c r="AHZ6" s="447"/>
      <c r="AIA6" s="447"/>
      <c r="AIB6" s="447"/>
      <c r="AIC6" s="447"/>
      <c r="AID6" s="447"/>
      <c r="AIE6" s="447"/>
      <c r="AIF6" s="447"/>
      <c r="AIG6" s="447"/>
      <c r="AIH6" s="447"/>
      <c r="AII6" s="447"/>
      <c r="AIJ6" s="447"/>
      <c r="AIK6" s="447"/>
      <c r="AIL6" s="447"/>
      <c r="AIM6" s="447"/>
      <c r="AIN6" s="447"/>
      <c r="AIO6" s="447"/>
      <c r="AIP6" s="447"/>
      <c r="AIQ6" s="447"/>
      <c r="AIR6" s="447"/>
      <c r="AIS6" s="447"/>
      <c r="AIT6" s="447"/>
      <c r="AIU6" s="447"/>
      <c r="AIV6" s="447"/>
      <c r="AIW6" s="447"/>
      <c r="AIX6" s="447"/>
      <c r="AIY6" s="447"/>
      <c r="AIZ6" s="447"/>
      <c r="AJA6" s="447"/>
      <c r="AJB6" s="447"/>
      <c r="AJC6" s="447"/>
      <c r="AJD6" s="447"/>
      <c r="AJE6" s="447"/>
      <c r="AJF6" s="447"/>
      <c r="AJG6" s="447"/>
      <c r="AJH6" s="447"/>
      <c r="AJI6" s="447"/>
      <c r="AJJ6" s="447"/>
      <c r="AJK6" s="447"/>
      <c r="AJL6" s="447"/>
      <c r="AJM6" s="447"/>
      <c r="AJN6" s="447"/>
      <c r="AJO6" s="447"/>
      <c r="AJP6" s="447"/>
      <c r="AJQ6" s="447"/>
      <c r="AJR6" s="447"/>
      <c r="AJS6" s="447"/>
      <c r="AJT6" s="447"/>
      <c r="AJU6" s="447"/>
      <c r="AJV6" s="447"/>
      <c r="AJW6" s="447"/>
      <c r="AJX6" s="447"/>
      <c r="AJY6" s="447"/>
      <c r="AJZ6" s="447"/>
      <c r="AKA6" s="447"/>
      <c r="AKB6" s="447"/>
      <c r="AKC6" s="447"/>
      <c r="AKD6" s="447"/>
      <c r="AKE6" s="447"/>
      <c r="AKF6" s="447"/>
      <c r="AKG6" s="447"/>
      <c r="AKH6" s="447"/>
      <c r="AKI6" s="447"/>
      <c r="AKJ6" s="447"/>
      <c r="AKK6" s="447"/>
      <c r="AKL6" s="447"/>
      <c r="AKM6" s="447"/>
      <c r="AKN6" s="447"/>
      <c r="AKO6" s="447"/>
      <c r="AKP6" s="447"/>
      <c r="AKQ6" s="447"/>
      <c r="AKR6" s="447"/>
      <c r="AKS6" s="447"/>
      <c r="AKT6" s="447"/>
      <c r="AKU6" s="447"/>
      <c r="AKV6" s="447"/>
      <c r="AKW6" s="447"/>
      <c r="AKX6" s="447"/>
      <c r="AKY6" s="447"/>
      <c r="AKZ6" s="447"/>
      <c r="ALA6" s="447"/>
      <c r="ALB6" s="447"/>
      <c r="ALC6" s="447"/>
      <c r="ALD6" s="447"/>
      <c r="ALE6" s="447"/>
      <c r="ALF6" s="447"/>
      <c r="ALG6" s="447"/>
      <c r="ALH6" s="447"/>
      <c r="ALI6" s="447"/>
      <c r="ALJ6" s="447"/>
      <c r="ALK6" s="447"/>
      <c r="ALL6" s="447"/>
      <c r="ALM6" s="447"/>
      <c r="ALN6" s="447"/>
      <c r="ALO6" s="447"/>
      <c r="ALP6" s="447"/>
      <c r="ALQ6" s="447"/>
      <c r="ALR6" s="447"/>
      <c r="ALS6" s="447"/>
      <c r="ALT6" s="447"/>
      <c r="ALU6" s="447"/>
      <c r="ALV6" s="447"/>
      <c r="ALW6" s="447"/>
      <c r="ALX6" s="447"/>
      <c r="ALY6" s="447"/>
      <c r="ALZ6" s="447"/>
      <c r="AMA6" s="447"/>
      <c r="AMB6" s="447"/>
      <c r="AMC6" s="447"/>
      <c r="AMD6" s="447"/>
      <c r="AME6" s="447"/>
      <c r="AMF6" s="447"/>
      <c r="AMG6" s="447"/>
      <c r="AMH6" s="447"/>
      <c r="AMI6" s="447"/>
      <c r="AMJ6" s="447"/>
      <c r="AMK6" s="447"/>
      <c r="AML6" s="447"/>
      <c r="AMM6" s="447"/>
      <c r="AMN6" s="447"/>
      <c r="AMO6" s="447"/>
      <c r="AMP6" s="447"/>
      <c r="AMQ6" s="447"/>
      <c r="AMR6" s="447"/>
      <c r="AMS6" s="447"/>
      <c r="AMT6" s="447"/>
      <c r="AMU6" s="447"/>
      <c r="AMV6" s="447"/>
      <c r="AMW6" s="447"/>
      <c r="AMX6" s="447"/>
      <c r="AMY6" s="447"/>
      <c r="AMZ6" s="447"/>
      <c r="ANA6" s="447"/>
      <c r="ANB6" s="447"/>
      <c r="ANC6" s="447"/>
      <c r="AND6" s="447"/>
      <c r="ANE6" s="447"/>
      <c r="ANF6" s="447"/>
      <c r="ANG6" s="447"/>
      <c r="ANH6" s="447"/>
      <c r="ANI6" s="447"/>
      <c r="ANJ6" s="447"/>
      <c r="ANK6" s="447"/>
      <c r="ANL6" s="447"/>
      <c r="ANM6" s="447"/>
      <c r="ANN6" s="447"/>
      <c r="ANO6" s="447"/>
      <c r="ANP6" s="447"/>
      <c r="ANQ6" s="447"/>
      <c r="ANR6" s="447"/>
      <c r="ANS6" s="447"/>
      <c r="ANT6" s="447"/>
      <c r="ANU6" s="447"/>
      <c r="ANV6" s="447"/>
      <c r="ANW6" s="447"/>
      <c r="ANX6" s="447"/>
      <c r="ANY6" s="447"/>
      <c r="ANZ6" s="447"/>
      <c r="AOA6" s="447"/>
      <c r="AOB6" s="447"/>
      <c r="AOC6" s="447"/>
      <c r="AOD6" s="447"/>
      <c r="AOE6" s="447"/>
      <c r="AOF6" s="447"/>
      <c r="AOG6" s="447"/>
      <c r="AOH6" s="447"/>
      <c r="AOI6" s="447"/>
      <c r="AOJ6" s="447"/>
      <c r="AOK6" s="447"/>
      <c r="AOL6" s="447"/>
      <c r="AOM6" s="447"/>
      <c r="AON6" s="447"/>
      <c r="AOO6" s="447"/>
      <c r="AOP6" s="447"/>
      <c r="AOQ6" s="447"/>
      <c r="AOR6" s="447"/>
      <c r="AOS6" s="447"/>
      <c r="AOT6" s="447"/>
      <c r="AOU6" s="447"/>
      <c r="AOV6" s="447"/>
      <c r="AOW6" s="447"/>
      <c r="AOX6" s="447"/>
      <c r="AOY6" s="447"/>
      <c r="AOZ6" s="447"/>
      <c r="APA6" s="447"/>
      <c r="APB6" s="447"/>
      <c r="APC6" s="447"/>
      <c r="APD6" s="447"/>
      <c r="APE6" s="447"/>
      <c r="APF6" s="447"/>
      <c r="APG6" s="447"/>
      <c r="APH6" s="447"/>
      <c r="API6" s="447"/>
      <c r="APJ6" s="447"/>
      <c r="APK6" s="447"/>
      <c r="APL6" s="447"/>
      <c r="APM6" s="447"/>
      <c r="APN6" s="447"/>
      <c r="APO6" s="447"/>
      <c r="APP6" s="447"/>
      <c r="APQ6" s="447"/>
      <c r="APR6" s="447"/>
      <c r="APS6" s="447"/>
      <c r="APT6" s="447"/>
      <c r="APU6" s="447"/>
      <c r="APV6" s="447"/>
      <c r="APW6" s="447"/>
      <c r="APX6" s="447"/>
      <c r="APY6" s="447"/>
      <c r="APZ6" s="447"/>
      <c r="AQA6" s="447"/>
      <c r="AQB6" s="447"/>
      <c r="AQC6" s="447"/>
      <c r="AQD6" s="447"/>
      <c r="AQE6" s="447"/>
      <c r="AQF6" s="447"/>
      <c r="AQG6" s="447"/>
      <c r="AQH6" s="447"/>
      <c r="AQI6" s="447"/>
      <c r="AQJ6" s="447"/>
      <c r="AQK6" s="447"/>
      <c r="AQL6" s="447"/>
      <c r="AQM6" s="447"/>
      <c r="AQN6" s="447"/>
      <c r="AQO6" s="447"/>
      <c r="AQP6" s="447"/>
      <c r="AQQ6" s="447"/>
      <c r="AQR6" s="447"/>
      <c r="AQS6" s="447"/>
      <c r="AQT6" s="447"/>
      <c r="AQU6" s="447"/>
      <c r="AQV6" s="447"/>
      <c r="AQW6" s="447"/>
      <c r="AQX6" s="447"/>
      <c r="AQY6" s="447"/>
      <c r="AQZ6" s="447"/>
      <c r="ARA6" s="447"/>
      <c r="ARB6" s="447"/>
      <c r="ARC6" s="447"/>
      <c r="ARD6" s="447"/>
      <c r="ARE6" s="447"/>
      <c r="ARF6" s="447"/>
      <c r="ARG6" s="447"/>
      <c r="ARH6" s="447"/>
      <c r="ARI6" s="447"/>
      <c r="ARJ6" s="447"/>
      <c r="ARK6" s="447"/>
      <c r="ARL6" s="447"/>
      <c r="ARM6" s="447"/>
      <c r="ARN6" s="447"/>
      <c r="ARO6" s="447"/>
      <c r="ARP6" s="447"/>
      <c r="ARQ6" s="447"/>
      <c r="ARR6" s="447"/>
      <c r="ARS6" s="447"/>
      <c r="ART6" s="447"/>
      <c r="ARU6" s="447"/>
      <c r="ARV6" s="447"/>
      <c r="ARW6" s="447"/>
      <c r="ARX6" s="447"/>
      <c r="ARY6" s="447"/>
      <c r="ARZ6" s="447"/>
      <c r="ASA6" s="447"/>
      <c r="ASB6" s="447"/>
      <c r="ASC6" s="447"/>
      <c r="ASD6" s="447"/>
      <c r="ASE6" s="447"/>
      <c r="ASF6" s="447"/>
      <c r="ASG6" s="447"/>
      <c r="ASH6" s="447"/>
      <c r="ASI6" s="447"/>
      <c r="ASJ6" s="447"/>
      <c r="ASK6" s="447"/>
      <c r="ASL6" s="447"/>
      <c r="ASM6" s="447"/>
      <c r="ASN6" s="447"/>
      <c r="ASO6" s="447"/>
      <c r="ASP6" s="447"/>
      <c r="ASQ6" s="447"/>
      <c r="ASR6" s="447"/>
      <c r="ASS6" s="447"/>
      <c r="AST6" s="447"/>
      <c r="ASU6" s="447"/>
      <c r="ASV6" s="447"/>
      <c r="ASW6" s="447"/>
      <c r="ASX6" s="447"/>
      <c r="ASY6" s="447"/>
      <c r="ASZ6" s="447"/>
      <c r="ATA6" s="447"/>
      <c r="ATB6" s="447"/>
      <c r="ATC6" s="447"/>
      <c r="ATD6" s="447"/>
      <c r="ATE6" s="447"/>
      <c r="ATF6" s="447"/>
      <c r="ATG6" s="447"/>
      <c r="ATH6" s="447"/>
      <c r="ATI6" s="447"/>
      <c r="ATJ6" s="447"/>
      <c r="ATK6" s="447"/>
      <c r="ATL6" s="447"/>
      <c r="ATM6" s="447"/>
      <c r="ATN6" s="447"/>
      <c r="ATO6" s="447"/>
      <c r="ATP6" s="447"/>
      <c r="ATQ6" s="447"/>
      <c r="ATR6" s="447"/>
      <c r="ATS6" s="447"/>
      <c r="ATT6" s="447"/>
      <c r="ATU6" s="447"/>
      <c r="ATV6" s="447"/>
      <c r="ATW6" s="447"/>
      <c r="ATX6" s="447"/>
      <c r="ATY6" s="447"/>
      <c r="ATZ6" s="447"/>
      <c r="AUA6" s="447"/>
      <c r="AUB6" s="447"/>
      <c r="AUC6" s="447"/>
      <c r="AUD6" s="447"/>
      <c r="AUE6" s="447"/>
      <c r="AUF6" s="447"/>
      <c r="AUG6" s="447"/>
      <c r="AUH6" s="447"/>
      <c r="AUI6" s="447"/>
      <c r="AUJ6" s="447"/>
      <c r="AUK6" s="447"/>
      <c r="AUL6" s="447"/>
      <c r="AUM6" s="447"/>
      <c r="AUN6" s="447"/>
      <c r="AUO6" s="447"/>
      <c r="AUP6" s="447"/>
      <c r="AUQ6" s="447"/>
      <c r="AUR6" s="447"/>
      <c r="AUS6" s="447"/>
      <c r="AUT6" s="447"/>
      <c r="AUU6" s="447"/>
      <c r="AUV6" s="447"/>
      <c r="AUW6" s="447"/>
      <c r="AUX6" s="447"/>
      <c r="AUY6" s="447"/>
      <c r="AUZ6" s="447"/>
      <c r="AVA6" s="447"/>
      <c r="AVB6" s="447"/>
      <c r="AVC6" s="447"/>
      <c r="AVD6" s="447"/>
      <c r="AVE6" s="447"/>
      <c r="AVF6" s="447"/>
      <c r="AVG6" s="447"/>
      <c r="AVH6" s="447"/>
      <c r="AVI6" s="447"/>
      <c r="AVJ6" s="447"/>
      <c r="AVK6" s="447"/>
      <c r="AVL6" s="447"/>
      <c r="AVM6" s="447"/>
      <c r="AVN6" s="447"/>
      <c r="AVO6" s="447"/>
      <c r="AVP6" s="447"/>
      <c r="AVQ6" s="447"/>
      <c r="AVR6" s="447"/>
      <c r="AVS6" s="447"/>
      <c r="AVT6" s="447"/>
      <c r="AVU6" s="447"/>
      <c r="AVV6" s="447"/>
      <c r="AVW6" s="447"/>
      <c r="AVX6" s="447"/>
      <c r="AVY6" s="447"/>
      <c r="AVZ6" s="447"/>
      <c r="AWA6" s="447"/>
      <c r="AWB6" s="447"/>
      <c r="AWC6" s="447"/>
      <c r="AWD6" s="447"/>
      <c r="AWE6" s="447"/>
      <c r="AWF6" s="447"/>
      <c r="AWG6" s="447"/>
      <c r="AWH6" s="447"/>
      <c r="AWI6" s="447"/>
      <c r="AWJ6" s="447"/>
      <c r="AWK6" s="447"/>
      <c r="AWL6" s="447"/>
      <c r="AWM6" s="447"/>
      <c r="AWN6" s="447"/>
      <c r="AWO6" s="447"/>
      <c r="AWP6" s="447"/>
      <c r="AWQ6" s="447"/>
      <c r="AWR6" s="447"/>
      <c r="AWS6" s="447"/>
      <c r="AWT6" s="447"/>
      <c r="AWU6" s="447"/>
      <c r="AWV6" s="447"/>
      <c r="AWW6" s="447"/>
      <c r="AWX6" s="447"/>
      <c r="AWY6" s="447"/>
      <c r="AWZ6" s="447"/>
      <c r="AXA6" s="447"/>
      <c r="AXB6" s="447"/>
      <c r="AXC6" s="447"/>
      <c r="AXD6" s="447"/>
      <c r="AXE6" s="447"/>
      <c r="AXF6" s="447"/>
      <c r="AXG6" s="447"/>
      <c r="AXH6" s="447"/>
      <c r="AXI6" s="447"/>
      <c r="AXJ6" s="447"/>
      <c r="AXK6" s="447"/>
      <c r="AXL6" s="447"/>
      <c r="AXM6" s="447"/>
      <c r="AXN6" s="447"/>
      <c r="AXO6" s="447"/>
      <c r="AXP6" s="447"/>
      <c r="AXQ6" s="447"/>
      <c r="AXR6" s="447"/>
      <c r="AXS6" s="447"/>
      <c r="AXT6" s="447"/>
      <c r="AXU6" s="447"/>
      <c r="AXV6" s="447"/>
      <c r="AXW6" s="447"/>
      <c r="AXX6" s="447"/>
      <c r="AXY6" s="447"/>
      <c r="AXZ6" s="447"/>
      <c r="AYA6" s="447"/>
      <c r="AYB6" s="447"/>
      <c r="AYC6" s="447"/>
      <c r="AYD6" s="447"/>
      <c r="AYE6" s="447"/>
      <c r="AYF6" s="447"/>
      <c r="AYG6" s="447"/>
      <c r="AYH6" s="447"/>
      <c r="AYI6" s="447"/>
      <c r="AYJ6" s="447"/>
      <c r="AYK6" s="447"/>
      <c r="AYL6" s="447"/>
      <c r="AYM6" s="447"/>
      <c r="AYN6" s="447"/>
      <c r="AYO6" s="447"/>
      <c r="AYP6" s="447"/>
      <c r="AYQ6" s="447"/>
      <c r="AYR6" s="447"/>
      <c r="AYS6" s="447"/>
      <c r="AYT6" s="447"/>
      <c r="AYU6" s="447"/>
      <c r="AYV6" s="447"/>
      <c r="AYW6" s="447"/>
      <c r="AYX6" s="447"/>
      <c r="AYY6" s="447"/>
      <c r="AYZ6" s="447"/>
      <c r="AZA6" s="447"/>
      <c r="AZB6" s="447"/>
      <c r="AZC6" s="447"/>
      <c r="AZD6" s="447"/>
      <c r="AZE6" s="447"/>
      <c r="AZF6" s="447"/>
      <c r="AZG6" s="447"/>
      <c r="AZH6" s="447"/>
      <c r="AZI6" s="447"/>
      <c r="AZJ6" s="447"/>
      <c r="AZK6" s="447"/>
      <c r="AZL6" s="447"/>
      <c r="AZM6" s="447"/>
      <c r="AZN6" s="447"/>
      <c r="AZO6" s="447"/>
      <c r="AZP6" s="447"/>
      <c r="AZQ6" s="447"/>
      <c r="AZR6" s="447"/>
      <c r="AZS6" s="447"/>
      <c r="AZT6" s="447"/>
      <c r="AZU6" s="447"/>
      <c r="AZV6" s="447"/>
      <c r="AZW6" s="447"/>
      <c r="AZX6" s="447"/>
      <c r="AZY6" s="447"/>
      <c r="AZZ6" s="447"/>
      <c r="BAA6" s="447"/>
      <c r="BAB6" s="447"/>
      <c r="BAC6" s="447"/>
      <c r="BAD6" s="447"/>
      <c r="BAE6" s="447"/>
      <c r="BAF6" s="447"/>
      <c r="BAG6" s="447"/>
      <c r="BAH6" s="447"/>
      <c r="BAI6" s="447"/>
      <c r="BAJ6" s="447"/>
      <c r="BAK6" s="447"/>
      <c r="BAL6" s="447"/>
      <c r="BAM6" s="447"/>
      <c r="BAN6" s="447"/>
      <c r="BAO6" s="447"/>
      <c r="BAP6" s="447"/>
      <c r="BAQ6" s="447"/>
      <c r="BAR6" s="447"/>
      <c r="BAS6" s="447"/>
      <c r="BAT6" s="447"/>
      <c r="BAU6" s="447"/>
      <c r="BAV6" s="447"/>
      <c r="BAW6" s="447"/>
      <c r="BAX6" s="447"/>
      <c r="BAY6" s="447"/>
      <c r="BAZ6" s="447"/>
      <c r="BBA6" s="447"/>
      <c r="BBB6" s="447"/>
      <c r="BBC6" s="447"/>
      <c r="BBD6" s="447"/>
      <c r="BBE6" s="447"/>
      <c r="BBF6" s="447"/>
      <c r="BBG6" s="447"/>
      <c r="BBH6" s="447"/>
      <c r="BBI6" s="447"/>
      <c r="BBJ6" s="447"/>
      <c r="BBK6" s="447"/>
      <c r="BBL6" s="447"/>
      <c r="BBM6" s="447"/>
      <c r="BBN6" s="447"/>
      <c r="BBO6" s="447"/>
      <c r="BBP6" s="447"/>
      <c r="BBQ6" s="447"/>
      <c r="BBR6" s="447"/>
      <c r="BBS6" s="447"/>
      <c r="BBT6" s="447"/>
      <c r="BBU6" s="447"/>
      <c r="BBV6" s="447"/>
      <c r="BBW6" s="447"/>
      <c r="BBX6" s="447"/>
      <c r="BBY6" s="447"/>
      <c r="BBZ6" s="447"/>
      <c r="BCA6" s="447"/>
      <c r="BCB6" s="447"/>
      <c r="BCC6" s="447"/>
      <c r="BCD6" s="447"/>
      <c r="BCE6" s="447"/>
      <c r="BCF6" s="447"/>
      <c r="BCG6" s="447"/>
      <c r="BCH6" s="447"/>
      <c r="BCI6" s="447"/>
      <c r="BCJ6" s="447"/>
      <c r="BCK6" s="447"/>
      <c r="BCL6" s="447"/>
      <c r="BCM6" s="447"/>
      <c r="BCN6" s="447"/>
      <c r="BCO6" s="447"/>
      <c r="BCP6" s="447"/>
      <c r="BCQ6" s="447"/>
      <c r="BCR6" s="447"/>
      <c r="BCS6" s="447"/>
      <c r="BCT6" s="447"/>
      <c r="BCU6" s="447"/>
      <c r="BCV6" s="447"/>
      <c r="BCW6" s="447"/>
      <c r="BCX6" s="447"/>
      <c r="BCY6" s="447"/>
      <c r="BCZ6" s="447"/>
      <c r="BDA6" s="447"/>
      <c r="BDB6" s="447"/>
      <c r="BDC6" s="447"/>
      <c r="BDD6" s="447"/>
      <c r="BDE6" s="447"/>
      <c r="BDF6" s="447"/>
      <c r="BDG6" s="447"/>
      <c r="BDH6" s="447"/>
      <c r="BDI6" s="447"/>
      <c r="BDJ6" s="447"/>
      <c r="BDK6" s="447"/>
      <c r="BDL6" s="447"/>
      <c r="BDM6" s="447"/>
      <c r="BDN6" s="447"/>
      <c r="BDO6" s="447"/>
      <c r="BDP6" s="447"/>
      <c r="BDQ6" s="447"/>
      <c r="BDR6" s="447"/>
      <c r="BDS6" s="447"/>
      <c r="BDT6" s="447"/>
      <c r="BDU6" s="447"/>
      <c r="BDV6" s="447"/>
      <c r="BDW6" s="447"/>
      <c r="BDX6" s="447"/>
      <c r="BDY6" s="447"/>
      <c r="BDZ6" s="447"/>
      <c r="BEA6" s="447"/>
      <c r="BEB6" s="447"/>
      <c r="BEC6" s="447"/>
      <c r="BED6" s="447"/>
      <c r="BEE6" s="447"/>
      <c r="BEF6" s="447"/>
      <c r="BEG6" s="447"/>
      <c r="BEH6" s="447"/>
      <c r="BEI6" s="447"/>
      <c r="BEJ6" s="447"/>
      <c r="BEK6" s="447"/>
      <c r="BEL6" s="447"/>
      <c r="BEM6" s="447"/>
      <c r="BEN6" s="447"/>
      <c r="BEO6" s="447"/>
      <c r="BEP6" s="447"/>
      <c r="BEQ6" s="447"/>
      <c r="BER6" s="447"/>
      <c r="BES6" s="447"/>
      <c r="BET6" s="447"/>
      <c r="BEU6" s="447"/>
      <c r="BEV6" s="447"/>
      <c r="BEW6" s="447"/>
      <c r="BEX6" s="447"/>
      <c r="BEY6" s="447"/>
      <c r="BEZ6" s="447"/>
      <c r="BFA6" s="447"/>
      <c r="BFB6" s="447"/>
      <c r="BFC6" s="447"/>
      <c r="BFD6" s="447"/>
      <c r="BFE6" s="447"/>
      <c r="BFF6" s="447"/>
      <c r="BFG6" s="447"/>
      <c r="BFH6" s="447"/>
      <c r="BFI6" s="447"/>
      <c r="BFJ6" s="447"/>
      <c r="BFK6" s="447"/>
      <c r="BFL6" s="447"/>
      <c r="BFM6" s="447"/>
      <c r="BFN6" s="447"/>
      <c r="BFO6" s="447"/>
      <c r="BFP6" s="447"/>
      <c r="BFQ6" s="447"/>
      <c r="BFR6" s="447"/>
      <c r="BFS6" s="447"/>
      <c r="BFT6" s="447"/>
      <c r="BFU6" s="447"/>
      <c r="BFV6" s="447"/>
      <c r="BFW6" s="447"/>
      <c r="BFX6" s="447"/>
      <c r="BFY6" s="447"/>
      <c r="BFZ6" s="447"/>
      <c r="BGA6" s="447"/>
      <c r="BGB6" s="447"/>
      <c r="BGC6" s="447"/>
      <c r="BGD6" s="447"/>
      <c r="BGE6" s="447"/>
      <c r="BGF6" s="447"/>
      <c r="BGG6" s="447"/>
      <c r="BGH6" s="447"/>
      <c r="BGI6" s="447"/>
      <c r="BGJ6" s="447"/>
      <c r="BGK6" s="447"/>
      <c r="BGL6" s="447"/>
      <c r="BGM6" s="447"/>
      <c r="BGN6" s="447"/>
      <c r="BGO6" s="447"/>
      <c r="BGP6" s="447"/>
      <c r="BGQ6" s="447"/>
      <c r="BGR6" s="447"/>
      <c r="BGS6" s="447"/>
      <c r="BGT6" s="447"/>
      <c r="BGU6" s="447"/>
      <c r="BGV6" s="447"/>
      <c r="BGW6" s="447"/>
      <c r="BGX6" s="447"/>
      <c r="BGY6" s="447"/>
      <c r="BGZ6" s="447"/>
      <c r="BHA6" s="447"/>
      <c r="BHB6" s="447"/>
      <c r="BHC6" s="447"/>
      <c r="BHD6" s="447"/>
      <c r="BHE6" s="447"/>
      <c r="BHF6" s="447"/>
      <c r="BHG6" s="447"/>
      <c r="BHH6" s="447"/>
      <c r="BHI6" s="447"/>
      <c r="BHJ6" s="447"/>
      <c r="BHK6" s="447"/>
      <c r="BHL6" s="447"/>
      <c r="BHM6" s="447"/>
      <c r="BHN6" s="447"/>
      <c r="BHO6" s="447"/>
      <c r="BHP6" s="447"/>
      <c r="BHQ6" s="447"/>
      <c r="BHR6" s="447"/>
      <c r="BHS6" s="447"/>
      <c r="BHT6" s="447"/>
      <c r="BHU6" s="447"/>
      <c r="BHV6" s="447"/>
      <c r="BHW6" s="447"/>
      <c r="BHX6" s="447"/>
      <c r="BHY6" s="447"/>
      <c r="BHZ6" s="447"/>
      <c r="BIA6" s="447"/>
      <c r="BIB6" s="447"/>
      <c r="BIC6" s="447"/>
      <c r="BID6" s="447"/>
      <c r="BIE6" s="447"/>
      <c r="BIF6" s="447"/>
      <c r="BIG6" s="447"/>
      <c r="BIH6" s="447"/>
      <c r="BII6" s="447"/>
      <c r="BIJ6" s="447"/>
      <c r="BIK6" s="447"/>
      <c r="BIL6" s="447"/>
      <c r="BIM6" s="447"/>
      <c r="BIN6" s="447"/>
      <c r="BIO6" s="447"/>
      <c r="BIP6" s="447"/>
      <c r="BIQ6" s="447"/>
      <c r="BIR6" s="447"/>
      <c r="BIS6" s="447"/>
      <c r="BIT6" s="447"/>
      <c r="BIU6" s="447"/>
      <c r="BIV6" s="447"/>
      <c r="BIW6" s="447"/>
      <c r="BIX6" s="447"/>
      <c r="BIY6" s="447"/>
      <c r="BIZ6" s="447"/>
      <c r="BJA6" s="447"/>
      <c r="BJB6" s="447"/>
      <c r="BJC6" s="447"/>
      <c r="BJD6" s="447"/>
      <c r="BJE6" s="447"/>
      <c r="BJF6" s="447"/>
      <c r="BJG6" s="447"/>
      <c r="BJH6" s="447"/>
      <c r="BJI6" s="447"/>
      <c r="BJJ6" s="447"/>
      <c r="BJK6" s="447"/>
      <c r="BJL6" s="447"/>
      <c r="BJM6" s="447"/>
      <c r="BJN6" s="447"/>
      <c r="BJO6" s="447"/>
      <c r="BJP6" s="447"/>
      <c r="BJQ6" s="447"/>
      <c r="BJR6" s="447"/>
      <c r="BJS6" s="447"/>
      <c r="BJT6" s="447"/>
      <c r="BJU6" s="447"/>
      <c r="BJV6" s="447"/>
      <c r="BJW6" s="447"/>
      <c r="BJX6" s="447"/>
      <c r="BJY6" s="447"/>
      <c r="BJZ6" s="447"/>
      <c r="BKA6" s="447"/>
      <c r="BKB6" s="447"/>
      <c r="BKC6" s="447"/>
      <c r="BKD6" s="447"/>
      <c r="BKE6" s="447"/>
      <c r="BKF6" s="447"/>
      <c r="BKG6" s="447"/>
      <c r="BKH6" s="447"/>
      <c r="BKI6" s="447"/>
      <c r="BKJ6" s="447"/>
      <c r="BKK6" s="447"/>
      <c r="BKL6" s="447"/>
      <c r="BKM6" s="447"/>
      <c r="BKN6" s="447"/>
      <c r="BKO6" s="447"/>
      <c r="BKP6" s="447"/>
      <c r="BKQ6" s="447"/>
      <c r="BKR6" s="447"/>
      <c r="BKS6" s="447"/>
      <c r="BKT6" s="447"/>
      <c r="BKU6" s="447"/>
      <c r="BKV6" s="447"/>
      <c r="BKW6" s="447"/>
      <c r="BKX6" s="447"/>
      <c r="BKY6" s="447"/>
      <c r="BKZ6" s="447"/>
      <c r="BLA6" s="447"/>
      <c r="BLB6" s="447"/>
      <c r="BLC6" s="447"/>
      <c r="BLD6" s="447"/>
      <c r="BLE6" s="447"/>
      <c r="BLF6" s="447"/>
      <c r="BLG6" s="447"/>
      <c r="BLH6" s="447"/>
      <c r="BLI6" s="447"/>
      <c r="BLJ6" s="447"/>
      <c r="BLK6" s="447"/>
      <c r="BLL6" s="447"/>
      <c r="BLM6" s="447"/>
      <c r="BLN6" s="447"/>
      <c r="BLO6" s="447"/>
      <c r="BLP6" s="447"/>
      <c r="BLQ6" s="447"/>
      <c r="BLR6" s="447"/>
      <c r="BLS6" s="447"/>
      <c r="BLT6" s="447"/>
      <c r="BLU6" s="447"/>
      <c r="BLV6" s="447"/>
      <c r="BLW6" s="447"/>
      <c r="BLX6" s="447"/>
      <c r="BLY6" s="447"/>
      <c r="BLZ6" s="447"/>
      <c r="BMA6" s="447"/>
      <c r="BMB6" s="447"/>
      <c r="BMC6" s="447"/>
      <c r="BMD6" s="447"/>
      <c r="BME6" s="447"/>
      <c r="BMF6" s="447"/>
      <c r="BMG6" s="447"/>
      <c r="BMH6" s="447"/>
      <c r="BMI6" s="447"/>
      <c r="BMJ6" s="447"/>
      <c r="BMK6" s="447"/>
      <c r="BML6" s="447"/>
      <c r="BMM6" s="447"/>
      <c r="BMN6" s="447"/>
      <c r="BMO6" s="447"/>
      <c r="BMP6" s="447"/>
      <c r="BMQ6" s="447"/>
      <c r="BMR6" s="447"/>
      <c r="BMS6" s="447"/>
      <c r="BMT6" s="447"/>
      <c r="BMU6" s="447"/>
      <c r="BMV6" s="447"/>
      <c r="BMW6" s="447"/>
      <c r="BMX6" s="447"/>
      <c r="BMY6" s="447"/>
      <c r="BMZ6" s="447"/>
      <c r="BNA6" s="447"/>
      <c r="BNB6" s="447"/>
      <c r="BNC6" s="447"/>
      <c r="BND6" s="447"/>
      <c r="BNE6" s="447"/>
      <c r="BNF6" s="447"/>
      <c r="BNG6" s="447"/>
      <c r="BNH6" s="447"/>
      <c r="BNI6" s="447"/>
      <c r="BNJ6" s="447"/>
      <c r="BNK6" s="447"/>
      <c r="BNL6" s="447"/>
      <c r="BNM6" s="447"/>
      <c r="BNN6" s="447"/>
      <c r="BNO6" s="447"/>
      <c r="BNP6" s="447"/>
      <c r="BNQ6" s="447"/>
      <c r="BNR6" s="447"/>
      <c r="BNS6" s="447"/>
      <c r="BNT6" s="447"/>
      <c r="BNU6" s="447"/>
      <c r="BNV6" s="447"/>
      <c r="BNW6" s="447"/>
      <c r="BNX6" s="447"/>
      <c r="BNY6" s="447"/>
      <c r="BNZ6" s="447"/>
      <c r="BOA6" s="447"/>
      <c r="BOB6" s="447"/>
      <c r="BOC6" s="447"/>
      <c r="BOD6" s="447"/>
      <c r="BOE6" s="447"/>
      <c r="BOF6" s="447"/>
      <c r="BOG6" s="447"/>
      <c r="BOH6" s="447"/>
      <c r="BOI6" s="447"/>
      <c r="BOJ6" s="447"/>
      <c r="BOK6" s="447"/>
      <c r="BOL6" s="447"/>
      <c r="BOM6" s="447"/>
      <c r="BON6" s="447"/>
      <c r="BOO6" s="447"/>
      <c r="BOP6" s="447"/>
      <c r="BOQ6" s="447"/>
      <c r="BOR6" s="447"/>
      <c r="BOS6" s="447"/>
      <c r="BOT6" s="447"/>
      <c r="BOU6" s="447"/>
      <c r="BOV6" s="447"/>
      <c r="BOW6" s="447"/>
      <c r="BOX6" s="447"/>
      <c r="BOY6" s="447"/>
      <c r="BOZ6" s="447"/>
      <c r="BPA6" s="447"/>
      <c r="BPB6" s="447"/>
      <c r="BPC6" s="447"/>
      <c r="BPD6" s="447"/>
      <c r="BPE6" s="447"/>
      <c r="BPF6" s="447"/>
      <c r="BPG6" s="447"/>
      <c r="BPH6" s="447"/>
      <c r="BPI6" s="447"/>
      <c r="BPJ6" s="447"/>
      <c r="BPK6" s="447"/>
      <c r="BPL6" s="447"/>
      <c r="BPM6" s="447"/>
      <c r="BPN6" s="447"/>
      <c r="BPO6" s="447"/>
      <c r="BPP6" s="447"/>
      <c r="BPQ6" s="447"/>
      <c r="BPR6" s="447"/>
      <c r="BPS6" s="447"/>
      <c r="BPT6" s="447"/>
      <c r="BPU6" s="447"/>
      <c r="BPV6" s="447"/>
      <c r="BPW6" s="447"/>
      <c r="BPX6" s="447"/>
      <c r="BPY6" s="447"/>
      <c r="BPZ6" s="447"/>
      <c r="BQA6" s="447"/>
      <c r="BQB6" s="447"/>
      <c r="BQC6" s="447"/>
      <c r="BQD6" s="447"/>
      <c r="BQE6" s="447"/>
      <c r="BQF6" s="447"/>
      <c r="BQG6" s="447"/>
      <c r="BQH6" s="447"/>
      <c r="BQI6" s="447"/>
      <c r="BQJ6" s="447"/>
      <c r="BQK6" s="447"/>
      <c r="BQL6" s="447"/>
      <c r="BQM6" s="447"/>
      <c r="BQN6" s="447"/>
      <c r="BQO6" s="447"/>
      <c r="BQP6" s="447"/>
      <c r="BQQ6" s="447"/>
      <c r="BQR6" s="447"/>
      <c r="BQS6" s="447"/>
      <c r="BQT6" s="447"/>
      <c r="BQU6" s="447"/>
      <c r="BQV6" s="447"/>
      <c r="BQW6" s="447"/>
      <c r="BQX6" s="447"/>
      <c r="BQY6" s="447"/>
      <c r="BQZ6" s="447"/>
      <c r="BRA6" s="447"/>
      <c r="BRB6" s="447"/>
      <c r="BRC6" s="447"/>
      <c r="BRD6" s="447"/>
      <c r="BRE6" s="447"/>
      <c r="BRF6" s="447"/>
      <c r="BRG6" s="447"/>
      <c r="BRH6" s="447"/>
      <c r="BRI6" s="447"/>
      <c r="BRJ6" s="447"/>
      <c r="BRK6" s="447"/>
      <c r="BRL6" s="447"/>
      <c r="BRM6" s="447"/>
      <c r="BRN6" s="447"/>
      <c r="BRO6" s="447"/>
      <c r="BRP6" s="447"/>
      <c r="BRQ6" s="447"/>
      <c r="BRR6" s="447"/>
      <c r="BRS6" s="447"/>
      <c r="BRT6" s="447"/>
      <c r="BRU6" s="447"/>
      <c r="BRV6" s="447"/>
      <c r="BRW6" s="447"/>
      <c r="BRX6" s="447"/>
      <c r="BRY6" s="447"/>
      <c r="BRZ6" s="447"/>
      <c r="BSA6" s="447"/>
      <c r="BSB6" s="447"/>
      <c r="BSC6" s="447"/>
      <c r="BSD6" s="447"/>
      <c r="BSE6" s="447"/>
      <c r="BSF6" s="447"/>
      <c r="BSG6" s="447"/>
      <c r="BSH6" s="447"/>
      <c r="BSI6" s="447"/>
      <c r="BSJ6" s="447"/>
      <c r="BSK6" s="447"/>
      <c r="BSL6" s="447"/>
      <c r="BSM6" s="447"/>
      <c r="BSN6" s="447"/>
      <c r="BSO6" s="447"/>
      <c r="BSP6" s="447"/>
      <c r="BSQ6" s="447"/>
      <c r="BSR6" s="447"/>
      <c r="BSS6" s="447"/>
      <c r="BST6" s="447"/>
      <c r="BSU6" s="447"/>
      <c r="BSV6" s="447"/>
      <c r="BSW6" s="447"/>
      <c r="BSX6" s="447"/>
      <c r="BSY6" s="447"/>
      <c r="BSZ6" s="447"/>
      <c r="BTA6" s="447"/>
      <c r="BTB6" s="447"/>
      <c r="BTC6" s="447"/>
      <c r="BTD6" s="447"/>
      <c r="BTE6" s="447"/>
      <c r="BTF6" s="447"/>
      <c r="BTG6" s="447"/>
      <c r="BTH6" s="447"/>
      <c r="BTI6" s="447"/>
      <c r="BTJ6" s="447"/>
      <c r="BTK6" s="447"/>
      <c r="BTL6" s="447"/>
      <c r="BTM6" s="447"/>
      <c r="BTN6" s="447"/>
      <c r="BTO6" s="447"/>
      <c r="BTP6" s="447"/>
      <c r="BTQ6" s="447"/>
      <c r="BTR6" s="447"/>
      <c r="BTS6" s="447"/>
      <c r="BTT6" s="447"/>
      <c r="BTU6" s="447"/>
      <c r="BTV6" s="447"/>
      <c r="BTW6" s="447"/>
      <c r="BTX6" s="447"/>
      <c r="BTY6" s="447"/>
      <c r="BTZ6" s="447"/>
      <c r="BUA6" s="447"/>
      <c r="BUB6" s="447"/>
      <c r="BUC6" s="447"/>
      <c r="BUD6" s="447"/>
      <c r="BUE6" s="447"/>
      <c r="BUF6" s="447"/>
      <c r="BUG6" s="447"/>
      <c r="BUH6" s="447"/>
      <c r="BUI6" s="447"/>
      <c r="BUJ6" s="447"/>
      <c r="BUK6" s="447"/>
      <c r="BUL6" s="447"/>
      <c r="BUM6" s="447"/>
      <c r="BUN6" s="447"/>
      <c r="BUO6" s="447"/>
      <c r="BUP6" s="447"/>
      <c r="BUQ6" s="447"/>
      <c r="BUR6" s="447"/>
      <c r="BUS6" s="447"/>
      <c r="BUT6" s="447"/>
      <c r="BUU6" s="447"/>
      <c r="BUV6" s="447"/>
      <c r="BUW6" s="447"/>
      <c r="BUX6" s="447"/>
      <c r="BUY6" s="447"/>
      <c r="BUZ6" s="447"/>
      <c r="BVA6" s="447"/>
      <c r="BVB6" s="447"/>
      <c r="BVC6" s="447"/>
      <c r="BVD6" s="447"/>
      <c r="BVE6" s="447"/>
      <c r="BVF6" s="447"/>
      <c r="BVG6" s="447"/>
      <c r="BVH6" s="447"/>
      <c r="BVI6" s="447"/>
      <c r="BVJ6" s="447"/>
      <c r="BVK6" s="447"/>
      <c r="BVL6" s="447"/>
      <c r="BVM6" s="447"/>
      <c r="BVN6" s="447"/>
      <c r="BVO6" s="447"/>
      <c r="BVP6" s="447"/>
      <c r="BVQ6" s="447"/>
      <c r="BVR6" s="447"/>
      <c r="BVS6" s="447"/>
      <c r="BVT6" s="447"/>
      <c r="BVU6" s="447"/>
      <c r="BVV6" s="447"/>
      <c r="BVW6" s="447"/>
      <c r="BVX6" s="447"/>
      <c r="BVY6" s="447"/>
      <c r="BVZ6" s="447"/>
      <c r="BWA6" s="447"/>
      <c r="BWB6" s="447"/>
      <c r="BWC6" s="447"/>
      <c r="BWD6" s="447"/>
      <c r="BWE6" s="447"/>
      <c r="BWF6" s="447"/>
      <c r="BWG6" s="447"/>
      <c r="BWH6" s="447"/>
      <c r="BWI6" s="447"/>
      <c r="BWJ6" s="447"/>
      <c r="BWK6" s="447"/>
      <c r="BWL6" s="447"/>
      <c r="BWM6" s="447"/>
      <c r="BWN6" s="447"/>
      <c r="BWO6" s="447"/>
      <c r="BWP6" s="447"/>
      <c r="BWQ6" s="447"/>
      <c r="BWR6" s="447"/>
      <c r="BWS6" s="447"/>
      <c r="BWT6" s="447"/>
      <c r="BWU6" s="447"/>
      <c r="BWV6" s="447"/>
      <c r="BWW6" s="447"/>
      <c r="BWX6" s="447"/>
      <c r="BWY6" s="447"/>
      <c r="BWZ6" s="447"/>
      <c r="BXA6" s="447"/>
      <c r="BXB6" s="447"/>
      <c r="BXC6" s="447"/>
      <c r="BXD6" s="447"/>
      <c r="BXE6" s="447"/>
      <c r="BXF6" s="447"/>
      <c r="BXG6" s="447"/>
      <c r="BXH6" s="447"/>
      <c r="BXI6" s="447"/>
      <c r="BXJ6" s="447"/>
      <c r="BXK6" s="447"/>
      <c r="BXL6" s="447"/>
      <c r="BXM6" s="447"/>
      <c r="BXN6" s="447"/>
      <c r="BXO6" s="447"/>
      <c r="BXP6" s="447"/>
      <c r="BXQ6" s="447"/>
      <c r="BXR6" s="447"/>
      <c r="BXS6" s="447"/>
      <c r="BXT6" s="447"/>
      <c r="BXU6" s="447"/>
      <c r="BXV6" s="447"/>
      <c r="BXW6" s="447"/>
      <c r="BXX6" s="447"/>
      <c r="BXY6" s="447"/>
      <c r="BXZ6" s="447"/>
      <c r="BYA6" s="447"/>
      <c r="BYB6" s="447"/>
      <c r="BYC6" s="447"/>
      <c r="BYD6" s="447"/>
      <c r="BYE6" s="447"/>
      <c r="BYF6" s="447"/>
      <c r="BYG6" s="447"/>
      <c r="BYH6" s="447"/>
      <c r="BYI6" s="447"/>
      <c r="BYJ6" s="447"/>
      <c r="BYK6" s="447"/>
      <c r="BYL6" s="447"/>
      <c r="BYM6" s="447"/>
      <c r="BYN6" s="447"/>
      <c r="BYO6" s="447"/>
      <c r="BYP6" s="447"/>
      <c r="BYQ6" s="447"/>
      <c r="BYR6" s="447"/>
      <c r="BYS6" s="447"/>
      <c r="BYT6" s="447"/>
      <c r="BYU6" s="447"/>
      <c r="BYV6" s="447"/>
      <c r="BYW6" s="447"/>
      <c r="BYX6" s="447"/>
      <c r="BYY6" s="447"/>
      <c r="BYZ6" s="447"/>
      <c r="BZA6" s="447"/>
      <c r="BZB6" s="447"/>
      <c r="BZC6" s="447"/>
      <c r="BZD6" s="447"/>
      <c r="BZE6" s="447"/>
      <c r="BZF6" s="447"/>
      <c r="BZG6" s="447"/>
      <c r="BZH6" s="447"/>
      <c r="BZI6" s="447"/>
      <c r="BZJ6" s="447"/>
      <c r="BZK6" s="447"/>
      <c r="BZL6" s="447"/>
      <c r="BZM6" s="447"/>
      <c r="BZN6" s="447"/>
      <c r="BZO6" s="447"/>
      <c r="BZP6" s="447"/>
      <c r="BZQ6" s="447"/>
      <c r="BZR6" s="447"/>
      <c r="BZS6" s="447"/>
      <c r="BZT6" s="447"/>
      <c r="BZU6" s="447"/>
      <c r="BZV6" s="447"/>
      <c r="BZW6" s="447"/>
      <c r="BZX6" s="447"/>
      <c r="BZY6" s="447"/>
      <c r="BZZ6" s="447"/>
      <c r="CAA6" s="447"/>
      <c r="CAB6" s="447"/>
      <c r="CAC6" s="447"/>
      <c r="CAD6" s="447"/>
      <c r="CAE6" s="447"/>
      <c r="CAF6" s="447"/>
      <c r="CAG6" s="447"/>
      <c r="CAH6" s="447"/>
      <c r="CAI6" s="447"/>
      <c r="CAJ6" s="447"/>
      <c r="CAK6" s="447"/>
      <c r="CAL6" s="447"/>
      <c r="CAM6" s="447"/>
      <c r="CAN6" s="447"/>
      <c r="CAO6" s="447"/>
      <c r="CAP6" s="447"/>
      <c r="CAQ6" s="447"/>
      <c r="CAR6" s="447"/>
      <c r="CAS6" s="447"/>
      <c r="CAT6" s="447"/>
      <c r="CAU6" s="447"/>
      <c r="CAV6" s="447"/>
      <c r="CAW6" s="447"/>
      <c r="CAX6" s="447"/>
      <c r="CAY6" s="447"/>
      <c r="CAZ6" s="447"/>
      <c r="CBA6" s="447"/>
      <c r="CBB6" s="447"/>
      <c r="CBC6" s="447"/>
      <c r="CBD6" s="447"/>
      <c r="CBE6" s="447"/>
      <c r="CBF6" s="447"/>
      <c r="CBG6" s="447"/>
      <c r="CBH6" s="447"/>
      <c r="CBI6" s="447"/>
      <c r="CBJ6" s="447"/>
      <c r="CBK6" s="447"/>
      <c r="CBL6" s="447"/>
      <c r="CBM6" s="447"/>
      <c r="CBN6" s="447"/>
      <c r="CBO6" s="447"/>
      <c r="CBP6" s="447"/>
      <c r="CBQ6" s="447"/>
      <c r="CBR6" s="447"/>
      <c r="CBS6" s="447"/>
      <c r="CBT6" s="447"/>
      <c r="CBU6" s="447"/>
      <c r="CBV6" s="447"/>
      <c r="CBW6" s="447"/>
      <c r="CBX6" s="447"/>
      <c r="CBY6" s="447"/>
      <c r="CBZ6" s="447"/>
      <c r="CCA6" s="447"/>
      <c r="CCB6" s="447"/>
      <c r="CCC6" s="447"/>
      <c r="CCD6" s="447"/>
      <c r="CCE6" s="447"/>
      <c r="CCF6" s="447"/>
      <c r="CCG6" s="447"/>
      <c r="CCH6" s="447"/>
      <c r="CCI6" s="447"/>
      <c r="CCJ6" s="447"/>
      <c r="CCK6" s="447"/>
      <c r="CCL6" s="447"/>
      <c r="CCM6" s="447"/>
      <c r="CCN6" s="447"/>
      <c r="CCO6" s="447"/>
      <c r="CCP6" s="447"/>
      <c r="CCQ6" s="447"/>
      <c r="CCR6" s="447"/>
      <c r="CCS6" s="447"/>
      <c r="CCT6" s="447"/>
      <c r="CCU6" s="447"/>
      <c r="CCV6" s="447"/>
      <c r="CCW6" s="447"/>
      <c r="CCX6" s="447"/>
      <c r="CCY6" s="447"/>
      <c r="CCZ6" s="447"/>
      <c r="CDA6" s="447"/>
      <c r="CDB6" s="447"/>
      <c r="CDC6" s="447"/>
      <c r="CDD6" s="447"/>
      <c r="CDE6" s="447"/>
      <c r="CDF6" s="447"/>
      <c r="CDG6" s="447"/>
      <c r="CDH6" s="447"/>
      <c r="CDI6" s="447"/>
      <c r="CDJ6" s="447"/>
      <c r="CDK6" s="447"/>
      <c r="CDL6" s="447"/>
      <c r="CDM6" s="447"/>
      <c r="CDN6" s="447"/>
      <c r="CDO6" s="447"/>
      <c r="CDP6" s="447"/>
      <c r="CDQ6" s="447"/>
      <c r="CDR6" s="447"/>
      <c r="CDS6" s="447"/>
      <c r="CDT6" s="447"/>
      <c r="CDU6" s="447"/>
      <c r="CDV6" s="447"/>
      <c r="CDW6" s="447"/>
      <c r="CDX6" s="447"/>
      <c r="CDY6" s="447"/>
      <c r="CDZ6" s="447"/>
      <c r="CEA6" s="447"/>
      <c r="CEB6" s="447"/>
      <c r="CEC6" s="447"/>
      <c r="CED6" s="447"/>
      <c r="CEE6" s="447"/>
      <c r="CEF6" s="447"/>
      <c r="CEG6" s="447"/>
      <c r="CEH6" s="447"/>
      <c r="CEI6" s="447"/>
      <c r="CEJ6" s="447"/>
      <c r="CEK6" s="447"/>
      <c r="CEL6" s="447"/>
      <c r="CEM6" s="447"/>
      <c r="CEN6" s="447"/>
      <c r="CEO6" s="447"/>
      <c r="CEP6" s="447"/>
      <c r="CEQ6" s="447"/>
      <c r="CER6" s="447"/>
      <c r="CES6" s="447"/>
      <c r="CET6" s="447"/>
      <c r="CEU6" s="447"/>
      <c r="CEV6" s="447"/>
      <c r="CEW6" s="447"/>
      <c r="CEX6" s="447"/>
      <c r="CEY6" s="447"/>
      <c r="CEZ6" s="447"/>
      <c r="CFA6" s="447"/>
      <c r="CFB6" s="447"/>
      <c r="CFC6" s="447"/>
      <c r="CFD6" s="447"/>
      <c r="CFE6" s="447"/>
      <c r="CFF6" s="447"/>
      <c r="CFG6" s="447"/>
      <c r="CFH6" s="447"/>
      <c r="CFI6" s="447"/>
      <c r="CFJ6" s="447"/>
      <c r="CFK6" s="447"/>
      <c r="CFL6" s="447"/>
      <c r="CFM6" s="447"/>
      <c r="CFN6" s="447"/>
      <c r="CFO6" s="447"/>
      <c r="CFP6" s="447"/>
      <c r="CFQ6" s="447"/>
      <c r="CFR6" s="447"/>
      <c r="CFS6" s="447"/>
      <c r="CFT6" s="447"/>
      <c r="CFU6" s="447"/>
      <c r="CFV6" s="447"/>
      <c r="CFW6" s="447"/>
      <c r="CFX6" s="447"/>
      <c r="CFY6" s="447"/>
      <c r="CFZ6" s="447"/>
      <c r="CGA6" s="447"/>
      <c r="CGB6" s="447"/>
      <c r="CGC6" s="447"/>
      <c r="CGD6" s="447"/>
      <c r="CGE6" s="447"/>
      <c r="CGF6" s="447"/>
      <c r="CGG6" s="447"/>
      <c r="CGH6" s="447"/>
      <c r="CGI6" s="447"/>
      <c r="CGJ6" s="447"/>
      <c r="CGK6" s="447"/>
      <c r="CGL6" s="447"/>
      <c r="CGM6" s="447"/>
      <c r="CGN6" s="447"/>
      <c r="CGO6" s="447"/>
      <c r="CGP6" s="447"/>
      <c r="CGQ6" s="447"/>
      <c r="CGR6" s="447"/>
      <c r="CGS6" s="447"/>
      <c r="CGT6" s="447"/>
      <c r="CGU6" s="447"/>
      <c r="CGV6" s="447"/>
      <c r="CGW6" s="447"/>
      <c r="CGX6" s="447"/>
      <c r="CGY6" s="447"/>
      <c r="CGZ6" s="447"/>
      <c r="CHA6" s="447"/>
      <c r="CHB6" s="447"/>
      <c r="CHC6" s="447"/>
      <c r="CHD6" s="447"/>
      <c r="CHE6" s="447"/>
      <c r="CHF6" s="447"/>
      <c r="CHG6" s="447"/>
      <c r="CHH6" s="447"/>
      <c r="CHI6" s="447"/>
      <c r="CHJ6" s="447"/>
      <c r="CHK6" s="447"/>
      <c r="CHL6" s="447"/>
      <c r="CHM6" s="447"/>
      <c r="CHN6" s="447"/>
      <c r="CHO6" s="447"/>
      <c r="CHP6" s="447"/>
      <c r="CHQ6" s="447"/>
      <c r="CHR6" s="447"/>
      <c r="CHS6" s="447"/>
      <c r="CHT6" s="447"/>
      <c r="CHU6" s="447"/>
      <c r="CHV6" s="447"/>
      <c r="CHW6" s="447"/>
      <c r="CHX6" s="447"/>
      <c r="CHY6" s="447"/>
      <c r="CHZ6" s="447"/>
      <c r="CIA6" s="447"/>
      <c r="CIB6" s="447"/>
      <c r="CIC6" s="447"/>
      <c r="CID6" s="447"/>
      <c r="CIE6" s="447"/>
      <c r="CIF6" s="447"/>
      <c r="CIG6" s="447"/>
      <c r="CIH6" s="447"/>
      <c r="CII6" s="447"/>
      <c r="CIJ6" s="447"/>
      <c r="CIK6" s="447"/>
      <c r="CIL6" s="447"/>
      <c r="CIM6" s="447"/>
      <c r="CIN6" s="447"/>
      <c r="CIO6" s="447"/>
      <c r="CIP6" s="447"/>
      <c r="CIQ6" s="447"/>
      <c r="CIR6" s="447"/>
      <c r="CIS6" s="447"/>
      <c r="CIT6" s="447"/>
      <c r="CIU6" s="447"/>
      <c r="CIV6" s="447"/>
      <c r="CIW6" s="447"/>
      <c r="CIX6" s="447"/>
      <c r="CIY6" s="447"/>
      <c r="CIZ6" s="447"/>
      <c r="CJA6" s="447"/>
      <c r="CJB6" s="447"/>
      <c r="CJC6" s="447"/>
      <c r="CJD6" s="447"/>
      <c r="CJE6" s="447"/>
      <c r="CJF6" s="447"/>
      <c r="CJG6" s="447"/>
      <c r="CJH6" s="447"/>
      <c r="CJI6" s="447"/>
      <c r="CJJ6" s="447"/>
      <c r="CJK6" s="447"/>
      <c r="CJL6" s="447"/>
      <c r="CJM6" s="447"/>
      <c r="CJN6" s="447"/>
      <c r="CJO6" s="447"/>
      <c r="CJP6" s="447"/>
      <c r="CJQ6" s="447"/>
      <c r="CJR6" s="447"/>
      <c r="CJS6" s="447"/>
      <c r="CJT6" s="447"/>
      <c r="CJU6" s="447"/>
      <c r="CJV6" s="447"/>
      <c r="CJW6" s="447"/>
      <c r="CJX6" s="447"/>
      <c r="CJY6" s="447"/>
      <c r="CJZ6" s="447"/>
      <c r="CKA6" s="447"/>
      <c r="CKB6" s="447"/>
      <c r="CKC6" s="447"/>
      <c r="CKD6" s="447"/>
      <c r="CKE6" s="447"/>
      <c r="CKF6" s="447"/>
      <c r="CKG6" s="447"/>
      <c r="CKH6" s="447"/>
      <c r="CKI6" s="447"/>
      <c r="CKJ6" s="447"/>
      <c r="CKK6" s="447"/>
      <c r="CKL6" s="447"/>
      <c r="CKM6" s="447"/>
      <c r="CKN6" s="447"/>
      <c r="CKO6" s="447"/>
      <c r="CKP6" s="447"/>
      <c r="CKQ6" s="447"/>
      <c r="CKR6" s="447"/>
      <c r="CKS6" s="447"/>
      <c r="CKT6" s="447"/>
      <c r="CKU6" s="447"/>
      <c r="CKV6" s="447"/>
      <c r="CKW6" s="447"/>
      <c r="CKX6" s="447"/>
      <c r="CKY6" s="447"/>
      <c r="CKZ6" s="447"/>
      <c r="CLA6" s="447"/>
      <c r="CLB6" s="447"/>
      <c r="CLC6" s="447"/>
      <c r="CLD6" s="447"/>
      <c r="CLE6" s="447"/>
      <c r="CLF6" s="447"/>
      <c r="CLG6" s="447"/>
      <c r="CLH6" s="447"/>
      <c r="CLI6" s="447"/>
      <c r="CLJ6" s="447"/>
      <c r="CLK6" s="447"/>
      <c r="CLL6" s="447"/>
      <c r="CLM6" s="447"/>
      <c r="CLN6" s="447"/>
      <c r="CLO6" s="447"/>
      <c r="CLP6" s="447"/>
      <c r="CLQ6" s="447"/>
      <c r="CLR6" s="447"/>
      <c r="CLS6" s="447"/>
      <c r="CLT6" s="447"/>
      <c r="CLU6" s="447"/>
      <c r="CLV6" s="447"/>
      <c r="CLW6" s="447"/>
      <c r="CLX6" s="447"/>
      <c r="CLY6" s="447"/>
      <c r="CLZ6" s="447"/>
      <c r="CMA6" s="447"/>
      <c r="CMB6" s="447"/>
      <c r="CMC6" s="447"/>
      <c r="CMD6" s="447"/>
      <c r="CME6" s="447"/>
      <c r="CMF6" s="447"/>
      <c r="CMG6" s="447"/>
      <c r="CMH6" s="447"/>
      <c r="CMI6" s="447"/>
      <c r="CMJ6" s="447"/>
      <c r="CMK6" s="447"/>
      <c r="CML6" s="447"/>
      <c r="CMM6" s="447"/>
      <c r="CMN6" s="447"/>
      <c r="CMO6" s="447"/>
      <c r="CMP6" s="447"/>
      <c r="CMQ6" s="447"/>
      <c r="CMR6" s="447"/>
      <c r="CMS6" s="447"/>
      <c r="CMT6" s="447"/>
      <c r="CMU6" s="447"/>
      <c r="CMV6" s="447"/>
      <c r="CMW6" s="447"/>
      <c r="CMX6" s="447"/>
      <c r="CMY6" s="447"/>
      <c r="CMZ6" s="447"/>
      <c r="CNA6" s="447"/>
      <c r="CNB6" s="447"/>
      <c r="CNC6" s="447"/>
      <c r="CND6" s="447"/>
      <c r="CNE6" s="447"/>
      <c r="CNF6" s="447"/>
      <c r="CNG6" s="447"/>
      <c r="CNH6" s="447"/>
      <c r="CNI6" s="447"/>
      <c r="CNJ6" s="447"/>
      <c r="CNK6" s="447"/>
      <c r="CNL6" s="447"/>
      <c r="CNM6" s="447"/>
      <c r="CNN6" s="447"/>
      <c r="CNO6" s="447"/>
      <c r="CNP6" s="447"/>
      <c r="CNQ6" s="447"/>
      <c r="CNR6" s="447"/>
      <c r="CNS6" s="447"/>
      <c r="CNT6" s="447"/>
      <c r="CNU6" s="447"/>
      <c r="CNV6" s="447"/>
      <c r="CNW6" s="447"/>
      <c r="CNX6" s="447"/>
      <c r="CNY6" s="447"/>
      <c r="CNZ6" s="447"/>
      <c r="COA6" s="447"/>
      <c r="COB6" s="447"/>
      <c r="COC6" s="447"/>
      <c r="COD6" s="447"/>
      <c r="COE6" s="447"/>
      <c r="COF6" s="447"/>
      <c r="COG6" s="447"/>
      <c r="COH6" s="447"/>
      <c r="COI6" s="447"/>
      <c r="COJ6" s="447"/>
      <c r="COK6" s="447"/>
      <c r="COL6" s="447"/>
      <c r="COM6" s="447"/>
      <c r="CON6" s="447"/>
      <c r="COO6" s="447"/>
      <c r="COP6" s="447"/>
      <c r="COQ6" s="447"/>
      <c r="COR6" s="447"/>
      <c r="COS6" s="447"/>
      <c r="COT6" s="447"/>
      <c r="COU6" s="447"/>
      <c r="COV6" s="447"/>
      <c r="COW6" s="447"/>
      <c r="COX6" s="447"/>
      <c r="COY6" s="447"/>
      <c r="COZ6" s="447"/>
      <c r="CPA6" s="447"/>
      <c r="CPB6" s="447"/>
      <c r="CPC6" s="447"/>
      <c r="CPD6" s="447"/>
      <c r="CPE6" s="447"/>
      <c r="CPF6" s="447"/>
      <c r="CPG6" s="447"/>
      <c r="CPH6" s="447"/>
      <c r="CPI6" s="447"/>
      <c r="CPJ6" s="447"/>
      <c r="CPK6" s="447"/>
      <c r="CPL6" s="447"/>
      <c r="CPM6" s="447"/>
      <c r="CPN6" s="447"/>
      <c r="CPO6" s="447"/>
      <c r="CPP6" s="447"/>
      <c r="CPQ6" s="447"/>
      <c r="CPR6" s="447"/>
      <c r="CPS6" s="447"/>
      <c r="CPT6" s="447"/>
      <c r="CPU6" s="447"/>
      <c r="CPV6" s="447"/>
      <c r="CPW6" s="447"/>
      <c r="CPX6" s="447"/>
      <c r="CPY6" s="447"/>
      <c r="CPZ6" s="447"/>
      <c r="CQA6" s="447"/>
      <c r="CQB6" s="447"/>
      <c r="CQC6" s="447"/>
      <c r="CQD6" s="447"/>
      <c r="CQE6" s="447"/>
      <c r="CQF6" s="447"/>
      <c r="CQG6" s="447"/>
      <c r="CQH6" s="447"/>
      <c r="CQI6" s="447"/>
      <c r="CQJ6" s="447"/>
      <c r="CQK6" s="447"/>
      <c r="CQL6" s="447"/>
      <c r="CQM6" s="447"/>
      <c r="CQN6" s="447"/>
      <c r="CQO6" s="447"/>
      <c r="CQP6" s="447"/>
      <c r="CQQ6" s="447"/>
      <c r="CQR6" s="447"/>
      <c r="CQS6" s="447"/>
      <c r="CQT6" s="447"/>
      <c r="CQU6" s="447"/>
      <c r="CQV6" s="447"/>
      <c r="CQW6" s="447"/>
      <c r="CQX6" s="447"/>
      <c r="CQY6" s="447"/>
      <c r="CQZ6" s="447"/>
      <c r="CRA6" s="447"/>
      <c r="CRB6" s="447"/>
      <c r="CRC6" s="447"/>
      <c r="CRD6" s="447"/>
      <c r="CRE6" s="447"/>
      <c r="CRF6" s="447"/>
      <c r="CRG6" s="447"/>
      <c r="CRH6" s="447"/>
      <c r="CRI6" s="447"/>
      <c r="CRJ6" s="447"/>
      <c r="CRK6" s="447"/>
      <c r="CRL6" s="447"/>
      <c r="CRM6" s="447"/>
      <c r="CRN6" s="447"/>
      <c r="CRO6" s="447"/>
      <c r="CRP6" s="447"/>
      <c r="CRQ6" s="447"/>
      <c r="CRR6" s="447"/>
      <c r="CRS6" s="447"/>
      <c r="CRT6" s="447"/>
      <c r="CRU6" s="447"/>
      <c r="CRV6" s="447"/>
      <c r="CRW6" s="447"/>
      <c r="CRX6" s="447"/>
      <c r="CRY6" s="447"/>
      <c r="CRZ6" s="447"/>
      <c r="CSA6" s="447"/>
      <c r="CSB6" s="447"/>
      <c r="CSC6" s="447"/>
      <c r="CSD6" s="447"/>
      <c r="CSE6" s="447"/>
      <c r="CSF6" s="447"/>
      <c r="CSG6" s="447"/>
      <c r="CSH6" s="447"/>
      <c r="CSI6" s="447"/>
      <c r="CSJ6" s="447"/>
      <c r="CSK6" s="447"/>
      <c r="CSL6" s="447"/>
      <c r="CSM6" s="447"/>
      <c r="CSN6" s="447"/>
      <c r="CSO6" s="447"/>
      <c r="CSP6" s="447"/>
      <c r="CSQ6" s="447"/>
      <c r="CSR6" s="447"/>
      <c r="CSS6" s="447"/>
      <c r="CST6" s="447"/>
      <c r="CSU6" s="447"/>
      <c r="CSV6" s="447"/>
      <c r="CSW6" s="447"/>
      <c r="CSX6" s="447"/>
      <c r="CSY6" s="447"/>
      <c r="CSZ6" s="447"/>
      <c r="CTA6" s="447"/>
      <c r="CTB6" s="447"/>
      <c r="CTC6" s="447"/>
      <c r="CTD6" s="447"/>
      <c r="CTE6" s="447"/>
      <c r="CTF6" s="447"/>
      <c r="CTG6" s="447"/>
      <c r="CTH6" s="447"/>
      <c r="CTI6" s="447"/>
      <c r="CTJ6" s="447"/>
      <c r="CTK6" s="447"/>
      <c r="CTL6" s="447"/>
      <c r="CTM6" s="447"/>
      <c r="CTN6" s="447"/>
      <c r="CTO6" s="447"/>
      <c r="CTP6" s="447"/>
      <c r="CTQ6" s="447"/>
      <c r="CTR6" s="447"/>
      <c r="CTS6" s="447"/>
      <c r="CTT6" s="447"/>
      <c r="CTU6" s="447"/>
      <c r="CTV6" s="447"/>
      <c r="CTW6" s="447"/>
      <c r="CTX6" s="447"/>
      <c r="CTY6" s="447"/>
      <c r="CTZ6" s="447"/>
      <c r="CUA6" s="447"/>
      <c r="CUB6" s="447"/>
      <c r="CUC6" s="447"/>
      <c r="CUD6" s="447"/>
      <c r="CUE6" s="447"/>
      <c r="CUF6" s="447"/>
      <c r="CUG6" s="447"/>
      <c r="CUH6" s="447"/>
      <c r="CUI6" s="447"/>
      <c r="CUJ6" s="447"/>
      <c r="CUK6" s="447"/>
      <c r="CUL6" s="447"/>
      <c r="CUM6" s="447"/>
      <c r="CUN6" s="447"/>
      <c r="CUO6" s="447"/>
      <c r="CUP6" s="447"/>
      <c r="CUQ6" s="447"/>
      <c r="CUR6" s="447"/>
      <c r="CUS6" s="447"/>
      <c r="CUT6" s="447"/>
      <c r="CUU6" s="447"/>
      <c r="CUV6" s="447"/>
      <c r="CUW6" s="447"/>
      <c r="CUX6" s="447"/>
      <c r="CUY6" s="447"/>
      <c r="CUZ6" s="447"/>
      <c r="CVA6" s="447"/>
      <c r="CVB6" s="447"/>
      <c r="CVC6" s="447"/>
      <c r="CVD6" s="447"/>
      <c r="CVE6" s="447"/>
      <c r="CVF6" s="447"/>
      <c r="CVG6" s="447"/>
      <c r="CVH6" s="447"/>
      <c r="CVI6" s="447"/>
      <c r="CVJ6" s="447"/>
      <c r="CVK6" s="447"/>
      <c r="CVL6" s="447"/>
      <c r="CVM6" s="447"/>
      <c r="CVN6" s="447"/>
      <c r="CVO6" s="447"/>
      <c r="CVP6" s="447"/>
      <c r="CVQ6" s="447"/>
      <c r="CVR6" s="447"/>
      <c r="CVS6" s="447"/>
      <c r="CVT6" s="447"/>
      <c r="CVU6" s="447"/>
      <c r="CVV6" s="447"/>
      <c r="CVW6" s="447"/>
      <c r="CVX6" s="447"/>
      <c r="CVY6" s="447"/>
      <c r="CVZ6" s="447"/>
      <c r="CWA6" s="447"/>
      <c r="CWB6" s="447"/>
      <c r="CWC6" s="447"/>
      <c r="CWD6" s="447"/>
      <c r="CWE6" s="447"/>
      <c r="CWF6" s="447"/>
      <c r="CWG6" s="447"/>
      <c r="CWH6" s="447"/>
      <c r="CWI6" s="447"/>
      <c r="CWJ6" s="447"/>
      <c r="CWK6" s="447"/>
      <c r="CWL6" s="447"/>
      <c r="CWM6" s="447"/>
      <c r="CWN6" s="447"/>
      <c r="CWO6" s="447"/>
      <c r="CWP6" s="447"/>
      <c r="CWQ6" s="447"/>
      <c r="CWR6" s="447"/>
      <c r="CWS6" s="447"/>
      <c r="CWT6" s="447"/>
      <c r="CWU6" s="447"/>
      <c r="CWV6" s="447"/>
      <c r="CWW6" s="447"/>
      <c r="CWX6" s="447"/>
      <c r="CWY6" s="447"/>
      <c r="CWZ6" s="447"/>
      <c r="CXA6" s="447"/>
      <c r="CXB6" s="447"/>
      <c r="CXC6" s="447"/>
      <c r="CXD6" s="447"/>
      <c r="CXE6" s="447"/>
      <c r="CXF6" s="447"/>
      <c r="CXG6" s="447"/>
      <c r="CXH6" s="447"/>
      <c r="CXI6" s="447"/>
      <c r="CXJ6" s="447"/>
      <c r="CXK6" s="447"/>
      <c r="CXL6" s="447"/>
      <c r="CXM6" s="447"/>
      <c r="CXN6" s="447"/>
      <c r="CXO6" s="447"/>
      <c r="CXP6" s="447"/>
      <c r="CXQ6" s="447"/>
      <c r="CXR6" s="447"/>
      <c r="CXS6" s="447"/>
      <c r="CXT6" s="447"/>
      <c r="CXU6" s="447"/>
      <c r="CXV6" s="447"/>
      <c r="CXW6" s="447"/>
      <c r="CXX6" s="447"/>
      <c r="CXY6" s="447"/>
      <c r="CXZ6" s="447"/>
      <c r="CYA6" s="447"/>
      <c r="CYB6" s="447"/>
      <c r="CYC6" s="447"/>
      <c r="CYD6" s="447"/>
      <c r="CYE6" s="447"/>
      <c r="CYF6" s="447"/>
      <c r="CYG6" s="447"/>
      <c r="CYH6" s="447"/>
      <c r="CYI6" s="447"/>
      <c r="CYJ6" s="447"/>
      <c r="CYK6" s="447"/>
      <c r="CYL6" s="447"/>
      <c r="CYM6" s="447"/>
      <c r="CYN6" s="447"/>
      <c r="CYO6" s="447"/>
      <c r="CYP6" s="447"/>
      <c r="CYQ6" s="447"/>
      <c r="CYR6" s="447"/>
      <c r="CYS6" s="447"/>
      <c r="CYT6" s="447"/>
      <c r="CYU6" s="447"/>
      <c r="CYV6" s="447"/>
      <c r="CYW6" s="447"/>
      <c r="CYX6" s="447"/>
      <c r="CYY6" s="447"/>
      <c r="CYZ6" s="447"/>
      <c r="CZA6" s="447"/>
      <c r="CZB6" s="447"/>
      <c r="CZC6" s="447"/>
      <c r="CZD6" s="447"/>
      <c r="CZE6" s="447"/>
      <c r="CZF6" s="447"/>
      <c r="CZG6" s="447"/>
      <c r="CZH6" s="447"/>
      <c r="CZI6" s="447"/>
      <c r="CZJ6" s="447"/>
      <c r="CZK6" s="447"/>
      <c r="CZL6" s="447"/>
      <c r="CZM6" s="447"/>
      <c r="CZN6" s="447"/>
      <c r="CZO6" s="447"/>
      <c r="CZP6" s="447"/>
      <c r="CZQ6" s="447"/>
      <c r="CZR6" s="447"/>
      <c r="CZS6" s="447"/>
      <c r="CZT6" s="447"/>
      <c r="CZU6" s="447"/>
      <c r="CZV6" s="447"/>
      <c r="CZW6" s="447"/>
      <c r="CZX6" s="447"/>
      <c r="CZY6" s="447"/>
      <c r="CZZ6" s="447"/>
      <c r="DAA6" s="447"/>
      <c r="DAB6" s="447"/>
      <c r="DAC6" s="447"/>
      <c r="DAD6" s="447"/>
      <c r="DAE6" s="447"/>
      <c r="DAF6" s="447"/>
      <c r="DAG6" s="447"/>
      <c r="DAH6" s="447"/>
      <c r="DAI6" s="447"/>
      <c r="DAJ6" s="447"/>
      <c r="DAK6" s="447"/>
      <c r="DAL6" s="447"/>
      <c r="DAM6" s="447"/>
      <c r="DAN6" s="447"/>
      <c r="DAO6" s="447"/>
      <c r="DAP6" s="447"/>
      <c r="DAQ6" s="447"/>
      <c r="DAR6" s="447"/>
      <c r="DAS6" s="447"/>
      <c r="DAT6" s="447"/>
      <c r="DAU6" s="447"/>
      <c r="DAV6" s="447"/>
      <c r="DAW6" s="447"/>
      <c r="DAX6" s="447"/>
      <c r="DAY6" s="447"/>
      <c r="DAZ6" s="447"/>
      <c r="DBA6" s="447"/>
      <c r="DBB6" s="447"/>
      <c r="DBC6" s="447"/>
      <c r="DBD6" s="447"/>
      <c r="DBE6" s="447"/>
      <c r="DBF6" s="447"/>
      <c r="DBG6" s="447"/>
      <c r="DBH6" s="447"/>
      <c r="DBI6" s="447"/>
      <c r="DBJ6" s="447"/>
      <c r="DBK6" s="447"/>
      <c r="DBL6" s="447"/>
      <c r="DBM6" s="447"/>
      <c r="DBN6" s="447"/>
      <c r="DBO6" s="447"/>
      <c r="DBP6" s="447"/>
      <c r="DBQ6" s="447"/>
      <c r="DBR6" s="447"/>
      <c r="DBS6" s="447"/>
      <c r="DBT6" s="447"/>
      <c r="DBU6" s="447"/>
      <c r="DBV6" s="447"/>
      <c r="DBW6" s="447"/>
      <c r="DBX6" s="447"/>
      <c r="DBY6" s="447"/>
      <c r="DBZ6" s="447"/>
      <c r="DCA6" s="447"/>
      <c r="DCB6" s="447"/>
      <c r="DCC6" s="447"/>
      <c r="DCD6" s="447"/>
      <c r="DCE6" s="447"/>
      <c r="DCF6" s="447"/>
      <c r="DCG6" s="447"/>
      <c r="DCH6" s="447"/>
      <c r="DCI6" s="447"/>
      <c r="DCJ6" s="447"/>
      <c r="DCK6" s="447"/>
      <c r="DCL6" s="447"/>
      <c r="DCM6" s="447"/>
      <c r="DCN6" s="447"/>
      <c r="DCO6" s="447"/>
      <c r="DCP6" s="447"/>
      <c r="DCQ6" s="447"/>
      <c r="DCR6" s="447"/>
      <c r="DCS6" s="447"/>
      <c r="DCT6" s="447"/>
      <c r="DCU6" s="447"/>
      <c r="DCV6" s="447"/>
      <c r="DCW6" s="447"/>
      <c r="DCX6" s="447"/>
      <c r="DCY6" s="447"/>
      <c r="DCZ6" s="447"/>
      <c r="DDA6" s="447"/>
      <c r="DDB6" s="447"/>
      <c r="DDC6" s="447"/>
      <c r="DDD6" s="447"/>
      <c r="DDE6" s="447"/>
      <c r="DDF6" s="447"/>
      <c r="DDG6" s="447"/>
      <c r="DDH6" s="447"/>
      <c r="DDI6" s="447"/>
      <c r="DDJ6" s="447"/>
      <c r="DDK6" s="447"/>
      <c r="DDL6" s="447"/>
      <c r="DDM6" s="447"/>
      <c r="DDN6" s="447"/>
      <c r="DDO6" s="447"/>
      <c r="DDP6" s="447"/>
      <c r="DDQ6" s="447"/>
      <c r="DDR6" s="447"/>
      <c r="DDS6" s="447"/>
      <c r="DDT6" s="447"/>
      <c r="DDU6" s="447"/>
      <c r="DDV6" s="447"/>
      <c r="DDW6" s="447"/>
      <c r="DDX6" s="447"/>
      <c r="DDY6" s="447"/>
      <c r="DDZ6" s="447"/>
      <c r="DEA6" s="447"/>
      <c r="DEB6" s="447"/>
      <c r="DEC6" s="447"/>
      <c r="DED6" s="447"/>
      <c r="DEE6" s="447"/>
      <c r="DEF6" s="447"/>
      <c r="DEG6" s="447"/>
      <c r="DEH6" s="447"/>
      <c r="DEI6" s="447"/>
      <c r="DEJ6" s="447"/>
      <c r="DEK6" s="447"/>
      <c r="DEL6" s="447"/>
      <c r="DEM6" s="447"/>
      <c r="DEN6" s="447"/>
      <c r="DEO6" s="447"/>
      <c r="DEP6" s="447"/>
      <c r="DEQ6" s="447"/>
      <c r="DER6" s="447"/>
      <c r="DES6" s="447"/>
      <c r="DET6" s="447"/>
      <c r="DEU6" s="447"/>
      <c r="DEV6" s="447"/>
      <c r="DEW6" s="447"/>
      <c r="DEX6" s="447"/>
      <c r="DEY6" s="447"/>
      <c r="DEZ6" s="447"/>
      <c r="DFA6" s="447"/>
      <c r="DFB6" s="447"/>
      <c r="DFC6" s="447"/>
      <c r="DFD6" s="447"/>
      <c r="DFE6" s="447"/>
      <c r="DFF6" s="447"/>
      <c r="DFG6" s="447"/>
      <c r="DFH6" s="447"/>
      <c r="DFI6" s="447"/>
      <c r="DFJ6" s="447"/>
      <c r="DFK6" s="447"/>
      <c r="DFL6" s="447"/>
      <c r="DFM6" s="447"/>
      <c r="DFN6" s="447"/>
      <c r="DFO6" s="447"/>
      <c r="DFP6" s="447"/>
      <c r="DFQ6" s="447"/>
      <c r="DFR6" s="447"/>
      <c r="DFS6" s="447"/>
      <c r="DFT6" s="447"/>
      <c r="DFU6" s="447"/>
      <c r="DFV6" s="447"/>
      <c r="DFW6" s="447"/>
      <c r="DFX6" s="447"/>
      <c r="DFY6" s="447"/>
      <c r="DFZ6" s="447"/>
      <c r="DGA6" s="447"/>
      <c r="DGB6" s="447"/>
      <c r="DGC6" s="447"/>
      <c r="DGD6" s="447"/>
      <c r="DGE6" s="447"/>
      <c r="DGF6" s="447"/>
      <c r="DGG6" s="447"/>
      <c r="DGH6" s="447"/>
      <c r="DGI6" s="447"/>
      <c r="DGJ6" s="447"/>
      <c r="DGK6" s="447"/>
      <c r="DGL6" s="447"/>
      <c r="DGM6" s="447"/>
      <c r="DGN6" s="447"/>
      <c r="DGO6" s="447"/>
      <c r="DGP6" s="447"/>
      <c r="DGQ6" s="447"/>
      <c r="DGR6" s="447"/>
      <c r="DGS6" s="447"/>
      <c r="DGT6" s="447"/>
      <c r="DGU6" s="447"/>
      <c r="DGV6" s="447"/>
      <c r="DGW6" s="447"/>
      <c r="DGX6" s="447"/>
      <c r="DGY6" s="447"/>
      <c r="DGZ6" s="447"/>
      <c r="DHA6" s="447"/>
      <c r="DHB6" s="447"/>
      <c r="DHC6" s="447"/>
      <c r="DHD6" s="447"/>
      <c r="DHE6" s="447"/>
      <c r="DHF6" s="447"/>
      <c r="DHG6" s="447"/>
      <c r="DHH6" s="447"/>
      <c r="DHI6" s="447"/>
      <c r="DHJ6" s="447"/>
      <c r="DHK6" s="447"/>
      <c r="DHL6" s="447"/>
      <c r="DHM6" s="447"/>
      <c r="DHN6" s="447"/>
      <c r="DHO6" s="447"/>
      <c r="DHP6" s="447"/>
      <c r="DHQ6" s="447"/>
      <c r="DHR6" s="447"/>
      <c r="DHS6" s="447"/>
      <c r="DHT6" s="447"/>
      <c r="DHU6" s="447"/>
      <c r="DHV6" s="447"/>
      <c r="DHW6" s="447"/>
      <c r="DHX6" s="447"/>
      <c r="DHY6" s="447"/>
      <c r="DHZ6" s="447"/>
      <c r="DIA6" s="447"/>
      <c r="DIB6" s="447"/>
      <c r="DIC6" s="447"/>
      <c r="DID6" s="447"/>
      <c r="DIE6" s="447"/>
      <c r="DIF6" s="447"/>
      <c r="DIG6" s="447"/>
      <c r="DIH6" s="447"/>
      <c r="DII6" s="447"/>
      <c r="DIJ6" s="447"/>
      <c r="DIK6" s="447"/>
      <c r="DIL6" s="447"/>
      <c r="DIM6" s="447"/>
      <c r="DIN6" s="447"/>
      <c r="DIO6" s="447"/>
      <c r="DIP6" s="447"/>
      <c r="DIQ6" s="447"/>
      <c r="DIR6" s="447"/>
      <c r="DIS6" s="447"/>
      <c r="DIT6" s="447"/>
      <c r="DIU6" s="447"/>
      <c r="DIV6" s="447"/>
      <c r="DIW6" s="447"/>
      <c r="DIX6" s="447"/>
      <c r="DIY6" s="447"/>
      <c r="DIZ6" s="447"/>
      <c r="DJA6" s="447"/>
      <c r="DJB6" s="447"/>
      <c r="DJC6" s="447"/>
      <c r="DJD6" s="447"/>
      <c r="DJE6" s="447"/>
      <c r="DJF6" s="447"/>
      <c r="DJG6" s="447"/>
      <c r="DJH6" s="447"/>
      <c r="DJI6" s="447"/>
      <c r="DJJ6" s="447"/>
      <c r="DJK6" s="447"/>
      <c r="DJL6" s="447"/>
      <c r="DJM6" s="447"/>
      <c r="DJN6" s="447"/>
      <c r="DJO6" s="447"/>
      <c r="DJP6" s="447"/>
      <c r="DJQ6" s="447"/>
      <c r="DJR6" s="447"/>
      <c r="DJS6" s="447"/>
      <c r="DJT6" s="447"/>
      <c r="DJU6" s="447"/>
      <c r="DJV6" s="447"/>
      <c r="DJW6" s="447"/>
      <c r="DJX6" s="447"/>
      <c r="DJY6" s="447"/>
      <c r="DJZ6" s="447"/>
      <c r="DKA6" s="447"/>
      <c r="DKB6" s="447"/>
      <c r="DKC6" s="447"/>
      <c r="DKD6" s="447"/>
      <c r="DKE6" s="447"/>
      <c r="DKF6" s="447"/>
      <c r="DKG6" s="447"/>
      <c r="DKH6" s="447"/>
      <c r="DKI6" s="447"/>
      <c r="DKJ6" s="447"/>
      <c r="DKK6" s="447"/>
      <c r="DKL6" s="447"/>
      <c r="DKM6" s="447"/>
      <c r="DKN6" s="447"/>
      <c r="DKO6" s="447"/>
      <c r="DKP6" s="447"/>
      <c r="DKQ6" s="447"/>
      <c r="DKR6" s="447"/>
      <c r="DKS6" s="447"/>
      <c r="DKT6" s="447"/>
      <c r="DKU6" s="447"/>
      <c r="DKV6" s="447"/>
      <c r="DKW6" s="447"/>
      <c r="DKX6" s="447"/>
      <c r="DKY6" s="447"/>
      <c r="DKZ6" s="447"/>
      <c r="DLA6" s="447"/>
      <c r="DLB6" s="447"/>
      <c r="DLC6" s="447"/>
      <c r="DLD6" s="447"/>
      <c r="DLE6" s="447"/>
      <c r="DLF6" s="447"/>
      <c r="DLG6" s="447"/>
      <c r="DLH6" s="447"/>
      <c r="DLI6" s="447"/>
      <c r="DLJ6" s="447"/>
      <c r="DLK6" s="447"/>
      <c r="DLL6" s="447"/>
      <c r="DLM6" s="447"/>
      <c r="DLN6" s="447"/>
      <c r="DLO6" s="447"/>
      <c r="DLP6" s="447"/>
      <c r="DLQ6" s="447"/>
      <c r="DLR6" s="447"/>
      <c r="DLS6" s="447"/>
      <c r="DLT6" s="447"/>
      <c r="DLU6" s="447"/>
      <c r="DLV6" s="447"/>
      <c r="DLW6" s="447"/>
      <c r="DLX6" s="447"/>
      <c r="DLY6" s="447"/>
      <c r="DLZ6" s="447"/>
      <c r="DMA6" s="447"/>
      <c r="DMB6" s="447"/>
      <c r="DMC6" s="447"/>
      <c r="DMD6" s="447"/>
      <c r="DME6" s="447"/>
      <c r="DMF6" s="447"/>
      <c r="DMG6" s="447"/>
      <c r="DMH6" s="447"/>
      <c r="DMI6" s="447"/>
      <c r="DMJ6" s="447"/>
      <c r="DMK6" s="447"/>
      <c r="DML6" s="447"/>
      <c r="DMM6" s="447"/>
      <c r="DMN6" s="447"/>
      <c r="DMO6" s="447"/>
      <c r="DMP6" s="447"/>
      <c r="DMQ6" s="447"/>
      <c r="DMR6" s="447"/>
      <c r="DMS6" s="447"/>
      <c r="DMT6" s="447"/>
      <c r="DMU6" s="447"/>
      <c r="DMV6" s="447"/>
      <c r="DMW6" s="447"/>
      <c r="DMX6" s="447"/>
      <c r="DMY6" s="447"/>
      <c r="DMZ6" s="447"/>
      <c r="DNA6" s="447"/>
      <c r="DNB6" s="447"/>
      <c r="DNC6" s="447"/>
      <c r="DND6" s="447"/>
      <c r="DNE6" s="447"/>
      <c r="DNF6" s="447"/>
      <c r="DNG6" s="447"/>
      <c r="DNH6" s="447"/>
      <c r="DNI6" s="447"/>
      <c r="DNJ6" s="447"/>
      <c r="DNK6" s="447"/>
      <c r="DNL6" s="447"/>
      <c r="DNM6" s="447"/>
      <c r="DNN6" s="447"/>
      <c r="DNO6" s="447"/>
      <c r="DNP6" s="447"/>
      <c r="DNQ6" s="447"/>
      <c r="DNR6" s="447"/>
      <c r="DNS6" s="447"/>
      <c r="DNT6" s="447"/>
      <c r="DNU6" s="447"/>
      <c r="DNV6" s="447"/>
      <c r="DNW6" s="447"/>
      <c r="DNX6" s="447"/>
      <c r="DNY6" s="447"/>
      <c r="DNZ6" s="447"/>
      <c r="DOA6" s="447"/>
      <c r="DOB6" s="447"/>
      <c r="DOC6" s="447"/>
      <c r="DOD6" s="447"/>
      <c r="DOE6" s="447"/>
      <c r="DOF6" s="447"/>
      <c r="DOG6" s="447"/>
      <c r="DOH6" s="447"/>
      <c r="DOI6" s="447"/>
      <c r="DOJ6" s="447"/>
      <c r="DOK6" s="447"/>
      <c r="DOL6" s="447"/>
      <c r="DOM6" s="447"/>
      <c r="DON6" s="447"/>
      <c r="DOO6" s="447"/>
      <c r="DOP6" s="447"/>
      <c r="DOQ6" s="447"/>
      <c r="DOR6" s="447"/>
      <c r="DOS6" s="447"/>
      <c r="DOT6" s="447"/>
      <c r="DOU6" s="447"/>
      <c r="DOV6" s="447"/>
      <c r="DOW6" s="447"/>
      <c r="DOX6" s="447"/>
      <c r="DOY6" s="447"/>
      <c r="DOZ6" s="447"/>
      <c r="DPA6" s="447"/>
      <c r="DPB6" s="447"/>
      <c r="DPC6" s="447"/>
      <c r="DPD6" s="447"/>
      <c r="DPE6" s="447"/>
      <c r="DPF6" s="447"/>
      <c r="DPG6" s="447"/>
      <c r="DPH6" s="447"/>
      <c r="DPI6" s="447"/>
      <c r="DPJ6" s="447"/>
      <c r="DPK6" s="447"/>
      <c r="DPL6" s="447"/>
      <c r="DPM6" s="447"/>
      <c r="DPN6" s="447"/>
      <c r="DPO6" s="447"/>
      <c r="DPP6" s="447"/>
      <c r="DPQ6" s="447"/>
      <c r="DPR6" s="447"/>
      <c r="DPS6" s="447"/>
      <c r="DPT6" s="447"/>
      <c r="DPU6" s="447"/>
      <c r="DPV6" s="447"/>
      <c r="DPW6" s="447"/>
      <c r="DPX6" s="447"/>
      <c r="DPY6" s="447"/>
      <c r="DPZ6" s="447"/>
      <c r="DQA6" s="447"/>
      <c r="DQB6" s="447"/>
      <c r="DQC6" s="447"/>
      <c r="DQD6" s="447"/>
      <c r="DQE6" s="447"/>
      <c r="DQF6" s="447"/>
      <c r="DQG6" s="447"/>
      <c r="DQH6" s="447"/>
      <c r="DQI6" s="447"/>
      <c r="DQJ6" s="447"/>
      <c r="DQK6" s="447"/>
      <c r="DQL6" s="447"/>
      <c r="DQM6" s="447"/>
      <c r="DQN6" s="447"/>
      <c r="DQO6" s="447"/>
      <c r="DQP6" s="447"/>
      <c r="DQQ6" s="447"/>
      <c r="DQR6" s="447"/>
      <c r="DQS6" s="447"/>
      <c r="DQT6" s="447"/>
      <c r="DQU6" s="447"/>
      <c r="DQV6" s="447"/>
      <c r="DQW6" s="447"/>
      <c r="DQX6" s="447"/>
      <c r="DQY6" s="447"/>
      <c r="DQZ6" s="447"/>
      <c r="DRA6" s="447"/>
      <c r="DRB6" s="447"/>
      <c r="DRC6" s="447"/>
      <c r="DRD6" s="447"/>
      <c r="DRE6" s="447"/>
      <c r="DRF6" s="447"/>
      <c r="DRG6" s="447"/>
      <c r="DRH6" s="447"/>
      <c r="DRI6" s="447"/>
      <c r="DRJ6" s="447"/>
      <c r="DRK6" s="447"/>
      <c r="DRL6" s="447"/>
      <c r="DRM6" s="447"/>
      <c r="DRN6" s="447"/>
      <c r="DRO6" s="447"/>
      <c r="DRP6" s="447"/>
      <c r="DRQ6" s="447"/>
      <c r="DRR6" s="447"/>
      <c r="DRS6" s="447"/>
      <c r="DRT6" s="447"/>
      <c r="DRU6" s="447"/>
      <c r="DRV6" s="447"/>
      <c r="DRW6" s="447"/>
      <c r="DRX6" s="447"/>
      <c r="DRY6" s="447"/>
      <c r="DRZ6" s="447"/>
      <c r="DSA6" s="447"/>
      <c r="DSB6" s="447"/>
      <c r="DSC6" s="447"/>
      <c r="DSD6" s="447"/>
      <c r="DSE6" s="447"/>
      <c r="DSF6" s="447"/>
      <c r="DSG6" s="447"/>
      <c r="DSH6" s="447"/>
      <c r="DSI6" s="447"/>
      <c r="DSJ6" s="447"/>
      <c r="DSK6" s="447"/>
      <c r="DSL6" s="447"/>
      <c r="DSM6" s="447"/>
      <c r="DSN6" s="447"/>
      <c r="DSO6" s="447"/>
      <c r="DSP6" s="447"/>
      <c r="DSQ6" s="447"/>
      <c r="DSR6" s="447"/>
      <c r="DSS6" s="447"/>
      <c r="DST6" s="447"/>
      <c r="DSU6" s="447"/>
      <c r="DSV6" s="447"/>
      <c r="DSW6" s="447"/>
      <c r="DSX6" s="447"/>
      <c r="DSY6" s="447"/>
      <c r="DSZ6" s="447"/>
      <c r="DTA6" s="447"/>
      <c r="DTB6" s="447"/>
      <c r="DTC6" s="447"/>
      <c r="DTD6" s="447"/>
      <c r="DTE6" s="447"/>
      <c r="DTF6" s="447"/>
      <c r="DTG6" s="447"/>
      <c r="DTH6" s="447"/>
      <c r="DTI6" s="447"/>
      <c r="DTJ6" s="447"/>
      <c r="DTK6" s="447"/>
      <c r="DTL6" s="447"/>
      <c r="DTM6" s="447"/>
      <c r="DTN6" s="447"/>
      <c r="DTO6" s="447"/>
      <c r="DTP6" s="447"/>
      <c r="DTQ6" s="447"/>
      <c r="DTR6" s="447"/>
      <c r="DTS6" s="447"/>
      <c r="DTT6" s="447"/>
      <c r="DTU6" s="447"/>
      <c r="DTV6" s="447"/>
      <c r="DTW6" s="447"/>
      <c r="DTX6" s="447"/>
      <c r="DTY6" s="447"/>
      <c r="DTZ6" s="447"/>
      <c r="DUA6" s="447"/>
      <c r="DUB6" s="447"/>
      <c r="DUC6" s="447"/>
      <c r="DUD6" s="447"/>
      <c r="DUE6" s="447"/>
      <c r="DUF6" s="447"/>
      <c r="DUG6" s="447"/>
      <c r="DUH6" s="447"/>
      <c r="DUI6" s="447"/>
      <c r="DUJ6" s="447"/>
      <c r="DUK6" s="447"/>
      <c r="DUL6" s="447"/>
      <c r="DUM6" s="447"/>
      <c r="DUN6" s="447"/>
      <c r="DUO6" s="447"/>
      <c r="DUP6" s="447"/>
      <c r="DUQ6" s="447"/>
      <c r="DUR6" s="447"/>
      <c r="DUS6" s="447"/>
      <c r="DUT6" s="447"/>
      <c r="DUU6" s="447"/>
      <c r="DUV6" s="447"/>
      <c r="DUW6" s="447"/>
      <c r="DUX6" s="447"/>
      <c r="DUY6" s="447"/>
      <c r="DUZ6" s="447"/>
      <c r="DVA6" s="447"/>
      <c r="DVB6" s="447"/>
      <c r="DVC6" s="447"/>
      <c r="DVD6" s="447"/>
      <c r="DVE6" s="447"/>
      <c r="DVF6" s="447"/>
      <c r="DVG6" s="447"/>
      <c r="DVH6" s="447"/>
      <c r="DVI6" s="447"/>
      <c r="DVJ6" s="447"/>
      <c r="DVK6" s="447"/>
      <c r="DVL6" s="447"/>
      <c r="DVM6" s="447"/>
      <c r="DVN6" s="447"/>
      <c r="DVO6" s="447"/>
      <c r="DVP6" s="447"/>
      <c r="DVQ6" s="447"/>
      <c r="DVR6" s="447"/>
      <c r="DVS6" s="447"/>
      <c r="DVT6" s="447"/>
      <c r="DVU6" s="447"/>
      <c r="DVV6" s="447"/>
      <c r="DVW6" s="447"/>
      <c r="DVX6" s="447"/>
      <c r="DVY6" s="447"/>
      <c r="DVZ6" s="447"/>
      <c r="DWA6" s="447"/>
      <c r="DWB6" s="447"/>
      <c r="DWC6" s="447"/>
      <c r="DWD6" s="447"/>
      <c r="DWE6" s="447"/>
      <c r="DWF6" s="447"/>
      <c r="DWG6" s="447"/>
      <c r="DWH6" s="447"/>
      <c r="DWI6" s="447"/>
      <c r="DWJ6" s="447"/>
      <c r="DWK6" s="447"/>
      <c r="DWL6" s="447"/>
      <c r="DWM6" s="447"/>
      <c r="DWN6" s="447"/>
      <c r="DWO6" s="447"/>
      <c r="DWP6" s="447"/>
      <c r="DWQ6" s="447"/>
      <c r="DWR6" s="447"/>
      <c r="DWS6" s="447"/>
      <c r="DWT6" s="447"/>
      <c r="DWU6" s="447"/>
      <c r="DWV6" s="447"/>
      <c r="DWW6" s="447"/>
      <c r="DWX6" s="447"/>
      <c r="DWY6" s="447"/>
      <c r="DWZ6" s="447"/>
      <c r="DXA6" s="447"/>
      <c r="DXB6" s="447"/>
      <c r="DXC6" s="447"/>
      <c r="DXD6" s="447"/>
      <c r="DXE6" s="447"/>
      <c r="DXF6" s="447"/>
      <c r="DXG6" s="447"/>
      <c r="DXH6" s="447"/>
      <c r="DXI6" s="447"/>
      <c r="DXJ6" s="447"/>
      <c r="DXK6" s="447"/>
      <c r="DXL6" s="447"/>
      <c r="DXM6" s="447"/>
      <c r="DXN6" s="447"/>
      <c r="DXO6" s="447"/>
      <c r="DXP6" s="447"/>
      <c r="DXQ6" s="447"/>
      <c r="DXR6" s="447"/>
      <c r="DXS6" s="447"/>
      <c r="DXT6" s="447"/>
      <c r="DXU6" s="447"/>
      <c r="DXV6" s="447"/>
      <c r="DXW6" s="447"/>
      <c r="DXX6" s="447"/>
      <c r="DXY6" s="447"/>
      <c r="DXZ6" s="447"/>
      <c r="DYA6" s="447"/>
      <c r="DYB6" s="447"/>
      <c r="DYC6" s="447"/>
      <c r="DYD6" s="447"/>
      <c r="DYE6" s="447"/>
      <c r="DYF6" s="447"/>
      <c r="DYG6" s="447"/>
      <c r="DYH6" s="447"/>
      <c r="DYI6" s="447"/>
      <c r="DYJ6" s="447"/>
      <c r="DYK6" s="447"/>
      <c r="DYL6" s="447"/>
      <c r="DYM6" s="447"/>
      <c r="DYN6" s="447"/>
      <c r="DYO6" s="447"/>
      <c r="DYP6" s="447"/>
      <c r="DYQ6" s="447"/>
      <c r="DYR6" s="447"/>
      <c r="DYS6" s="447"/>
      <c r="DYT6" s="447"/>
      <c r="DYU6" s="447"/>
      <c r="DYV6" s="447"/>
      <c r="DYW6" s="447"/>
      <c r="DYX6" s="447"/>
      <c r="DYY6" s="447"/>
      <c r="DYZ6" s="447"/>
      <c r="DZA6" s="447"/>
      <c r="DZB6" s="447"/>
      <c r="DZC6" s="447"/>
      <c r="DZD6" s="447"/>
      <c r="DZE6" s="447"/>
      <c r="DZF6" s="447"/>
      <c r="DZG6" s="447"/>
      <c r="DZH6" s="447"/>
      <c r="DZI6" s="447"/>
      <c r="DZJ6" s="447"/>
      <c r="DZK6" s="447"/>
      <c r="DZL6" s="447"/>
      <c r="DZM6" s="447"/>
      <c r="DZN6" s="447"/>
      <c r="DZO6" s="447"/>
      <c r="DZP6" s="447"/>
      <c r="DZQ6" s="447"/>
      <c r="DZR6" s="447"/>
      <c r="DZS6" s="447"/>
      <c r="DZT6" s="447"/>
      <c r="DZU6" s="447"/>
      <c r="DZV6" s="447"/>
      <c r="DZW6" s="447"/>
      <c r="DZX6" s="447"/>
      <c r="DZY6" s="447"/>
      <c r="DZZ6" s="447"/>
      <c r="EAA6" s="447"/>
      <c r="EAB6" s="447"/>
      <c r="EAC6" s="447"/>
      <c r="EAD6" s="447"/>
      <c r="EAE6" s="447"/>
      <c r="EAF6" s="447"/>
      <c r="EAG6" s="447"/>
      <c r="EAH6" s="447"/>
      <c r="EAI6" s="447"/>
      <c r="EAJ6" s="447"/>
      <c r="EAK6" s="447"/>
      <c r="EAL6" s="447"/>
      <c r="EAM6" s="447"/>
      <c r="EAN6" s="447"/>
      <c r="EAO6" s="447"/>
      <c r="EAP6" s="447"/>
      <c r="EAQ6" s="447"/>
      <c r="EAR6" s="447"/>
      <c r="EAS6" s="447"/>
      <c r="EAT6" s="447"/>
      <c r="EAU6" s="447"/>
      <c r="EAV6" s="447"/>
      <c r="EAW6" s="447"/>
      <c r="EAX6" s="447"/>
      <c r="EAY6" s="447"/>
      <c r="EAZ6" s="447"/>
      <c r="EBA6" s="447"/>
      <c r="EBB6" s="447"/>
      <c r="EBC6" s="447"/>
      <c r="EBD6" s="447"/>
      <c r="EBE6" s="447"/>
      <c r="EBF6" s="447"/>
      <c r="EBG6" s="447"/>
      <c r="EBH6" s="447"/>
      <c r="EBI6" s="447"/>
      <c r="EBJ6" s="447"/>
      <c r="EBK6" s="447"/>
      <c r="EBL6" s="447"/>
      <c r="EBM6" s="447"/>
      <c r="EBN6" s="447"/>
      <c r="EBO6" s="447"/>
      <c r="EBP6" s="447"/>
      <c r="EBQ6" s="447"/>
      <c r="EBR6" s="447"/>
      <c r="EBS6" s="447"/>
      <c r="EBT6" s="447"/>
      <c r="EBU6" s="447"/>
      <c r="EBV6" s="447"/>
      <c r="EBW6" s="447"/>
      <c r="EBX6" s="447"/>
      <c r="EBY6" s="447"/>
      <c r="EBZ6" s="447"/>
      <c r="ECA6" s="447"/>
      <c r="ECB6" s="447"/>
      <c r="ECC6" s="447"/>
      <c r="ECD6" s="447"/>
      <c r="ECE6" s="447"/>
      <c r="ECF6" s="447"/>
      <c r="ECG6" s="447"/>
      <c r="ECH6" s="447"/>
      <c r="ECI6" s="447"/>
      <c r="ECJ6" s="447"/>
      <c r="ECK6" s="447"/>
      <c r="ECL6" s="447"/>
      <c r="ECM6" s="447"/>
      <c r="ECN6" s="447"/>
      <c r="ECO6" s="447"/>
      <c r="ECP6" s="447"/>
      <c r="ECQ6" s="447"/>
      <c r="ECR6" s="447"/>
      <c r="ECS6" s="447"/>
      <c r="ECT6" s="447"/>
      <c r="ECU6" s="447"/>
      <c r="ECV6" s="447"/>
      <c r="ECW6" s="447"/>
      <c r="ECX6" s="447"/>
      <c r="ECY6" s="447"/>
      <c r="ECZ6" s="447"/>
      <c r="EDA6" s="447"/>
      <c r="EDB6" s="447"/>
      <c r="EDC6" s="447"/>
      <c r="EDD6" s="447"/>
      <c r="EDE6" s="447"/>
      <c r="EDF6" s="447"/>
      <c r="EDG6" s="447"/>
      <c r="EDH6" s="447"/>
      <c r="EDI6" s="447"/>
      <c r="EDJ6" s="447"/>
      <c r="EDK6" s="447"/>
      <c r="EDL6" s="447"/>
      <c r="EDM6" s="447"/>
      <c r="EDN6" s="447"/>
      <c r="EDO6" s="447"/>
      <c r="EDP6" s="447"/>
      <c r="EDQ6" s="447"/>
      <c r="EDR6" s="447"/>
      <c r="EDS6" s="447"/>
      <c r="EDT6" s="447"/>
      <c r="EDU6" s="447"/>
      <c r="EDV6" s="447"/>
      <c r="EDW6" s="447"/>
      <c r="EDX6" s="447"/>
      <c r="EDY6" s="447"/>
      <c r="EDZ6" s="447"/>
      <c r="EEA6" s="447"/>
      <c r="EEB6" s="447"/>
      <c r="EEC6" s="447"/>
      <c r="EED6" s="447"/>
      <c r="EEE6" s="447"/>
      <c r="EEF6" s="447"/>
      <c r="EEG6" s="447"/>
      <c r="EEH6" s="447"/>
      <c r="EEI6" s="447"/>
      <c r="EEJ6" s="447"/>
      <c r="EEK6" s="447"/>
      <c r="EEL6" s="447"/>
      <c r="EEM6" s="447"/>
      <c r="EEN6" s="447"/>
      <c r="EEO6" s="447"/>
      <c r="EEP6" s="447"/>
      <c r="EEQ6" s="447"/>
      <c r="EER6" s="447"/>
      <c r="EES6" s="447"/>
      <c r="EET6" s="447"/>
      <c r="EEU6" s="447"/>
      <c r="EEV6" s="447"/>
      <c r="EEW6" s="447"/>
      <c r="EEX6" s="447"/>
      <c r="EEY6" s="447"/>
      <c r="EEZ6" s="447"/>
      <c r="EFA6" s="447"/>
      <c r="EFB6" s="447"/>
      <c r="EFC6" s="447"/>
      <c r="EFD6" s="447"/>
      <c r="EFE6" s="447"/>
      <c r="EFF6" s="447"/>
      <c r="EFG6" s="447"/>
      <c r="EFH6" s="447"/>
      <c r="EFI6" s="447"/>
      <c r="EFJ6" s="447"/>
      <c r="EFK6" s="447"/>
      <c r="EFL6" s="447"/>
      <c r="EFM6" s="447"/>
      <c r="EFN6" s="447"/>
      <c r="EFO6" s="447"/>
      <c r="EFP6" s="447"/>
      <c r="EFQ6" s="447"/>
      <c r="EFR6" s="447"/>
      <c r="EFS6" s="447"/>
      <c r="EFT6" s="447"/>
      <c r="EFU6" s="447"/>
      <c r="EFV6" s="447"/>
      <c r="EFW6" s="447"/>
      <c r="EFX6" s="447"/>
      <c r="EFY6" s="447"/>
      <c r="EFZ6" s="447"/>
      <c r="EGA6" s="447"/>
      <c r="EGB6" s="447"/>
      <c r="EGC6" s="447"/>
      <c r="EGD6" s="447"/>
      <c r="EGE6" s="447"/>
      <c r="EGF6" s="447"/>
      <c r="EGG6" s="447"/>
      <c r="EGH6" s="447"/>
      <c r="EGI6" s="447"/>
      <c r="EGJ6" s="447"/>
      <c r="EGK6" s="447"/>
      <c r="EGL6" s="447"/>
      <c r="EGM6" s="447"/>
      <c r="EGN6" s="447"/>
      <c r="EGO6" s="447"/>
      <c r="EGP6" s="447"/>
      <c r="EGQ6" s="447"/>
      <c r="EGR6" s="447"/>
      <c r="EGS6" s="447"/>
      <c r="EGT6" s="447"/>
      <c r="EGU6" s="447"/>
      <c r="EGV6" s="447"/>
      <c r="EGW6" s="447"/>
      <c r="EGX6" s="447"/>
      <c r="EGY6" s="447"/>
      <c r="EGZ6" s="447"/>
      <c r="EHA6" s="447"/>
      <c r="EHB6" s="447"/>
      <c r="EHC6" s="447"/>
      <c r="EHD6" s="447"/>
      <c r="EHE6" s="447"/>
      <c r="EHF6" s="447"/>
      <c r="EHG6" s="447"/>
      <c r="EHH6" s="447"/>
      <c r="EHI6" s="447"/>
      <c r="EHJ6" s="447"/>
      <c r="EHK6" s="447"/>
      <c r="EHL6" s="447"/>
      <c r="EHM6" s="447"/>
      <c r="EHN6" s="447"/>
      <c r="EHO6" s="447"/>
      <c r="EHP6" s="447"/>
      <c r="EHQ6" s="447"/>
      <c r="EHR6" s="447"/>
      <c r="EHS6" s="447"/>
      <c r="EHT6" s="447"/>
      <c r="EHU6" s="447"/>
      <c r="EHV6" s="447"/>
      <c r="EHW6" s="447"/>
      <c r="EHX6" s="447"/>
      <c r="EHY6" s="447"/>
      <c r="EHZ6" s="447"/>
      <c r="EIA6" s="447"/>
      <c r="EIB6" s="447"/>
      <c r="EIC6" s="447"/>
      <c r="EID6" s="447"/>
      <c r="EIE6" s="447"/>
      <c r="EIF6" s="447"/>
      <c r="EIG6" s="447"/>
      <c r="EIH6" s="447"/>
      <c r="EII6" s="447"/>
      <c r="EIJ6" s="447"/>
      <c r="EIK6" s="447"/>
      <c r="EIL6" s="447"/>
      <c r="EIM6" s="447"/>
      <c r="EIN6" s="447"/>
      <c r="EIO6" s="447"/>
      <c r="EIP6" s="447"/>
      <c r="EIQ6" s="447"/>
      <c r="EIR6" s="447"/>
      <c r="EIS6" s="447"/>
      <c r="EIT6" s="447"/>
      <c r="EIU6" s="447"/>
      <c r="EIV6" s="447"/>
      <c r="EIW6" s="447"/>
      <c r="EIX6" s="447"/>
      <c r="EIY6" s="447"/>
      <c r="EIZ6" s="447"/>
      <c r="EJA6" s="447"/>
      <c r="EJB6" s="447"/>
      <c r="EJC6" s="447"/>
      <c r="EJD6" s="447"/>
      <c r="EJE6" s="447"/>
      <c r="EJF6" s="447"/>
      <c r="EJG6" s="447"/>
      <c r="EJH6" s="447"/>
      <c r="EJI6" s="447"/>
      <c r="EJJ6" s="447"/>
      <c r="EJK6" s="447"/>
      <c r="EJL6" s="447"/>
      <c r="EJM6" s="447"/>
      <c r="EJN6" s="447"/>
      <c r="EJO6" s="447"/>
      <c r="EJP6" s="447"/>
      <c r="EJQ6" s="447"/>
      <c r="EJR6" s="447"/>
      <c r="EJS6" s="447"/>
      <c r="EJT6" s="447"/>
      <c r="EJU6" s="447"/>
      <c r="EJV6" s="447"/>
      <c r="EJW6" s="447"/>
      <c r="EJX6" s="447"/>
      <c r="EJY6" s="447"/>
      <c r="EJZ6" s="447"/>
      <c r="EKA6" s="447"/>
      <c r="EKB6" s="447"/>
      <c r="EKC6" s="447"/>
      <c r="EKD6" s="447"/>
      <c r="EKE6" s="447"/>
      <c r="EKF6" s="447"/>
      <c r="EKG6" s="447"/>
      <c r="EKH6" s="447"/>
      <c r="EKI6" s="447"/>
      <c r="EKJ6" s="447"/>
      <c r="EKK6" s="447"/>
      <c r="EKL6" s="447"/>
      <c r="EKM6" s="447"/>
      <c r="EKN6" s="447"/>
      <c r="EKO6" s="447"/>
      <c r="EKP6" s="447"/>
      <c r="EKQ6" s="447"/>
      <c r="EKR6" s="447"/>
      <c r="EKS6" s="447"/>
      <c r="EKT6" s="447"/>
      <c r="EKU6" s="447"/>
      <c r="EKV6" s="447"/>
      <c r="EKW6" s="447"/>
      <c r="EKX6" s="447"/>
      <c r="EKY6" s="447"/>
      <c r="EKZ6" s="447"/>
      <c r="ELA6" s="447"/>
      <c r="ELB6" s="447"/>
      <c r="ELC6" s="447"/>
      <c r="ELD6" s="447"/>
      <c r="ELE6" s="447"/>
      <c r="ELF6" s="447"/>
      <c r="ELG6" s="447"/>
      <c r="ELH6" s="447"/>
      <c r="ELI6" s="447"/>
      <c r="ELJ6" s="447"/>
      <c r="ELK6" s="447"/>
      <c r="ELL6" s="447"/>
      <c r="ELM6" s="447"/>
      <c r="ELN6" s="447"/>
      <c r="ELO6" s="447"/>
      <c r="ELP6" s="447"/>
      <c r="ELQ6" s="447"/>
      <c r="ELR6" s="447"/>
      <c r="ELS6" s="447"/>
      <c r="ELT6" s="447"/>
      <c r="ELU6" s="447"/>
      <c r="ELV6" s="447"/>
      <c r="ELW6" s="447"/>
      <c r="ELX6" s="447"/>
      <c r="ELY6" s="447"/>
      <c r="ELZ6" s="447"/>
      <c r="EMA6" s="447"/>
      <c r="EMB6" s="447"/>
      <c r="EMC6" s="447"/>
      <c r="EMD6" s="447"/>
      <c r="EME6" s="447"/>
      <c r="EMF6" s="447"/>
      <c r="EMG6" s="447"/>
      <c r="EMH6" s="447"/>
      <c r="EMI6" s="447"/>
      <c r="EMJ6" s="447"/>
      <c r="EMK6" s="447"/>
      <c r="EML6" s="447"/>
      <c r="EMM6" s="447"/>
      <c r="EMN6" s="447"/>
      <c r="EMO6" s="447"/>
      <c r="EMP6" s="447"/>
      <c r="EMQ6" s="447"/>
      <c r="EMR6" s="447"/>
      <c r="EMS6" s="447"/>
      <c r="EMT6" s="447"/>
      <c r="EMU6" s="447"/>
      <c r="EMV6" s="447"/>
      <c r="EMW6" s="447"/>
      <c r="EMX6" s="447"/>
      <c r="EMY6" s="447"/>
      <c r="EMZ6" s="447"/>
      <c r="ENA6" s="447"/>
      <c r="ENB6" s="447"/>
      <c r="ENC6" s="447"/>
      <c r="END6" s="447"/>
      <c r="ENE6" s="447"/>
      <c r="ENF6" s="447"/>
      <c r="ENG6" s="447"/>
      <c r="ENH6" s="447"/>
      <c r="ENI6" s="447"/>
      <c r="ENJ6" s="447"/>
      <c r="ENK6" s="447"/>
      <c r="ENL6" s="447"/>
      <c r="ENM6" s="447"/>
      <c r="ENN6" s="447"/>
      <c r="ENO6" s="447"/>
      <c r="ENP6" s="447"/>
      <c r="ENQ6" s="447"/>
      <c r="ENR6" s="447"/>
      <c r="ENS6" s="447"/>
      <c r="ENT6" s="447"/>
      <c r="ENU6" s="447"/>
      <c r="ENV6" s="447"/>
      <c r="ENW6" s="447"/>
      <c r="ENX6" s="447"/>
      <c r="ENY6" s="447"/>
      <c r="ENZ6" s="447"/>
      <c r="EOA6" s="447"/>
      <c r="EOB6" s="447"/>
      <c r="EOC6" s="447"/>
      <c r="EOD6" s="447"/>
      <c r="EOE6" s="447"/>
      <c r="EOF6" s="447"/>
      <c r="EOG6" s="447"/>
      <c r="EOH6" s="447"/>
      <c r="EOI6" s="447"/>
      <c r="EOJ6" s="447"/>
      <c r="EOK6" s="447"/>
      <c r="EOL6" s="447"/>
      <c r="EOM6" s="447"/>
      <c r="EON6" s="447"/>
      <c r="EOO6" s="447"/>
      <c r="EOP6" s="447"/>
      <c r="EOQ6" s="447"/>
      <c r="EOR6" s="447"/>
      <c r="EOS6" s="447"/>
      <c r="EOT6" s="447"/>
      <c r="EOU6" s="447"/>
      <c r="EOV6" s="447"/>
      <c r="EOW6" s="447"/>
      <c r="EOX6" s="447"/>
      <c r="EOY6" s="447"/>
      <c r="EOZ6" s="447"/>
      <c r="EPA6" s="447"/>
      <c r="EPB6" s="447"/>
      <c r="EPC6" s="447"/>
      <c r="EPD6" s="447"/>
      <c r="EPE6" s="447"/>
      <c r="EPF6" s="447"/>
      <c r="EPG6" s="447"/>
      <c r="EPH6" s="447"/>
      <c r="EPI6" s="447"/>
      <c r="EPJ6" s="447"/>
      <c r="EPK6" s="447"/>
      <c r="EPL6" s="447"/>
      <c r="EPM6" s="447"/>
      <c r="EPN6" s="447"/>
      <c r="EPO6" s="447"/>
      <c r="EPP6" s="447"/>
      <c r="EPQ6" s="447"/>
      <c r="EPR6" s="447"/>
      <c r="EPS6" s="447"/>
      <c r="EPT6" s="447"/>
      <c r="EPU6" s="447"/>
      <c r="EPV6" s="447"/>
      <c r="EPW6" s="447"/>
      <c r="EPX6" s="447"/>
      <c r="EPY6" s="447"/>
      <c r="EPZ6" s="447"/>
      <c r="EQA6" s="447"/>
      <c r="EQB6" s="447"/>
      <c r="EQC6" s="447"/>
      <c r="EQD6" s="447"/>
      <c r="EQE6" s="447"/>
      <c r="EQF6" s="447"/>
      <c r="EQG6" s="447"/>
      <c r="EQH6" s="447"/>
      <c r="EQI6" s="447"/>
      <c r="EQJ6" s="447"/>
      <c r="EQK6" s="447"/>
      <c r="EQL6" s="447"/>
      <c r="EQM6" s="447"/>
      <c r="EQN6" s="447"/>
      <c r="EQO6" s="447"/>
      <c r="EQP6" s="447"/>
      <c r="EQQ6" s="447"/>
      <c r="EQR6" s="447"/>
      <c r="EQS6" s="447"/>
      <c r="EQT6" s="447"/>
      <c r="EQU6" s="447"/>
      <c r="EQV6" s="447"/>
      <c r="EQW6" s="447"/>
      <c r="EQX6" s="447"/>
      <c r="EQY6" s="447"/>
      <c r="EQZ6" s="447"/>
      <c r="ERA6" s="447"/>
      <c r="ERB6" s="447"/>
      <c r="ERC6" s="447"/>
      <c r="ERD6" s="447"/>
      <c r="ERE6" s="447"/>
      <c r="ERF6" s="447"/>
      <c r="ERG6" s="447"/>
      <c r="ERH6" s="447"/>
      <c r="ERI6" s="447"/>
      <c r="ERJ6" s="447"/>
      <c r="ERK6" s="447"/>
      <c r="ERL6" s="447"/>
      <c r="ERM6" s="447"/>
      <c r="ERN6" s="447"/>
      <c r="ERO6" s="447"/>
      <c r="ERP6" s="447"/>
      <c r="ERQ6" s="447"/>
      <c r="ERR6" s="447"/>
      <c r="ERS6" s="447"/>
      <c r="ERT6" s="447"/>
      <c r="ERU6" s="447"/>
      <c r="ERV6" s="447"/>
      <c r="ERW6" s="447"/>
      <c r="ERX6" s="447"/>
      <c r="ERY6" s="447"/>
      <c r="ERZ6" s="447"/>
      <c r="ESA6" s="447"/>
      <c r="ESB6" s="447"/>
      <c r="ESC6" s="447"/>
      <c r="ESD6" s="447"/>
      <c r="ESE6" s="447"/>
      <c r="ESF6" s="447"/>
      <c r="ESG6" s="447"/>
      <c r="ESH6" s="447"/>
      <c r="ESI6" s="447"/>
      <c r="ESJ6" s="447"/>
      <c r="ESK6" s="447"/>
      <c r="ESL6" s="447"/>
      <c r="ESM6" s="447"/>
      <c r="ESN6" s="447"/>
      <c r="ESO6" s="447"/>
      <c r="ESP6" s="447"/>
      <c r="ESQ6" s="447"/>
      <c r="ESR6" s="447"/>
      <c r="ESS6" s="447"/>
      <c r="EST6" s="447"/>
      <c r="ESU6" s="447"/>
      <c r="ESV6" s="447"/>
      <c r="ESW6" s="447"/>
      <c r="ESX6" s="447"/>
      <c r="ESY6" s="447"/>
      <c r="ESZ6" s="447"/>
      <c r="ETA6" s="447"/>
      <c r="ETB6" s="447"/>
      <c r="ETC6" s="447"/>
      <c r="ETD6" s="447"/>
      <c r="ETE6" s="447"/>
      <c r="ETF6" s="447"/>
      <c r="ETG6" s="447"/>
      <c r="ETH6" s="447"/>
      <c r="ETI6" s="447"/>
      <c r="ETJ6" s="447"/>
      <c r="ETK6" s="447"/>
      <c r="ETL6" s="447"/>
      <c r="ETM6" s="447"/>
      <c r="ETN6" s="447"/>
      <c r="ETO6" s="447"/>
      <c r="ETP6" s="447"/>
      <c r="ETQ6" s="447"/>
      <c r="ETR6" s="447"/>
      <c r="ETS6" s="447"/>
      <c r="ETT6" s="447"/>
      <c r="ETU6" s="447"/>
      <c r="ETV6" s="447"/>
      <c r="ETW6" s="447"/>
      <c r="ETX6" s="447"/>
      <c r="ETY6" s="447"/>
      <c r="ETZ6" s="447"/>
      <c r="EUA6" s="447"/>
      <c r="EUB6" s="447"/>
      <c r="EUC6" s="447"/>
      <c r="EUD6" s="447"/>
      <c r="EUE6" s="447"/>
      <c r="EUF6" s="447"/>
      <c r="EUG6" s="447"/>
      <c r="EUH6" s="447"/>
      <c r="EUI6" s="447"/>
      <c r="EUJ6" s="447"/>
      <c r="EUK6" s="447"/>
      <c r="EUL6" s="447"/>
      <c r="EUM6" s="447"/>
      <c r="EUN6" s="447"/>
      <c r="EUO6" s="447"/>
      <c r="EUP6" s="447"/>
      <c r="EUQ6" s="447"/>
      <c r="EUR6" s="447"/>
      <c r="EUS6" s="447"/>
      <c r="EUT6" s="447"/>
      <c r="EUU6" s="447"/>
      <c r="EUV6" s="447"/>
      <c r="EUW6" s="447"/>
      <c r="EUX6" s="447"/>
      <c r="EUY6" s="447"/>
      <c r="EUZ6" s="447"/>
      <c r="EVA6" s="447"/>
      <c r="EVB6" s="447"/>
      <c r="EVC6" s="447"/>
      <c r="EVD6" s="447"/>
      <c r="EVE6" s="447"/>
      <c r="EVF6" s="447"/>
      <c r="EVG6" s="447"/>
      <c r="EVH6" s="447"/>
      <c r="EVI6" s="447"/>
      <c r="EVJ6" s="447"/>
      <c r="EVK6" s="447"/>
      <c r="EVL6" s="447"/>
      <c r="EVM6" s="447"/>
      <c r="EVN6" s="447"/>
      <c r="EVO6" s="447"/>
      <c r="EVP6" s="447"/>
      <c r="EVQ6" s="447"/>
      <c r="EVR6" s="447"/>
      <c r="EVS6" s="447"/>
      <c r="EVT6" s="447"/>
      <c r="EVU6" s="447"/>
      <c r="EVV6" s="447"/>
      <c r="EVW6" s="447"/>
      <c r="EVX6" s="447"/>
      <c r="EVY6" s="447"/>
      <c r="EVZ6" s="447"/>
      <c r="EWA6" s="447"/>
      <c r="EWB6" s="447"/>
      <c r="EWC6" s="447"/>
      <c r="EWD6" s="447"/>
      <c r="EWE6" s="447"/>
      <c r="EWF6" s="447"/>
      <c r="EWG6" s="447"/>
      <c r="EWH6" s="447"/>
      <c r="EWI6" s="447"/>
      <c r="EWJ6" s="447"/>
      <c r="EWK6" s="447"/>
      <c r="EWL6" s="447"/>
      <c r="EWM6" s="447"/>
      <c r="EWN6" s="447"/>
      <c r="EWO6" s="447"/>
      <c r="EWP6" s="447"/>
      <c r="EWQ6" s="447"/>
      <c r="EWR6" s="447"/>
      <c r="EWS6" s="447"/>
      <c r="EWT6" s="447"/>
      <c r="EWU6" s="447"/>
      <c r="EWV6" s="447"/>
      <c r="EWW6" s="447"/>
      <c r="EWX6" s="447"/>
      <c r="EWY6" s="447"/>
      <c r="EWZ6" s="447"/>
      <c r="EXA6" s="447"/>
      <c r="EXB6" s="447"/>
      <c r="EXC6" s="447"/>
      <c r="EXD6" s="447"/>
      <c r="EXE6" s="447"/>
      <c r="EXF6" s="447"/>
      <c r="EXG6" s="447"/>
      <c r="EXH6" s="447"/>
      <c r="EXI6" s="447"/>
      <c r="EXJ6" s="447"/>
      <c r="EXK6" s="447"/>
      <c r="EXL6" s="447"/>
      <c r="EXM6" s="447"/>
      <c r="EXN6" s="447"/>
      <c r="EXO6" s="447"/>
      <c r="EXP6" s="447"/>
      <c r="EXQ6" s="447"/>
      <c r="EXR6" s="447"/>
      <c r="EXS6" s="447"/>
      <c r="EXT6" s="447"/>
      <c r="EXU6" s="447"/>
      <c r="EXV6" s="447"/>
      <c r="EXW6" s="447"/>
      <c r="EXX6" s="447"/>
      <c r="EXY6" s="447"/>
      <c r="EXZ6" s="447"/>
      <c r="EYA6" s="447"/>
      <c r="EYB6" s="447"/>
      <c r="EYC6" s="447"/>
      <c r="EYD6" s="447"/>
      <c r="EYE6" s="447"/>
      <c r="EYF6" s="447"/>
      <c r="EYG6" s="447"/>
      <c r="EYH6" s="447"/>
      <c r="EYI6" s="447"/>
      <c r="EYJ6" s="447"/>
      <c r="EYK6" s="447"/>
      <c r="EYL6" s="447"/>
      <c r="EYM6" s="447"/>
      <c r="EYN6" s="447"/>
      <c r="EYO6" s="447"/>
      <c r="EYP6" s="447"/>
      <c r="EYQ6" s="447"/>
      <c r="EYR6" s="447"/>
      <c r="EYS6" s="447"/>
      <c r="EYT6" s="447"/>
      <c r="EYU6" s="447"/>
      <c r="EYV6" s="447"/>
      <c r="EYW6" s="447"/>
      <c r="EYX6" s="447"/>
      <c r="EYY6" s="447"/>
      <c r="EYZ6" s="447"/>
      <c r="EZA6" s="447"/>
      <c r="EZB6" s="447"/>
      <c r="EZC6" s="447"/>
      <c r="EZD6" s="447"/>
      <c r="EZE6" s="447"/>
      <c r="EZF6" s="447"/>
      <c r="EZG6" s="447"/>
      <c r="EZH6" s="447"/>
      <c r="EZI6" s="447"/>
      <c r="EZJ6" s="447"/>
      <c r="EZK6" s="447"/>
      <c r="EZL6" s="447"/>
      <c r="EZM6" s="447"/>
      <c r="EZN6" s="447"/>
      <c r="EZO6" s="447"/>
      <c r="EZP6" s="447"/>
      <c r="EZQ6" s="447"/>
      <c r="EZR6" s="447"/>
      <c r="EZS6" s="447"/>
      <c r="EZT6" s="447"/>
      <c r="EZU6" s="447"/>
      <c r="EZV6" s="447"/>
      <c r="EZW6" s="447"/>
      <c r="EZX6" s="447"/>
      <c r="EZY6" s="447"/>
      <c r="EZZ6" s="447"/>
      <c r="FAA6" s="447"/>
      <c r="FAB6" s="447"/>
      <c r="FAC6" s="447"/>
      <c r="FAD6" s="447"/>
      <c r="FAE6" s="447"/>
      <c r="FAF6" s="447"/>
      <c r="FAG6" s="447"/>
      <c r="FAH6" s="447"/>
      <c r="FAI6" s="447"/>
      <c r="FAJ6" s="447"/>
      <c r="FAK6" s="447"/>
      <c r="FAL6" s="447"/>
      <c r="FAM6" s="447"/>
      <c r="FAN6" s="447"/>
      <c r="FAO6" s="447"/>
      <c r="FAP6" s="447"/>
      <c r="FAQ6" s="447"/>
      <c r="FAR6" s="447"/>
      <c r="FAS6" s="447"/>
      <c r="FAT6" s="447"/>
      <c r="FAU6" s="447"/>
      <c r="FAV6" s="447"/>
      <c r="FAW6" s="447"/>
      <c r="FAX6" s="447"/>
      <c r="FAY6" s="447"/>
      <c r="FAZ6" s="447"/>
      <c r="FBA6" s="447"/>
      <c r="FBB6" s="447"/>
      <c r="FBC6" s="447"/>
      <c r="FBD6" s="447"/>
      <c r="FBE6" s="447"/>
      <c r="FBF6" s="447"/>
      <c r="FBG6" s="447"/>
      <c r="FBH6" s="447"/>
      <c r="FBI6" s="447"/>
      <c r="FBJ6" s="447"/>
      <c r="FBK6" s="447"/>
      <c r="FBL6" s="447"/>
      <c r="FBM6" s="447"/>
      <c r="FBN6" s="447"/>
      <c r="FBO6" s="447"/>
      <c r="FBP6" s="447"/>
      <c r="FBQ6" s="447"/>
      <c r="FBR6" s="447"/>
      <c r="FBS6" s="447"/>
      <c r="FBT6" s="447"/>
      <c r="FBU6" s="447"/>
      <c r="FBV6" s="447"/>
      <c r="FBW6" s="447"/>
      <c r="FBX6" s="447"/>
      <c r="FBY6" s="447"/>
      <c r="FBZ6" s="447"/>
      <c r="FCA6" s="447"/>
      <c r="FCB6" s="447"/>
      <c r="FCC6" s="447"/>
      <c r="FCD6" s="447"/>
      <c r="FCE6" s="447"/>
      <c r="FCF6" s="447"/>
      <c r="FCG6" s="447"/>
      <c r="FCH6" s="447"/>
      <c r="FCI6" s="447"/>
      <c r="FCJ6" s="447"/>
      <c r="FCK6" s="447"/>
      <c r="FCL6" s="447"/>
      <c r="FCM6" s="447"/>
      <c r="FCN6" s="447"/>
      <c r="FCO6" s="447"/>
      <c r="FCP6" s="447"/>
      <c r="FCQ6" s="447"/>
      <c r="FCR6" s="447"/>
      <c r="FCS6" s="447"/>
      <c r="FCT6" s="447"/>
      <c r="FCU6" s="447"/>
      <c r="FCV6" s="447"/>
      <c r="FCW6" s="447"/>
      <c r="FCX6" s="447"/>
      <c r="FCY6" s="447"/>
      <c r="FCZ6" s="447"/>
      <c r="FDA6" s="447"/>
      <c r="FDB6" s="447"/>
      <c r="FDC6" s="447"/>
      <c r="FDD6" s="447"/>
      <c r="FDE6" s="447"/>
      <c r="FDF6" s="447"/>
      <c r="FDG6" s="447"/>
      <c r="FDH6" s="447"/>
      <c r="FDI6" s="447"/>
      <c r="FDJ6" s="447"/>
      <c r="FDK6" s="447"/>
      <c r="FDL6" s="447"/>
      <c r="FDM6" s="447"/>
      <c r="FDN6" s="447"/>
      <c r="FDO6" s="447"/>
      <c r="FDP6" s="447"/>
      <c r="FDQ6" s="447"/>
      <c r="FDR6" s="447"/>
      <c r="FDS6" s="447"/>
      <c r="FDT6" s="447"/>
      <c r="FDU6" s="447"/>
      <c r="FDV6" s="447"/>
      <c r="FDW6" s="447"/>
      <c r="FDX6" s="447"/>
      <c r="FDY6" s="447"/>
      <c r="FDZ6" s="447"/>
      <c r="FEA6" s="447"/>
      <c r="FEB6" s="447"/>
      <c r="FEC6" s="447"/>
      <c r="FED6" s="447"/>
      <c r="FEE6" s="447"/>
      <c r="FEF6" s="447"/>
      <c r="FEG6" s="447"/>
      <c r="FEH6" s="447"/>
      <c r="FEI6" s="447"/>
      <c r="FEJ6" s="447"/>
      <c r="FEK6" s="447"/>
      <c r="FEL6" s="447"/>
      <c r="FEM6" s="447"/>
      <c r="FEN6" s="447"/>
      <c r="FEO6" s="447"/>
      <c r="FEP6" s="447"/>
      <c r="FEQ6" s="447"/>
      <c r="FER6" s="447"/>
      <c r="FES6" s="447"/>
      <c r="FET6" s="447"/>
      <c r="FEU6" s="447"/>
      <c r="FEV6" s="447"/>
      <c r="FEW6" s="447"/>
      <c r="FEX6" s="447"/>
      <c r="FEY6" s="447"/>
      <c r="FEZ6" s="447"/>
      <c r="FFA6" s="447"/>
      <c r="FFB6" s="447"/>
      <c r="FFC6" s="447"/>
      <c r="FFD6" s="447"/>
      <c r="FFE6" s="447"/>
      <c r="FFF6" s="447"/>
      <c r="FFG6" s="447"/>
      <c r="FFH6" s="447"/>
      <c r="FFI6" s="447"/>
      <c r="FFJ6" s="447"/>
      <c r="FFK6" s="447"/>
      <c r="FFL6" s="447"/>
      <c r="FFM6" s="447"/>
      <c r="FFN6" s="447"/>
      <c r="FFO6" s="447"/>
      <c r="FFP6" s="447"/>
      <c r="FFQ6" s="447"/>
      <c r="FFR6" s="447"/>
      <c r="FFS6" s="447"/>
      <c r="FFT6" s="447"/>
      <c r="FFU6" s="447"/>
      <c r="FFV6" s="447"/>
      <c r="FFW6" s="447"/>
      <c r="FFX6" s="447"/>
      <c r="FFY6" s="447"/>
      <c r="FFZ6" s="447"/>
      <c r="FGA6" s="447"/>
      <c r="FGB6" s="447"/>
      <c r="FGC6" s="447"/>
      <c r="FGD6" s="447"/>
      <c r="FGE6" s="447"/>
      <c r="FGF6" s="447"/>
      <c r="FGG6" s="447"/>
      <c r="FGH6" s="447"/>
      <c r="FGI6" s="447"/>
      <c r="FGJ6" s="447"/>
      <c r="FGK6" s="447"/>
      <c r="FGL6" s="447"/>
      <c r="FGM6" s="447"/>
      <c r="FGN6" s="447"/>
      <c r="FGO6" s="447"/>
      <c r="FGP6" s="447"/>
      <c r="FGQ6" s="447"/>
      <c r="FGR6" s="447"/>
      <c r="FGS6" s="447"/>
      <c r="FGT6" s="447"/>
      <c r="FGU6" s="447"/>
      <c r="FGV6" s="447"/>
      <c r="FGW6" s="447"/>
      <c r="FGX6" s="447"/>
      <c r="FGY6" s="447"/>
      <c r="FGZ6" s="447"/>
      <c r="FHA6" s="447"/>
      <c r="FHB6" s="447"/>
      <c r="FHC6" s="447"/>
      <c r="FHD6" s="447"/>
      <c r="FHE6" s="447"/>
      <c r="FHF6" s="447"/>
      <c r="FHG6" s="447"/>
      <c r="FHH6" s="447"/>
      <c r="FHI6" s="447"/>
      <c r="FHJ6" s="447"/>
      <c r="FHK6" s="447"/>
      <c r="FHL6" s="447"/>
      <c r="FHM6" s="447"/>
      <c r="FHN6" s="447"/>
      <c r="FHO6" s="447"/>
      <c r="FHP6" s="447"/>
      <c r="FHQ6" s="447"/>
      <c r="FHR6" s="447"/>
      <c r="FHS6" s="447"/>
      <c r="FHT6" s="447"/>
      <c r="FHU6" s="447"/>
      <c r="FHV6" s="447"/>
      <c r="FHW6" s="447"/>
      <c r="FHX6" s="447"/>
      <c r="FHY6" s="447"/>
      <c r="FHZ6" s="447"/>
      <c r="FIA6" s="447"/>
      <c r="FIB6" s="447"/>
      <c r="FIC6" s="447"/>
      <c r="FID6" s="447"/>
      <c r="FIE6" s="447"/>
      <c r="FIF6" s="447"/>
      <c r="FIG6" s="447"/>
      <c r="FIH6" s="447"/>
      <c r="FII6" s="447"/>
      <c r="FIJ6" s="447"/>
      <c r="FIK6" s="447"/>
      <c r="FIL6" s="447"/>
      <c r="FIM6" s="447"/>
      <c r="FIN6" s="447"/>
      <c r="FIO6" s="447"/>
      <c r="FIP6" s="447"/>
      <c r="FIQ6" s="447"/>
      <c r="FIR6" s="447"/>
      <c r="FIS6" s="447"/>
      <c r="FIT6" s="447"/>
      <c r="FIU6" s="447"/>
      <c r="FIV6" s="447"/>
      <c r="FIW6" s="447"/>
      <c r="FIX6" s="447"/>
      <c r="FIY6" s="447"/>
      <c r="FIZ6" s="447"/>
      <c r="FJA6" s="447"/>
      <c r="FJB6" s="447"/>
      <c r="FJC6" s="447"/>
      <c r="FJD6" s="447"/>
      <c r="FJE6" s="447"/>
      <c r="FJF6" s="447"/>
      <c r="FJG6" s="447"/>
      <c r="FJH6" s="447"/>
      <c r="FJI6" s="447"/>
      <c r="FJJ6" s="447"/>
      <c r="FJK6" s="447"/>
      <c r="FJL6" s="447"/>
      <c r="FJM6" s="447"/>
      <c r="FJN6" s="447"/>
      <c r="FJO6" s="447"/>
      <c r="FJP6" s="447"/>
      <c r="FJQ6" s="447"/>
      <c r="FJR6" s="447"/>
      <c r="FJS6" s="447"/>
      <c r="FJT6" s="447"/>
      <c r="FJU6" s="447"/>
      <c r="FJV6" s="447"/>
      <c r="FJW6" s="447"/>
      <c r="FJX6" s="447"/>
      <c r="FJY6" s="447"/>
      <c r="FJZ6" s="447"/>
      <c r="FKA6" s="447"/>
      <c r="FKB6" s="447"/>
      <c r="FKC6" s="447"/>
      <c r="FKD6" s="447"/>
      <c r="FKE6" s="447"/>
      <c r="FKF6" s="447"/>
      <c r="FKG6" s="447"/>
      <c r="FKH6" s="447"/>
      <c r="FKI6" s="447"/>
      <c r="FKJ6" s="447"/>
      <c r="FKK6" s="447"/>
      <c r="FKL6" s="447"/>
      <c r="FKM6" s="447"/>
      <c r="FKN6" s="447"/>
      <c r="FKO6" s="447"/>
      <c r="FKP6" s="447"/>
      <c r="FKQ6" s="447"/>
      <c r="FKR6" s="447"/>
      <c r="FKS6" s="447"/>
      <c r="FKT6" s="447"/>
      <c r="FKU6" s="447"/>
      <c r="FKV6" s="447"/>
      <c r="FKW6" s="447"/>
      <c r="FKX6" s="447"/>
      <c r="FKY6" s="447"/>
      <c r="FKZ6" s="447"/>
      <c r="FLA6" s="447"/>
      <c r="FLB6" s="447"/>
      <c r="FLC6" s="447"/>
      <c r="FLD6" s="447"/>
      <c r="FLE6" s="447"/>
      <c r="FLF6" s="447"/>
      <c r="FLG6" s="447"/>
      <c r="FLH6" s="447"/>
      <c r="FLI6" s="447"/>
      <c r="FLJ6" s="447"/>
      <c r="FLK6" s="447"/>
      <c r="FLL6" s="447"/>
      <c r="FLM6" s="447"/>
      <c r="FLN6" s="447"/>
      <c r="FLO6" s="447"/>
      <c r="FLP6" s="447"/>
      <c r="FLQ6" s="447"/>
      <c r="FLR6" s="447"/>
      <c r="FLS6" s="447"/>
      <c r="FLT6" s="447"/>
      <c r="FLU6" s="447"/>
      <c r="FLV6" s="447"/>
      <c r="FLW6" s="447"/>
      <c r="FLX6" s="447"/>
      <c r="FLY6" s="447"/>
      <c r="FLZ6" s="447"/>
      <c r="FMA6" s="447"/>
      <c r="FMB6" s="447"/>
      <c r="FMC6" s="447"/>
      <c r="FMD6" s="447"/>
      <c r="FME6" s="447"/>
      <c r="FMF6" s="447"/>
      <c r="FMG6" s="447"/>
      <c r="FMH6" s="447"/>
      <c r="FMI6" s="447"/>
      <c r="FMJ6" s="447"/>
      <c r="FMK6" s="447"/>
      <c r="FML6" s="447"/>
      <c r="FMM6" s="447"/>
      <c r="FMN6" s="447"/>
      <c r="FMO6" s="447"/>
      <c r="FMP6" s="447"/>
      <c r="FMQ6" s="447"/>
      <c r="FMR6" s="447"/>
      <c r="FMS6" s="447"/>
      <c r="FMT6" s="447"/>
      <c r="FMU6" s="447"/>
      <c r="FMV6" s="447"/>
      <c r="FMW6" s="447"/>
      <c r="FMX6" s="447"/>
      <c r="FMY6" s="447"/>
      <c r="FMZ6" s="447"/>
      <c r="FNA6" s="447"/>
      <c r="FNB6" s="447"/>
      <c r="FNC6" s="447"/>
      <c r="FND6" s="447"/>
      <c r="FNE6" s="447"/>
      <c r="FNF6" s="447"/>
      <c r="FNG6" s="447"/>
      <c r="FNH6" s="447"/>
      <c r="FNI6" s="447"/>
      <c r="FNJ6" s="447"/>
      <c r="FNK6" s="447"/>
      <c r="FNL6" s="447"/>
      <c r="FNM6" s="447"/>
      <c r="FNN6" s="447"/>
      <c r="FNO6" s="447"/>
      <c r="FNP6" s="447"/>
      <c r="FNQ6" s="447"/>
      <c r="FNR6" s="447"/>
      <c r="FNS6" s="447"/>
      <c r="FNT6" s="447"/>
      <c r="FNU6" s="447"/>
      <c r="FNV6" s="447"/>
      <c r="FNW6" s="447"/>
      <c r="FNX6" s="447"/>
      <c r="FNY6" s="447"/>
      <c r="FNZ6" s="447"/>
      <c r="FOA6" s="447"/>
      <c r="FOB6" s="447"/>
      <c r="FOC6" s="447"/>
      <c r="FOD6" s="447"/>
      <c r="FOE6" s="447"/>
      <c r="FOF6" s="447"/>
      <c r="FOG6" s="447"/>
      <c r="FOH6" s="447"/>
      <c r="FOI6" s="447"/>
      <c r="FOJ6" s="447"/>
      <c r="FOK6" s="447"/>
      <c r="FOL6" s="447"/>
      <c r="FOM6" s="447"/>
      <c r="FON6" s="447"/>
      <c r="FOO6" s="447"/>
      <c r="FOP6" s="447"/>
      <c r="FOQ6" s="447"/>
      <c r="FOR6" s="447"/>
      <c r="FOS6" s="447"/>
      <c r="FOT6" s="447"/>
      <c r="FOU6" s="447"/>
      <c r="FOV6" s="447"/>
      <c r="FOW6" s="447"/>
      <c r="FOX6" s="447"/>
      <c r="FOY6" s="447"/>
      <c r="FOZ6" s="447"/>
      <c r="FPA6" s="447"/>
      <c r="FPB6" s="447"/>
      <c r="FPC6" s="447"/>
      <c r="FPD6" s="447"/>
      <c r="FPE6" s="447"/>
      <c r="FPF6" s="447"/>
      <c r="FPG6" s="447"/>
      <c r="FPH6" s="447"/>
      <c r="FPI6" s="447"/>
      <c r="FPJ6" s="447"/>
      <c r="FPK6" s="447"/>
      <c r="FPL6" s="447"/>
      <c r="FPM6" s="447"/>
      <c r="FPN6" s="447"/>
      <c r="FPO6" s="447"/>
      <c r="FPP6" s="447"/>
      <c r="FPQ6" s="447"/>
      <c r="FPR6" s="447"/>
      <c r="FPS6" s="447"/>
      <c r="FPT6" s="447"/>
      <c r="FPU6" s="447"/>
      <c r="FPV6" s="447"/>
      <c r="FPW6" s="447"/>
      <c r="FPX6" s="447"/>
      <c r="FPY6" s="447"/>
      <c r="FPZ6" s="447"/>
      <c r="FQA6" s="447"/>
      <c r="FQB6" s="447"/>
      <c r="FQC6" s="447"/>
      <c r="FQD6" s="447"/>
      <c r="FQE6" s="447"/>
      <c r="FQF6" s="447"/>
      <c r="FQG6" s="447"/>
      <c r="FQH6" s="447"/>
      <c r="FQI6" s="447"/>
      <c r="FQJ6" s="447"/>
      <c r="FQK6" s="447"/>
      <c r="FQL6" s="447"/>
      <c r="FQM6" s="447"/>
      <c r="FQN6" s="447"/>
      <c r="FQO6" s="447"/>
      <c r="FQP6" s="447"/>
      <c r="FQQ6" s="447"/>
      <c r="FQR6" s="447"/>
      <c r="FQS6" s="447"/>
      <c r="FQT6" s="447"/>
      <c r="FQU6" s="447"/>
      <c r="FQV6" s="447"/>
      <c r="FQW6" s="447"/>
      <c r="FQX6" s="447"/>
      <c r="FQY6" s="447"/>
      <c r="FQZ6" s="447"/>
      <c r="FRA6" s="447"/>
      <c r="FRB6" s="447"/>
      <c r="FRC6" s="447"/>
      <c r="FRD6" s="447"/>
      <c r="FRE6" s="447"/>
      <c r="FRF6" s="447"/>
      <c r="FRG6" s="447"/>
      <c r="FRH6" s="447"/>
      <c r="FRI6" s="447"/>
      <c r="FRJ6" s="447"/>
      <c r="FRK6" s="447"/>
      <c r="FRL6" s="447"/>
      <c r="FRM6" s="447"/>
      <c r="FRN6" s="447"/>
      <c r="FRO6" s="447"/>
      <c r="FRP6" s="447"/>
      <c r="FRQ6" s="447"/>
      <c r="FRR6" s="447"/>
      <c r="FRS6" s="447"/>
      <c r="FRT6" s="447"/>
      <c r="FRU6" s="447"/>
      <c r="FRV6" s="447"/>
      <c r="FRW6" s="447"/>
      <c r="FRX6" s="447"/>
      <c r="FRY6" s="447"/>
      <c r="FRZ6" s="447"/>
      <c r="FSA6" s="447"/>
      <c r="FSB6" s="447"/>
      <c r="FSC6" s="447"/>
      <c r="FSD6" s="447"/>
      <c r="FSE6" s="447"/>
      <c r="FSF6" s="447"/>
      <c r="FSG6" s="447"/>
      <c r="FSH6" s="447"/>
      <c r="FSI6" s="447"/>
      <c r="FSJ6" s="447"/>
      <c r="FSK6" s="447"/>
      <c r="FSL6" s="447"/>
      <c r="FSM6" s="447"/>
      <c r="FSN6" s="447"/>
      <c r="FSO6" s="447"/>
      <c r="FSP6" s="447"/>
      <c r="FSQ6" s="447"/>
      <c r="FSR6" s="447"/>
      <c r="FSS6" s="447"/>
      <c r="FST6" s="447"/>
      <c r="FSU6" s="447"/>
      <c r="FSV6" s="447"/>
      <c r="FSW6" s="447"/>
      <c r="FSX6" s="447"/>
      <c r="FSY6" s="447"/>
      <c r="FSZ6" s="447"/>
      <c r="FTA6" s="447"/>
      <c r="FTB6" s="447"/>
      <c r="FTC6" s="447"/>
      <c r="FTD6" s="447"/>
      <c r="FTE6" s="447"/>
      <c r="FTF6" s="447"/>
      <c r="FTG6" s="447"/>
      <c r="FTH6" s="447"/>
      <c r="FTI6" s="447"/>
      <c r="FTJ6" s="447"/>
      <c r="FTK6" s="447"/>
      <c r="FTL6" s="447"/>
      <c r="FTM6" s="447"/>
      <c r="FTN6" s="447"/>
      <c r="FTO6" s="447"/>
      <c r="FTP6" s="447"/>
      <c r="FTQ6" s="447"/>
      <c r="FTR6" s="447"/>
      <c r="FTS6" s="447"/>
      <c r="FTT6" s="447"/>
      <c r="FTU6" s="447"/>
      <c r="FTV6" s="447"/>
      <c r="FTW6" s="447"/>
      <c r="FTX6" s="447"/>
      <c r="FTY6" s="447"/>
      <c r="FTZ6" s="447"/>
      <c r="FUA6" s="447"/>
      <c r="FUB6" s="447"/>
      <c r="FUC6" s="447"/>
      <c r="FUD6" s="447"/>
      <c r="FUE6" s="447"/>
      <c r="FUF6" s="447"/>
      <c r="FUG6" s="447"/>
      <c r="FUH6" s="447"/>
      <c r="FUI6" s="447"/>
      <c r="FUJ6" s="447"/>
      <c r="FUK6" s="447"/>
      <c r="FUL6" s="447"/>
      <c r="FUM6" s="447"/>
      <c r="FUN6" s="447"/>
      <c r="FUO6" s="447"/>
      <c r="FUP6" s="447"/>
      <c r="FUQ6" s="447"/>
      <c r="FUR6" s="447"/>
      <c r="FUS6" s="447"/>
      <c r="FUT6" s="447"/>
      <c r="FUU6" s="447"/>
      <c r="FUV6" s="447"/>
      <c r="FUW6" s="447"/>
      <c r="FUX6" s="447"/>
      <c r="FUY6" s="447"/>
      <c r="FUZ6" s="447"/>
      <c r="FVA6" s="447"/>
      <c r="FVB6" s="447"/>
      <c r="FVC6" s="447"/>
      <c r="FVD6" s="447"/>
      <c r="FVE6" s="447"/>
      <c r="FVF6" s="447"/>
      <c r="FVG6" s="447"/>
      <c r="FVH6" s="447"/>
      <c r="FVI6" s="447"/>
      <c r="FVJ6" s="447"/>
      <c r="FVK6" s="447"/>
      <c r="FVL6" s="447"/>
      <c r="FVM6" s="447"/>
      <c r="FVN6" s="447"/>
      <c r="FVO6" s="447"/>
      <c r="FVP6" s="447"/>
      <c r="FVQ6" s="447"/>
      <c r="FVR6" s="447"/>
      <c r="FVS6" s="447"/>
      <c r="FVT6" s="447"/>
      <c r="FVU6" s="447"/>
      <c r="FVV6" s="447"/>
      <c r="FVW6" s="447"/>
      <c r="FVX6" s="447"/>
      <c r="FVY6" s="447"/>
      <c r="FVZ6" s="447"/>
      <c r="FWA6" s="447"/>
      <c r="FWB6" s="447"/>
      <c r="FWC6" s="447"/>
      <c r="FWD6" s="447"/>
      <c r="FWE6" s="447"/>
      <c r="FWF6" s="447"/>
      <c r="FWG6" s="447"/>
      <c r="FWH6" s="447"/>
      <c r="FWI6" s="447"/>
      <c r="FWJ6" s="447"/>
      <c r="FWK6" s="447"/>
      <c r="FWL6" s="447"/>
      <c r="FWM6" s="447"/>
      <c r="FWN6" s="447"/>
      <c r="FWO6" s="447"/>
      <c r="FWP6" s="447"/>
      <c r="FWQ6" s="447"/>
      <c r="FWR6" s="447"/>
      <c r="FWS6" s="447"/>
      <c r="FWT6" s="447"/>
      <c r="FWU6" s="447"/>
      <c r="FWV6" s="447"/>
      <c r="FWW6" s="447"/>
      <c r="FWX6" s="447"/>
      <c r="FWY6" s="447"/>
      <c r="FWZ6" s="447"/>
      <c r="FXA6" s="447"/>
      <c r="FXB6" s="447"/>
      <c r="FXC6" s="447"/>
      <c r="FXD6" s="447"/>
      <c r="FXE6" s="447"/>
      <c r="FXF6" s="447"/>
      <c r="FXG6" s="447"/>
      <c r="FXH6" s="447"/>
      <c r="FXI6" s="447"/>
      <c r="FXJ6" s="447"/>
      <c r="FXK6" s="447"/>
      <c r="FXL6" s="447"/>
      <c r="FXM6" s="447"/>
      <c r="FXN6" s="447"/>
      <c r="FXO6" s="447"/>
      <c r="FXP6" s="447"/>
      <c r="FXQ6" s="447"/>
      <c r="FXR6" s="447"/>
      <c r="FXS6" s="447"/>
      <c r="FXT6" s="447"/>
      <c r="FXU6" s="447"/>
      <c r="FXV6" s="447"/>
      <c r="FXW6" s="447"/>
      <c r="FXX6" s="447"/>
      <c r="FXY6" s="447"/>
      <c r="FXZ6" s="447"/>
      <c r="FYA6" s="447"/>
      <c r="FYB6" s="447"/>
      <c r="FYC6" s="447"/>
      <c r="FYD6" s="447"/>
      <c r="FYE6" s="447"/>
      <c r="FYF6" s="447"/>
      <c r="FYG6" s="447"/>
      <c r="FYH6" s="447"/>
      <c r="FYI6" s="447"/>
      <c r="FYJ6" s="447"/>
      <c r="FYK6" s="447"/>
      <c r="FYL6" s="447"/>
      <c r="FYM6" s="447"/>
      <c r="FYN6" s="447"/>
      <c r="FYO6" s="447"/>
      <c r="FYP6" s="447"/>
      <c r="FYQ6" s="447"/>
      <c r="FYR6" s="447"/>
      <c r="FYS6" s="447"/>
      <c r="FYT6" s="447"/>
      <c r="FYU6" s="447"/>
      <c r="FYV6" s="447"/>
      <c r="FYW6" s="447"/>
      <c r="FYX6" s="447"/>
      <c r="FYY6" s="447"/>
      <c r="FYZ6" s="447"/>
      <c r="FZA6" s="447"/>
      <c r="FZB6" s="447"/>
      <c r="FZC6" s="447"/>
      <c r="FZD6" s="447"/>
      <c r="FZE6" s="447"/>
      <c r="FZF6" s="447"/>
      <c r="FZG6" s="447"/>
      <c r="FZH6" s="447"/>
      <c r="FZI6" s="447"/>
      <c r="FZJ6" s="447"/>
      <c r="FZK6" s="447"/>
      <c r="FZL6" s="447"/>
      <c r="FZM6" s="447"/>
      <c r="FZN6" s="447"/>
      <c r="FZO6" s="447"/>
      <c r="FZP6" s="447"/>
      <c r="FZQ6" s="447"/>
      <c r="FZR6" s="447"/>
      <c r="FZS6" s="447"/>
      <c r="FZT6" s="447"/>
      <c r="FZU6" s="447"/>
      <c r="FZV6" s="447"/>
      <c r="FZW6" s="447"/>
      <c r="FZX6" s="447"/>
      <c r="FZY6" s="447"/>
      <c r="FZZ6" s="447"/>
      <c r="GAA6" s="447"/>
      <c r="GAB6" s="447"/>
      <c r="GAC6" s="447"/>
      <c r="GAD6" s="447"/>
      <c r="GAE6" s="447"/>
      <c r="GAF6" s="447"/>
      <c r="GAG6" s="447"/>
      <c r="GAH6" s="447"/>
      <c r="GAI6" s="447"/>
      <c r="GAJ6" s="447"/>
      <c r="GAK6" s="447"/>
      <c r="GAL6" s="447"/>
      <c r="GAM6" s="447"/>
      <c r="GAN6" s="447"/>
      <c r="GAO6" s="447"/>
      <c r="GAP6" s="447"/>
      <c r="GAQ6" s="447"/>
      <c r="GAR6" s="447"/>
      <c r="GAS6" s="447"/>
      <c r="GAT6" s="447"/>
      <c r="GAU6" s="447"/>
      <c r="GAV6" s="447"/>
      <c r="GAW6" s="447"/>
      <c r="GAX6" s="447"/>
      <c r="GAY6" s="447"/>
      <c r="GAZ6" s="447"/>
      <c r="GBA6" s="447"/>
      <c r="GBB6" s="447"/>
      <c r="GBC6" s="447"/>
      <c r="GBD6" s="447"/>
      <c r="GBE6" s="447"/>
      <c r="GBF6" s="447"/>
      <c r="GBG6" s="447"/>
      <c r="GBH6" s="447"/>
      <c r="GBI6" s="447"/>
      <c r="GBJ6" s="447"/>
      <c r="GBK6" s="447"/>
      <c r="GBL6" s="447"/>
      <c r="GBM6" s="447"/>
      <c r="GBN6" s="447"/>
      <c r="GBO6" s="447"/>
      <c r="GBP6" s="447"/>
      <c r="GBQ6" s="447"/>
      <c r="GBR6" s="447"/>
      <c r="GBS6" s="447"/>
      <c r="GBT6" s="447"/>
      <c r="GBU6" s="447"/>
      <c r="GBV6" s="447"/>
      <c r="GBW6" s="447"/>
      <c r="GBX6" s="447"/>
      <c r="GBY6" s="447"/>
      <c r="GBZ6" s="447"/>
      <c r="GCA6" s="447"/>
      <c r="GCB6" s="447"/>
      <c r="GCC6" s="447"/>
      <c r="GCD6" s="447"/>
      <c r="GCE6" s="447"/>
      <c r="GCF6" s="447"/>
      <c r="GCG6" s="447"/>
      <c r="GCH6" s="447"/>
      <c r="GCI6" s="447"/>
      <c r="GCJ6" s="447"/>
      <c r="GCK6" s="447"/>
      <c r="GCL6" s="447"/>
      <c r="GCM6" s="447"/>
      <c r="GCN6" s="447"/>
      <c r="GCO6" s="447"/>
      <c r="GCP6" s="447"/>
      <c r="GCQ6" s="447"/>
      <c r="GCR6" s="447"/>
      <c r="GCS6" s="447"/>
      <c r="GCT6" s="447"/>
      <c r="GCU6" s="447"/>
      <c r="GCV6" s="447"/>
      <c r="GCW6" s="447"/>
      <c r="GCX6" s="447"/>
      <c r="GCY6" s="447"/>
      <c r="GCZ6" s="447"/>
      <c r="GDA6" s="447"/>
      <c r="GDB6" s="447"/>
      <c r="GDC6" s="447"/>
      <c r="GDD6" s="447"/>
      <c r="GDE6" s="447"/>
      <c r="GDF6" s="447"/>
      <c r="GDG6" s="447"/>
      <c r="GDH6" s="447"/>
      <c r="GDI6" s="447"/>
      <c r="GDJ6" s="447"/>
      <c r="GDK6" s="447"/>
      <c r="GDL6" s="447"/>
      <c r="GDM6" s="447"/>
      <c r="GDN6" s="447"/>
      <c r="GDO6" s="447"/>
      <c r="GDP6" s="447"/>
      <c r="GDQ6" s="447"/>
      <c r="GDR6" s="447"/>
      <c r="GDS6" s="447"/>
      <c r="GDT6" s="447"/>
      <c r="GDU6" s="447"/>
      <c r="GDV6" s="447"/>
      <c r="GDW6" s="447"/>
      <c r="GDX6" s="447"/>
      <c r="GDY6" s="447"/>
      <c r="GDZ6" s="447"/>
      <c r="GEA6" s="447"/>
      <c r="GEB6" s="447"/>
      <c r="GEC6" s="447"/>
      <c r="GED6" s="447"/>
      <c r="GEE6" s="447"/>
      <c r="GEF6" s="447"/>
      <c r="GEG6" s="447"/>
      <c r="GEH6" s="447"/>
      <c r="GEI6" s="447"/>
      <c r="GEJ6" s="447"/>
      <c r="GEK6" s="447"/>
      <c r="GEL6" s="447"/>
      <c r="GEM6" s="447"/>
      <c r="GEN6" s="447"/>
      <c r="GEO6" s="447"/>
      <c r="GEP6" s="447"/>
      <c r="GEQ6" s="447"/>
      <c r="GER6" s="447"/>
      <c r="GES6" s="447"/>
      <c r="GET6" s="447"/>
      <c r="GEU6" s="447"/>
      <c r="GEV6" s="447"/>
      <c r="GEW6" s="447"/>
      <c r="GEX6" s="447"/>
      <c r="GEY6" s="447"/>
      <c r="GEZ6" s="447"/>
      <c r="GFA6" s="447"/>
      <c r="GFB6" s="447"/>
      <c r="GFC6" s="447"/>
      <c r="GFD6" s="447"/>
      <c r="GFE6" s="447"/>
      <c r="GFF6" s="447"/>
      <c r="GFG6" s="447"/>
      <c r="GFH6" s="447"/>
      <c r="GFI6" s="447"/>
      <c r="GFJ6" s="447"/>
      <c r="GFK6" s="447"/>
      <c r="GFL6" s="447"/>
      <c r="GFM6" s="447"/>
      <c r="GFN6" s="447"/>
      <c r="GFO6" s="447"/>
      <c r="GFP6" s="447"/>
      <c r="GFQ6" s="447"/>
      <c r="GFR6" s="447"/>
      <c r="GFS6" s="447"/>
      <c r="GFT6" s="447"/>
      <c r="GFU6" s="447"/>
      <c r="GFV6" s="447"/>
      <c r="GFW6" s="447"/>
      <c r="GFX6" s="447"/>
      <c r="GFY6" s="447"/>
      <c r="GFZ6" s="447"/>
      <c r="GGA6" s="447"/>
      <c r="GGB6" s="447"/>
      <c r="GGC6" s="447"/>
      <c r="GGD6" s="447"/>
      <c r="GGE6" s="447"/>
      <c r="GGF6" s="447"/>
      <c r="GGG6" s="447"/>
      <c r="GGH6" s="447"/>
      <c r="GGI6" s="447"/>
      <c r="GGJ6" s="447"/>
      <c r="GGK6" s="447"/>
      <c r="GGL6" s="447"/>
      <c r="GGM6" s="447"/>
      <c r="GGN6" s="447"/>
      <c r="GGO6" s="447"/>
      <c r="GGP6" s="447"/>
      <c r="GGQ6" s="447"/>
      <c r="GGR6" s="447"/>
      <c r="GGS6" s="447"/>
      <c r="GGT6" s="447"/>
      <c r="GGU6" s="447"/>
      <c r="GGV6" s="447"/>
      <c r="GGW6" s="447"/>
      <c r="GGX6" s="447"/>
      <c r="GGY6" s="447"/>
      <c r="GGZ6" s="447"/>
      <c r="GHA6" s="447"/>
      <c r="GHB6" s="447"/>
      <c r="GHC6" s="447"/>
      <c r="GHD6" s="447"/>
      <c r="GHE6" s="447"/>
      <c r="GHF6" s="447"/>
      <c r="GHG6" s="447"/>
      <c r="GHH6" s="447"/>
      <c r="GHI6" s="447"/>
      <c r="GHJ6" s="447"/>
      <c r="GHK6" s="447"/>
      <c r="GHL6" s="447"/>
      <c r="GHM6" s="447"/>
      <c r="GHN6" s="447"/>
      <c r="GHO6" s="447"/>
      <c r="GHP6" s="447"/>
      <c r="GHQ6" s="447"/>
      <c r="GHR6" s="447"/>
      <c r="GHS6" s="447"/>
      <c r="GHT6" s="447"/>
      <c r="GHU6" s="447"/>
      <c r="GHV6" s="447"/>
      <c r="GHW6" s="447"/>
      <c r="GHX6" s="447"/>
      <c r="GHY6" s="447"/>
      <c r="GHZ6" s="447"/>
      <c r="GIA6" s="447"/>
      <c r="GIB6" s="447"/>
      <c r="GIC6" s="447"/>
      <c r="GID6" s="447"/>
      <c r="GIE6" s="447"/>
      <c r="GIF6" s="447"/>
      <c r="GIG6" s="447"/>
      <c r="GIH6" s="447"/>
      <c r="GII6" s="447"/>
      <c r="GIJ6" s="447"/>
      <c r="GIK6" s="447"/>
      <c r="GIL6" s="447"/>
      <c r="GIM6" s="447"/>
      <c r="GIN6" s="447"/>
      <c r="GIO6" s="447"/>
      <c r="GIP6" s="447"/>
      <c r="GIQ6" s="447"/>
      <c r="GIR6" s="447"/>
      <c r="GIS6" s="447"/>
      <c r="GIT6" s="447"/>
      <c r="GIU6" s="447"/>
      <c r="GIV6" s="447"/>
      <c r="GIW6" s="447"/>
      <c r="GIX6" s="447"/>
      <c r="GIY6" s="447"/>
      <c r="GIZ6" s="447"/>
      <c r="GJA6" s="447"/>
      <c r="GJB6" s="447"/>
      <c r="GJC6" s="447"/>
      <c r="GJD6" s="447"/>
      <c r="GJE6" s="447"/>
      <c r="GJF6" s="447"/>
      <c r="GJG6" s="447"/>
      <c r="GJH6" s="447"/>
      <c r="GJI6" s="447"/>
      <c r="GJJ6" s="447"/>
      <c r="GJK6" s="447"/>
      <c r="GJL6" s="447"/>
      <c r="GJM6" s="447"/>
      <c r="GJN6" s="447"/>
      <c r="GJO6" s="447"/>
      <c r="GJP6" s="447"/>
      <c r="GJQ6" s="447"/>
      <c r="GJR6" s="447"/>
      <c r="GJS6" s="447"/>
      <c r="GJT6" s="447"/>
      <c r="GJU6" s="447"/>
      <c r="GJV6" s="447"/>
      <c r="GJW6" s="447"/>
      <c r="GJX6" s="447"/>
      <c r="GJY6" s="447"/>
      <c r="GJZ6" s="447"/>
      <c r="GKA6" s="447"/>
      <c r="GKB6" s="447"/>
      <c r="GKC6" s="447"/>
      <c r="GKD6" s="447"/>
      <c r="GKE6" s="447"/>
      <c r="GKF6" s="447"/>
      <c r="GKG6" s="447"/>
      <c r="GKH6" s="447"/>
      <c r="GKI6" s="447"/>
      <c r="GKJ6" s="447"/>
      <c r="GKK6" s="447"/>
      <c r="GKL6" s="447"/>
      <c r="GKM6" s="447"/>
      <c r="GKN6" s="447"/>
      <c r="GKO6" s="447"/>
      <c r="GKP6" s="447"/>
      <c r="GKQ6" s="447"/>
      <c r="GKR6" s="447"/>
      <c r="GKS6" s="447"/>
      <c r="GKT6" s="447"/>
      <c r="GKU6" s="447"/>
      <c r="GKV6" s="447"/>
      <c r="GKW6" s="447"/>
      <c r="GKX6" s="447"/>
      <c r="GKY6" s="447"/>
      <c r="GKZ6" s="447"/>
      <c r="GLA6" s="447"/>
      <c r="GLB6" s="447"/>
      <c r="GLC6" s="447"/>
      <c r="GLD6" s="447"/>
      <c r="GLE6" s="447"/>
      <c r="GLF6" s="447"/>
      <c r="GLG6" s="447"/>
      <c r="GLH6" s="447"/>
      <c r="GLI6" s="447"/>
      <c r="GLJ6" s="447"/>
      <c r="GLK6" s="447"/>
      <c r="GLL6" s="447"/>
      <c r="GLM6" s="447"/>
      <c r="GLN6" s="447"/>
      <c r="GLO6" s="447"/>
      <c r="GLP6" s="447"/>
      <c r="GLQ6" s="447"/>
      <c r="GLR6" s="447"/>
      <c r="GLS6" s="447"/>
      <c r="GLT6" s="447"/>
      <c r="GLU6" s="447"/>
      <c r="GLV6" s="447"/>
      <c r="GLW6" s="447"/>
      <c r="GLX6" s="447"/>
      <c r="GLY6" s="447"/>
      <c r="GLZ6" s="447"/>
      <c r="GMA6" s="447"/>
      <c r="GMB6" s="447"/>
      <c r="GMC6" s="447"/>
      <c r="GMD6" s="447"/>
      <c r="GME6" s="447"/>
      <c r="GMF6" s="447"/>
      <c r="GMG6" s="447"/>
      <c r="GMH6" s="447"/>
      <c r="GMI6" s="447"/>
      <c r="GMJ6" s="447"/>
      <c r="GMK6" s="447"/>
      <c r="GML6" s="447"/>
      <c r="GMM6" s="447"/>
      <c r="GMN6" s="447"/>
      <c r="GMO6" s="447"/>
      <c r="GMP6" s="447"/>
      <c r="GMQ6" s="447"/>
      <c r="GMR6" s="447"/>
      <c r="GMS6" s="447"/>
      <c r="GMT6" s="447"/>
      <c r="GMU6" s="447"/>
      <c r="GMV6" s="447"/>
      <c r="GMW6" s="447"/>
      <c r="GMX6" s="447"/>
      <c r="GMY6" s="447"/>
      <c r="GMZ6" s="447"/>
      <c r="GNA6" s="447"/>
      <c r="GNB6" s="447"/>
      <c r="GNC6" s="447"/>
      <c r="GND6" s="447"/>
      <c r="GNE6" s="447"/>
      <c r="GNF6" s="447"/>
      <c r="GNG6" s="447"/>
      <c r="GNH6" s="447"/>
      <c r="GNI6" s="447"/>
      <c r="GNJ6" s="447"/>
      <c r="GNK6" s="447"/>
      <c r="GNL6" s="447"/>
      <c r="GNM6" s="447"/>
      <c r="GNN6" s="447"/>
      <c r="GNO6" s="447"/>
      <c r="GNP6" s="447"/>
      <c r="GNQ6" s="447"/>
      <c r="GNR6" s="447"/>
      <c r="GNS6" s="447"/>
      <c r="GNT6" s="447"/>
      <c r="GNU6" s="447"/>
      <c r="GNV6" s="447"/>
      <c r="GNW6" s="447"/>
      <c r="GNX6" s="447"/>
      <c r="GNY6" s="447"/>
      <c r="GNZ6" s="447"/>
      <c r="GOA6" s="447"/>
      <c r="GOB6" s="447"/>
      <c r="GOC6" s="447"/>
      <c r="GOD6" s="447"/>
      <c r="GOE6" s="447"/>
      <c r="GOF6" s="447"/>
      <c r="GOG6" s="447"/>
      <c r="GOH6" s="447"/>
      <c r="GOI6" s="447"/>
      <c r="GOJ6" s="447"/>
      <c r="GOK6" s="447"/>
      <c r="GOL6" s="447"/>
      <c r="GOM6" s="447"/>
      <c r="GON6" s="447"/>
      <c r="GOO6" s="447"/>
      <c r="GOP6" s="447"/>
      <c r="GOQ6" s="447"/>
      <c r="GOR6" s="447"/>
      <c r="GOS6" s="447"/>
      <c r="GOT6" s="447"/>
      <c r="GOU6" s="447"/>
      <c r="GOV6" s="447"/>
      <c r="GOW6" s="447"/>
      <c r="GOX6" s="447"/>
      <c r="GOY6" s="447"/>
      <c r="GOZ6" s="447"/>
      <c r="GPA6" s="447"/>
      <c r="GPB6" s="447"/>
      <c r="GPC6" s="447"/>
      <c r="GPD6" s="447"/>
      <c r="GPE6" s="447"/>
      <c r="GPF6" s="447"/>
      <c r="GPG6" s="447"/>
      <c r="GPH6" s="447"/>
      <c r="GPI6" s="447"/>
      <c r="GPJ6" s="447"/>
      <c r="GPK6" s="447"/>
      <c r="GPL6" s="447"/>
      <c r="GPM6" s="447"/>
      <c r="GPN6" s="447"/>
      <c r="GPO6" s="447"/>
      <c r="GPP6" s="447"/>
      <c r="GPQ6" s="447"/>
      <c r="GPR6" s="447"/>
      <c r="GPS6" s="447"/>
      <c r="GPT6" s="447"/>
      <c r="GPU6" s="447"/>
      <c r="GPV6" s="447"/>
      <c r="GPW6" s="447"/>
      <c r="GPX6" s="447"/>
      <c r="GPY6" s="447"/>
      <c r="GPZ6" s="447"/>
      <c r="GQA6" s="447"/>
      <c r="GQB6" s="447"/>
      <c r="GQC6" s="447"/>
      <c r="GQD6" s="447"/>
      <c r="GQE6" s="447"/>
      <c r="GQF6" s="447"/>
      <c r="GQG6" s="447"/>
      <c r="GQH6" s="447"/>
      <c r="GQI6" s="447"/>
      <c r="GQJ6" s="447"/>
      <c r="GQK6" s="447"/>
      <c r="GQL6" s="447"/>
      <c r="GQM6" s="447"/>
      <c r="GQN6" s="447"/>
      <c r="GQO6" s="447"/>
      <c r="GQP6" s="447"/>
      <c r="GQQ6" s="447"/>
      <c r="GQR6" s="447"/>
      <c r="GQS6" s="447"/>
      <c r="GQT6" s="447"/>
      <c r="GQU6" s="447"/>
      <c r="GQV6" s="447"/>
      <c r="GQW6" s="447"/>
      <c r="GQX6" s="447"/>
      <c r="GQY6" s="447"/>
      <c r="GQZ6" s="447"/>
      <c r="GRA6" s="447"/>
      <c r="GRB6" s="447"/>
      <c r="GRC6" s="447"/>
      <c r="GRD6" s="447"/>
      <c r="GRE6" s="447"/>
      <c r="GRF6" s="447"/>
      <c r="GRG6" s="447"/>
      <c r="GRH6" s="447"/>
      <c r="GRI6" s="447"/>
      <c r="GRJ6" s="447"/>
      <c r="GRK6" s="447"/>
      <c r="GRL6" s="447"/>
      <c r="GRM6" s="447"/>
      <c r="GRN6" s="447"/>
      <c r="GRO6" s="447"/>
      <c r="GRP6" s="447"/>
      <c r="GRQ6" s="447"/>
      <c r="GRR6" s="447"/>
      <c r="GRS6" s="447"/>
      <c r="GRT6" s="447"/>
      <c r="GRU6" s="447"/>
      <c r="GRV6" s="447"/>
      <c r="GRW6" s="447"/>
      <c r="GRX6" s="447"/>
      <c r="GRY6" s="447"/>
      <c r="GRZ6" s="447"/>
      <c r="GSA6" s="447"/>
      <c r="GSB6" s="447"/>
      <c r="GSC6" s="447"/>
      <c r="GSD6" s="447"/>
      <c r="GSE6" s="447"/>
      <c r="GSF6" s="447"/>
      <c r="GSG6" s="447"/>
      <c r="GSH6" s="447"/>
      <c r="GSI6" s="447"/>
      <c r="GSJ6" s="447"/>
      <c r="GSK6" s="447"/>
      <c r="GSL6" s="447"/>
      <c r="GSM6" s="447"/>
      <c r="GSN6" s="447"/>
      <c r="GSO6" s="447"/>
      <c r="GSP6" s="447"/>
      <c r="GSQ6" s="447"/>
      <c r="GSR6" s="447"/>
      <c r="GSS6" s="447"/>
      <c r="GST6" s="447"/>
      <c r="GSU6" s="447"/>
      <c r="GSV6" s="447"/>
      <c r="GSW6" s="447"/>
      <c r="GSX6" s="447"/>
      <c r="GSY6" s="447"/>
      <c r="GSZ6" s="447"/>
      <c r="GTA6" s="447"/>
      <c r="GTB6" s="447"/>
      <c r="GTC6" s="447"/>
      <c r="GTD6" s="447"/>
      <c r="GTE6" s="447"/>
      <c r="GTF6" s="447"/>
      <c r="GTG6" s="447"/>
      <c r="GTH6" s="447"/>
      <c r="GTI6" s="447"/>
      <c r="GTJ6" s="447"/>
      <c r="GTK6" s="447"/>
      <c r="GTL6" s="447"/>
      <c r="GTM6" s="447"/>
      <c r="GTN6" s="447"/>
      <c r="GTO6" s="447"/>
      <c r="GTP6" s="447"/>
      <c r="GTQ6" s="447"/>
      <c r="GTR6" s="447"/>
      <c r="GTS6" s="447"/>
      <c r="GTT6" s="447"/>
      <c r="GTU6" s="447"/>
      <c r="GTV6" s="447"/>
      <c r="GTW6" s="447"/>
      <c r="GTX6" s="447"/>
      <c r="GTY6" s="447"/>
      <c r="GTZ6" s="447"/>
      <c r="GUA6" s="447"/>
      <c r="GUB6" s="447"/>
      <c r="GUC6" s="447"/>
      <c r="GUD6" s="447"/>
      <c r="GUE6" s="447"/>
      <c r="GUF6" s="447"/>
      <c r="GUG6" s="447"/>
      <c r="GUH6" s="447"/>
      <c r="GUI6" s="447"/>
      <c r="GUJ6" s="447"/>
      <c r="GUK6" s="447"/>
      <c r="GUL6" s="447"/>
      <c r="GUM6" s="447"/>
      <c r="GUN6" s="447"/>
      <c r="GUO6" s="447"/>
      <c r="GUP6" s="447"/>
      <c r="GUQ6" s="447"/>
      <c r="GUR6" s="447"/>
      <c r="GUS6" s="447"/>
      <c r="GUT6" s="447"/>
      <c r="GUU6" s="447"/>
      <c r="GUV6" s="447"/>
      <c r="GUW6" s="447"/>
      <c r="GUX6" s="447"/>
      <c r="GUY6" s="447"/>
      <c r="GUZ6" s="447"/>
      <c r="GVA6" s="447"/>
      <c r="GVB6" s="447"/>
      <c r="GVC6" s="447"/>
      <c r="GVD6" s="447"/>
      <c r="GVE6" s="447"/>
      <c r="GVF6" s="447"/>
      <c r="GVG6" s="447"/>
      <c r="GVH6" s="447"/>
      <c r="GVI6" s="447"/>
      <c r="GVJ6" s="447"/>
      <c r="GVK6" s="447"/>
      <c r="GVL6" s="447"/>
      <c r="GVM6" s="447"/>
      <c r="GVN6" s="447"/>
      <c r="GVO6" s="447"/>
      <c r="GVP6" s="447"/>
      <c r="GVQ6" s="447"/>
      <c r="GVR6" s="447"/>
      <c r="GVS6" s="447"/>
      <c r="GVT6" s="447"/>
      <c r="GVU6" s="447"/>
      <c r="GVV6" s="447"/>
      <c r="GVW6" s="447"/>
      <c r="GVX6" s="447"/>
      <c r="GVY6" s="447"/>
      <c r="GVZ6" s="447"/>
      <c r="GWA6" s="447"/>
      <c r="GWB6" s="447"/>
      <c r="GWC6" s="447"/>
      <c r="GWD6" s="447"/>
      <c r="GWE6" s="447"/>
      <c r="GWF6" s="447"/>
      <c r="GWG6" s="447"/>
      <c r="GWH6" s="447"/>
      <c r="GWI6" s="447"/>
      <c r="GWJ6" s="447"/>
      <c r="GWK6" s="447"/>
      <c r="GWL6" s="447"/>
      <c r="GWM6" s="447"/>
      <c r="GWN6" s="447"/>
      <c r="GWO6" s="447"/>
      <c r="GWP6" s="447"/>
      <c r="GWQ6" s="447"/>
      <c r="GWR6" s="447"/>
      <c r="GWS6" s="447"/>
      <c r="GWT6" s="447"/>
      <c r="GWU6" s="447"/>
      <c r="GWV6" s="447"/>
      <c r="GWW6" s="447"/>
      <c r="GWX6" s="447"/>
      <c r="GWY6" s="447"/>
      <c r="GWZ6" s="447"/>
      <c r="GXA6" s="447"/>
      <c r="GXB6" s="447"/>
      <c r="GXC6" s="447"/>
      <c r="GXD6" s="447"/>
      <c r="GXE6" s="447"/>
      <c r="GXF6" s="447"/>
      <c r="GXG6" s="447"/>
      <c r="GXH6" s="447"/>
      <c r="GXI6" s="447"/>
      <c r="GXJ6" s="447"/>
      <c r="GXK6" s="447"/>
      <c r="GXL6" s="447"/>
      <c r="GXM6" s="447"/>
      <c r="GXN6" s="447"/>
      <c r="GXO6" s="447"/>
      <c r="GXP6" s="447"/>
      <c r="GXQ6" s="447"/>
      <c r="GXR6" s="447"/>
      <c r="GXS6" s="447"/>
      <c r="GXT6" s="447"/>
      <c r="GXU6" s="447"/>
      <c r="GXV6" s="447"/>
      <c r="GXW6" s="447"/>
      <c r="GXX6" s="447"/>
      <c r="GXY6" s="447"/>
      <c r="GXZ6" s="447"/>
      <c r="GYA6" s="447"/>
      <c r="GYB6" s="447"/>
      <c r="GYC6" s="447"/>
      <c r="GYD6" s="447"/>
      <c r="GYE6" s="447"/>
      <c r="GYF6" s="447"/>
      <c r="GYG6" s="447"/>
      <c r="GYH6" s="447"/>
      <c r="GYI6" s="447"/>
      <c r="GYJ6" s="447"/>
      <c r="GYK6" s="447"/>
      <c r="GYL6" s="447"/>
      <c r="GYM6" s="447"/>
      <c r="GYN6" s="447"/>
      <c r="GYO6" s="447"/>
      <c r="GYP6" s="447"/>
      <c r="GYQ6" s="447"/>
      <c r="GYR6" s="447"/>
      <c r="GYS6" s="447"/>
      <c r="GYT6" s="447"/>
      <c r="GYU6" s="447"/>
      <c r="GYV6" s="447"/>
      <c r="GYW6" s="447"/>
      <c r="GYX6" s="447"/>
      <c r="GYY6" s="447"/>
      <c r="GYZ6" s="447"/>
      <c r="GZA6" s="447"/>
      <c r="GZB6" s="447"/>
      <c r="GZC6" s="447"/>
      <c r="GZD6" s="447"/>
      <c r="GZE6" s="447"/>
      <c r="GZF6" s="447"/>
      <c r="GZG6" s="447"/>
      <c r="GZH6" s="447"/>
      <c r="GZI6" s="447"/>
      <c r="GZJ6" s="447"/>
      <c r="GZK6" s="447"/>
      <c r="GZL6" s="447"/>
      <c r="GZM6" s="447"/>
      <c r="GZN6" s="447"/>
      <c r="GZO6" s="447"/>
      <c r="GZP6" s="447"/>
      <c r="GZQ6" s="447"/>
      <c r="GZR6" s="447"/>
      <c r="GZS6" s="447"/>
      <c r="GZT6" s="447"/>
      <c r="GZU6" s="447"/>
      <c r="GZV6" s="447"/>
      <c r="GZW6" s="447"/>
      <c r="GZX6" s="447"/>
      <c r="GZY6" s="447"/>
      <c r="GZZ6" s="447"/>
      <c r="HAA6" s="447"/>
      <c r="HAB6" s="447"/>
      <c r="HAC6" s="447"/>
      <c r="HAD6" s="447"/>
      <c r="HAE6" s="447"/>
      <c r="HAF6" s="447"/>
      <c r="HAG6" s="447"/>
      <c r="HAH6" s="447"/>
      <c r="HAI6" s="447"/>
      <c r="HAJ6" s="447"/>
      <c r="HAK6" s="447"/>
      <c r="HAL6" s="447"/>
      <c r="HAM6" s="447"/>
      <c r="HAN6" s="447"/>
      <c r="HAO6" s="447"/>
      <c r="HAP6" s="447"/>
      <c r="HAQ6" s="447"/>
      <c r="HAR6" s="447"/>
      <c r="HAS6" s="447"/>
      <c r="HAT6" s="447"/>
      <c r="HAU6" s="447"/>
      <c r="HAV6" s="447"/>
      <c r="HAW6" s="447"/>
      <c r="HAX6" s="447"/>
      <c r="HAY6" s="447"/>
      <c r="HAZ6" s="447"/>
      <c r="HBA6" s="447"/>
      <c r="HBB6" s="447"/>
      <c r="HBC6" s="447"/>
      <c r="HBD6" s="447"/>
      <c r="HBE6" s="447"/>
      <c r="HBF6" s="447"/>
      <c r="HBG6" s="447"/>
      <c r="HBH6" s="447"/>
      <c r="HBI6" s="447"/>
      <c r="HBJ6" s="447"/>
      <c r="HBK6" s="447"/>
      <c r="HBL6" s="447"/>
      <c r="HBM6" s="447"/>
      <c r="HBN6" s="447"/>
      <c r="HBO6" s="447"/>
      <c r="HBP6" s="447"/>
      <c r="HBQ6" s="447"/>
      <c r="HBR6" s="447"/>
      <c r="HBS6" s="447"/>
      <c r="HBT6" s="447"/>
      <c r="HBU6" s="447"/>
      <c r="HBV6" s="447"/>
      <c r="HBW6" s="447"/>
      <c r="HBX6" s="447"/>
      <c r="HBY6" s="447"/>
      <c r="HBZ6" s="447"/>
      <c r="HCA6" s="447"/>
      <c r="HCB6" s="447"/>
      <c r="HCC6" s="447"/>
      <c r="HCD6" s="447"/>
      <c r="HCE6" s="447"/>
      <c r="HCF6" s="447"/>
      <c r="HCG6" s="447"/>
      <c r="HCH6" s="447"/>
      <c r="HCI6" s="447"/>
      <c r="HCJ6" s="447"/>
      <c r="HCK6" s="447"/>
      <c r="HCL6" s="447"/>
      <c r="HCM6" s="447"/>
      <c r="HCN6" s="447"/>
      <c r="HCO6" s="447"/>
      <c r="HCP6" s="447"/>
      <c r="HCQ6" s="447"/>
      <c r="HCR6" s="447"/>
      <c r="HCS6" s="447"/>
      <c r="HCT6" s="447"/>
      <c r="HCU6" s="447"/>
      <c r="HCV6" s="447"/>
      <c r="HCW6" s="447"/>
      <c r="HCX6" s="447"/>
      <c r="HCY6" s="447"/>
      <c r="HCZ6" s="447"/>
      <c r="HDA6" s="447"/>
      <c r="HDB6" s="447"/>
      <c r="HDC6" s="447"/>
      <c r="HDD6" s="447"/>
      <c r="HDE6" s="447"/>
      <c r="HDF6" s="447"/>
      <c r="HDG6" s="447"/>
      <c r="HDH6" s="447"/>
      <c r="HDI6" s="447"/>
      <c r="HDJ6" s="447"/>
      <c r="HDK6" s="447"/>
      <c r="HDL6" s="447"/>
      <c r="HDM6" s="447"/>
      <c r="HDN6" s="447"/>
      <c r="HDO6" s="447"/>
      <c r="HDP6" s="447"/>
      <c r="HDQ6" s="447"/>
      <c r="HDR6" s="447"/>
      <c r="HDS6" s="447"/>
      <c r="HDT6" s="447"/>
      <c r="HDU6" s="447"/>
      <c r="HDV6" s="447"/>
      <c r="HDW6" s="447"/>
      <c r="HDX6" s="447"/>
      <c r="HDY6" s="447"/>
      <c r="HDZ6" s="447"/>
      <c r="HEA6" s="447"/>
      <c r="HEB6" s="447"/>
      <c r="HEC6" s="447"/>
      <c r="HED6" s="447"/>
      <c r="HEE6" s="447"/>
      <c r="HEF6" s="447"/>
      <c r="HEG6" s="447"/>
      <c r="HEH6" s="447"/>
      <c r="HEI6" s="447"/>
      <c r="HEJ6" s="447"/>
      <c r="HEK6" s="447"/>
      <c r="HEL6" s="447"/>
      <c r="HEM6" s="447"/>
      <c r="HEN6" s="447"/>
      <c r="HEO6" s="447"/>
      <c r="HEP6" s="447"/>
      <c r="HEQ6" s="447"/>
      <c r="HER6" s="447"/>
      <c r="HES6" s="447"/>
      <c r="HET6" s="447"/>
      <c r="HEU6" s="447"/>
      <c r="HEV6" s="447"/>
      <c r="HEW6" s="447"/>
      <c r="HEX6" s="447"/>
      <c r="HEY6" s="447"/>
      <c r="HEZ6" s="447"/>
      <c r="HFA6" s="447"/>
      <c r="HFB6" s="447"/>
      <c r="HFC6" s="447"/>
      <c r="HFD6" s="447"/>
      <c r="HFE6" s="447"/>
      <c r="HFF6" s="447"/>
      <c r="HFG6" s="447"/>
      <c r="HFH6" s="447"/>
      <c r="HFI6" s="447"/>
      <c r="HFJ6" s="447"/>
      <c r="HFK6" s="447"/>
      <c r="HFL6" s="447"/>
      <c r="HFM6" s="447"/>
      <c r="HFN6" s="447"/>
      <c r="HFO6" s="447"/>
      <c r="HFP6" s="447"/>
      <c r="HFQ6" s="447"/>
      <c r="HFR6" s="447"/>
      <c r="HFS6" s="447"/>
      <c r="HFT6" s="447"/>
      <c r="HFU6" s="447"/>
      <c r="HFV6" s="447"/>
      <c r="HFW6" s="447"/>
      <c r="HFX6" s="447"/>
      <c r="HFY6" s="447"/>
      <c r="HFZ6" s="447"/>
      <c r="HGA6" s="447"/>
      <c r="HGB6" s="447"/>
      <c r="HGC6" s="447"/>
      <c r="HGD6" s="447"/>
      <c r="HGE6" s="447"/>
      <c r="HGF6" s="447"/>
      <c r="HGG6" s="447"/>
      <c r="HGH6" s="447"/>
      <c r="HGI6" s="447"/>
      <c r="HGJ6" s="447"/>
      <c r="HGK6" s="447"/>
      <c r="HGL6" s="447"/>
      <c r="HGM6" s="447"/>
      <c r="HGN6" s="447"/>
      <c r="HGO6" s="447"/>
      <c r="HGP6" s="447"/>
      <c r="HGQ6" s="447"/>
      <c r="HGR6" s="447"/>
      <c r="HGS6" s="447"/>
      <c r="HGT6" s="447"/>
      <c r="HGU6" s="447"/>
      <c r="HGV6" s="447"/>
      <c r="HGW6" s="447"/>
      <c r="HGX6" s="447"/>
      <c r="HGY6" s="447"/>
      <c r="HGZ6" s="447"/>
      <c r="HHA6" s="447"/>
      <c r="HHB6" s="447"/>
      <c r="HHC6" s="447"/>
      <c r="HHD6" s="447"/>
      <c r="HHE6" s="447"/>
      <c r="HHF6" s="447"/>
      <c r="HHG6" s="447"/>
      <c r="HHH6" s="447"/>
      <c r="HHI6" s="447"/>
      <c r="HHJ6" s="447"/>
      <c r="HHK6" s="447"/>
      <c r="HHL6" s="447"/>
      <c r="HHM6" s="447"/>
      <c r="HHN6" s="447"/>
      <c r="HHO6" s="447"/>
      <c r="HHP6" s="447"/>
      <c r="HHQ6" s="447"/>
      <c r="HHR6" s="447"/>
      <c r="HHS6" s="447"/>
      <c r="HHT6" s="447"/>
      <c r="HHU6" s="447"/>
      <c r="HHV6" s="447"/>
      <c r="HHW6" s="447"/>
      <c r="HHX6" s="447"/>
      <c r="HHY6" s="447"/>
      <c r="HHZ6" s="447"/>
      <c r="HIA6" s="447"/>
      <c r="HIB6" s="447"/>
      <c r="HIC6" s="447"/>
      <c r="HID6" s="447"/>
      <c r="HIE6" s="447"/>
      <c r="HIF6" s="447"/>
      <c r="HIG6" s="447"/>
      <c r="HIH6" s="447"/>
      <c r="HII6" s="447"/>
      <c r="HIJ6" s="447"/>
      <c r="HIK6" s="447"/>
      <c r="HIL6" s="447"/>
      <c r="HIM6" s="447"/>
      <c r="HIN6" s="447"/>
      <c r="HIO6" s="447"/>
      <c r="HIP6" s="447"/>
      <c r="HIQ6" s="447"/>
      <c r="HIR6" s="447"/>
      <c r="HIS6" s="447"/>
      <c r="HIT6" s="447"/>
      <c r="HIU6" s="447"/>
      <c r="HIV6" s="447"/>
      <c r="HIW6" s="447"/>
      <c r="HIX6" s="447"/>
      <c r="HIY6" s="447"/>
      <c r="HIZ6" s="447"/>
      <c r="HJA6" s="447"/>
      <c r="HJB6" s="447"/>
      <c r="HJC6" s="447"/>
      <c r="HJD6" s="447"/>
      <c r="HJE6" s="447"/>
      <c r="HJF6" s="447"/>
      <c r="HJG6" s="447"/>
      <c r="HJH6" s="447"/>
      <c r="HJI6" s="447"/>
      <c r="HJJ6" s="447"/>
      <c r="HJK6" s="447"/>
      <c r="HJL6" s="447"/>
      <c r="HJM6" s="447"/>
      <c r="HJN6" s="447"/>
      <c r="HJO6" s="447"/>
      <c r="HJP6" s="447"/>
      <c r="HJQ6" s="447"/>
      <c r="HJR6" s="447"/>
      <c r="HJS6" s="447"/>
      <c r="HJT6" s="447"/>
      <c r="HJU6" s="447"/>
      <c r="HJV6" s="447"/>
      <c r="HJW6" s="447"/>
      <c r="HJX6" s="447"/>
      <c r="HJY6" s="447"/>
      <c r="HJZ6" s="447"/>
      <c r="HKA6" s="447"/>
      <c r="HKB6" s="447"/>
      <c r="HKC6" s="447"/>
      <c r="HKD6" s="447"/>
      <c r="HKE6" s="447"/>
      <c r="HKF6" s="447"/>
      <c r="HKG6" s="447"/>
      <c r="HKH6" s="447"/>
      <c r="HKI6" s="447"/>
      <c r="HKJ6" s="447"/>
      <c r="HKK6" s="447"/>
      <c r="HKL6" s="447"/>
      <c r="HKM6" s="447"/>
      <c r="HKN6" s="447"/>
      <c r="HKO6" s="447"/>
      <c r="HKP6" s="447"/>
      <c r="HKQ6" s="447"/>
      <c r="HKR6" s="447"/>
      <c r="HKS6" s="447"/>
      <c r="HKT6" s="447"/>
      <c r="HKU6" s="447"/>
      <c r="HKV6" s="447"/>
      <c r="HKW6" s="447"/>
      <c r="HKX6" s="447"/>
      <c r="HKY6" s="447"/>
      <c r="HKZ6" s="447"/>
      <c r="HLA6" s="447"/>
      <c r="HLB6" s="447"/>
      <c r="HLC6" s="447"/>
      <c r="HLD6" s="447"/>
      <c r="HLE6" s="447"/>
      <c r="HLF6" s="447"/>
      <c r="HLG6" s="447"/>
      <c r="HLH6" s="447"/>
      <c r="HLI6" s="447"/>
      <c r="HLJ6" s="447"/>
      <c r="HLK6" s="447"/>
      <c r="HLL6" s="447"/>
      <c r="HLM6" s="447"/>
      <c r="HLN6" s="447"/>
      <c r="HLO6" s="447"/>
      <c r="HLP6" s="447"/>
      <c r="HLQ6" s="447"/>
      <c r="HLR6" s="447"/>
      <c r="HLS6" s="447"/>
      <c r="HLT6" s="447"/>
      <c r="HLU6" s="447"/>
      <c r="HLV6" s="447"/>
      <c r="HLW6" s="447"/>
      <c r="HLX6" s="447"/>
      <c r="HLY6" s="447"/>
      <c r="HLZ6" s="447"/>
      <c r="HMA6" s="447"/>
      <c r="HMB6" s="447"/>
      <c r="HMC6" s="447"/>
      <c r="HMD6" s="447"/>
      <c r="HME6" s="447"/>
      <c r="HMF6" s="447"/>
      <c r="HMG6" s="447"/>
      <c r="HMH6" s="447"/>
      <c r="HMI6" s="447"/>
      <c r="HMJ6" s="447"/>
      <c r="HMK6" s="447"/>
      <c r="HML6" s="447"/>
      <c r="HMM6" s="447"/>
      <c r="HMN6" s="447"/>
      <c r="HMO6" s="447"/>
      <c r="HMP6" s="447"/>
      <c r="HMQ6" s="447"/>
      <c r="HMR6" s="447"/>
      <c r="HMS6" s="447"/>
      <c r="HMT6" s="447"/>
      <c r="HMU6" s="447"/>
      <c r="HMV6" s="447"/>
      <c r="HMW6" s="447"/>
      <c r="HMX6" s="447"/>
      <c r="HMY6" s="447"/>
      <c r="HMZ6" s="447"/>
      <c r="HNA6" s="447"/>
      <c r="HNB6" s="447"/>
      <c r="HNC6" s="447"/>
      <c r="HND6" s="447"/>
      <c r="HNE6" s="447"/>
      <c r="HNF6" s="447"/>
      <c r="HNG6" s="447"/>
      <c r="HNH6" s="447"/>
      <c r="HNI6" s="447"/>
      <c r="HNJ6" s="447"/>
      <c r="HNK6" s="447"/>
      <c r="HNL6" s="447"/>
      <c r="HNM6" s="447"/>
      <c r="HNN6" s="447"/>
      <c r="HNO6" s="447"/>
      <c r="HNP6" s="447"/>
      <c r="HNQ6" s="447"/>
      <c r="HNR6" s="447"/>
      <c r="HNS6" s="447"/>
      <c r="HNT6" s="447"/>
      <c r="HNU6" s="447"/>
      <c r="HNV6" s="447"/>
      <c r="HNW6" s="447"/>
      <c r="HNX6" s="447"/>
      <c r="HNY6" s="447"/>
      <c r="HNZ6" s="447"/>
      <c r="HOA6" s="447"/>
      <c r="HOB6" s="447"/>
      <c r="HOC6" s="447"/>
      <c r="HOD6" s="447"/>
      <c r="HOE6" s="447"/>
      <c r="HOF6" s="447"/>
      <c r="HOG6" s="447"/>
      <c r="HOH6" s="447"/>
      <c r="HOI6" s="447"/>
      <c r="HOJ6" s="447"/>
      <c r="HOK6" s="447"/>
      <c r="HOL6" s="447"/>
      <c r="HOM6" s="447"/>
      <c r="HON6" s="447"/>
      <c r="HOO6" s="447"/>
      <c r="HOP6" s="447"/>
      <c r="HOQ6" s="447"/>
      <c r="HOR6" s="447"/>
      <c r="HOS6" s="447"/>
      <c r="HOT6" s="447"/>
      <c r="HOU6" s="447"/>
      <c r="HOV6" s="447"/>
      <c r="HOW6" s="447"/>
      <c r="HOX6" s="447"/>
      <c r="HOY6" s="447"/>
      <c r="HOZ6" s="447"/>
      <c r="HPA6" s="447"/>
      <c r="HPB6" s="447"/>
      <c r="HPC6" s="447"/>
      <c r="HPD6" s="447"/>
      <c r="HPE6" s="447"/>
      <c r="HPF6" s="447"/>
      <c r="HPG6" s="447"/>
      <c r="HPH6" s="447"/>
      <c r="HPI6" s="447"/>
      <c r="HPJ6" s="447"/>
      <c r="HPK6" s="447"/>
      <c r="HPL6" s="447"/>
      <c r="HPM6" s="447"/>
      <c r="HPN6" s="447"/>
      <c r="HPO6" s="447"/>
      <c r="HPP6" s="447"/>
      <c r="HPQ6" s="447"/>
      <c r="HPR6" s="447"/>
      <c r="HPS6" s="447"/>
      <c r="HPT6" s="447"/>
      <c r="HPU6" s="447"/>
      <c r="HPV6" s="447"/>
      <c r="HPW6" s="447"/>
      <c r="HPX6" s="447"/>
      <c r="HPY6" s="447"/>
      <c r="HPZ6" s="447"/>
      <c r="HQA6" s="447"/>
      <c r="HQB6" s="447"/>
      <c r="HQC6" s="447"/>
      <c r="HQD6" s="447"/>
      <c r="HQE6" s="447"/>
      <c r="HQF6" s="447"/>
      <c r="HQG6" s="447"/>
      <c r="HQH6" s="447"/>
      <c r="HQI6" s="447"/>
      <c r="HQJ6" s="447"/>
      <c r="HQK6" s="447"/>
      <c r="HQL6" s="447"/>
      <c r="HQM6" s="447"/>
      <c r="HQN6" s="447"/>
      <c r="HQO6" s="447"/>
      <c r="HQP6" s="447"/>
      <c r="HQQ6" s="447"/>
      <c r="HQR6" s="447"/>
      <c r="HQS6" s="447"/>
      <c r="HQT6" s="447"/>
      <c r="HQU6" s="447"/>
      <c r="HQV6" s="447"/>
      <c r="HQW6" s="447"/>
      <c r="HQX6" s="447"/>
      <c r="HQY6" s="447"/>
      <c r="HQZ6" s="447"/>
      <c r="HRA6" s="447"/>
      <c r="HRB6" s="447"/>
      <c r="HRC6" s="447"/>
      <c r="HRD6" s="447"/>
      <c r="HRE6" s="447"/>
      <c r="HRF6" s="447"/>
      <c r="HRG6" s="447"/>
      <c r="HRH6" s="447"/>
      <c r="HRI6" s="447"/>
      <c r="HRJ6" s="447"/>
      <c r="HRK6" s="447"/>
      <c r="HRL6" s="447"/>
      <c r="HRM6" s="447"/>
      <c r="HRN6" s="447"/>
      <c r="HRO6" s="447"/>
      <c r="HRP6" s="447"/>
      <c r="HRQ6" s="447"/>
      <c r="HRR6" s="447"/>
      <c r="HRS6" s="447"/>
      <c r="HRT6" s="447"/>
      <c r="HRU6" s="447"/>
      <c r="HRV6" s="447"/>
      <c r="HRW6" s="447"/>
      <c r="HRX6" s="447"/>
      <c r="HRY6" s="447"/>
      <c r="HRZ6" s="447"/>
      <c r="HSA6" s="447"/>
      <c r="HSB6" s="447"/>
      <c r="HSC6" s="447"/>
      <c r="HSD6" s="447"/>
      <c r="HSE6" s="447"/>
      <c r="HSF6" s="447"/>
      <c r="HSG6" s="447"/>
      <c r="HSH6" s="447"/>
      <c r="HSI6" s="447"/>
      <c r="HSJ6" s="447"/>
      <c r="HSK6" s="447"/>
      <c r="HSL6" s="447"/>
      <c r="HSM6" s="447"/>
      <c r="HSN6" s="447"/>
      <c r="HSO6" s="447"/>
      <c r="HSP6" s="447"/>
      <c r="HSQ6" s="447"/>
      <c r="HSR6" s="447"/>
      <c r="HSS6" s="447"/>
      <c r="HST6" s="447"/>
      <c r="HSU6" s="447"/>
      <c r="HSV6" s="447"/>
      <c r="HSW6" s="447"/>
      <c r="HSX6" s="447"/>
      <c r="HSY6" s="447"/>
      <c r="HSZ6" s="447"/>
      <c r="HTA6" s="447"/>
      <c r="HTB6" s="447"/>
      <c r="HTC6" s="447"/>
      <c r="HTD6" s="447"/>
      <c r="HTE6" s="447"/>
      <c r="HTF6" s="447"/>
      <c r="HTG6" s="447"/>
      <c r="HTH6" s="447"/>
      <c r="HTI6" s="447"/>
      <c r="HTJ6" s="447"/>
      <c r="HTK6" s="447"/>
      <c r="HTL6" s="447"/>
      <c r="HTM6" s="447"/>
      <c r="HTN6" s="447"/>
      <c r="HTO6" s="447"/>
      <c r="HTP6" s="447"/>
      <c r="HTQ6" s="447"/>
      <c r="HTR6" s="447"/>
      <c r="HTS6" s="447"/>
      <c r="HTT6" s="447"/>
      <c r="HTU6" s="447"/>
      <c r="HTV6" s="447"/>
      <c r="HTW6" s="447"/>
      <c r="HTX6" s="447"/>
      <c r="HTY6" s="447"/>
      <c r="HTZ6" s="447"/>
      <c r="HUA6" s="447"/>
      <c r="HUB6" s="447"/>
      <c r="HUC6" s="447"/>
      <c r="HUD6" s="447"/>
      <c r="HUE6" s="447"/>
      <c r="HUF6" s="447"/>
      <c r="HUG6" s="447"/>
      <c r="HUH6" s="447"/>
      <c r="HUI6" s="447"/>
      <c r="HUJ6" s="447"/>
      <c r="HUK6" s="447"/>
      <c r="HUL6" s="447"/>
      <c r="HUM6" s="447"/>
      <c r="HUN6" s="447"/>
      <c r="HUO6" s="447"/>
      <c r="HUP6" s="447"/>
      <c r="HUQ6" s="447"/>
      <c r="HUR6" s="447"/>
      <c r="HUS6" s="447"/>
      <c r="HUT6" s="447"/>
      <c r="HUU6" s="447"/>
      <c r="HUV6" s="447"/>
      <c r="HUW6" s="447"/>
      <c r="HUX6" s="447"/>
      <c r="HUY6" s="447"/>
      <c r="HUZ6" s="447"/>
      <c r="HVA6" s="447"/>
      <c r="HVB6" s="447"/>
      <c r="HVC6" s="447"/>
      <c r="HVD6" s="447"/>
      <c r="HVE6" s="447"/>
      <c r="HVF6" s="447"/>
      <c r="HVG6" s="447"/>
      <c r="HVH6" s="447"/>
      <c r="HVI6" s="447"/>
      <c r="HVJ6" s="447"/>
      <c r="HVK6" s="447"/>
      <c r="HVL6" s="447"/>
      <c r="HVM6" s="447"/>
      <c r="HVN6" s="447"/>
      <c r="HVO6" s="447"/>
      <c r="HVP6" s="447"/>
      <c r="HVQ6" s="447"/>
      <c r="HVR6" s="447"/>
      <c r="HVS6" s="447"/>
      <c r="HVT6" s="447"/>
      <c r="HVU6" s="447"/>
      <c r="HVV6" s="447"/>
      <c r="HVW6" s="447"/>
      <c r="HVX6" s="447"/>
      <c r="HVY6" s="447"/>
      <c r="HVZ6" s="447"/>
      <c r="HWA6" s="447"/>
      <c r="HWB6" s="447"/>
      <c r="HWC6" s="447"/>
      <c r="HWD6" s="447"/>
      <c r="HWE6" s="447"/>
      <c r="HWF6" s="447"/>
      <c r="HWG6" s="447"/>
      <c r="HWH6" s="447"/>
      <c r="HWI6" s="447"/>
      <c r="HWJ6" s="447"/>
      <c r="HWK6" s="447"/>
      <c r="HWL6" s="447"/>
      <c r="HWM6" s="447"/>
      <c r="HWN6" s="447"/>
      <c r="HWO6" s="447"/>
      <c r="HWP6" s="447"/>
      <c r="HWQ6" s="447"/>
      <c r="HWR6" s="447"/>
      <c r="HWS6" s="447"/>
      <c r="HWT6" s="447"/>
      <c r="HWU6" s="447"/>
      <c r="HWV6" s="447"/>
      <c r="HWW6" s="447"/>
      <c r="HWX6" s="447"/>
      <c r="HWY6" s="447"/>
      <c r="HWZ6" s="447"/>
      <c r="HXA6" s="447"/>
      <c r="HXB6" s="447"/>
      <c r="HXC6" s="447"/>
      <c r="HXD6" s="447"/>
      <c r="HXE6" s="447"/>
      <c r="HXF6" s="447"/>
      <c r="HXG6" s="447"/>
      <c r="HXH6" s="447"/>
      <c r="HXI6" s="447"/>
      <c r="HXJ6" s="447"/>
      <c r="HXK6" s="447"/>
      <c r="HXL6" s="447"/>
      <c r="HXM6" s="447"/>
      <c r="HXN6" s="447"/>
      <c r="HXO6" s="447"/>
      <c r="HXP6" s="447"/>
      <c r="HXQ6" s="447"/>
      <c r="HXR6" s="447"/>
      <c r="HXS6" s="447"/>
      <c r="HXT6" s="447"/>
      <c r="HXU6" s="447"/>
      <c r="HXV6" s="447"/>
      <c r="HXW6" s="447"/>
      <c r="HXX6" s="447"/>
      <c r="HXY6" s="447"/>
      <c r="HXZ6" s="447"/>
      <c r="HYA6" s="447"/>
      <c r="HYB6" s="447"/>
      <c r="HYC6" s="447"/>
      <c r="HYD6" s="447"/>
      <c r="HYE6" s="447"/>
      <c r="HYF6" s="447"/>
      <c r="HYG6" s="447"/>
      <c r="HYH6" s="447"/>
      <c r="HYI6" s="447"/>
      <c r="HYJ6" s="447"/>
      <c r="HYK6" s="447"/>
      <c r="HYL6" s="447"/>
      <c r="HYM6" s="447"/>
      <c r="HYN6" s="447"/>
      <c r="HYO6" s="447"/>
      <c r="HYP6" s="447"/>
      <c r="HYQ6" s="447"/>
      <c r="HYR6" s="447"/>
      <c r="HYS6" s="447"/>
      <c r="HYT6" s="447"/>
      <c r="HYU6" s="447"/>
      <c r="HYV6" s="447"/>
      <c r="HYW6" s="447"/>
      <c r="HYX6" s="447"/>
      <c r="HYY6" s="447"/>
      <c r="HYZ6" s="447"/>
      <c r="HZA6" s="447"/>
      <c r="HZB6" s="447"/>
      <c r="HZC6" s="447"/>
      <c r="HZD6" s="447"/>
      <c r="HZE6" s="447"/>
      <c r="HZF6" s="447"/>
      <c r="HZG6" s="447"/>
      <c r="HZH6" s="447"/>
      <c r="HZI6" s="447"/>
      <c r="HZJ6" s="447"/>
      <c r="HZK6" s="447"/>
      <c r="HZL6" s="447"/>
      <c r="HZM6" s="447"/>
      <c r="HZN6" s="447"/>
      <c r="HZO6" s="447"/>
      <c r="HZP6" s="447"/>
      <c r="HZQ6" s="447"/>
      <c r="HZR6" s="447"/>
      <c r="HZS6" s="447"/>
      <c r="HZT6" s="447"/>
      <c r="HZU6" s="447"/>
      <c r="HZV6" s="447"/>
      <c r="HZW6" s="447"/>
      <c r="HZX6" s="447"/>
      <c r="HZY6" s="447"/>
      <c r="HZZ6" s="447"/>
      <c r="IAA6" s="447"/>
      <c r="IAB6" s="447"/>
      <c r="IAC6" s="447"/>
      <c r="IAD6" s="447"/>
      <c r="IAE6" s="447"/>
      <c r="IAF6" s="447"/>
      <c r="IAG6" s="447"/>
      <c r="IAH6" s="447"/>
      <c r="IAI6" s="447"/>
      <c r="IAJ6" s="447"/>
      <c r="IAK6" s="447"/>
      <c r="IAL6" s="447"/>
      <c r="IAM6" s="447"/>
      <c r="IAN6" s="447"/>
      <c r="IAO6" s="447"/>
      <c r="IAP6" s="447"/>
      <c r="IAQ6" s="447"/>
      <c r="IAR6" s="447"/>
      <c r="IAS6" s="447"/>
      <c r="IAT6" s="447"/>
      <c r="IAU6" s="447"/>
      <c r="IAV6" s="447"/>
      <c r="IAW6" s="447"/>
      <c r="IAX6" s="447"/>
      <c r="IAY6" s="447"/>
      <c r="IAZ6" s="447"/>
      <c r="IBA6" s="447"/>
      <c r="IBB6" s="447"/>
      <c r="IBC6" s="447"/>
      <c r="IBD6" s="447"/>
      <c r="IBE6" s="447"/>
      <c r="IBF6" s="447"/>
      <c r="IBG6" s="447"/>
      <c r="IBH6" s="447"/>
      <c r="IBI6" s="447"/>
      <c r="IBJ6" s="447"/>
      <c r="IBK6" s="447"/>
      <c r="IBL6" s="447"/>
      <c r="IBM6" s="447"/>
      <c r="IBN6" s="447"/>
      <c r="IBO6" s="447"/>
      <c r="IBP6" s="447"/>
      <c r="IBQ6" s="447"/>
      <c r="IBR6" s="447"/>
      <c r="IBS6" s="447"/>
      <c r="IBT6" s="447"/>
      <c r="IBU6" s="447"/>
      <c r="IBV6" s="447"/>
      <c r="IBW6" s="447"/>
      <c r="IBX6" s="447"/>
      <c r="IBY6" s="447"/>
      <c r="IBZ6" s="447"/>
      <c r="ICA6" s="447"/>
      <c r="ICB6" s="447"/>
      <c r="ICC6" s="447"/>
      <c r="ICD6" s="447"/>
      <c r="ICE6" s="447"/>
      <c r="ICF6" s="447"/>
      <c r="ICG6" s="447"/>
      <c r="ICH6" s="447"/>
      <c r="ICI6" s="447"/>
      <c r="ICJ6" s="447"/>
      <c r="ICK6" s="447"/>
      <c r="ICL6" s="447"/>
      <c r="ICM6" s="447"/>
      <c r="ICN6" s="447"/>
      <c r="ICO6" s="447"/>
      <c r="ICP6" s="447"/>
      <c r="ICQ6" s="447"/>
      <c r="ICR6" s="447"/>
      <c r="ICS6" s="447"/>
      <c r="ICT6" s="447"/>
      <c r="ICU6" s="447"/>
      <c r="ICV6" s="447"/>
      <c r="ICW6" s="447"/>
      <c r="ICX6" s="447"/>
      <c r="ICY6" s="447"/>
      <c r="ICZ6" s="447"/>
      <c r="IDA6" s="447"/>
      <c r="IDB6" s="447"/>
      <c r="IDC6" s="447"/>
      <c r="IDD6" s="447"/>
      <c r="IDE6" s="447"/>
      <c r="IDF6" s="447"/>
      <c r="IDG6" s="447"/>
      <c r="IDH6" s="447"/>
      <c r="IDI6" s="447"/>
      <c r="IDJ6" s="447"/>
      <c r="IDK6" s="447"/>
      <c r="IDL6" s="447"/>
      <c r="IDM6" s="447"/>
      <c r="IDN6" s="447"/>
      <c r="IDO6" s="447"/>
      <c r="IDP6" s="447"/>
      <c r="IDQ6" s="447"/>
      <c r="IDR6" s="447"/>
      <c r="IDS6" s="447"/>
      <c r="IDT6" s="447"/>
      <c r="IDU6" s="447"/>
      <c r="IDV6" s="447"/>
      <c r="IDW6" s="447"/>
      <c r="IDX6" s="447"/>
      <c r="IDY6" s="447"/>
      <c r="IDZ6" s="447"/>
      <c r="IEA6" s="447"/>
      <c r="IEB6" s="447"/>
      <c r="IEC6" s="447"/>
      <c r="IED6" s="447"/>
      <c r="IEE6" s="447"/>
      <c r="IEF6" s="447"/>
      <c r="IEG6" s="447"/>
      <c r="IEH6" s="447"/>
      <c r="IEI6" s="447"/>
      <c r="IEJ6" s="447"/>
      <c r="IEK6" s="447"/>
      <c r="IEL6" s="447"/>
      <c r="IEM6" s="447"/>
      <c r="IEN6" s="447"/>
      <c r="IEO6" s="447"/>
      <c r="IEP6" s="447"/>
      <c r="IEQ6" s="447"/>
      <c r="IER6" s="447"/>
      <c r="IES6" s="447"/>
      <c r="IET6" s="447"/>
      <c r="IEU6" s="447"/>
      <c r="IEV6" s="447"/>
      <c r="IEW6" s="447"/>
      <c r="IEX6" s="447"/>
      <c r="IEY6" s="447"/>
      <c r="IEZ6" s="447"/>
      <c r="IFA6" s="447"/>
      <c r="IFB6" s="447"/>
      <c r="IFC6" s="447"/>
      <c r="IFD6" s="447"/>
      <c r="IFE6" s="447"/>
      <c r="IFF6" s="447"/>
      <c r="IFG6" s="447"/>
      <c r="IFH6" s="447"/>
      <c r="IFI6" s="447"/>
      <c r="IFJ6" s="447"/>
      <c r="IFK6" s="447"/>
      <c r="IFL6" s="447"/>
      <c r="IFM6" s="447"/>
      <c r="IFN6" s="447"/>
      <c r="IFO6" s="447"/>
      <c r="IFP6" s="447"/>
      <c r="IFQ6" s="447"/>
      <c r="IFR6" s="447"/>
      <c r="IFS6" s="447"/>
      <c r="IFT6" s="447"/>
      <c r="IFU6" s="447"/>
      <c r="IFV6" s="447"/>
      <c r="IFW6" s="447"/>
      <c r="IFX6" s="447"/>
      <c r="IFY6" s="447"/>
      <c r="IFZ6" s="447"/>
      <c r="IGA6" s="447"/>
      <c r="IGB6" s="447"/>
      <c r="IGC6" s="447"/>
      <c r="IGD6" s="447"/>
      <c r="IGE6" s="447"/>
      <c r="IGF6" s="447"/>
      <c r="IGG6" s="447"/>
      <c r="IGH6" s="447"/>
      <c r="IGI6" s="447"/>
      <c r="IGJ6" s="447"/>
      <c r="IGK6" s="447"/>
      <c r="IGL6" s="447"/>
      <c r="IGM6" s="447"/>
      <c r="IGN6" s="447"/>
      <c r="IGO6" s="447"/>
      <c r="IGP6" s="447"/>
      <c r="IGQ6" s="447"/>
      <c r="IGR6" s="447"/>
      <c r="IGS6" s="447"/>
      <c r="IGT6" s="447"/>
      <c r="IGU6" s="447"/>
      <c r="IGV6" s="447"/>
      <c r="IGW6" s="447"/>
      <c r="IGX6" s="447"/>
      <c r="IGY6" s="447"/>
      <c r="IGZ6" s="447"/>
      <c r="IHA6" s="447"/>
      <c r="IHB6" s="447"/>
      <c r="IHC6" s="447"/>
      <c r="IHD6" s="447"/>
      <c r="IHE6" s="447"/>
      <c r="IHF6" s="447"/>
      <c r="IHG6" s="447"/>
      <c r="IHH6" s="447"/>
      <c r="IHI6" s="447"/>
      <c r="IHJ6" s="447"/>
      <c r="IHK6" s="447"/>
      <c r="IHL6" s="447"/>
      <c r="IHM6" s="447"/>
      <c r="IHN6" s="447"/>
      <c r="IHO6" s="447"/>
      <c r="IHP6" s="447"/>
      <c r="IHQ6" s="447"/>
      <c r="IHR6" s="447"/>
      <c r="IHS6" s="447"/>
      <c r="IHT6" s="447"/>
      <c r="IHU6" s="447"/>
      <c r="IHV6" s="447"/>
      <c r="IHW6" s="447"/>
      <c r="IHX6" s="447"/>
      <c r="IHY6" s="447"/>
      <c r="IHZ6" s="447"/>
      <c r="IIA6" s="447"/>
      <c r="IIB6" s="447"/>
      <c r="IIC6" s="447"/>
      <c r="IID6" s="447"/>
      <c r="IIE6" s="447"/>
      <c r="IIF6" s="447"/>
      <c r="IIG6" s="447"/>
      <c r="IIH6" s="447"/>
      <c r="III6" s="447"/>
      <c r="IIJ6" s="447"/>
      <c r="IIK6" s="447"/>
      <c r="IIL6" s="447"/>
      <c r="IIM6" s="447"/>
      <c r="IIN6" s="447"/>
      <c r="IIO6" s="447"/>
      <c r="IIP6" s="447"/>
      <c r="IIQ6" s="447"/>
      <c r="IIR6" s="447"/>
      <c r="IIS6" s="447"/>
      <c r="IIT6" s="447"/>
      <c r="IIU6" s="447"/>
      <c r="IIV6" s="447"/>
      <c r="IIW6" s="447"/>
      <c r="IIX6" s="447"/>
      <c r="IIY6" s="447"/>
      <c r="IIZ6" s="447"/>
      <c r="IJA6" s="447"/>
      <c r="IJB6" s="447"/>
      <c r="IJC6" s="447"/>
      <c r="IJD6" s="447"/>
      <c r="IJE6" s="447"/>
      <c r="IJF6" s="447"/>
      <c r="IJG6" s="447"/>
      <c r="IJH6" s="447"/>
      <c r="IJI6" s="447"/>
      <c r="IJJ6" s="447"/>
      <c r="IJK6" s="447"/>
      <c r="IJL6" s="447"/>
      <c r="IJM6" s="447"/>
      <c r="IJN6" s="447"/>
      <c r="IJO6" s="447"/>
      <c r="IJP6" s="447"/>
      <c r="IJQ6" s="447"/>
      <c r="IJR6" s="447"/>
      <c r="IJS6" s="447"/>
      <c r="IJT6" s="447"/>
      <c r="IJU6" s="447"/>
      <c r="IJV6" s="447"/>
      <c r="IJW6" s="447"/>
      <c r="IJX6" s="447"/>
      <c r="IJY6" s="447"/>
      <c r="IJZ6" s="447"/>
      <c r="IKA6" s="447"/>
      <c r="IKB6" s="447"/>
      <c r="IKC6" s="447"/>
      <c r="IKD6" s="447"/>
      <c r="IKE6" s="447"/>
      <c r="IKF6" s="447"/>
      <c r="IKG6" s="447"/>
      <c r="IKH6" s="447"/>
      <c r="IKI6" s="447"/>
      <c r="IKJ6" s="447"/>
      <c r="IKK6" s="447"/>
      <c r="IKL6" s="447"/>
      <c r="IKM6" s="447"/>
      <c r="IKN6" s="447"/>
      <c r="IKO6" s="447"/>
      <c r="IKP6" s="447"/>
      <c r="IKQ6" s="447"/>
      <c r="IKR6" s="447"/>
      <c r="IKS6" s="447"/>
      <c r="IKT6" s="447"/>
      <c r="IKU6" s="447"/>
      <c r="IKV6" s="447"/>
      <c r="IKW6" s="447"/>
      <c r="IKX6" s="447"/>
      <c r="IKY6" s="447"/>
      <c r="IKZ6" s="447"/>
      <c r="ILA6" s="447"/>
      <c r="ILB6" s="447"/>
      <c r="ILC6" s="447"/>
      <c r="ILD6" s="447"/>
      <c r="ILE6" s="447"/>
      <c r="ILF6" s="447"/>
      <c r="ILG6" s="447"/>
      <c r="ILH6" s="447"/>
      <c r="ILI6" s="447"/>
      <c r="ILJ6" s="447"/>
      <c r="ILK6" s="447"/>
      <c r="ILL6" s="447"/>
      <c r="ILM6" s="447"/>
      <c r="ILN6" s="447"/>
      <c r="ILO6" s="447"/>
      <c r="ILP6" s="447"/>
      <c r="ILQ6" s="447"/>
      <c r="ILR6" s="447"/>
      <c r="ILS6" s="447"/>
      <c r="ILT6" s="447"/>
      <c r="ILU6" s="447"/>
      <c r="ILV6" s="447"/>
      <c r="ILW6" s="447"/>
      <c r="ILX6" s="447"/>
      <c r="ILY6" s="447"/>
      <c r="ILZ6" s="447"/>
      <c r="IMA6" s="447"/>
      <c r="IMB6" s="447"/>
      <c r="IMC6" s="447"/>
      <c r="IMD6" s="447"/>
      <c r="IME6" s="447"/>
      <c r="IMF6" s="447"/>
      <c r="IMG6" s="447"/>
      <c r="IMH6" s="447"/>
      <c r="IMI6" s="447"/>
      <c r="IMJ6" s="447"/>
      <c r="IMK6" s="447"/>
      <c r="IML6" s="447"/>
      <c r="IMM6" s="447"/>
      <c r="IMN6" s="447"/>
      <c r="IMO6" s="447"/>
      <c r="IMP6" s="447"/>
      <c r="IMQ6" s="447"/>
      <c r="IMR6" s="447"/>
      <c r="IMS6" s="447"/>
      <c r="IMT6" s="447"/>
      <c r="IMU6" s="447"/>
      <c r="IMV6" s="447"/>
      <c r="IMW6" s="447"/>
      <c r="IMX6" s="447"/>
      <c r="IMY6" s="447"/>
      <c r="IMZ6" s="447"/>
      <c r="INA6" s="447"/>
      <c r="INB6" s="447"/>
      <c r="INC6" s="447"/>
      <c r="IND6" s="447"/>
      <c r="INE6" s="447"/>
      <c r="INF6" s="447"/>
      <c r="ING6" s="447"/>
      <c r="INH6" s="447"/>
      <c r="INI6" s="447"/>
      <c r="INJ6" s="447"/>
      <c r="INK6" s="447"/>
      <c r="INL6" s="447"/>
      <c r="INM6" s="447"/>
      <c r="INN6" s="447"/>
      <c r="INO6" s="447"/>
      <c r="INP6" s="447"/>
      <c r="INQ6" s="447"/>
      <c r="INR6" s="447"/>
      <c r="INS6" s="447"/>
      <c r="INT6" s="447"/>
      <c r="INU6" s="447"/>
      <c r="INV6" s="447"/>
      <c r="INW6" s="447"/>
      <c r="INX6" s="447"/>
      <c r="INY6" s="447"/>
      <c r="INZ6" s="447"/>
      <c r="IOA6" s="447"/>
      <c r="IOB6" s="447"/>
      <c r="IOC6" s="447"/>
      <c r="IOD6" s="447"/>
      <c r="IOE6" s="447"/>
      <c r="IOF6" s="447"/>
      <c r="IOG6" s="447"/>
      <c r="IOH6" s="447"/>
      <c r="IOI6" s="447"/>
      <c r="IOJ6" s="447"/>
      <c r="IOK6" s="447"/>
      <c r="IOL6" s="447"/>
      <c r="IOM6" s="447"/>
      <c r="ION6" s="447"/>
      <c r="IOO6" s="447"/>
      <c r="IOP6" s="447"/>
      <c r="IOQ6" s="447"/>
      <c r="IOR6" s="447"/>
      <c r="IOS6" s="447"/>
      <c r="IOT6" s="447"/>
      <c r="IOU6" s="447"/>
      <c r="IOV6" s="447"/>
      <c r="IOW6" s="447"/>
      <c r="IOX6" s="447"/>
      <c r="IOY6" s="447"/>
      <c r="IOZ6" s="447"/>
      <c r="IPA6" s="447"/>
      <c r="IPB6" s="447"/>
      <c r="IPC6" s="447"/>
      <c r="IPD6" s="447"/>
      <c r="IPE6" s="447"/>
      <c r="IPF6" s="447"/>
      <c r="IPG6" s="447"/>
      <c r="IPH6" s="447"/>
      <c r="IPI6" s="447"/>
      <c r="IPJ6" s="447"/>
      <c r="IPK6" s="447"/>
      <c r="IPL6" s="447"/>
      <c r="IPM6" s="447"/>
      <c r="IPN6" s="447"/>
      <c r="IPO6" s="447"/>
      <c r="IPP6" s="447"/>
      <c r="IPQ6" s="447"/>
      <c r="IPR6" s="447"/>
      <c r="IPS6" s="447"/>
      <c r="IPT6" s="447"/>
      <c r="IPU6" s="447"/>
      <c r="IPV6" s="447"/>
      <c r="IPW6" s="447"/>
      <c r="IPX6" s="447"/>
      <c r="IPY6" s="447"/>
      <c r="IPZ6" s="447"/>
      <c r="IQA6" s="447"/>
      <c r="IQB6" s="447"/>
      <c r="IQC6" s="447"/>
      <c r="IQD6" s="447"/>
      <c r="IQE6" s="447"/>
      <c r="IQF6" s="447"/>
      <c r="IQG6" s="447"/>
      <c r="IQH6" s="447"/>
      <c r="IQI6" s="447"/>
      <c r="IQJ6" s="447"/>
      <c r="IQK6" s="447"/>
      <c r="IQL6" s="447"/>
      <c r="IQM6" s="447"/>
      <c r="IQN6" s="447"/>
      <c r="IQO6" s="447"/>
      <c r="IQP6" s="447"/>
      <c r="IQQ6" s="447"/>
      <c r="IQR6" s="447"/>
      <c r="IQS6" s="447"/>
      <c r="IQT6" s="447"/>
      <c r="IQU6" s="447"/>
      <c r="IQV6" s="447"/>
      <c r="IQW6" s="447"/>
      <c r="IQX6" s="447"/>
      <c r="IQY6" s="447"/>
      <c r="IQZ6" s="447"/>
      <c r="IRA6" s="447"/>
      <c r="IRB6" s="447"/>
      <c r="IRC6" s="447"/>
      <c r="IRD6" s="447"/>
      <c r="IRE6" s="447"/>
      <c r="IRF6" s="447"/>
      <c r="IRG6" s="447"/>
      <c r="IRH6" s="447"/>
      <c r="IRI6" s="447"/>
      <c r="IRJ6" s="447"/>
      <c r="IRK6" s="447"/>
      <c r="IRL6" s="447"/>
      <c r="IRM6" s="447"/>
      <c r="IRN6" s="447"/>
      <c r="IRO6" s="447"/>
      <c r="IRP6" s="447"/>
      <c r="IRQ6" s="447"/>
      <c r="IRR6" s="447"/>
      <c r="IRS6" s="447"/>
      <c r="IRT6" s="447"/>
      <c r="IRU6" s="447"/>
      <c r="IRV6" s="447"/>
      <c r="IRW6" s="447"/>
      <c r="IRX6" s="447"/>
      <c r="IRY6" s="447"/>
      <c r="IRZ6" s="447"/>
      <c r="ISA6" s="447"/>
      <c r="ISB6" s="447"/>
      <c r="ISC6" s="447"/>
      <c r="ISD6" s="447"/>
      <c r="ISE6" s="447"/>
      <c r="ISF6" s="447"/>
      <c r="ISG6" s="447"/>
      <c r="ISH6" s="447"/>
      <c r="ISI6" s="447"/>
      <c r="ISJ6" s="447"/>
      <c r="ISK6" s="447"/>
      <c r="ISL6" s="447"/>
      <c r="ISM6" s="447"/>
      <c r="ISN6" s="447"/>
      <c r="ISO6" s="447"/>
      <c r="ISP6" s="447"/>
      <c r="ISQ6" s="447"/>
      <c r="ISR6" s="447"/>
      <c r="ISS6" s="447"/>
      <c r="IST6" s="447"/>
      <c r="ISU6" s="447"/>
      <c r="ISV6" s="447"/>
      <c r="ISW6" s="447"/>
      <c r="ISX6" s="447"/>
      <c r="ISY6" s="447"/>
      <c r="ISZ6" s="447"/>
      <c r="ITA6" s="447"/>
      <c r="ITB6" s="447"/>
      <c r="ITC6" s="447"/>
      <c r="ITD6" s="447"/>
      <c r="ITE6" s="447"/>
      <c r="ITF6" s="447"/>
      <c r="ITG6" s="447"/>
      <c r="ITH6" s="447"/>
      <c r="ITI6" s="447"/>
      <c r="ITJ6" s="447"/>
      <c r="ITK6" s="447"/>
      <c r="ITL6" s="447"/>
      <c r="ITM6" s="447"/>
      <c r="ITN6" s="447"/>
      <c r="ITO6" s="447"/>
      <c r="ITP6" s="447"/>
      <c r="ITQ6" s="447"/>
      <c r="ITR6" s="447"/>
      <c r="ITS6" s="447"/>
      <c r="ITT6" s="447"/>
      <c r="ITU6" s="447"/>
      <c r="ITV6" s="447"/>
      <c r="ITW6" s="447"/>
      <c r="ITX6" s="447"/>
      <c r="ITY6" s="447"/>
      <c r="ITZ6" s="447"/>
      <c r="IUA6" s="447"/>
      <c r="IUB6" s="447"/>
      <c r="IUC6" s="447"/>
      <c r="IUD6" s="447"/>
      <c r="IUE6" s="447"/>
      <c r="IUF6" s="447"/>
      <c r="IUG6" s="447"/>
      <c r="IUH6" s="447"/>
      <c r="IUI6" s="447"/>
      <c r="IUJ6" s="447"/>
      <c r="IUK6" s="447"/>
      <c r="IUL6" s="447"/>
      <c r="IUM6" s="447"/>
      <c r="IUN6" s="447"/>
      <c r="IUO6" s="447"/>
      <c r="IUP6" s="447"/>
      <c r="IUQ6" s="447"/>
      <c r="IUR6" s="447"/>
      <c r="IUS6" s="447"/>
      <c r="IUT6" s="447"/>
      <c r="IUU6" s="447"/>
      <c r="IUV6" s="447"/>
      <c r="IUW6" s="447"/>
      <c r="IUX6" s="447"/>
      <c r="IUY6" s="447"/>
      <c r="IUZ6" s="447"/>
      <c r="IVA6" s="447"/>
      <c r="IVB6" s="447"/>
      <c r="IVC6" s="447"/>
      <c r="IVD6" s="447"/>
      <c r="IVE6" s="447"/>
      <c r="IVF6" s="447"/>
      <c r="IVG6" s="447"/>
      <c r="IVH6" s="447"/>
      <c r="IVI6" s="447"/>
      <c r="IVJ6" s="447"/>
      <c r="IVK6" s="447"/>
      <c r="IVL6" s="447"/>
      <c r="IVM6" s="447"/>
      <c r="IVN6" s="447"/>
      <c r="IVO6" s="447"/>
      <c r="IVP6" s="447"/>
      <c r="IVQ6" s="447"/>
      <c r="IVR6" s="447"/>
      <c r="IVS6" s="447"/>
      <c r="IVT6" s="447"/>
      <c r="IVU6" s="447"/>
      <c r="IVV6" s="447"/>
      <c r="IVW6" s="447"/>
      <c r="IVX6" s="447"/>
      <c r="IVY6" s="447"/>
      <c r="IVZ6" s="447"/>
      <c r="IWA6" s="447"/>
      <c r="IWB6" s="447"/>
      <c r="IWC6" s="447"/>
      <c r="IWD6" s="447"/>
      <c r="IWE6" s="447"/>
      <c r="IWF6" s="447"/>
      <c r="IWG6" s="447"/>
      <c r="IWH6" s="447"/>
      <c r="IWI6" s="447"/>
      <c r="IWJ6" s="447"/>
      <c r="IWK6" s="447"/>
      <c r="IWL6" s="447"/>
      <c r="IWM6" s="447"/>
      <c r="IWN6" s="447"/>
      <c r="IWO6" s="447"/>
      <c r="IWP6" s="447"/>
      <c r="IWQ6" s="447"/>
      <c r="IWR6" s="447"/>
      <c r="IWS6" s="447"/>
      <c r="IWT6" s="447"/>
      <c r="IWU6" s="447"/>
      <c r="IWV6" s="447"/>
      <c r="IWW6" s="447"/>
      <c r="IWX6" s="447"/>
      <c r="IWY6" s="447"/>
      <c r="IWZ6" s="447"/>
      <c r="IXA6" s="447"/>
      <c r="IXB6" s="447"/>
      <c r="IXC6" s="447"/>
      <c r="IXD6" s="447"/>
      <c r="IXE6" s="447"/>
      <c r="IXF6" s="447"/>
      <c r="IXG6" s="447"/>
      <c r="IXH6" s="447"/>
      <c r="IXI6" s="447"/>
      <c r="IXJ6" s="447"/>
      <c r="IXK6" s="447"/>
      <c r="IXL6" s="447"/>
      <c r="IXM6" s="447"/>
      <c r="IXN6" s="447"/>
      <c r="IXO6" s="447"/>
      <c r="IXP6" s="447"/>
      <c r="IXQ6" s="447"/>
      <c r="IXR6" s="447"/>
      <c r="IXS6" s="447"/>
      <c r="IXT6" s="447"/>
      <c r="IXU6" s="447"/>
      <c r="IXV6" s="447"/>
      <c r="IXW6" s="447"/>
      <c r="IXX6" s="447"/>
      <c r="IXY6" s="447"/>
      <c r="IXZ6" s="447"/>
      <c r="IYA6" s="447"/>
      <c r="IYB6" s="447"/>
      <c r="IYC6" s="447"/>
      <c r="IYD6" s="447"/>
      <c r="IYE6" s="447"/>
      <c r="IYF6" s="447"/>
      <c r="IYG6" s="447"/>
      <c r="IYH6" s="447"/>
      <c r="IYI6" s="447"/>
      <c r="IYJ6" s="447"/>
      <c r="IYK6" s="447"/>
      <c r="IYL6" s="447"/>
      <c r="IYM6" s="447"/>
      <c r="IYN6" s="447"/>
      <c r="IYO6" s="447"/>
      <c r="IYP6" s="447"/>
      <c r="IYQ6" s="447"/>
      <c r="IYR6" s="447"/>
      <c r="IYS6" s="447"/>
      <c r="IYT6" s="447"/>
      <c r="IYU6" s="447"/>
      <c r="IYV6" s="447"/>
      <c r="IYW6" s="447"/>
      <c r="IYX6" s="447"/>
      <c r="IYY6" s="447"/>
      <c r="IYZ6" s="447"/>
      <c r="IZA6" s="447"/>
      <c r="IZB6" s="447"/>
      <c r="IZC6" s="447"/>
      <c r="IZD6" s="447"/>
      <c r="IZE6" s="447"/>
      <c r="IZF6" s="447"/>
      <c r="IZG6" s="447"/>
      <c r="IZH6" s="447"/>
      <c r="IZI6" s="447"/>
      <c r="IZJ6" s="447"/>
      <c r="IZK6" s="447"/>
      <c r="IZL6" s="447"/>
      <c r="IZM6" s="447"/>
      <c r="IZN6" s="447"/>
      <c r="IZO6" s="447"/>
      <c r="IZP6" s="447"/>
      <c r="IZQ6" s="447"/>
      <c r="IZR6" s="447"/>
      <c r="IZS6" s="447"/>
      <c r="IZT6" s="447"/>
      <c r="IZU6" s="447"/>
      <c r="IZV6" s="447"/>
      <c r="IZW6" s="447"/>
      <c r="IZX6" s="447"/>
      <c r="IZY6" s="447"/>
      <c r="IZZ6" s="447"/>
      <c r="JAA6" s="447"/>
      <c r="JAB6" s="447"/>
      <c r="JAC6" s="447"/>
      <c r="JAD6" s="447"/>
      <c r="JAE6" s="447"/>
      <c r="JAF6" s="447"/>
      <c r="JAG6" s="447"/>
      <c r="JAH6" s="447"/>
      <c r="JAI6" s="447"/>
      <c r="JAJ6" s="447"/>
      <c r="JAK6" s="447"/>
      <c r="JAL6" s="447"/>
      <c r="JAM6" s="447"/>
      <c r="JAN6" s="447"/>
      <c r="JAO6" s="447"/>
      <c r="JAP6" s="447"/>
      <c r="JAQ6" s="447"/>
      <c r="JAR6" s="447"/>
      <c r="JAS6" s="447"/>
      <c r="JAT6" s="447"/>
      <c r="JAU6" s="447"/>
      <c r="JAV6" s="447"/>
      <c r="JAW6" s="447"/>
      <c r="JAX6" s="447"/>
      <c r="JAY6" s="447"/>
      <c r="JAZ6" s="447"/>
      <c r="JBA6" s="447"/>
      <c r="JBB6" s="447"/>
      <c r="JBC6" s="447"/>
      <c r="JBD6" s="447"/>
      <c r="JBE6" s="447"/>
      <c r="JBF6" s="447"/>
      <c r="JBG6" s="447"/>
      <c r="JBH6" s="447"/>
      <c r="JBI6" s="447"/>
      <c r="JBJ6" s="447"/>
      <c r="JBK6" s="447"/>
      <c r="JBL6" s="447"/>
      <c r="JBM6" s="447"/>
      <c r="JBN6" s="447"/>
      <c r="JBO6" s="447"/>
      <c r="JBP6" s="447"/>
      <c r="JBQ6" s="447"/>
      <c r="JBR6" s="447"/>
      <c r="JBS6" s="447"/>
      <c r="JBT6" s="447"/>
      <c r="JBU6" s="447"/>
      <c r="JBV6" s="447"/>
      <c r="JBW6" s="447"/>
      <c r="JBX6" s="447"/>
      <c r="JBY6" s="447"/>
      <c r="JBZ6" s="447"/>
      <c r="JCA6" s="447"/>
      <c r="JCB6" s="447"/>
      <c r="JCC6" s="447"/>
      <c r="JCD6" s="447"/>
      <c r="JCE6" s="447"/>
      <c r="JCF6" s="447"/>
      <c r="JCG6" s="447"/>
      <c r="JCH6" s="447"/>
      <c r="JCI6" s="447"/>
      <c r="JCJ6" s="447"/>
      <c r="JCK6" s="447"/>
      <c r="JCL6" s="447"/>
      <c r="JCM6" s="447"/>
      <c r="JCN6" s="447"/>
      <c r="JCO6" s="447"/>
      <c r="JCP6" s="447"/>
      <c r="JCQ6" s="447"/>
      <c r="JCR6" s="447"/>
      <c r="JCS6" s="447"/>
      <c r="JCT6" s="447"/>
      <c r="JCU6" s="447"/>
      <c r="JCV6" s="447"/>
      <c r="JCW6" s="447"/>
      <c r="JCX6" s="447"/>
      <c r="JCY6" s="447"/>
      <c r="JCZ6" s="447"/>
      <c r="JDA6" s="447"/>
      <c r="JDB6" s="447"/>
      <c r="JDC6" s="447"/>
      <c r="JDD6" s="447"/>
      <c r="JDE6" s="447"/>
      <c r="JDF6" s="447"/>
      <c r="JDG6" s="447"/>
      <c r="JDH6" s="447"/>
      <c r="JDI6" s="447"/>
      <c r="JDJ6" s="447"/>
      <c r="JDK6" s="447"/>
      <c r="JDL6" s="447"/>
      <c r="JDM6" s="447"/>
      <c r="JDN6" s="447"/>
      <c r="JDO6" s="447"/>
      <c r="JDP6" s="447"/>
      <c r="JDQ6" s="447"/>
      <c r="JDR6" s="447"/>
      <c r="JDS6" s="447"/>
      <c r="JDT6" s="447"/>
      <c r="JDU6" s="447"/>
      <c r="JDV6" s="447"/>
      <c r="JDW6" s="447"/>
      <c r="JDX6" s="447"/>
      <c r="JDY6" s="447"/>
      <c r="JDZ6" s="447"/>
      <c r="JEA6" s="447"/>
      <c r="JEB6" s="447"/>
      <c r="JEC6" s="447"/>
      <c r="JED6" s="447"/>
      <c r="JEE6" s="447"/>
      <c r="JEF6" s="447"/>
      <c r="JEG6" s="447"/>
      <c r="JEH6" s="447"/>
      <c r="JEI6" s="447"/>
      <c r="JEJ6" s="447"/>
      <c r="JEK6" s="447"/>
      <c r="JEL6" s="447"/>
      <c r="JEM6" s="447"/>
      <c r="JEN6" s="447"/>
      <c r="JEO6" s="447"/>
      <c r="JEP6" s="447"/>
      <c r="JEQ6" s="447"/>
      <c r="JER6" s="447"/>
      <c r="JES6" s="447"/>
      <c r="JET6" s="447"/>
      <c r="JEU6" s="447"/>
      <c r="JEV6" s="447"/>
      <c r="JEW6" s="447"/>
      <c r="JEX6" s="447"/>
      <c r="JEY6" s="447"/>
      <c r="JEZ6" s="447"/>
      <c r="JFA6" s="447"/>
      <c r="JFB6" s="447"/>
      <c r="JFC6" s="447"/>
      <c r="JFD6" s="447"/>
      <c r="JFE6" s="447"/>
      <c r="JFF6" s="447"/>
      <c r="JFG6" s="447"/>
      <c r="JFH6" s="447"/>
      <c r="JFI6" s="447"/>
      <c r="JFJ6" s="447"/>
      <c r="JFK6" s="447"/>
      <c r="JFL6" s="447"/>
      <c r="JFM6" s="447"/>
      <c r="JFN6" s="447"/>
      <c r="JFO6" s="447"/>
      <c r="JFP6" s="447"/>
      <c r="JFQ6" s="447"/>
      <c r="JFR6" s="447"/>
      <c r="JFS6" s="447"/>
      <c r="JFT6" s="447"/>
      <c r="JFU6" s="447"/>
      <c r="JFV6" s="447"/>
      <c r="JFW6" s="447"/>
      <c r="JFX6" s="447"/>
      <c r="JFY6" s="447"/>
      <c r="JFZ6" s="447"/>
      <c r="JGA6" s="447"/>
      <c r="JGB6" s="447"/>
      <c r="JGC6" s="447"/>
      <c r="JGD6" s="447"/>
      <c r="JGE6" s="447"/>
      <c r="JGF6" s="447"/>
      <c r="JGG6" s="447"/>
      <c r="JGH6" s="447"/>
      <c r="JGI6" s="447"/>
      <c r="JGJ6" s="447"/>
      <c r="JGK6" s="447"/>
      <c r="JGL6" s="447"/>
      <c r="JGM6" s="447"/>
      <c r="JGN6" s="447"/>
      <c r="JGO6" s="447"/>
      <c r="JGP6" s="447"/>
      <c r="JGQ6" s="447"/>
      <c r="JGR6" s="447"/>
      <c r="JGS6" s="447"/>
      <c r="JGT6" s="447"/>
      <c r="JGU6" s="447"/>
      <c r="JGV6" s="447"/>
      <c r="JGW6" s="447"/>
      <c r="JGX6" s="447"/>
      <c r="JGY6" s="447"/>
      <c r="JGZ6" s="447"/>
      <c r="JHA6" s="447"/>
      <c r="JHB6" s="447"/>
      <c r="JHC6" s="447"/>
      <c r="JHD6" s="447"/>
      <c r="JHE6" s="447"/>
      <c r="JHF6" s="447"/>
      <c r="JHG6" s="447"/>
      <c r="JHH6" s="447"/>
      <c r="JHI6" s="447"/>
      <c r="JHJ6" s="447"/>
      <c r="JHK6" s="447"/>
      <c r="JHL6" s="447"/>
      <c r="JHM6" s="447"/>
      <c r="JHN6" s="447"/>
      <c r="JHO6" s="447"/>
      <c r="JHP6" s="447"/>
      <c r="JHQ6" s="447"/>
      <c r="JHR6" s="447"/>
      <c r="JHS6" s="447"/>
      <c r="JHT6" s="447"/>
      <c r="JHU6" s="447"/>
      <c r="JHV6" s="447"/>
      <c r="JHW6" s="447"/>
      <c r="JHX6" s="447"/>
      <c r="JHY6" s="447"/>
      <c r="JHZ6" s="447"/>
      <c r="JIA6" s="447"/>
      <c r="JIB6" s="447"/>
      <c r="JIC6" s="447"/>
      <c r="JID6" s="447"/>
      <c r="JIE6" s="447"/>
      <c r="JIF6" s="447"/>
      <c r="JIG6" s="447"/>
      <c r="JIH6" s="447"/>
      <c r="JII6" s="447"/>
      <c r="JIJ6" s="447"/>
      <c r="JIK6" s="447"/>
      <c r="JIL6" s="447"/>
      <c r="JIM6" s="447"/>
      <c r="JIN6" s="447"/>
      <c r="JIO6" s="447"/>
      <c r="JIP6" s="447"/>
      <c r="JIQ6" s="447"/>
      <c r="JIR6" s="447"/>
      <c r="JIS6" s="447"/>
      <c r="JIT6" s="447"/>
      <c r="JIU6" s="447"/>
      <c r="JIV6" s="447"/>
      <c r="JIW6" s="447"/>
      <c r="JIX6" s="447"/>
      <c r="JIY6" s="447"/>
      <c r="JIZ6" s="447"/>
      <c r="JJA6" s="447"/>
      <c r="JJB6" s="447"/>
      <c r="JJC6" s="447"/>
      <c r="JJD6" s="447"/>
      <c r="JJE6" s="447"/>
      <c r="JJF6" s="447"/>
      <c r="JJG6" s="447"/>
      <c r="JJH6" s="447"/>
      <c r="JJI6" s="447"/>
      <c r="JJJ6" s="447"/>
      <c r="JJK6" s="447"/>
      <c r="JJL6" s="447"/>
      <c r="JJM6" s="447"/>
      <c r="JJN6" s="447"/>
      <c r="JJO6" s="447"/>
      <c r="JJP6" s="447"/>
      <c r="JJQ6" s="447"/>
      <c r="JJR6" s="447"/>
      <c r="JJS6" s="447"/>
      <c r="JJT6" s="447"/>
      <c r="JJU6" s="447"/>
      <c r="JJV6" s="447"/>
      <c r="JJW6" s="447"/>
      <c r="JJX6" s="447"/>
      <c r="JJY6" s="447"/>
      <c r="JJZ6" s="447"/>
      <c r="JKA6" s="447"/>
      <c r="JKB6" s="447"/>
      <c r="JKC6" s="447"/>
      <c r="JKD6" s="447"/>
      <c r="JKE6" s="447"/>
      <c r="JKF6" s="447"/>
      <c r="JKG6" s="447"/>
      <c r="JKH6" s="447"/>
      <c r="JKI6" s="447"/>
      <c r="JKJ6" s="447"/>
      <c r="JKK6" s="447"/>
      <c r="JKL6" s="447"/>
      <c r="JKM6" s="447"/>
      <c r="JKN6" s="447"/>
      <c r="JKO6" s="447"/>
      <c r="JKP6" s="447"/>
      <c r="JKQ6" s="447"/>
      <c r="JKR6" s="447"/>
      <c r="JKS6" s="447"/>
      <c r="JKT6" s="447"/>
      <c r="JKU6" s="447"/>
      <c r="JKV6" s="447"/>
      <c r="JKW6" s="447"/>
      <c r="JKX6" s="447"/>
      <c r="JKY6" s="447"/>
      <c r="JKZ6" s="447"/>
      <c r="JLA6" s="447"/>
      <c r="JLB6" s="447"/>
      <c r="JLC6" s="447"/>
      <c r="JLD6" s="447"/>
      <c r="JLE6" s="447"/>
      <c r="JLF6" s="447"/>
      <c r="JLG6" s="447"/>
      <c r="JLH6" s="447"/>
      <c r="JLI6" s="447"/>
      <c r="JLJ6" s="447"/>
      <c r="JLK6" s="447"/>
      <c r="JLL6" s="447"/>
      <c r="JLM6" s="447"/>
      <c r="JLN6" s="447"/>
      <c r="JLO6" s="447"/>
      <c r="JLP6" s="447"/>
      <c r="JLQ6" s="447"/>
      <c r="JLR6" s="447"/>
      <c r="JLS6" s="447"/>
      <c r="JLT6" s="447"/>
      <c r="JLU6" s="447"/>
      <c r="JLV6" s="447"/>
      <c r="JLW6" s="447"/>
      <c r="JLX6" s="447"/>
      <c r="JLY6" s="447"/>
      <c r="JLZ6" s="447"/>
      <c r="JMA6" s="447"/>
      <c r="JMB6" s="447"/>
      <c r="JMC6" s="447"/>
      <c r="JMD6" s="447"/>
      <c r="JME6" s="447"/>
      <c r="JMF6" s="447"/>
      <c r="JMG6" s="447"/>
      <c r="JMH6" s="447"/>
      <c r="JMI6" s="447"/>
      <c r="JMJ6" s="447"/>
      <c r="JMK6" s="447"/>
      <c r="JML6" s="447"/>
      <c r="JMM6" s="447"/>
      <c r="JMN6" s="447"/>
      <c r="JMO6" s="447"/>
      <c r="JMP6" s="447"/>
      <c r="JMQ6" s="447"/>
      <c r="JMR6" s="447"/>
      <c r="JMS6" s="447"/>
      <c r="JMT6" s="447"/>
      <c r="JMU6" s="447"/>
      <c r="JMV6" s="447"/>
      <c r="JMW6" s="447"/>
      <c r="JMX6" s="447"/>
      <c r="JMY6" s="447"/>
      <c r="JMZ6" s="447"/>
      <c r="JNA6" s="447"/>
      <c r="JNB6" s="447"/>
      <c r="JNC6" s="447"/>
      <c r="JND6" s="447"/>
      <c r="JNE6" s="447"/>
      <c r="JNF6" s="447"/>
      <c r="JNG6" s="447"/>
      <c r="JNH6" s="447"/>
      <c r="JNI6" s="447"/>
      <c r="JNJ6" s="447"/>
      <c r="JNK6" s="447"/>
      <c r="JNL6" s="447"/>
      <c r="JNM6" s="447"/>
      <c r="JNN6" s="447"/>
      <c r="JNO6" s="447"/>
      <c r="JNP6" s="447"/>
      <c r="JNQ6" s="447"/>
      <c r="JNR6" s="447"/>
      <c r="JNS6" s="447"/>
      <c r="JNT6" s="447"/>
      <c r="JNU6" s="447"/>
      <c r="JNV6" s="447"/>
      <c r="JNW6" s="447"/>
      <c r="JNX6" s="447"/>
      <c r="JNY6" s="447"/>
      <c r="JNZ6" s="447"/>
      <c r="JOA6" s="447"/>
      <c r="JOB6" s="447"/>
      <c r="JOC6" s="447"/>
      <c r="JOD6" s="447"/>
      <c r="JOE6" s="447"/>
      <c r="JOF6" s="447"/>
      <c r="JOG6" s="447"/>
      <c r="JOH6" s="447"/>
      <c r="JOI6" s="447"/>
      <c r="JOJ6" s="447"/>
      <c r="JOK6" s="447"/>
      <c r="JOL6" s="447"/>
      <c r="JOM6" s="447"/>
      <c r="JON6" s="447"/>
      <c r="JOO6" s="447"/>
      <c r="JOP6" s="447"/>
      <c r="JOQ6" s="447"/>
      <c r="JOR6" s="447"/>
      <c r="JOS6" s="447"/>
      <c r="JOT6" s="447"/>
      <c r="JOU6" s="447"/>
      <c r="JOV6" s="447"/>
      <c r="JOW6" s="447"/>
      <c r="JOX6" s="447"/>
      <c r="JOY6" s="447"/>
      <c r="JOZ6" s="447"/>
      <c r="JPA6" s="447"/>
      <c r="JPB6" s="447"/>
      <c r="JPC6" s="447"/>
      <c r="JPD6" s="447"/>
      <c r="JPE6" s="447"/>
      <c r="JPF6" s="447"/>
      <c r="JPG6" s="447"/>
      <c r="JPH6" s="447"/>
      <c r="JPI6" s="447"/>
      <c r="JPJ6" s="447"/>
      <c r="JPK6" s="447"/>
      <c r="JPL6" s="447"/>
      <c r="JPM6" s="447"/>
      <c r="JPN6" s="447"/>
      <c r="JPO6" s="447"/>
      <c r="JPP6" s="447"/>
      <c r="JPQ6" s="447"/>
      <c r="JPR6" s="447"/>
      <c r="JPS6" s="447"/>
      <c r="JPT6" s="447"/>
      <c r="JPU6" s="447"/>
      <c r="JPV6" s="447"/>
      <c r="JPW6" s="447"/>
      <c r="JPX6" s="447"/>
      <c r="JPY6" s="447"/>
      <c r="JPZ6" s="447"/>
      <c r="JQA6" s="447"/>
      <c r="JQB6" s="447"/>
      <c r="JQC6" s="447"/>
      <c r="JQD6" s="447"/>
      <c r="JQE6" s="447"/>
      <c r="JQF6" s="447"/>
      <c r="JQG6" s="447"/>
      <c r="JQH6" s="447"/>
      <c r="JQI6" s="447"/>
      <c r="JQJ6" s="447"/>
      <c r="JQK6" s="447"/>
      <c r="JQL6" s="447"/>
      <c r="JQM6" s="447"/>
      <c r="JQN6" s="447"/>
      <c r="JQO6" s="447"/>
      <c r="JQP6" s="447"/>
      <c r="JQQ6" s="447"/>
      <c r="JQR6" s="447"/>
      <c r="JQS6" s="447"/>
      <c r="JQT6" s="447"/>
      <c r="JQU6" s="447"/>
      <c r="JQV6" s="447"/>
      <c r="JQW6" s="447"/>
      <c r="JQX6" s="447"/>
      <c r="JQY6" s="447"/>
      <c r="JQZ6" s="447"/>
      <c r="JRA6" s="447"/>
      <c r="JRB6" s="447"/>
      <c r="JRC6" s="447"/>
      <c r="JRD6" s="447"/>
      <c r="JRE6" s="447"/>
      <c r="JRF6" s="447"/>
      <c r="JRG6" s="447"/>
      <c r="JRH6" s="447"/>
      <c r="JRI6" s="447"/>
      <c r="JRJ6" s="447"/>
      <c r="JRK6" s="447"/>
      <c r="JRL6" s="447"/>
      <c r="JRM6" s="447"/>
      <c r="JRN6" s="447"/>
      <c r="JRO6" s="447"/>
      <c r="JRP6" s="447"/>
      <c r="JRQ6" s="447"/>
      <c r="JRR6" s="447"/>
      <c r="JRS6" s="447"/>
      <c r="JRT6" s="447"/>
      <c r="JRU6" s="447"/>
      <c r="JRV6" s="447"/>
      <c r="JRW6" s="447"/>
      <c r="JRX6" s="447"/>
      <c r="JRY6" s="447"/>
      <c r="JRZ6" s="447"/>
      <c r="JSA6" s="447"/>
      <c r="JSB6" s="447"/>
      <c r="JSC6" s="447"/>
      <c r="JSD6" s="447"/>
      <c r="JSE6" s="447"/>
      <c r="JSF6" s="447"/>
      <c r="JSG6" s="447"/>
      <c r="JSH6" s="447"/>
      <c r="JSI6" s="447"/>
      <c r="JSJ6" s="447"/>
      <c r="JSK6" s="447"/>
      <c r="JSL6" s="447"/>
      <c r="JSM6" s="447"/>
      <c r="JSN6" s="447"/>
      <c r="JSO6" s="447"/>
      <c r="JSP6" s="447"/>
      <c r="JSQ6" s="447"/>
      <c r="JSR6" s="447"/>
      <c r="JSS6" s="447"/>
      <c r="JST6" s="447"/>
      <c r="JSU6" s="447"/>
      <c r="JSV6" s="447"/>
      <c r="JSW6" s="447"/>
      <c r="JSX6" s="447"/>
      <c r="JSY6" s="447"/>
      <c r="JSZ6" s="447"/>
      <c r="JTA6" s="447"/>
      <c r="JTB6" s="447"/>
      <c r="JTC6" s="447"/>
      <c r="JTD6" s="447"/>
      <c r="JTE6" s="447"/>
      <c r="JTF6" s="447"/>
      <c r="JTG6" s="447"/>
      <c r="JTH6" s="447"/>
      <c r="JTI6" s="447"/>
      <c r="JTJ6" s="447"/>
      <c r="JTK6" s="447"/>
      <c r="JTL6" s="447"/>
      <c r="JTM6" s="447"/>
      <c r="JTN6" s="447"/>
      <c r="JTO6" s="447"/>
      <c r="JTP6" s="447"/>
      <c r="JTQ6" s="447"/>
      <c r="JTR6" s="447"/>
      <c r="JTS6" s="447"/>
      <c r="JTT6" s="447"/>
      <c r="JTU6" s="447"/>
      <c r="JTV6" s="447"/>
      <c r="JTW6" s="447"/>
      <c r="JTX6" s="447"/>
      <c r="JTY6" s="447"/>
      <c r="JTZ6" s="447"/>
      <c r="JUA6" s="447"/>
      <c r="JUB6" s="447"/>
      <c r="JUC6" s="447"/>
      <c r="JUD6" s="447"/>
      <c r="JUE6" s="447"/>
      <c r="JUF6" s="447"/>
      <c r="JUG6" s="447"/>
      <c r="JUH6" s="447"/>
      <c r="JUI6" s="447"/>
      <c r="JUJ6" s="447"/>
      <c r="JUK6" s="447"/>
      <c r="JUL6" s="447"/>
      <c r="JUM6" s="447"/>
      <c r="JUN6" s="447"/>
      <c r="JUO6" s="447"/>
      <c r="JUP6" s="447"/>
      <c r="JUQ6" s="447"/>
      <c r="JUR6" s="447"/>
      <c r="JUS6" s="447"/>
      <c r="JUT6" s="447"/>
      <c r="JUU6" s="447"/>
      <c r="JUV6" s="447"/>
      <c r="JUW6" s="447"/>
      <c r="JUX6" s="447"/>
      <c r="JUY6" s="447"/>
      <c r="JUZ6" s="447"/>
      <c r="JVA6" s="447"/>
      <c r="JVB6" s="447"/>
      <c r="JVC6" s="447"/>
      <c r="JVD6" s="447"/>
      <c r="JVE6" s="447"/>
      <c r="JVF6" s="447"/>
      <c r="JVG6" s="447"/>
      <c r="JVH6" s="447"/>
      <c r="JVI6" s="447"/>
      <c r="JVJ6" s="447"/>
      <c r="JVK6" s="447"/>
      <c r="JVL6" s="447"/>
      <c r="JVM6" s="447"/>
      <c r="JVN6" s="447"/>
      <c r="JVO6" s="447"/>
      <c r="JVP6" s="447"/>
      <c r="JVQ6" s="447"/>
      <c r="JVR6" s="447"/>
      <c r="JVS6" s="447"/>
      <c r="JVT6" s="447"/>
      <c r="JVU6" s="447"/>
      <c r="JVV6" s="447"/>
      <c r="JVW6" s="447"/>
      <c r="JVX6" s="447"/>
      <c r="JVY6" s="447"/>
      <c r="JVZ6" s="447"/>
      <c r="JWA6" s="447"/>
      <c r="JWB6" s="447"/>
      <c r="JWC6" s="447"/>
      <c r="JWD6" s="447"/>
      <c r="JWE6" s="447"/>
      <c r="JWF6" s="447"/>
      <c r="JWG6" s="447"/>
      <c r="JWH6" s="447"/>
      <c r="JWI6" s="447"/>
      <c r="JWJ6" s="447"/>
      <c r="JWK6" s="447"/>
      <c r="JWL6" s="447"/>
      <c r="JWM6" s="447"/>
      <c r="JWN6" s="447"/>
      <c r="JWO6" s="447"/>
      <c r="JWP6" s="447"/>
      <c r="JWQ6" s="447"/>
      <c r="JWR6" s="447"/>
      <c r="JWS6" s="447"/>
      <c r="JWT6" s="447"/>
      <c r="JWU6" s="447"/>
      <c r="JWV6" s="447"/>
      <c r="JWW6" s="447"/>
      <c r="JWX6" s="447"/>
      <c r="JWY6" s="447"/>
      <c r="JWZ6" s="447"/>
      <c r="JXA6" s="447"/>
      <c r="JXB6" s="447"/>
      <c r="JXC6" s="447"/>
      <c r="JXD6" s="447"/>
      <c r="JXE6" s="447"/>
      <c r="JXF6" s="447"/>
      <c r="JXG6" s="447"/>
      <c r="JXH6" s="447"/>
      <c r="JXI6" s="447"/>
      <c r="JXJ6" s="447"/>
      <c r="JXK6" s="447"/>
      <c r="JXL6" s="447"/>
      <c r="JXM6" s="447"/>
      <c r="JXN6" s="447"/>
      <c r="JXO6" s="447"/>
      <c r="JXP6" s="447"/>
      <c r="JXQ6" s="447"/>
      <c r="JXR6" s="447"/>
      <c r="JXS6" s="447"/>
      <c r="JXT6" s="447"/>
      <c r="JXU6" s="447"/>
      <c r="JXV6" s="447"/>
      <c r="JXW6" s="447"/>
      <c r="JXX6" s="447"/>
      <c r="JXY6" s="447"/>
      <c r="JXZ6" s="447"/>
      <c r="JYA6" s="447"/>
      <c r="JYB6" s="447"/>
      <c r="JYC6" s="447"/>
      <c r="JYD6" s="447"/>
      <c r="JYE6" s="447"/>
      <c r="JYF6" s="447"/>
      <c r="JYG6" s="447"/>
      <c r="JYH6" s="447"/>
      <c r="JYI6" s="447"/>
      <c r="JYJ6" s="447"/>
      <c r="JYK6" s="447"/>
      <c r="JYL6" s="447"/>
      <c r="JYM6" s="447"/>
      <c r="JYN6" s="447"/>
      <c r="JYO6" s="447"/>
      <c r="JYP6" s="447"/>
      <c r="JYQ6" s="447"/>
      <c r="JYR6" s="447"/>
      <c r="JYS6" s="447"/>
      <c r="JYT6" s="447"/>
      <c r="JYU6" s="447"/>
      <c r="JYV6" s="447"/>
      <c r="JYW6" s="447"/>
      <c r="JYX6" s="447"/>
      <c r="JYY6" s="447"/>
      <c r="JYZ6" s="447"/>
      <c r="JZA6" s="447"/>
      <c r="JZB6" s="447"/>
      <c r="JZC6" s="447"/>
      <c r="JZD6" s="447"/>
      <c r="JZE6" s="447"/>
      <c r="JZF6" s="447"/>
      <c r="JZG6" s="447"/>
      <c r="JZH6" s="447"/>
      <c r="JZI6" s="447"/>
      <c r="JZJ6" s="447"/>
      <c r="JZK6" s="447"/>
      <c r="JZL6" s="447"/>
      <c r="JZM6" s="447"/>
      <c r="JZN6" s="447"/>
      <c r="JZO6" s="447"/>
      <c r="JZP6" s="447"/>
      <c r="JZQ6" s="447"/>
      <c r="JZR6" s="447"/>
      <c r="JZS6" s="447"/>
      <c r="JZT6" s="447"/>
      <c r="JZU6" s="447"/>
      <c r="JZV6" s="447"/>
      <c r="JZW6" s="447"/>
      <c r="JZX6" s="447"/>
      <c r="JZY6" s="447"/>
      <c r="JZZ6" s="447"/>
      <c r="KAA6" s="447"/>
      <c r="KAB6" s="447"/>
      <c r="KAC6" s="447"/>
      <c r="KAD6" s="447"/>
      <c r="KAE6" s="447"/>
      <c r="KAF6" s="447"/>
      <c r="KAG6" s="447"/>
      <c r="KAH6" s="447"/>
      <c r="KAI6" s="447"/>
      <c r="KAJ6" s="447"/>
      <c r="KAK6" s="447"/>
      <c r="KAL6" s="447"/>
      <c r="KAM6" s="447"/>
      <c r="KAN6" s="447"/>
      <c r="KAO6" s="447"/>
      <c r="KAP6" s="447"/>
      <c r="KAQ6" s="447"/>
      <c r="KAR6" s="447"/>
      <c r="KAS6" s="447"/>
      <c r="KAT6" s="447"/>
      <c r="KAU6" s="447"/>
      <c r="KAV6" s="447"/>
      <c r="KAW6" s="447"/>
      <c r="KAX6" s="447"/>
      <c r="KAY6" s="447"/>
      <c r="KAZ6" s="447"/>
      <c r="KBA6" s="447"/>
      <c r="KBB6" s="447"/>
      <c r="KBC6" s="447"/>
      <c r="KBD6" s="447"/>
      <c r="KBE6" s="447"/>
      <c r="KBF6" s="447"/>
      <c r="KBG6" s="447"/>
      <c r="KBH6" s="447"/>
      <c r="KBI6" s="447"/>
      <c r="KBJ6" s="447"/>
      <c r="KBK6" s="447"/>
      <c r="KBL6" s="447"/>
      <c r="KBM6" s="447"/>
      <c r="KBN6" s="447"/>
      <c r="KBO6" s="447"/>
      <c r="KBP6" s="447"/>
      <c r="KBQ6" s="447"/>
      <c r="KBR6" s="447"/>
      <c r="KBS6" s="447"/>
      <c r="KBT6" s="447"/>
      <c r="KBU6" s="447"/>
      <c r="KBV6" s="447"/>
      <c r="KBW6" s="447"/>
      <c r="KBX6" s="447"/>
      <c r="KBY6" s="447"/>
      <c r="KBZ6" s="447"/>
      <c r="KCA6" s="447"/>
      <c r="KCB6" s="447"/>
      <c r="KCC6" s="447"/>
      <c r="KCD6" s="447"/>
      <c r="KCE6" s="447"/>
      <c r="KCF6" s="447"/>
      <c r="KCG6" s="447"/>
      <c r="KCH6" s="447"/>
      <c r="KCI6" s="447"/>
      <c r="KCJ6" s="447"/>
      <c r="KCK6" s="447"/>
      <c r="KCL6" s="447"/>
      <c r="KCM6" s="447"/>
      <c r="KCN6" s="447"/>
      <c r="KCO6" s="447"/>
      <c r="KCP6" s="447"/>
      <c r="KCQ6" s="447"/>
      <c r="KCR6" s="447"/>
      <c r="KCS6" s="447"/>
      <c r="KCT6" s="447"/>
      <c r="KCU6" s="447"/>
      <c r="KCV6" s="447"/>
      <c r="KCW6" s="447"/>
      <c r="KCX6" s="447"/>
      <c r="KCY6" s="447"/>
      <c r="KCZ6" s="447"/>
      <c r="KDA6" s="447"/>
      <c r="KDB6" s="447"/>
      <c r="KDC6" s="447"/>
      <c r="KDD6" s="447"/>
      <c r="KDE6" s="447"/>
      <c r="KDF6" s="447"/>
      <c r="KDG6" s="447"/>
      <c r="KDH6" s="447"/>
      <c r="KDI6" s="447"/>
      <c r="KDJ6" s="447"/>
      <c r="KDK6" s="447"/>
      <c r="KDL6" s="447"/>
      <c r="KDM6" s="447"/>
      <c r="KDN6" s="447"/>
      <c r="KDO6" s="447"/>
      <c r="KDP6" s="447"/>
      <c r="KDQ6" s="447"/>
      <c r="KDR6" s="447"/>
      <c r="KDS6" s="447"/>
      <c r="KDT6" s="447"/>
      <c r="KDU6" s="447"/>
      <c r="KDV6" s="447"/>
      <c r="KDW6" s="447"/>
      <c r="KDX6" s="447"/>
      <c r="KDY6" s="447"/>
      <c r="KDZ6" s="447"/>
      <c r="KEA6" s="447"/>
      <c r="KEB6" s="447"/>
      <c r="KEC6" s="447"/>
      <c r="KED6" s="447"/>
      <c r="KEE6" s="447"/>
      <c r="KEF6" s="447"/>
      <c r="KEG6" s="447"/>
      <c r="KEH6" s="447"/>
      <c r="KEI6" s="447"/>
      <c r="KEJ6" s="447"/>
      <c r="KEK6" s="447"/>
      <c r="KEL6" s="447"/>
      <c r="KEM6" s="447"/>
      <c r="KEN6" s="447"/>
      <c r="KEO6" s="447"/>
      <c r="KEP6" s="447"/>
      <c r="KEQ6" s="447"/>
      <c r="KER6" s="447"/>
      <c r="KES6" s="447"/>
      <c r="KET6" s="447"/>
      <c r="KEU6" s="447"/>
      <c r="KEV6" s="447"/>
      <c r="KEW6" s="447"/>
      <c r="KEX6" s="447"/>
      <c r="KEY6" s="447"/>
      <c r="KEZ6" s="447"/>
      <c r="KFA6" s="447"/>
      <c r="KFB6" s="447"/>
      <c r="KFC6" s="447"/>
      <c r="KFD6" s="447"/>
      <c r="KFE6" s="447"/>
      <c r="KFF6" s="447"/>
      <c r="KFG6" s="447"/>
      <c r="KFH6" s="447"/>
      <c r="KFI6" s="447"/>
      <c r="KFJ6" s="447"/>
      <c r="KFK6" s="447"/>
      <c r="KFL6" s="447"/>
      <c r="KFM6" s="447"/>
      <c r="KFN6" s="447"/>
      <c r="KFO6" s="447"/>
      <c r="KFP6" s="447"/>
      <c r="KFQ6" s="447"/>
      <c r="KFR6" s="447"/>
      <c r="KFS6" s="447"/>
      <c r="KFT6" s="447"/>
      <c r="KFU6" s="447"/>
      <c r="KFV6" s="447"/>
      <c r="KFW6" s="447"/>
      <c r="KFX6" s="447"/>
      <c r="KFY6" s="447"/>
      <c r="KFZ6" s="447"/>
      <c r="KGA6" s="447"/>
      <c r="KGB6" s="447"/>
      <c r="KGC6" s="447"/>
      <c r="KGD6" s="447"/>
      <c r="KGE6" s="447"/>
      <c r="KGF6" s="447"/>
      <c r="KGG6" s="447"/>
      <c r="KGH6" s="447"/>
      <c r="KGI6" s="447"/>
      <c r="KGJ6" s="447"/>
      <c r="KGK6" s="447"/>
      <c r="KGL6" s="447"/>
      <c r="KGM6" s="447"/>
      <c r="KGN6" s="447"/>
      <c r="KGO6" s="447"/>
      <c r="KGP6" s="447"/>
      <c r="KGQ6" s="447"/>
      <c r="KGR6" s="447"/>
      <c r="KGS6" s="447"/>
      <c r="KGT6" s="447"/>
      <c r="KGU6" s="447"/>
      <c r="KGV6" s="447"/>
      <c r="KGW6" s="447"/>
      <c r="KGX6" s="447"/>
      <c r="KGY6" s="447"/>
      <c r="KGZ6" s="447"/>
      <c r="KHA6" s="447"/>
      <c r="KHB6" s="447"/>
      <c r="KHC6" s="447"/>
      <c r="KHD6" s="447"/>
      <c r="KHE6" s="447"/>
      <c r="KHF6" s="447"/>
      <c r="KHG6" s="447"/>
      <c r="KHH6" s="447"/>
      <c r="KHI6" s="447"/>
      <c r="KHJ6" s="447"/>
      <c r="KHK6" s="447"/>
      <c r="KHL6" s="447"/>
      <c r="KHM6" s="447"/>
      <c r="KHN6" s="447"/>
      <c r="KHO6" s="447"/>
      <c r="KHP6" s="447"/>
      <c r="KHQ6" s="447"/>
      <c r="KHR6" s="447"/>
      <c r="KHS6" s="447"/>
      <c r="KHT6" s="447"/>
      <c r="KHU6" s="447"/>
      <c r="KHV6" s="447"/>
      <c r="KHW6" s="447"/>
      <c r="KHX6" s="447"/>
      <c r="KHY6" s="447"/>
      <c r="KHZ6" s="447"/>
      <c r="KIA6" s="447"/>
      <c r="KIB6" s="447"/>
      <c r="KIC6" s="447"/>
      <c r="KID6" s="447"/>
      <c r="KIE6" s="447"/>
      <c r="KIF6" s="447"/>
      <c r="KIG6" s="447"/>
      <c r="KIH6" s="447"/>
      <c r="KII6" s="447"/>
      <c r="KIJ6" s="447"/>
      <c r="KIK6" s="447"/>
      <c r="KIL6" s="447"/>
      <c r="KIM6" s="447"/>
      <c r="KIN6" s="447"/>
      <c r="KIO6" s="447"/>
      <c r="KIP6" s="447"/>
      <c r="KIQ6" s="447"/>
      <c r="KIR6" s="447"/>
      <c r="KIS6" s="447"/>
      <c r="KIT6" s="447"/>
      <c r="KIU6" s="447"/>
      <c r="KIV6" s="447"/>
      <c r="KIW6" s="447"/>
      <c r="KIX6" s="447"/>
      <c r="KIY6" s="447"/>
      <c r="KIZ6" s="447"/>
      <c r="KJA6" s="447"/>
      <c r="KJB6" s="447"/>
      <c r="KJC6" s="447"/>
      <c r="KJD6" s="447"/>
      <c r="KJE6" s="447"/>
      <c r="KJF6" s="447"/>
      <c r="KJG6" s="447"/>
      <c r="KJH6" s="447"/>
      <c r="KJI6" s="447"/>
      <c r="KJJ6" s="447"/>
      <c r="KJK6" s="447"/>
      <c r="KJL6" s="447"/>
      <c r="KJM6" s="447"/>
      <c r="KJN6" s="447"/>
      <c r="KJO6" s="447"/>
      <c r="KJP6" s="447"/>
      <c r="KJQ6" s="447"/>
      <c r="KJR6" s="447"/>
      <c r="KJS6" s="447"/>
      <c r="KJT6" s="447"/>
      <c r="KJU6" s="447"/>
      <c r="KJV6" s="447"/>
      <c r="KJW6" s="447"/>
      <c r="KJX6" s="447"/>
      <c r="KJY6" s="447"/>
      <c r="KJZ6" s="447"/>
      <c r="KKA6" s="447"/>
      <c r="KKB6" s="447"/>
      <c r="KKC6" s="447"/>
      <c r="KKD6" s="447"/>
      <c r="KKE6" s="447"/>
      <c r="KKF6" s="447"/>
      <c r="KKG6" s="447"/>
      <c r="KKH6" s="447"/>
      <c r="KKI6" s="447"/>
      <c r="KKJ6" s="447"/>
      <c r="KKK6" s="447"/>
      <c r="KKL6" s="447"/>
      <c r="KKM6" s="447"/>
      <c r="KKN6" s="447"/>
      <c r="KKO6" s="447"/>
      <c r="KKP6" s="447"/>
      <c r="KKQ6" s="447"/>
      <c r="KKR6" s="447"/>
      <c r="KKS6" s="447"/>
      <c r="KKT6" s="447"/>
      <c r="KKU6" s="447"/>
      <c r="KKV6" s="447"/>
      <c r="KKW6" s="447"/>
      <c r="KKX6" s="447"/>
      <c r="KKY6" s="447"/>
      <c r="KKZ6" s="447"/>
      <c r="KLA6" s="447"/>
      <c r="KLB6" s="447"/>
      <c r="KLC6" s="447"/>
      <c r="KLD6" s="447"/>
      <c r="KLE6" s="447"/>
      <c r="KLF6" s="447"/>
      <c r="KLG6" s="447"/>
      <c r="KLH6" s="447"/>
      <c r="KLI6" s="447"/>
      <c r="KLJ6" s="447"/>
      <c r="KLK6" s="447"/>
      <c r="KLL6" s="447"/>
      <c r="KLM6" s="447"/>
      <c r="KLN6" s="447"/>
      <c r="KLO6" s="447"/>
      <c r="KLP6" s="447"/>
      <c r="KLQ6" s="447"/>
      <c r="KLR6" s="447"/>
      <c r="KLS6" s="447"/>
      <c r="KLT6" s="447"/>
      <c r="KLU6" s="447"/>
      <c r="KLV6" s="447"/>
      <c r="KLW6" s="447"/>
      <c r="KLX6" s="447"/>
      <c r="KLY6" s="447"/>
      <c r="KLZ6" s="447"/>
      <c r="KMA6" s="447"/>
      <c r="KMB6" s="447"/>
      <c r="KMC6" s="447"/>
      <c r="KMD6" s="447"/>
      <c r="KME6" s="447"/>
      <c r="KMF6" s="447"/>
      <c r="KMG6" s="447"/>
      <c r="KMH6" s="447"/>
      <c r="KMI6" s="447"/>
      <c r="KMJ6" s="447"/>
      <c r="KMK6" s="447"/>
      <c r="KML6" s="447"/>
      <c r="KMM6" s="447"/>
      <c r="KMN6" s="447"/>
      <c r="KMO6" s="447"/>
      <c r="KMP6" s="447"/>
      <c r="KMQ6" s="447"/>
      <c r="KMR6" s="447"/>
      <c r="KMS6" s="447"/>
      <c r="KMT6" s="447"/>
      <c r="KMU6" s="447"/>
      <c r="KMV6" s="447"/>
      <c r="KMW6" s="447"/>
      <c r="KMX6" s="447"/>
      <c r="KMY6" s="447"/>
      <c r="KMZ6" s="447"/>
      <c r="KNA6" s="447"/>
      <c r="KNB6" s="447"/>
      <c r="KNC6" s="447"/>
      <c r="KND6" s="447"/>
      <c r="KNE6" s="447"/>
      <c r="KNF6" s="447"/>
      <c r="KNG6" s="447"/>
      <c r="KNH6" s="447"/>
      <c r="KNI6" s="447"/>
      <c r="KNJ6" s="447"/>
      <c r="KNK6" s="447"/>
      <c r="KNL6" s="447"/>
      <c r="KNM6" s="447"/>
      <c r="KNN6" s="447"/>
      <c r="KNO6" s="447"/>
      <c r="KNP6" s="447"/>
      <c r="KNQ6" s="447"/>
      <c r="KNR6" s="447"/>
      <c r="KNS6" s="447"/>
      <c r="KNT6" s="447"/>
      <c r="KNU6" s="447"/>
      <c r="KNV6" s="447"/>
      <c r="KNW6" s="447"/>
      <c r="KNX6" s="447"/>
      <c r="KNY6" s="447"/>
      <c r="KNZ6" s="447"/>
      <c r="KOA6" s="447"/>
      <c r="KOB6" s="447"/>
      <c r="KOC6" s="447"/>
      <c r="KOD6" s="447"/>
      <c r="KOE6" s="447"/>
      <c r="KOF6" s="447"/>
      <c r="KOG6" s="447"/>
      <c r="KOH6" s="447"/>
      <c r="KOI6" s="447"/>
      <c r="KOJ6" s="447"/>
      <c r="KOK6" s="447"/>
      <c r="KOL6" s="447"/>
      <c r="KOM6" s="447"/>
      <c r="KON6" s="447"/>
      <c r="KOO6" s="447"/>
      <c r="KOP6" s="447"/>
      <c r="KOQ6" s="447"/>
      <c r="KOR6" s="447"/>
      <c r="KOS6" s="447"/>
      <c r="KOT6" s="447"/>
      <c r="KOU6" s="447"/>
      <c r="KOV6" s="447"/>
      <c r="KOW6" s="447"/>
      <c r="KOX6" s="447"/>
      <c r="KOY6" s="447"/>
      <c r="KOZ6" s="447"/>
      <c r="KPA6" s="447"/>
      <c r="KPB6" s="447"/>
      <c r="KPC6" s="447"/>
      <c r="KPD6" s="447"/>
      <c r="KPE6" s="447"/>
      <c r="KPF6" s="447"/>
      <c r="KPG6" s="447"/>
      <c r="KPH6" s="447"/>
      <c r="KPI6" s="447"/>
      <c r="KPJ6" s="447"/>
      <c r="KPK6" s="447"/>
      <c r="KPL6" s="447"/>
      <c r="KPM6" s="447"/>
      <c r="KPN6" s="447"/>
      <c r="KPO6" s="447"/>
      <c r="KPP6" s="447"/>
      <c r="KPQ6" s="447"/>
      <c r="KPR6" s="447"/>
      <c r="KPS6" s="447"/>
      <c r="KPT6" s="447"/>
      <c r="KPU6" s="447"/>
      <c r="KPV6" s="447"/>
      <c r="KPW6" s="447"/>
      <c r="KPX6" s="447"/>
      <c r="KPY6" s="447"/>
      <c r="KPZ6" s="447"/>
      <c r="KQA6" s="447"/>
      <c r="KQB6" s="447"/>
      <c r="KQC6" s="447"/>
      <c r="KQD6" s="447"/>
      <c r="KQE6" s="447"/>
      <c r="KQF6" s="447"/>
      <c r="KQG6" s="447"/>
      <c r="KQH6" s="447"/>
      <c r="KQI6" s="447"/>
      <c r="KQJ6" s="447"/>
      <c r="KQK6" s="447"/>
      <c r="KQL6" s="447"/>
      <c r="KQM6" s="447"/>
      <c r="KQN6" s="447"/>
      <c r="KQO6" s="447"/>
      <c r="KQP6" s="447"/>
      <c r="KQQ6" s="447"/>
      <c r="KQR6" s="447"/>
      <c r="KQS6" s="447"/>
      <c r="KQT6" s="447"/>
      <c r="KQU6" s="447"/>
      <c r="KQV6" s="447"/>
      <c r="KQW6" s="447"/>
      <c r="KQX6" s="447"/>
      <c r="KQY6" s="447"/>
      <c r="KQZ6" s="447"/>
      <c r="KRA6" s="447"/>
      <c r="KRB6" s="447"/>
      <c r="KRC6" s="447"/>
      <c r="KRD6" s="447"/>
      <c r="KRE6" s="447"/>
      <c r="KRF6" s="447"/>
      <c r="KRG6" s="447"/>
      <c r="KRH6" s="447"/>
      <c r="KRI6" s="447"/>
      <c r="KRJ6" s="447"/>
      <c r="KRK6" s="447"/>
      <c r="KRL6" s="447"/>
      <c r="KRM6" s="447"/>
      <c r="KRN6" s="447"/>
      <c r="KRO6" s="447"/>
      <c r="KRP6" s="447"/>
      <c r="KRQ6" s="447"/>
      <c r="KRR6" s="447"/>
      <c r="KRS6" s="447"/>
      <c r="KRT6" s="447"/>
      <c r="KRU6" s="447"/>
      <c r="KRV6" s="447"/>
      <c r="KRW6" s="447"/>
      <c r="KRX6" s="447"/>
      <c r="KRY6" s="447"/>
      <c r="KRZ6" s="447"/>
      <c r="KSA6" s="447"/>
      <c r="KSB6" s="447"/>
      <c r="KSC6" s="447"/>
      <c r="KSD6" s="447"/>
      <c r="KSE6" s="447"/>
      <c r="KSF6" s="447"/>
      <c r="KSG6" s="447"/>
      <c r="KSH6" s="447"/>
      <c r="KSI6" s="447"/>
      <c r="KSJ6" s="447"/>
      <c r="KSK6" s="447"/>
      <c r="KSL6" s="447"/>
      <c r="KSM6" s="447"/>
      <c r="KSN6" s="447"/>
      <c r="KSO6" s="447"/>
      <c r="KSP6" s="447"/>
      <c r="KSQ6" s="447"/>
      <c r="KSR6" s="447"/>
      <c r="KSS6" s="447"/>
      <c r="KST6" s="447"/>
      <c r="KSU6" s="447"/>
      <c r="KSV6" s="447"/>
      <c r="KSW6" s="447"/>
      <c r="KSX6" s="447"/>
      <c r="KSY6" s="447"/>
      <c r="KSZ6" s="447"/>
      <c r="KTA6" s="447"/>
      <c r="KTB6" s="447"/>
      <c r="KTC6" s="447"/>
      <c r="KTD6" s="447"/>
      <c r="KTE6" s="447"/>
      <c r="KTF6" s="447"/>
      <c r="KTG6" s="447"/>
      <c r="KTH6" s="447"/>
      <c r="KTI6" s="447"/>
      <c r="KTJ6" s="447"/>
      <c r="KTK6" s="447"/>
      <c r="KTL6" s="447"/>
      <c r="KTM6" s="447"/>
      <c r="KTN6" s="447"/>
      <c r="KTO6" s="447"/>
      <c r="KTP6" s="447"/>
      <c r="KTQ6" s="447"/>
      <c r="KTR6" s="447"/>
      <c r="KTS6" s="447"/>
      <c r="KTT6" s="447"/>
      <c r="KTU6" s="447"/>
      <c r="KTV6" s="447"/>
      <c r="KTW6" s="447"/>
      <c r="KTX6" s="447"/>
      <c r="KTY6" s="447"/>
      <c r="KTZ6" s="447"/>
      <c r="KUA6" s="447"/>
      <c r="KUB6" s="447"/>
      <c r="KUC6" s="447"/>
      <c r="KUD6" s="447"/>
      <c r="KUE6" s="447"/>
      <c r="KUF6" s="447"/>
      <c r="KUG6" s="447"/>
      <c r="KUH6" s="447"/>
      <c r="KUI6" s="447"/>
      <c r="KUJ6" s="447"/>
      <c r="KUK6" s="447"/>
      <c r="KUL6" s="447"/>
      <c r="KUM6" s="447"/>
      <c r="KUN6" s="447"/>
      <c r="KUO6" s="447"/>
      <c r="KUP6" s="447"/>
      <c r="KUQ6" s="447"/>
      <c r="KUR6" s="447"/>
      <c r="KUS6" s="447"/>
      <c r="KUT6" s="447"/>
      <c r="KUU6" s="447"/>
      <c r="KUV6" s="447"/>
      <c r="KUW6" s="447"/>
      <c r="KUX6" s="447"/>
      <c r="KUY6" s="447"/>
      <c r="KUZ6" s="447"/>
      <c r="KVA6" s="447"/>
      <c r="KVB6" s="447"/>
      <c r="KVC6" s="447"/>
      <c r="KVD6" s="447"/>
      <c r="KVE6" s="447"/>
      <c r="KVF6" s="447"/>
      <c r="KVG6" s="447"/>
      <c r="KVH6" s="447"/>
      <c r="KVI6" s="447"/>
      <c r="KVJ6" s="447"/>
      <c r="KVK6" s="447"/>
      <c r="KVL6" s="447"/>
      <c r="KVM6" s="447"/>
      <c r="KVN6" s="447"/>
      <c r="KVO6" s="447"/>
      <c r="KVP6" s="447"/>
      <c r="KVQ6" s="447"/>
      <c r="KVR6" s="447"/>
      <c r="KVS6" s="447"/>
      <c r="KVT6" s="447"/>
      <c r="KVU6" s="447"/>
      <c r="KVV6" s="447"/>
      <c r="KVW6" s="447"/>
      <c r="KVX6" s="447"/>
      <c r="KVY6" s="447"/>
      <c r="KVZ6" s="447"/>
      <c r="KWA6" s="447"/>
      <c r="KWB6" s="447"/>
      <c r="KWC6" s="447"/>
      <c r="KWD6" s="447"/>
      <c r="KWE6" s="447"/>
      <c r="KWF6" s="447"/>
      <c r="KWG6" s="447"/>
      <c r="KWH6" s="447"/>
      <c r="KWI6" s="447"/>
      <c r="KWJ6" s="447"/>
      <c r="KWK6" s="447"/>
      <c r="KWL6" s="447"/>
      <c r="KWM6" s="447"/>
      <c r="KWN6" s="447"/>
      <c r="KWO6" s="447"/>
      <c r="KWP6" s="447"/>
      <c r="KWQ6" s="447"/>
      <c r="KWR6" s="447"/>
      <c r="KWS6" s="447"/>
      <c r="KWT6" s="447"/>
      <c r="KWU6" s="447"/>
      <c r="KWV6" s="447"/>
      <c r="KWW6" s="447"/>
      <c r="KWX6" s="447"/>
      <c r="KWY6" s="447"/>
      <c r="KWZ6" s="447"/>
      <c r="KXA6" s="447"/>
      <c r="KXB6" s="447"/>
      <c r="KXC6" s="447"/>
      <c r="KXD6" s="447"/>
      <c r="KXE6" s="447"/>
      <c r="KXF6" s="447"/>
      <c r="KXG6" s="447"/>
      <c r="KXH6" s="447"/>
      <c r="KXI6" s="447"/>
      <c r="KXJ6" s="447"/>
      <c r="KXK6" s="447"/>
      <c r="KXL6" s="447"/>
      <c r="KXM6" s="447"/>
      <c r="KXN6" s="447"/>
      <c r="KXO6" s="447"/>
      <c r="KXP6" s="447"/>
      <c r="KXQ6" s="447"/>
      <c r="KXR6" s="447"/>
      <c r="KXS6" s="447"/>
      <c r="KXT6" s="447"/>
      <c r="KXU6" s="447"/>
      <c r="KXV6" s="447"/>
      <c r="KXW6" s="447"/>
      <c r="KXX6" s="447"/>
      <c r="KXY6" s="447"/>
      <c r="KXZ6" s="447"/>
      <c r="KYA6" s="447"/>
      <c r="KYB6" s="447"/>
      <c r="KYC6" s="447"/>
      <c r="KYD6" s="447"/>
      <c r="KYE6" s="447"/>
      <c r="KYF6" s="447"/>
      <c r="KYG6" s="447"/>
      <c r="KYH6" s="447"/>
      <c r="KYI6" s="447"/>
      <c r="KYJ6" s="447"/>
      <c r="KYK6" s="447"/>
      <c r="KYL6" s="447"/>
      <c r="KYM6" s="447"/>
      <c r="KYN6" s="447"/>
      <c r="KYO6" s="447"/>
      <c r="KYP6" s="447"/>
      <c r="KYQ6" s="447"/>
      <c r="KYR6" s="447"/>
      <c r="KYS6" s="447"/>
      <c r="KYT6" s="447"/>
      <c r="KYU6" s="447"/>
      <c r="KYV6" s="447"/>
      <c r="KYW6" s="447"/>
      <c r="KYX6" s="447"/>
      <c r="KYY6" s="447"/>
      <c r="KYZ6" s="447"/>
      <c r="KZA6" s="447"/>
      <c r="KZB6" s="447"/>
      <c r="KZC6" s="447"/>
      <c r="KZD6" s="447"/>
      <c r="KZE6" s="447"/>
      <c r="KZF6" s="447"/>
      <c r="KZG6" s="447"/>
      <c r="KZH6" s="447"/>
      <c r="KZI6" s="447"/>
      <c r="KZJ6" s="447"/>
      <c r="KZK6" s="447"/>
      <c r="KZL6" s="447"/>
      <c r="KZM6" s="447"/>
      <c r="KZN6" s="447"/>
      <c r="KZO6" s="447"/>
      <c r="KZP6" s="447"/>
      <c r="KZQ6" s="447"/>
      <c r="KZR6" s="447"/>
      <c r="KZS6" s="447"/>
      <c r="KZT6" s="447"/>
      <c r="KZU6" s="447"/>
      <c r="KZV6" s="447"/>
      <c r="KZW6" s="447"/>
      <c r="KZX6" s="447"/>
      <c r="KZY6" s="447"/>
      <c r="KZZ6" s="447"/>
      <c r="LAA6" s="447"/>
      <c r="LAB6" s="447"/>
      <c r="LAC6" s="447"/>
      <c r="LAD6" s="447"/>
      <c r="LAE6" s="447"/>
      <c r="LAF6" s="447"/>
      <c r="LAG6" s="447"/>
      <c r="LAH6" s="447"/>
      <c r="LAI6" s="447"/>
      <c r="LAJ6" s="447"/>
      <c r="LAK6" s="447"/>
      <c r="LAL6" s="447"/>
      <c r="LAM6" s="447"/>
      <c r="LAN6" s="447"/>
      <c r="LAO6" s="447"/>
      <c r="LAP6" s="447"/>
      <c r="LAQ6" s="447"/>
      <c r="LAR6" s="447"/>
      <c r="LAS6" s="447"/>
      <c r="LAT6" s="447"/>
      <c r="LAU6" s="447"/>
      <c r="LAV6" s="447"/>
      <c r="LAW6" s="447"/>
      <c r="LAX6" s="447"/>
      <c r="LAY6" s="447"/>
      <c r="LAZ6" s="447"/>
      <c r="LBA6" s="447"/>
      <c r="LBB6" s="447"/>
      <c r="LBC6" s="447"/>
      <c r="LBD6" s="447"/>
      <c r="LBE6" s="447"/>
      <c r="LBF6" s="447"/>
      <c r="LBG6" s="447"/>
      <c r="LBH6" s="447"/>
      <c r="LBI6" s="447"/>
      <c r="LBJ6" s="447"/>
      <c r="LBK6" s="447"/>
      <c r="LBL6" s="447"/>
      <c r="LBM6" s="447"/>
      <c r="LBN6" s="447"/>
      <c r="LBO6" s="447"/>
      <c r="LBP6" s="447"/>
      <c r="LBQ6" s="447"/>
      <c r="LBR6" s="447"/>
      <c r="LBS6" s="447"/>
      <c r="LBT6" s="447"/>
      <c r="LBU6" s="447"/>
      <c r="LBV6" s="447"/>
      <c r="LBW6" s="447"/>
      <c r="LBX6" s="447"/>
      <c r="LBY6" s="447"/>
      <c r="LBZ6" s="447"/>
      <c r="LCA6" s="447"/>
      <c r="LCB6" s="447"/>
      <c r="LCC6" s="447"/>
      <c r="LCD6" s="447"/>
      <c r="LCE6" s="447"/>
      <c r="LCF6" s="447"/>
      <c r="LCG6" s="447"/>
      <c r="LCH6" s="447"/>
      <c r="LCI6" s="447"/>
      <c r="LCJ6" s="447"/>
      <c r="LCK6" s="447"/>
      <c r="LCL6" s="447"/>
      <c r="LCM6" s="447"/>
      <c r="LCN6" s="447"/>
      <c r="LCO6" s="447"/>
      <c r="LCP6" s="447"/>
      <c r="LCQ6" s="447"/>
      <c r="LCR6" s="447"/>
      <c r="LCS6" s="447"/>
      <c r="LCT6" s="447"/>
      <c r="LCU6" s="447"/>
      <c r="LCV6" s="447"/>
      <c r="LCW6" s="447"/>
      <c r="LCX6" s="447"/>
      <c r="LCY6" s="447"/>
      <c r="LCZ6" s="447"/>
      <c r="LDA6" s="447"/>
      <c r="LDB6" s="447"/>
      <c r="LDC6" s="447"/>
      <c r="LDD6" s="447"/>
      <c r="LDE6" s="447"/>
      <c r="LDF6" s="447"/>
      <c r="LDG6" s="447"/>
      <c r="LDH6" s="447"/>
      <c r="LDI6" s="447"/>
      <c r="LDJ6" s="447"/>
      <c r="LDK6" s="447"/>
      <c r="LDL6" s="447"/>
      <c r="LDM6" s="447"/>
      <c r="LDN6" s="447"/>
      <c r="LDO6" s="447"/>
      <c r="LDP6" s="447"/>
      <c r="LDQ6" s="447"/>
      <c r="LDR6" s="447"/>
      <c r="LDS6" s="447"/>
      <c r="LDT6" s="447"/>
      <c r="LDU6" s="447"/>
      <c r="LDV6" s="447"/>
      <c r="LDW6" s="447"/>
      <c r="LDX6" s="447"/>
      <c r="LDY6" s="447"/>
      <c r="LDZ6" s="447"/>
      <c r="LEA6" s="447"/>
      <c r="LEB6" s="447"/>
      <c r="LEC6" s="447"/>
      <c r="LED6" s="447"/>
      <c r="LEE6" s="447"/>
      <c r="LEF6" s="447"/>
      <c r="LEG6" s="447"/>
      <c r="LEH6" s="447"/>
      <c r="LEI6" s="447"/>
      <c r="LEJ6" s="447"/>
      <c r="LEK6" s="447"/>
      <c r="LEL6" s="447"/>
      <c r="LEM6" s="447"/>
      <c r="LEN6" s="447"/>
      <c r="LEO6" s="447"/>
      <c r="LEP6" s="447"/>
      <c r="LEQ6" s="447"/>
      <c r="LER6" s="447"/>
      <c r="LES6" s="447"/>
      <c r="LET6" s="447"/>
      <c r="LEU6" s="447"/>
      <c r="LEV6" s="447"/>
      <c r="LEW6" s="447"/>
      <c r="LEX6" s="447"/>
      <c r="LEY6" s="447"/>
      <c r="LEZ6" s="447"/>
      <c r="LFA6" s="447"/>
      <c r="LFB6" s="447"/>
      <c r="LFC6" s="447"/>
      <c r="LFD6" s="447"/>
      <c r="LFE6" s="447"/>
      <c r="LFF6" s="447"/>
      <c r="LFG6" s="447"/>
      <c r="LFH6" s="447"/>
      <c r="LFI6" s="447"/>
      <c r="LFJ6" s="447"/>
      <c r="LFK6" s="447"/>
      <c r="LFL6" s="447"/>
      <c r="LFM6" s="447"/>
      <c r="LFN6" s="447"/>
      <c r="LFO6" s="447"/>
      <c r="LFP6" s="447"/>
      <c r="LFQ6" s="447"/>
      <c r="LFR6" s="447"/>
      <c r="LFS6" s="447"/>
      <c r="LFT6" s="447"/>
      <c r="LFU6" s="447"/>
      <c r="LFV6" s="447"/>
      <c r="LFW6" s="447"/>
      <c r="LFX6" s="447"/>
      <c r="LFY6" s="447"/>
      <c r="LFZ6" s="447"/>
      <c r="LGA6" s="447"/>
      <c r="LGB6" s="447"/>
      <c r="LGC6" s="447"/>
      <c r="LGD6" s="447"/>
      <c r="LGE6" s="447"/>
      <c r="LGF6" s="447"/>
      <c r="LGG6" s="447"/>
      <c r="LGH6" s="447"/>
      <c r="LGI6" s="447"/>
      <c r="LGJ6" s="447"/>
      <c r="LGK6" s="447"/>
      <c r="LGL6" s="447"/>
      <c r="LGM6" s="447"/>
      <c r="LGN6" s="447"/>
      <c r="LGO6" s="447"/>
      <c r="LGP6" s="447"/>
      <c r="LGQ6" s="447"/>
      <c r="LGR6" s="447"/>
      <c r="LGS6" s="447"/>
      <c r="LGT6" s="447"/>
      <c r="LGU6" s="447"/>
      <c r="LGV6" s="447"/>
      <c r="LGW6" s="447"/>
      <c r="LGX6" s="447"/>
      <c r="LGY6" s="447"/>
      <c r="LGZ6" s="447"/>
      <c r="LHA6" s="447"/>
      <c r="LHB6" s="447"/>
      <c r="LHC6" s="447"/>
      <c r="LHD6" s="447"/>
      <c r="LHE6" s="447"/>
      <c r="LHF6" s="447"/>
      <c r="LHG6" s="447"/>
      <c r="LHH6" s="447"/>
      <c r="LHI6" s="447"/>
      <c r="LHJ6" s="447"/>
      <c r="LHK6" s="447"/>
      <c r="LHL6" s="447"/>
      <c r="LHM6" s="447"/>
      <c r="LHN6" s="447"/>
      <c r="LHO6" s="447"/>
      <c r="LHP6" s="447"/>
      <c r="LHQ6" s="447"/>
      <c r="LHR6" s="447"/>
      <c r="LHS6" s="447"/>
      <c r="LHT6" s="447"/>
      <c r="LHU6" s="447"/>
      <c r="LHV6" s="447"/>
      <c r="LHW6" s="447"/>
      <c r="LHX6" s="447"/>
      <c r="LHY6" s="447"/>
      <c r="LHZ6" s="447"/>
      <c r="LIA6" s="447"/>
      <c r="LIB6" s="447"/>
      <c r="LIC6" s="447"/>
      <c r="LID6" s="447"/>
      <c r="LIE6" s="447"/>
      <c r="LIF6" s="447"/>
      <c r="LIG6" s="447"/>
      <c r="LIH6" s="447"/>
      <c r="LII6" s="447"/>
      <c r="LIJ6" s="447"/>
      <c r="LIK6" s="447"/>
      <c r="LIL6" s="447"/>
      <c r="LIM6" s="447"/>
      <c r="LIN6" s="447"/>
      <c r="LIO6" s="447"/>
      <c r="LIP6" s="447"/>
      <c r="LIQ6" s="447"/>
      <c r="LIR6" s="447"/>
      <c r="LIS6" s="447"/>
      <c r="LIT6" s="447"/>
      <c r="LIU6" s="447"/>
      <c r="LIV6" s="447"/>
      <c r="LIW6" s="447"/>
      <c r="LIX6" s="447"/>
      <c r="LIY6" s="447"/>
      <c r="LIZ6" s="447"/>
      <c r="LJA6" s="447"/>
      <c r="LJB6" s="447"/>
      <c r="LJC6" s="447"/>
      <c r="LJD6" s="447"/>
      <c r="LJE6" s="447"/>
      <c r="LJF6" s="447"/>
      <c r="LJG6" s="447"/>
      <c r="LJH6" s="447"/>
      <c r="LJI6" s="447"/>
      <c r="LJJ6" s="447"/>
      <c r="LJK6" s="447"/>
      <c r="LJL6" s="447"/>
      <c r="LJM6" s="447"/>
      <c r="LJN6" s="447"/>
      <c r="LJO6" s="447"/>
      <c r="LJP6" s="447"/>
      <c r="LJQ6" s="447"/>
      <c r="LJR6" s="447"/>
      <c r="LJS6" s="447"/>
      <c r="LJT6" s="447"/>
      <c r="LJU6" s="447"/>
      <c r="LJV6" s="447"/>
      <c r="LJW6" s="447"/>
      <c r="LJX6" s="447"/>
      <c r="LJY6" s="447"/>
      <c r="LJZ6" s="447"/>
      <c r="LKA6" s="447"/>
      <c r="LKB6" s="447"/>
      <c r="LKC6" s="447"/>
      <c r="LKD6" s="447"/>
      <c r="LKE6" s="447"/>
      <c r="LKF6" s="447"/>
      <c r="LKG6" s="447"/>
      <c r="LKH6" s="447"/>
      <c r="LKI6" s="447"/>
      <c r="LKJ6" s="447"/>
      <c r="LKK6" s="447"/>
      <c r="LKL6" s="447"/>
      <c r="LKM6" s="447"/>
      <c r="LKN6" s="447"/>
      <c r="LKO6" s="447"/>
      <c r="LKP6" s="447"/>
      <c r="LKQ6" s="447"/>
      <c r="LKR6" s="447"/>
      <c r="LKS6" s="447"/>
      <c r="LKT6" s="447"/>
      <c r="LKU6" s="447"/>
      <c r="LKV6" s="447"/>
      <c r="LKW6" s="447"/>
      <c r="LKX6" s="447"/>
      <c r="LKY6" s="447"/>
      <c r="LKZ6" s="447"/>
      <c r="LLA6" s="447"/>
      <c r="LLB6" s="447"/>
      <c r="LLC6" s="447"/>
      <c r="LLD6" s="447"/>
      <c r="LLE6" s="447"/>
      <c r="LLF6" s="447"/>
      <c r="LLG6" s="447"/>
      <c r="LLH6" s="447"/>
      <c r="LLI6" s="447"/>
      <c r="LLJ6" s="447"/>
      <c r="LLK6" s="447"/>
      <c r="LLL6" s="447"/>
      <c r="LLM6" s="447"/>
      <c r="LLN6" s="447"/>
      <c r="LLO6" s="447"/>
      <c r="LLP6" s="447"/>
      <c r="LLQ6" s="447"/>
      <c r="LLR6" s="447"/>
      <c r="LLS6" s="447"/>
      <c r="LLT6" s="447"/>
      <c r="LLU6" s="447"/>
      <c r="LLV6" s="447"/>
      <c r="LLW6" s="447"/>
      <c r="LLX6" s="447"/>
      <c r="LLY6" s="447"/>
      <c r="LLZ6" s="447"/>
      <c r="LMA6" s="447"/>
      <c r="LMB6" s="447"/>
      <c r="LMC6" s="447"/>
      <c r="LMD6" s="447"/>
      <c r="LME6" s="447"/>
      <c r="LMF6" s="447"/>
      <c r="LMG6" s="447"/>
      <c r="LMH6" s="447"/>
      <c r="LMI6" s="447"/>
      <c r="LMJ6" s="447"/>
      <c r="LMK6" s="447"/>
      <c r="LML6" s="447"/>
      <c r="LMM6" s="447"/>
      <c r="LMN6" s="447"/>
      <c r="LMO6" s="447"/>
      <c r="LMP6" s="447"/>
      <c r="LMQ6" s="447"/>
      <c r="LMR6" s="447"/>
      <c r="LMS6" s="447"/>
      <c r="LMT6" s="447"/>
      <c r="LMU6" s="447"/>
      <c r="LMV6" s="447"/>
      <c r="LMW6" s="447"/>
      <c r="LMX6" s="447"/>
      <c r="LMY6" s="447"/>
      <c r="LMZ6" s="447"/>
      <c r="LNA6" s="447"/>
      <c r="LNB6" s="447"/>
      <c r="LNC6" s="447"/>
      <c r="LND6" s="447"/>
      <c r="LNE6" s="447"/>
      <c r="LNF6" s="447"/>
      <c r="LNG6" s="447"/>
      <c r="LNH6" s="447"/>
      <c r="LNI6" s="447"/>
      <c r="LNJ6" s="447"/>
      <c r="LNK6" s="447"/>
      <c r="LNL6" s="447"/>
      <c r="LNM6" s="447"/>
      <c r="LNN6" s="447"/>
      <c r="LNO6" s="447"/>
      <c r="LNP6" s="447"/>
      <c r="LNQ6" s="447"/>
      <c r="LNR6" s="447"/>
      <c r="LNS6" s="447"/>
      <c r="LNT6" s="447"/>
      <c r="LNU6" s="447"/>
      <c r="LNV6" s="447"/>
      <c r="LNW6" s="447"/>
      <c r="LNX6" s="447"/>
      <c r="LNY6" s="447"/>
      <c r="LNZ6" s="447"/>
      <c r="LOA6" s="447"/>
      <c r="LOB6" s="447"/>
      <c r="LOC6" s="447"/>
      <c r="LOD6" s="447"/>
      <c r="LOE6" s="447"/>
      <c r="LOF6" s="447"/>
      <c r="LOG6" s="447"/>
      <c r="LOH6" s="447"/>
      <c r="LOI6" s="447"/>
      <c r="LOJ6" s="447"/>
      <c r="LOK6" s="447"/>
      <c r="LOL6" s="447"/>
      <c r="LOM6" s="447"/>
      <c r="LON6" s="447"/>
      <c r="LOO6" s="447"/>
      <c r="LOP6" s="447"/>
      <c r="LOQ6" s="447"/>
      <c r="LOR6" s="447"/>
      <c r="LOS6" s="447"/>
      <c r="LOT6" s="447"/>
      <c r="LOU6" s="447"/>
      <c r="LOV6" s="447"/>
      <c r="LOW6" s="447"/>
      <c r="LOX6" s="447"/>
      <c r="LOY6" s="447"/>
      <c r="LOZ6" s="447"/>
      <c r="LPA6" s="447"/>
      <c r="LPB6" s="447"/>
      <c r="LPC6" s="447"/>
      <c r="LPD6" s="447"/>
      <c r="LPE6" s="447"/>
      <c r="LPF6" s="447"/>
      <c r="LPG6" s="447"/>
      <c r="LPH6" s="447"/>
      <c r="LPI6" s="447"/>
      <c r="LPJ6" s="447"/>
      <c r="LPK6" s="447"/>
      <c r="LPL6" s="447"/>
      <c r="LPM6" s="447"/>
      <c r="LPN6" s="447"/>
      <c r="LPO6" s="447"/>
      <c r="LPP6" s="447"/>
      <c r="LPQ6" s="447"/>
      <c r="LPR6" s="447"/>
      <c r="LPS6" s="447"/>
      <c r="LPT6" s="447"/>
      <c r="LPU6" s="447"/>
      <c r="LPV6" s="447"/>
      <c r="LPW6" s="447"/>
      <c r="LPX6" s="447"/>
      <c r="LPY6" s="447"/>
      <c r="LPZ6" s="447"/>
      <c r="LQA6" s="447"/>
      <c r="LQB6" s="447"/>
      <c r="LQC6" s="447"/>
      <c r="LQD6" s="447"/>
      <c r="LQE6" s="447"/>
      <c r="LQF6" s="447"/>
      <c r="LQG6" s="447"/>
      <c r="LQH6" s="447"/>
      <c r="LQI6" s="447"/>
      <c r="LQJ6" s="447"/>
      <c r="LQK6" s="447"/>
      <c r="LQL6" s="447"/>
      <c r="LQM6" s="447"/>
      <c r="LQN6" s="447"/>
      <c r="LQO6" s="447"/>
      <c r="LQP6" s="447"/>
      <c r="LQQ6" s="447"/>
      <c r="LQR6" s="447"/>
      <c r="LQS6" s="447"/>
      <c r="LQT6" s="447"/>
      <c r="LQU6" s="447"/>
      <c r="LQV6" s="447"/>
      <c r="LQW6" s="447"/>
      <c r="LQX6" s="447"/>
      <c r="LQY6" s="447"/>
      <c r="LQZ6" s="447"/>
      <c r="LRA6" s="447"/>
      <c r="LRB6" s="447"/>
      <c r="LRC6" s="447"/>
      <c r="LRD6" s="447"/>
      <c r="LRE6" s="447"/>
      <c r="LRF6" s="447"/>
      <c r="LRG6" s="447"/>
      <c r="LRH6" s="447"/>
      <c r="LRI6" s="447"/>
      <c r="LRJ6" s="447"/>
      <c r="LRK6" s="447"/>
      <c r="LRL6" s="447"/>
      <c r="LRM6" s="447"/>
      <c r="LRN6" s="447"/>
      <c r="LRO6" s="447"/>
      <c r="LRP6" s="447"/>
      <c r="LRQ6" s="447"/>
      <c r="LRR6" s="447"/>
      <c r="LRS6" s="447"/>
      <c r="LRT6" s="447"/>
      <c r="LRU6" s="447"/>
      <c r="LRV6" s="447"/>
      <c r="LRW6" s="447"/>
      <c r="LRX6" s="447"/>
      <c r="LRY6" s="447"/>
      <c r="LRZ6" s="447"/>
      <c r="LSA6" s="447"/>
      <c r="LSB6" s="447"/>
      <c r="LSC6" s="447"/>
      <c r="LSD6" s="447"/>
      <c r="LSE6" s="447"/>
      <c r="LSF6" s="447"/>
      <c r="LSG6" s="447"/>
      <c r="LSH6" s="447"/>
      <c r="LSI6" s="447"/>
      <c r="LSJ6" s="447"/>
      <c r="LSK6" s="447"/>
      <c r="LSL6" s="447"/>
      <c r="LSM6" s="447"/>
      <c r="LSN6" s="447"/>
      <c r="LSO6" s="447"/>
      <c r="LSP6" s="447"/>
      <c r="LSQ6" s="447"/>
      <c r="LSR6" s="447"/>
      <c r="LSS6" s="447"/>
      <c r="LST6" s="447"/>
      <c r="LSU6" s="447"/>
      <c r="LSV6" s="447"/>
      <c r="LSW6" s="447"/>
      <c r="LSX6" s="447"/>
      <c r="LSY6" s="447"/>
      <c r="LSZ6" s="447"/>
      <c r="LTA6" s="447"/>
      <c r="LTB6" s="447"/>
      <c r="LTC6" s="447"/>
      <c r="LTD6" s="447"/>
      <c r="LTE6" s="447"/>
      <c r="LTF6" s="447"/>
      <c r="LTG6" s="447"/>
      <c r="LTH6" s="447"/>
      <c r="LTI6" s="447"/>
      <c r="LTJ6" s="447"/>
      <c r="LTK6" s="447"/>
      <c r="LTL6" s="447"/>
      <c r="LTM6" s="447"/>
      <c r="LTN6" s="447"/>
      <c r="LTO6" s="447"/>
      <c r="LTP6" s="447"/>
      <c r="LTQ6" s="447"/>
      <c r="LTR6" s="447"/>
      <c r="LTS6" s="447"/>
      <c r="LTT6" s="447"/>
      <c r="LTU6" s="447"/>
      <c r="LTV6" s="447"/>
      <c r="LTW6" s="447"/>
      <c r="LTX6" s="447"/>
      <c r="LTY6" s="447"/>
      <c r="LTZ6" s="447"/>
      <c r="LUA6" s="447"/>
      <c r="LUB6" s="447"/>
      <c r="LUC6" s="447"/>
      <c r="LUD6" s="447"/>
      <c r="LUE6" s="447"/>
      <c r="LUF6" s="447"/>
      <c r="LUG6" s="447"/>
      <c r="LUH6" s="447"/>
      <c r="LUI6" s="447"/>
      <c r="LUJ6" s="447"/>
      <c r="LUK6" s="447"/>
      <c r="LUL6" s="447"/>
      <c r="LUM6" s="447"/>
      <c r="LUN6" s="447"/>
      <c r="LUO6" s="447"/>
      <c r="LUP6" s="447"/>
      <c r="LUQ6" s="447"/>
      <c r="LUR6" s="447"/>
      <c r="LUS6" s="447"/>
      <c r="LUT6" s="447"/>
      <c r="LUU6" s="447"/>
      <c r="LUV6" s="447"/>
      <c r="LUW6" s="447"/>
      <c r="LUX6" s="447"/>
      <c r="LUY6" s="447"/>
      <c r="LUZ6" s="447"/>
      <c r="LVA6" s="447"/>
      <c r="LVB6" s="447"/>
      <c r="LVC6" s="447"/>
      <c r="LVD6" s="447"/>
      <c r="LVE6" s="447"/>
      <c r="LVF6" s="447"/>
      <c r="LVG6" s="447"/>
      <c r="LVH6" s="447"/>
      <c r="LVI6" s="447"/>
      <c r="LVJ6" s="447"/>
      <c r="LVK6" s="447"/>
      <c r="LVL6" s="447"/>
      <c r="LVM6" s="447"/>
      <c r="LVN6" s="447"/>
      <c r="LVO6" s="447"/>
      <c r="LVP6" s="447"/>
      <c r="LVQ6" s="447"/>
      <c r="LVR6" s="447"/>
      <c r="LVS6" s="447"/>
      <c r="LVT6" s="447"/>
      <c r="LVU6" s="447"/>
      <c r="LVV6" s="447"/>
      <c r="LVW6" s="447"/>
      <c r="LVX6" s="447"/>
      <c r="LVY6" s="447"/>
      <c r="LVZ6" s="447"/>
      <c r="LWA6" s="447"/>
      <c r="LWB6" s="447"/>
      <c r="LWC6" s="447"/>
      <c r="LWD6" s="447"/>
      <c r="LWE6" s="447"/>
      <c r="LWF6" s="447"/>
      <c r="LWG6" s="447"/>
      <c r="LWH6" s="447"/>
      <c r="LWI6" s="447"/>
      <c r="LWJ6" s="447"/>
      <c r="LWK6" s="447"/>
      <c r="LWL6" s="447"/>
      <c r="LWM6" s="447"/>
      <c r="LWN6" s="447"/>
      <c r="LWO6" s="447"/>
      <c r="LWP6" s="447"/>
      <c r="LWQ6" s="447"/>
      <c r="LWR6" s="447"/>
      <c r="LWS6" s="447"/>
      <c r="LWT6" s="447"/>
      <c r="LWU6" s="447"/>
      <c r="LWV6" s="447"/>
      <c r="LWW6" s="447"/>
      <c r="LWX6" s="447"/>
      <c r="LWY6" s="447"/>
      <c r="LWZ6" s="447"/>
      <c r="LXA6" s="447"/>
      <c r="LXB6" s="447"/>
      <c r="LXC6" s="447"/>
      <c r="LXD6" s="447"/>
      <c r="LXE6" s="447"/>
      <c r="LXF6" s="447"/>
      <c r="LXG6" s="447"/>
      <c r="LXH6" s="447"/>
      <c r="LXI6" s="447"/>
      <c r="LXJ6" s="447"/>
      <c r="LXK6" s="447"/>
      <c r="LXL6" s="447"/>
      <c r="LXM6" s="447"/>
      <c r="LXN6" s="447"/>
      <c r="LXO6" s="447"/>
      <c r="LXP6" s="447"/>
      <c r="LXQ6" s="447"/>
      <c r="LXR6" s="447"/>
      <c r="LXS6" s="447"/>
      <c r="LXT6" s="447"/>
      <c r="LXU6" s="447"/>
      <c r="LXV6" s="447"/>
      <c r="LXW6" s="447"/>
      <c r="LXX6" s="447"/>
      <c r="LXY6" s="447"/>
      <c r="LXZ6" s="447"/>
      <c r="LYA6" s="447"/>
      <c r="LYB6" s="447"/>
      <c r="LYC6" s="447"/>
      <c r="LYD6" s="447"/>
      <c r="LYE6" s="447"/>
      <c r="LYF6" s="447"/>
      <c r="LYG6" s="447"/>
      <c r="LYH6" s="447"/>
      <c r="LYI6" s="447"/>
      <c r="LYJ6" s="447"/>
      <c r="LYK6" s="447"/>
      <c r="LYL6" s="447"/>
      <c r="LYM6" s="447"/>
      <c r="LYN6" s="447"/>
      <c r="LYO6" s="447"/>
      <c r="LYP6" s="447"/>
      <c r="LYQ6" s="447"/>
      <c r="LYR6" s="447"/>
      <c r="LYS6" s="447"/>
      <c r="LYT6" s="447"/>
      <c r="LYU6" s="447"/>
      <c r="LYV6" s="447"/>
      <c r="LYW6" s="447"/>
      <c r="LYX6" s="447"/>
      <c r="LYY6" s="447"/>
      <c r="LYZ6" s="447"/>
      <c r="LZA6" s="447"/>
      <c r="LZB6" s="447"/>
      <c r="LZC6" s="447"/>
      <c r="LZD6" s="447"/>
      <c r="LZE6" s="447"/>
      <c r="LZF6" s="447"/>
      <c r="LZG6" s="447"/>
      <c r="LZH6" s="447"/>
      <c r="LZI6" s="447"/>
      <c r="LZJ6" s="447"/>
      <c r="LZK6" s="447"/>
      <c r="LZL6" s="447"/>
      <c r="LZM6" s="447"/>
      <c r="LZN6" s="447"/>
      <c r="LZO6" s="447"/>
      <c r="LZP6" s="447"/>
      <c r="LZQ6" s="447"/>
      <c r="LZR6" s="447"/>
      <c r="LZS6" s="447"/>
      <c r="LZT6" s="447"/>
      <c r="LZU6" s="447"/>
      <c r="LZV6" s="447"/>
      <c r="LZW6" s="447"/>
      <c r="LZX6" s="447"/>
      <c r="LZY6" s="447"/>
      <c r="LZZ6" s="447"/>
      <c r="MAA6" s="447"/>
      <c r="MAB6" s="447"/>
      <c r="MAC6" s="447"/>
      <c r="MAD6" s="447"/>
      <c r="MAE6" s="447"/>
      <c r="MAF6" s="447"/>
      <c r="MAG6" s="447"/>
      <c r="MAH6" s="447"/>
      <c r="MAI6" s="447"/>
      <c r="MAJ6" s="447"/>
      <c r="MAK6" s="447"/>
      <c r="MAL6" s="447"/>
      <c r="MAM6" s="447"/>
      <c r="MAN6" s="447"/>
      <c r="MAO6" s="447"/>
      <c r="MAP6" s="447"/>
      <c r="MAQ6" s="447"/>
      <c r="MAR6" s="447"/>
      <c r="MAS6" s="447"/>
      <c r="MAT6" s="447"/>
      <c r="MAU6" s="447"/>
      <c r="MAV6" s="447"/>
      <c r="MAW6" s="447"/>
      <c r="MAX6" s="447"/>
      <c r="MAY6" s="447"/>
      <c r="MAZ6" s="447"/>
      <c r="MBA6" s="447"/>
      <c r="MBB6" s="447"/>
      <c r="MBC6" s="447"/>
      <c r="MBD6" s="447"/>
      <c r="MBE6" s="447"/>
      <c r="MBF6" s="447"/>
      <c r="MBG6" s="447"/>
      <c r="MBH6" s="447"/>
      <c r="MBI6" s="447"/>
      <c r="MBJ6" s="447"/>
      <c r="MBK6" s="447"/>
      <c r="MBL6" s="447"/>
      <c r="MBM6" s="447"/>
      <c r="MBN6" s="447"/>
      <c r="MBO6" s="447"/>
      <c r="MBP6" s="447"/>
      <c r="MBQ6" s="447"/>
      <c r="MBR6" s="447"/>
      <c r="MBS6" s="447"/>
      <c r="MBT6" s="447"/>
      <c r="MBU6" s="447"/>
      <c r="MBV6" s="447"/>
      <c r="MBW6" s="447"/>
      <c r="MBX6" s="447"/>
      <c r="MBY6" s="447"/>
      <c r="MBZ6" s="447"/>
      <c r="MCA6" s="447"/>
      <c r="MCB6" s="447"/>
      <c r="MCC6" s="447"/>
      <c r="MCD6" s="447"/>
      <c r="MCE6" s="447"/>
      <c r="MCF6" s="447"/>
      <c r="MCG6" s="447"/>
      <c r="MCH6" s="447"/>
      <c r="MCI6" s="447"/>
      <c r="MCJ6" s="447"/>
      <c r="MCK6" s="447"/>
      <c r="MCL6" s="447"/>
      <c r="MCM6" s="447"/>
      <c r="MCN6" s="447"/>
      <c r="MCO6" s="447"/>
      <c r="MCP6" s="447"/>
      <c r="MCQ6" s="447"/>
      <c r="MCR6" s="447"/>
      <c r="MCS6" s="447"/>
      <c r="MCT6" s="447"/>
      <c r="MCU6" s="447"/>
      <c r="MCV6" s="447"/>
      <c r="MCW6" s="447"/>
      <c r="MCX6" s="447"/>
      <c r="MCY6" s="447"/>
      <c r="MCZ6" s="447"/>
      <c r="MDA6" s="447"/>
      <c r="MDB6" s="447"/>
      <c r="MDC6" s="447"/>
      <c r="MDD6" s="447"/>
      <c r="MDE6" s="447"/>
      <c r="MDF6" s="447"/>
      <c r="MDG6" s="447"/>
      <c r="MDH6" s="447"/>
      <c r="MDI6" s="447"/>
      <c r="MDJ6" s="447"/>
      <c r="MDK6" s="447"/>
      <c r="MDL6" s="447"/>
      <c r="MDM6" s="447"/>
      <c r="MDN6" s="447"/>
      <c r="MDO6" s="447"/>
      <c r="MDP6" s="447"/>
      <c r="MDQ6" s="447"/>
      <c r="MDR6" s="447"/>
      <c r="MDS6" s="447"/>
      <c r="MDT6" s="447"/>
      <c r="MDU6" s="447"/>
      <c r="MDV6" s="447"/>
      <c r="MDW6" s="447"/>
      <c r="MDX6" s="447"/>
      <c r="MDY6" s="447"/>
      <c r="MDZ6" s="447"/>
      <c r="MEA6" s="447"/>
      <c r="MEB6" s="447"/>
      <c r="MEC6" s="447"/>
      <c r="MED6" s="447"/>
      <c r="MEE6" s="447"/>
      <c r="MEF6" s="447"/>
      <c r="MEG6" s="447"/>
      <c r="MEH6" s="447"/>
      <c r="MEI6" s="447"/>
      <c r="MEJ6" s="447"/>
      <c r="MEK6" s="447"/>
      <c r="MEL6" s="447"/>
      <c r="MEM6" s="447"/>
      <c r="MEN6" s="447"/>
      <c r="MEO6" s="447"/>
      <c r="MEP6" s="447"/>
      <c r="MEQ6" s="447"/>
      <c r="MER6" s="447"/>
      <c r="MES6" s="447"/>
      <c r="MET6" s="447"/>
      <c r="MEU6" s="447"/>
      <c r="MEV6" s="447"/>
      <c r="MEW6" s="447"/>
      <c r="MEX6" s="447"/>
      <c r="MEY6" s="447"/>
      <c r="MEZ6" s="447"/>
      <c r="MFA6" s="447"/>
      <c r="MFB6" s="447"/>
      <c r="MFC6" s="447"/>
      <c r="MFD6" s="447"/>
      <c r="MFE6" s="447"/>
      <c r="MFF6" s="447"/>
      <c r="MFG6" s="447"/>
      <c r="MFH6" s="447"/>
      <c r="MFI6" s="447"/>
      <c r="MFJ6" s="447"/>
      <c r="MFK6" s="447"/>
      <c r="MFL6" s="447"/>
      <c r="MFM6" s="447"/>
      <c r="MFN6" s="447"/>
      <c r="MFO6" s="447"/>
      <c r="MFP6" s="447"/>
      <c r="MFQ6" s="447"/>
      <c r="MFR6" s="447"/>
      <c r="MFS6" s="447"/>
      <c r="MFT6" s="447"/>
      <c r="MFU6" s="447"/>
      <c r="MFV6" s="447"/>
      <c r="MFW6" s="447"/>
      <c r="MFX6" s="447"/>
      <c r="MFY6" s="447"/>
      <c r="MFZ6" s="447"/>
      <c r="MGA6" s="447"/>
      <c r="MGB6" s="447"/>
      <c r="MGC6" s="447"/>
      <c r="MGD6" s="447"/>
      <c r="MGE6" s="447"/>
      <c r="MGF6" s="447"/>
      <c r="MGG6" s="447"/>
      <c r="MGH6" s="447"/>
      <c r="MGI6" s="447"/>
      <c r="MGJ6" s="447"/>
      <c r="MGK6" s="447"/>
      <c r="MGL6" s="447"/>
      <c r="MGM6" s="447"/>
      <c r="MGN6" s="447"/>
      <c r="MGO6" s="447"/>
      <c r="MGP6" s="447"/>
      <c r="MGQ6" s="447"/>
      <c r="MGR6" s="447"/>
      <c r="MGS6" s="447"/>
      <c r="MGT6" s="447"/>
      <c r="MGU6" s="447"/>
      <c r="MGV6" s="447"/>
      <c r="MGW6" s="447"/>
      <c r="MGX6" s="447"/>
      <c r="MGY6" s="447"/>
      <c r="MGZ6" s="447"/>
      <c r="MHA6" s="447"/>
      <c r="MHB6" s="447"/>
      <c r="MHC6" s="447"/>
      <c r="MHD6" s="447"/>
      <c r="MHE6" s="447"/>
      <c r="MHF6" s="447"/>
      <c r="MHG6" s="447"/>
      <c r="MHH6" s="447"/>
      <c r="MHI6" s="447"/>
      <c r="MHJ6" s="447"/>
      <c r="MHK6" s="447"/>
      <c r="MHL6" s="447"/>
      <c r="MHM6" s="447"/>
      <c r="MHN6" s="447"/>
      <c r="MHO6" s="447"/>
      <c r="MHP6" s="447"/>
      <c r="MHQ6" s="447"/>
      <c r="MHR6" s="447"/>
      <c r="MHS6" s="447"/>
      <c r="MHT6" s="447"/>
      <c r="MHU6" s="447"/>
      <c r="MHV6" s="447"/>
      <c r="MHW6" s="447"/>
      <c r="MHX6" s="447"/>
      <c r="MHY6" s="447"/>
      <c r="MHZ6" s="447"/>
      <c r="MIA6" s="447"/>
      <c r="MIB6" s="447"/>
      <c r="MIC6" s="447"/>
      <c r="MID6" s="447"/>
      <c r="MIE6" s="447"/>
      <c r="MIF6" s="447"/>
      <c r="MIG6" s="447"/>
      <c r="MIH6" s="447"/>
      <c r="MII6" s="447"/>
      <c r="MIJ6" s="447"/>
      <c r="MIK6" s="447"/>
      <c r="MIL6" s="447"/>
      <c r="MIM6" s="447"/>
      <c r="MIN6" s="447"/>
      <c r="MIO6" s="447"/>
      <c r="MIP6" s="447"/>
      <c r="MIQ6" s="447"/>
      <c r="MIR6" s="447"/>
      <c r="MIS6" s="447"/>
      <c r="MIT6" s="447"/>
      <c r="MIU6" s="447"/>
      <c r="MIV6" s="447"/>
      <c r="MIW6" s="447"/>
      <c r="MIX6" s="447"/>
      <c r="MIY6" s="447"/>
      <c r="MIZ6" s="447"/>
      <c r="MJA6" s="447"/>
      <c r="MJB6" s="447"/>
      <c r="MJC6" s="447"/>
      <c r="MJD6" s="447"/>
      <c r="MJE6" s="447"/>
      <c r="MJF6" s="447"/>
      <c r="MJG6" s="447"/>
      <c r="MJH6" s="447"/>
      <c r="MJI6" s="447"/>
      <c r="MJJ6" s="447"/>
      <c r="MJK6" s="447"/>
      <c r="MJL6" s="447"/>
      <c r="MJM6" s="447"/>
      <c r="MJN6" s="447"/>
      <c r="MJO6" s="447"/>
      <c r="MJP6" s="447"/>
      <c r="MJQ6" s="447"/>
      <c r="MJR6" s="447"/>
      <c r="MJS6" s="447"/>
      <c r="MJT6" s="447"/>
      <c r="MJU6" s="447"/>
      <c r="MJV6" s="447"/>
      <c r="MJW6" s="447"/>
      <c r="MJX6" s="447"/>
      <c r="MJY6" s="447"/>
      <c r="MJZ6" s="447"/>
      <c r="MKA6" s="447"/>
      <c r="MKB6" s="447"/>
      <c r="MKC6" s="447"/>
      <c r="MKD6" s="447"/>
      <c r="MKE6" s="447"/>
      <c r="MKF6" s="447"/>
      <c r="MKG6" s="447"/>
      <c r="MKH6" s="447"/>
      <c r="MKI6" s="447"/>
      <c r="MKJ6" s="447"/>
      <c r="MKK6" s="447"/>
      <c r="MKL6" s="447"/>
      <c r="MKM6" s="447"/>
      <c r="MKN6" s="447"/>
      <c r="MKO6" s="447"/>
      <c r="MKP6" s="447"/>
      <c r="MKQ6" s="447"/>
      <c r="MKR6" s="447"/>
      <c r="MKS6" s="447"/>
      <c r="MKT6" s="447"/>
      <c r="MKU6" s="447"/>
      <c r="MKV6" s="447"/>
      <c r="MKW6" s="447"/>
      <c r="MKX6" s="447"/>
      <c r="MKY6" s="447"/>
      <c r="MKZ6" s="447"/>
      <c r="MLA6" s="447"/>
      <c r="MLB6" s="447"/>
      <c r="MLC6" s="447"/>
      <c r="MLD6" s="447"/>
      <c r="MLE6" s="447"/>
      <c r="MLF6" s="447"/>
      <c r="MLG6" s="447"/>
      <c r="MLH6" s="447"/>
      <c r="MLI6" s="447"/>
      <c r="MLJ6" s="447"/>
      <c r="MLK6" s="447"/>
      <c r="MLL6" s="447"/>
      <c r="MLM6" s="447"/>
      <c r="MLN6" s="447"/>
      <c r="MLO6" s="447"/>
      <c r="MLP6" s="447"/>
      <c r="MLQ6" s="447"/>
      <c r="MLR6" s="447"/>
      <c r="MLS6" s="447"/>
      <c r="MLT6" s="447"/>
      <c r="MLU6" s="447"/>
      <c r="MLV6" s="447"/>
      <c r="MLW6" s="447"/>
      <c r="MLX6" s="447"/>
      <c r="MLY6" s="447"/>
      <c r="MLZ6" s="447"/>
      <c r="MMA6" s="447"/>
      <c r="MMB6" s="447"/>
      <c r="MMC6" s="447"/>
      <c r="MMD6" s="447"/>
      <c r="MME6" s="447"/>
      <c r="MMF6" s="447"/>
      <c r="MMG6" s="447"/>
      <c r="MMH6" s="447"/>
      <c r="MMI6" s="447"/>
      <c r="MMJ6" s="447"/>
      <c r="MMK6" s="447"/>
      <c r="MML6" s="447"/>
      <c r="MMM6" s="447"/>
      <c r="MMN6" s="447"/>
      <c r="MMO6" s="447"/>
      <c r="MMP6" s="447"/>
      <c r="MMQ6" s="447"/>
      <c r="MMR6" s="447"/>
      <c r="MMS6" s="447"/>
      <c r="MMT6" s="447"/>
      <c r="MMU6" s="447"/>
      <c r="MMV6" s="447"/>
      <c r="MMW6" s="447"/>
      <c r="MMX6" s="447"/>
      <c r="MMY6" s="447"/>
      <c r="MMZ6" s="447"/>
      <c r="MNA6" s="447"/>
      <c r="MNB6" s="447"/>
      <c r="MNC6" s="447"/>
      <c r="MND6" s="447"/>
      <c r="MNE6" s="447"/>
      <c r="MNF6" s="447"/>
      <c r="MNG6" s="447"/>
      <c r="MNH6" s="447"/>
      <c r="MNI6" s="447"/>
      <c r="MNJ6" s="447"/>
      <c r="MNK6" s="447"/>
      <c r="MNL6" s="447"/>
      <c r="MNM6" s="447"/>
      <c r="MNN6" s="447"/>
      <c r="MNO6" s="447"/>
      <c r="MNP6" s="447"/>
      <c r="MNQ6" s="447"/>
      <c r="MNR6" s="447"/>
      <c r="MNS6" s="447"/>
      <c r="MNT6" s="447"/>
      <c r="MNU6" s="447"/>
      <c r="MNV6" s="447"/>
      <c r="MNW6" s="447"/>
      <c r="MNX6" s="447"/>
      <c r="MNY6" s="447"/>
      <c r="MNZ6" s="447"/>
      <c r="MOA6" s="447"/>
      <c r="MOB6" s="447"/>
      <c r="MOC6" s="447"/>
      <c r="MOD6" s="447"/>
      <c r="MOE6" s="447"/>
      <c r="MOF6" s="447"/>
      <c r="MOG6" s="447"/>
      <c r="MOH6" s="447"/>
      <c r="MOI6" s="447"/>
      <c r="MOJ6" s="447"/>
      <c r="MOK6" s="447"/>
      <c r="MOL6" s="447"/>
      <c r="MOM6" s="447"/>
      <c r="MON6" s="447"/>
      <c r="MOO6" s="447"/>
      <c r="MOP6" s="447"/>
      <c r="MOQ6" s="447"/>
      <c r="MOR6" s="447"/>
      <c r="MOS6" s="447"/>
      <c r="MOT6" s="447"/>
      <c r="MOU6" s="447"/>
      <c r="MOV6" s="447"/>
      <c r="MOW6" s="447"/>
      <c r="MOX6" s="447"/>
      <c r="MOY6" s="447"/>
      <c r="MOZ6" s="447"/>
      <c r="MPA6" s="447"/>
      <c r="MPB6" s="447"/>
      <c r="MPC6" s="447"/>
      <c r="MPD6" s="447"/>
      <c r="MPE6" s="447"/>
      <c r="MPF6" s="447"/>
      <c r="MPG6" s="447"/>
      <c r="MPH6" s="447"/>
      <c r="MPI6" s="447"/>
      <c r="MPJ6" s="447"/>
      <c r="MPK6" s="447"/>
      <c r="MPL6" s="447"/>
      <c r="MPM6" s="447"/>
      <c r="MPN6" s="447"/>
      <c r="MPO6" s="447"/>
      <c r="MPP6" s="447"/>
      <c r="MPQ6" s="447"/>
      <c r="MPR6" s="447"/>
      <c r="MPS6" s="447"/>
      <c r="MPT6" s="447"/>
      <c r="MPU6" s="447"/>
      <c r="MPV6" s="447"/>
      <c r="MPW6" s="447"/>
      <c r="MPX6" s="447"/>
      <c r="MPY6" s="447"/>
      <c r="MPZ6" s="447"/>
      <c r="MQA6" s="447"/>
      <c r="MQB6" s="447"/>
      <c r="MQC6" s="447"/>
      <c r="MQD6" s="447"/>
      <c r="MQE6" s="447"/>
      <c r="MQF6" s="447"/>
      <c r="MQG6" s="447"/>
      <c r="MQH6" s="447"/>
      <c r="MQI6" s="447"/>
      <c r="MQJ6" s="447"/>
      <c r="MQK6" s="447"/>
      <c r="MQL6" s="447"/>
      <c r="MQM6" s="447"/>
      <c r="MQN6" s="447"/>
      <c r="MQO6" s="447"/>
      <c r="MQP6" s="447"/>
      <c r="MQQ6" s="447"/>
      <c r="MQR6" s="447"/>
      <c r="MQS6" s="447"/>
      <c r="MQT6" s="447"/>
      <c r="MQU6" s="447"/>
      <c r="MQV6" s="447"/>
      <c r="MQW6" s="447"/>
      <c r="MQX6" s="447"/>
      <c r="MQY6" s="447"/>
      <c r="MQZ6" s="447"/>
      <c r="MRA6" s="447"/>
      <c r="MRB6" s="447"/>
      <c r="MRC6" s="447"/>
      <c r="MRD6" s="447"/>
      <c r="MRE6" s="447"/>
      <c r="MRF6" s="447"/>
      <c r="MRG6" s="447"/>
      <c r="MRH6" s="447"/>
      <c r="MRI6" s="447"/>
      <c r="MRJ6" s="447"/>
      <c r="MRK6" s="447"/>
      <c r="MRL6" s="447"/>
      <c r="MRM6" s="447"/>
      <c r="MRN6" s="447"/>
      <c r="MRO6" s="447"/>
      <c r="MRP6" s="447"/>
      <c r="MRQ6" s="447"/>
      <c r="MRR6" s="447"/>
      <c r="MRS6" s="447"/>
      <c r="MRT6" s="447"/>
      <c r="MRU6" s="447"/>
      <c r="MRV6" s="447"/>
      <c r="MRW6" s="447"/>
      <c r="MRX6" s="447"/>
      <c r="MRY6" s="447"/>
      <c r="MRZ6" s="447"/>
      <c r="MSA6" s="447"/>
      <c r="MSB6" s="447"/>
      <c r="MSC6" s="447"/>
      <c r="MSD6" s="447"/>
      <c r="MSE6" s="447"/>
      <c r="MSF6" s="447"/>
      <c r="MSG6" s="447"/>
      <c r="MSH6" s="447"/>
      <c r="MSI6" s="447"/>
      <c r="MSJ6" s="447"/>
      <c r="MSK6" s="447"/>
      <c r="MSL6" s="447"/>
      <c r="MSM6" s="447"/>
      <c r="MSN6" s="447"/>
      <c r="MSO6" s="447"/>
      <c r="MSP6" s="447"/>
      <c r="MSQ6" s="447"/>
      <c r="MSR6" s="447"/>
      <c r="MSS6" s="447"/>
      <c r="MST6" s="447"/>
      <c r="MSU6" s="447"/>
      <c r="MSV6" s="447"/>
      <c r="MSW6" s="447"/>
      <c r="MSX6" s="447"/>
      <c r="MSY6" s="447"/>
      <c r="MSZ6" s="447"/>
      <c r="MTA6" s="447"/>
      <c r="MTB6" s="447"/>
      <c r="MTC6" s="447"/>
      <c r="MTD6" s="447"/>
      <c r="MTE6" s="447"/>
      <c r="MTF6" s="447"/>
      <c r="MTG6" s="447"/>
      <c r="MTH6" s="447"/>
      <c r="MTI6" s="447"/>
      <c r="MTJ6" s="447"/>
      <c r="MTK6" s="447"/>
      <c r="MTL6" s="447"/>
      <c r="MTM6" s="447"/>
      <c r="MTN6" s="447"/>
      <c r="MTO6" s="447"/>
      <c r="MTP6" s="447"/>
      <c r="MTQ6" s="447"/>
      <c r="MTR6" s="447"/>
      <c r="MTS6" s="447"/>
      <c r="MTT6" s="447"/>
      <c r="MTU6" s="447"/>
      <c r="MTV6" s="447"/>
      <c r="MTW6" s="447"/>
      <c r="MTX6" s="447"/>
      <c r="MTY6" s="447"/>
      <c r="MTZ6" s="447"/>
      <c r="MUA6" s="447"/>
      <c r="MUB6" s="447"/>
      <c r="MUC6" s="447"/>
      <c r="MUD6" s="447"/>
      <c r="MUE6" s="447"/>
      <c r="MUF6" s="447"/>
      <c r="MUG6" s="447"/>
      <c r="MUH6" s="447"/>
      <c r="MUI6" s="447"/>
      <c r="MUJ6" s="447"/>
      <c r="MUK6" s="447"/>
      <c r="MUL6" s="447"/>
      <c r="MUM6" s="447"/>
      <c r="MUN6" s="447"/>
      <c r="MUO6" s="447"/>
      <c r="MUP6" s="447"/>
      <c r="MUQ6" s="447"/>
      <c r="MUR6" s="447"/>
      <c r="MUS6" s="447"/>
      <c r="MUT6" s="447"/>
      <c r="MUU6" s="447"/>
      <c r="MUV6" s="447"/>
      <c r="MUW6" s="447"/>
      <c r="MUX6" s="447"/>
      <c r="MUY6" s="447"/>
      <c r="MUZ6" s="447"/>
      <c r="MVA6" s="447"/>
      <c r="MVB6" s="447"/>
      <c r="MVC6" s="447"/>
      <c r="MVD6" s="447"/>
      <c r="MVE6" s="447"/>
      <c r="MVF6" s="447"/>
      <c r="MVG6" s="447"/>
      <c r="MVH6" s="447"/>
      <c r="MVI6" s="447"/>
      <c r="MVJ6" s="447"/>
      <c r="MVK6" s="447"/>
      <c r="MVL6" s="447"/>
      <c r="MVM6" s="447"/>
      <c r="MVN6" s="447"/>
      <c r="MVO6" s="447"/>
      <c r="MVP6" s="447"/>
      <c r="MVQ6" s="447"/>
      <c r="MVR6" s="447"/>
      <c r="MVS6" s="447"/>
      <c r="MVT6" s="447"/>
      <c r="MVU6" s="447"/>
      <c r="MVV6" s="447"/>
      <c r="MVW6" s="447"/>
      <c r="MVX6" s="447"/>
      <c r="MVY6" s="447"/>
      <c r="MVZ6" s="447"/>
      <c r="MWA6" s="447"/>
      <c r="MWB6" s="447"/>
      <c r="MWC6" s="447"/>
      <c r="MWD6" s="447"/>
      <c r="MWE6" s="447"/>
      <c r="MWF6" s="447"/>
      <c r="MWG6" s="447"/>
      <c r="MWH6" s="447"/>
      <c r="MWI6" s="447"/>
      <c r="MWJ6" s="447"/>
      <c r="MWK6" s="447"/>
      <c r="MWL6" s="447"/>
      <c r="MWM6" s="447"/>
      <c r="MWN6" s="447"/>
      <c r="MWO6" s="447"/>
      <c r="MWP6" s="447"/>
      <c r="MWQ6" s="447"/>
      <c r="MWR6" s="447"/>
      <c r="MWS6" s="447"/>
      <c r="MWT6" s="447"/>
      <c r="MWU6" s="447"/>
      <c r="MWV6" s="447"/>
      <c r="MWW6" s="447"/>
      <c r="MWX6" s="447"/>
      <c r="MWY6" s="447"/>
      <c r="MWZ6" s="447"/>
      <c r="MXA6" s="447"/>
      <c r="MXB6" s="447"/>
      <c r="MXC6" s="447"/>
      <c r="MXD6" s="447"/>
      <c r="MXE6" s="447"/>
      <c r="MXF6" s="447"/>
      <c r="MXG6" s="447"/>
      <c r="MXH6" s="447"/>
      <c r="MXI6" s="447"/>
      <c r="MXJ6" s="447"/>
      <c r="MXK6" s="447"/>
      <c r="MXL6" s="447"/>
      <c r="MXM6" s="447"/>
      <c r="MXN6" s="447"/>
      <c r="MXO6" s="447"/>
      <c r="MXP6" s="447"/>
      <c r="MXQ6" s="447"/>
      <c r="MXR6" s="447"/>
      <c r="MXS6" s="447"/>
      <c r="MXT6" s="447"/>
      <c r="MXU6" s="447"/>
      <c r="MXV6" s="447"/>
      <c r="MXW6" s="447"/>
      <c r="MXX6" s="447"/>
      <c r="MXY6" s="447"/>
      <c r="MXZ6" s="447"/>
      <c r="MYA6" s="447"/>
      <c r="MYB6" s="447"/>
      <c r="MYC6" s="447"/>
      <c r="MYD6" s="447"/>
      <c r="MYE6" s="447"/>
      <c r="MYF6" s="447"/>
      <c r="MYG6" s="447"/>
      <c r="MYH6" s="447"/>
      <c r="MYI6" s="447"/>
      <c r="MYJ6" s="447"/>
      <c r="MYK6" s="447"/>
      <c r="MYL6" s="447"/>
      <c r="MYM6" s="447"/>
      <c r="MYN6" s="447"/>
      <c r="MYO6" s="447"/>
      <c r="MYP6" s="447"/>
      <c r="MYQ6" s="447"/>
      <c r="MYR6" s="447"/>
      <c r="MYS6" s="447"/>
      <c r="MYT6" s="447"/>
      <c r="MYU6" s="447"/>
      <c r="MYV6" s="447"/>
      <c r="MYW6" s="447"/>
      <c r="MYX6" s="447"/>
      <c r="MYY6" s="447"/>
      <c r="MYZ6" s="447"/>
      <c r="MZA6" s="447"/>
      <c r="MZB6" s="447"/>
      <c r="MZC6" s="447"/>
      <c r="MZD6" s="447"/>
      <c r="MZE6" s="447"/>
      <c r="MZF6" s="447"/>
      <c r="MZG6" s="447"/>
      <c r="MZH6" s="447"/>
      <c r="MZI6" s="447"/>
      <c r="MZJ6" s="447"/>
      <c r="MZK6" s="447"/>
      <c r="MZL6" s="447"/>
      <c r="MZM6" s="447"/>
      <c r="MZN6" s="447"/>
      <c r="MZO6" s="447"/>
      <c r="MZP6" s="447"/>
      <c r="MZQ6" s="447"/>
      <c r="MZR6" s="447"/>
      <c r="MZS6" s="447"/>
      <c r="MZT6" s="447"/>
      <c r="MZU6" s="447"/>
      <c r="MZV6" s="447"/>
      <c r="MZW6" s="447"/>
      <c r="MZX6" s="447"/>
      <c r="MZY6" s="447"/>
      <c r="MZZ6" s="447"/>
      <c r="NAA6" s="447"/>
      <c r="NAB6" s="447"/>
      <c r="NAC6" s="447"/>
      <c r="NAD6" s="447"/>
      <c r="NAE6" s="447"/>
      <c r="NAF6" s="447"/>
      <c r="NAG6" s="447"/>
      <c r="NAH6" s="447"/>
      <c r="NAI6" s="447"/>
      <c r="NAJ6" s="447"/>
      <c r="NAK6" s="447"/>
      <c r="NAL6" s="447"/>
      <c r="NAM6" s="447"/>
      <c r="NAN6" s="447"/>
      <c r="NAO6" s="447"/>
      <c r="NAP6" s="447"/>
      <c r="NAQ6" s="447"/>
      <c r="NAR6" s="447"/>
      <c r="NAS6" s="447"/>
      <c r="NAT6" s="447"/>
      <c r="NAU6" s="447"/>
      <c r="NAV6" s="447"/>
      <c r="NAW6" s="447"/>
      <c r="NAX6" s="447"/>
      <c r="NAY6" s="447"/>
      <c r="NAZ6" s="447"/>
      <c r="NBA6" s="447"/>
      <c r="NBB6" s="447"/>
      <c r="NBC6" s="447"/>
      <c r="NBD6" s="447"/>
      <c r="NBE6" s="447"/>
      <c r="NBF6" s="447"/>
      <c r="NBG6" s="447"/>
      <c r="NBH6" s="447"/>
      <c r="NBI6" s="447"/>
      <c r="NBJ6" s="447"/>
      <c r="NBK6" s="447"/>
      <c r="NBL6" s="447"/>
      <c r="NBM6" s="447"/>
      <c r="NBN6" s="447"/>
      <c r="NBO6" s="447"/>
      <c r="NBP6" s="447"/>
      <c r="NBQ6" s="447"/>
      <c r="NBR6" s="447"/>
      <c r="NBS6" s="447"/>
      <c r="NBT6" s="447"/>
      <c r="NBU6" s="447"/>
      <c r="NBV6" s="447"/>
      <c r="NBW6" s="447"/>
      <c r="NBX6" s="447"/>
      <c r="NBY6" s="447"/>
      <c r="NBZ6" s="447"/>
      <c r="NCA6" s="447"/>
      <c r="NCB6" s="447"/>
      <c r="NCC6" s="447"/>
      <c r="NCD6" s="447"/>
      <c r="NCE6" s="447"/>
      <c r="NCF6" s="447"/>
      <c r="NCG6" s="447"/>
      <c r="NCH6" s="447"/>
      <c r="NCI6" s="447"/>
      <c r="NCJ6" s="447"/>
      <c r="NCK6" s="447"/>
      <c r="NCL6" s="447"/>
      <c r="NCM6" s="447"/>
      <c r="NCN6" s="447"/>
      <c r="NCO6" s="447"/>
      <c r="NCP6" s="447"/>
      <c r="NCQ6" s="447"/>
      <c r="NCR6" s="447"/>
      <c r="NCS6" s="447"/>
      <c r="NCT6" s="447"/>
      <c r="NCU6" s="447"/>
      <c r="NCV6" s="447"/>
      <c r="NCW6" s="447"/>
      <c r="NCX6" s="447"/>
      <c r="NCY6" s="447"/>
      <c r="NCZ6" s="447"/>
      <c r="NDA6" s="447"/>
      <c r="NDB6" s="447"/>
      <c r="NDC6" s="447"/>
      <c r="NDD6" s="447"/>
      <c r="NDE6" s="447"/>
      <c r="NDF6" s="447"/>
      <c r="NDG6" s="447"/>
      <c r="NDH6" s="447"/>
      <c r="NDI6" s="447"/>
      <c r="NDJ6" s="447"/>
      <c r="NDK6" s="447"/>
      <c r="NDL6" s="447"/>
      <c r="NDM6" s="447"/>
      <c r="NDN6" s="447"/>
      <c r="NDO6" s="447"/>
      <c r="NDP6" s="447"/>
      <c r="NDQ6" s="447"/>
      <c r="NDR6" s="447"/>
      <c r="NDS6" s="447"/>
      <c r="NDT6" s="447"/>
      <c r="NDU6" s="447"/>
      <c r="NDV6" s="447"/>
      <c r="NDW6" s="447"/>
      <c r="NDX6" s="447"/>
      <c r="NDY6" s="447"/>
      <c r="NDZ6" s="447"/>
      <c r="NEA6" s="447"/>
      <c r="NEB6" s="447"/>
      <c r="NEC6" s="447"/>
      <c r="NED6" s="447"/>
      <c r="NEE6" s="447"/>
      <c r="NEF6" s="447"/>
      <c r="NEG6" s="447"/>
      <c r="NEH6" s="447"/>
      <c r="NEI6" s="447"/>
      <c r="NEJ6" s="447"/>
      <c r="NEK6" s="447"/>
      <c r="NEL6" s="447"/>
      <c r="NEM6" s="447"/>
      <c r="NEN6" s="447"/>
      <c r="NEO6" s="447"/>
      <c r="NEP6" s="447"/>
      <c r="NEQ6" s="447"/>
      <c r="NER6" s="447"/>
      <c r="NES6" s="447"/>
      <c r="NET6" s="447"/>
      <c r="NEU6" s="447"/>
      <c r="NEV6" s="447"/>
      <c r="NEW6" s="447"/>
      <c r="NEX6" s="447"/>
      <c r="NEY6" s="447"/>
      <c r="NEZ6" s="447"/>
      <c r="NFA6" s="447"/>
      <c r="NFB6" s="447"/>
      <c r="NFC6" s="447"/>
      <c r="NFD6" s="447"/>
      <c r="NFE6" s="447"/>
      <c r="NFF6" s="447"/>
      <c r="NFG6" s="447"/>
      <c r="NFH6" s="447"/>
      <c r="NFI6" s="447"/>
      <c r="NFJ6" s="447"/>
      <c r="NFK6" s="447"/>
      <c r="NFL6" s="447"/>
      <c r="NFM6" s="447"/>
      <c r="NFN6" s="447"/>
      <c r="NFO6" s="447"/>
      <c r="NFP6" s="447"/>
      <c r="NFQ6" s="447"/>
      <c r="NFR6" s="447"/>
      <c r="NFS6" s="447"/>
      <c r="NFT6" s="447"/>
      <c r="NFU6" s="447"/>
      <c r="NFV6" s="447"/>
      <c r="NFW6" s="447"/>
      <c r="NFX6" s="447"/>
      <c r="NFY6" s="447"/>
      <c r="NFZ6" s="447"/>
      <c r="NGA6" s="447"/>
      <c r="NGB6" s="447"/>
      <c r="NGC6" s="447"/>
      <c r="NGD6" s="447"/>
      <c r="NGE6" s="447"/>
      <c r="NGF6" s="447"/>
      <c r="NGG6" s="447"/>
      <c r="NGH6" s="447"/>
      <c r="NGI6" s="447"/>
      <c r="NGJ6" s="447"/>
      <c r="NGK6" s="447"/>
      <c r="NGL6" s="447"/>
      <c r="NGM6" s="447"/>
      <c r="NGN6" s="447"/>
      <c r="NGO6" s="447"/>
      <c r="NGP6" s="447"/>
      <c r="NGQ6" s="447"/>
      <c r="NGR6" s="447"/>
      <c r="NGS6" s="447"/>
      <c r="NGT6" s="447"/>
      <c r="NGU6" s="447"/>
      <c r="NGV6" s="447"/>
      <c r="NGW6" s="447"/>
      <c r="NGX6" s="447"/>
      <c r="NGY6" s="447"/>
      <c r="NGZ6" s="447"/>
      <c r="NHA6" s="447"/>
      <c r="NHB6" s="447"/>
      <c r="NHC6" s="447"/>
      <c r="NHD6" s="447"/>
      <c r="NHE6" s="447"/>
      <c r="NHF6" s="447"/>
      <c r="NHG6" s="447"/>
      <c r="NHH6" s="447"/>
      <c r="NHI6" s="447"/>
      <c r="NHJ6" s="447"/>
      <c r="NHK6" s="447"/>
      <c r="NHL6" s="447"/>
      <c r="NHM6" s="447"/>
      <c r="NHN6" s="447"/>
      <c r="NHO6" s="447"/>
      <c r="NHP6" s="447"/>
      <c r="NHQ6" s="447"/>
      <c r="NHR6" s="447"/>
      <c r="NHS6" s="447"/>
      <c r="NHT6" s="447"/>
      <c r="NHU6" s="447"/>
      <c r="NHV6" s="447"/>
      <c r="NHW6" s="447"/>
      <c r="NHX6" s="447"/>
      <c r="NHY6" s="447"/>
      <c r="NHZ6" s="447"/>
      <c r="NIA6" s="447"/>
      <c r="NIB6" s="447"/>
      <c r="NIC6" s="447"/>
      <c r="NID6" s="447"/>
      <c r="NIE6" s="447"/>
      <c r="NIF6" s="447"/>
      <c r="NIG6" s="447"/>
      <c r="NIH6" s="447"/>
      <c r="NII6" s="447"/>
      <c r="NIJ6" s="447"/>
      <c r="NIK6" s="447"/>
      <c r="NIL6" s="447"/>
      <c r="NIM6" s="447"/>
      <c r="NIN6" s="447"/>
      <c r="NIO6" s="447"/>
      <c r="NIP6" s="447"/>
      <c r="NIQ6" s="447"/>
      <c r="NIR6" s="447"/>
      <c r="NIS6" s="447"/>
      <c r="NIT6" s="447"/>
      <c r="NIU6" s="447"/>
      <c r="NIV6" s="447"/>
      <c r="NIW6" s="447"/>
      <c r="NIX6" s="447"/>
      <c r="NIY6" s="447"/>
      <c r="NIZ6" s="447"/>
      <c r="NJA6" s="447"/>
      <c r="NJB6" s="447"/>
      <c r="NJC6" s="447"/>
      <c r="NJD6" s="447"/>
      <c r="NJE6" s="447"/>
      <c r="NJF6" s="447"/>
      <c r="NJG6" s="447"/>
      <c r="NJH6" s="447"/>
      <c r="NJI6" s="447"/>
      <c r="NJJ6" s="447"/>
      <c r="NJK6" s="447"/>
      <c r="NJL6" s="447"/>
      <c r="NJM6" s="447"/>
      <c r="NJN6" s="447"/>
      <c r="NJO6" s="447"/>
      <c r="NJP6" s="447"/>
      <c r="NJQ6" s="447"/>
      <c r="NJR6" s="447"/>
      <c r="NJS6" s="447"/>
      <c r="NJT6" s="447"/>
      <c r="NJU6" s="447"/>
      <c r="NJV6" s="447"/>
      <c r="NJW6" s="447"/>
      <c r="NJX6" s="447"/>
      <c r="NJY6" s="447"/>
      <c r="NJZ6" s="447"/>
      <c r="NKA6" s="447"/>
      <c r="NKB6" s="447"/>
      <c r="NKC6" s="447"/>
      <c r="NKD6" s="447"/>
      <c r="NKE6" s="447"/>
      <c r="NKF6" s="447"/>
      <c r="NKG6" s="447"/>
      <c r="NKH6" s="447"/>
      <c r="NKI6" s="447"/>
      <c r="NKJ6" s="447"/>
      <c r="NKK6" s="447"/>
      <c r="NKL6" s="447"/>
      <c r="NKM6" s="447"/>
      <c r="NKN6" s="447"/>
      <c r="NKO6" s="447"/>
      <c r="NKP6" s="447"/>
      <c r="NKQ6" s="447"/>
      <c r="NKR6" s="447"/>
      <c r="NKS6" s="447"/>
      <c r="NKT6" s="447"/>
      <c r="NKU6" s="447"/>
      <c r="NKV6" s="447"/>
      <c r="NKW6" s="447"/>
      <c r="NKX6" s="447"/>
      <c r="NKY6" s="447"/>
      <c r="NKZ6" s="447"/>
      <c r="NLA6" s="447"/>
      <c r="NLB6" s="447"/>
      <c r="NLC6" s="447"/>
      <c r="NLD6" s="447"/>
      <c r="NLE6" s="447"/>
      <c r="NLF6" s="447"/>
      <c r="NLG6" s="447"/>
      <c r="NLH6" s="447"/>
      <c r="NLI6" s="447"/>
      <c r="NLJ6" s="447"/>
      <c r="NLK6" s="447"/>
      <c r="NLL6" s="447"/>
      <c r="NLM6" s="447"/>
      <c r="NLN6" s="447"/>
      <c r="NLO6" s="447"/>
      <c r="NLP6" s="447"/>
      <c r="NLQ6" s="447"/>
      <c r="NLR6" s="447"/>
      <c r="NLS6" s="447"/>
      <c r="NLT6" s="447"/>
      <c r="NLU6" s="447"/>
      <c r="NLV6" s="447"/>
      <c r="NLW6" s="447"/>
      <c r="NLX6" s="447"/>
      <c r="NLY6" s="447"/>
      <c r="NLZ6" s="447"/>
      <c r="NMA6" s="447"/>
      <c r="NMB6" s="447"/>
      <c r="NMC6" s="447"/>
      <c r="NMD6" s="447"/>
      <c r="NME6" s="447"/>
      <c r="NMF6" s="447"/>
      <c r="NMG6" s="447"/>
      <c r="NMH6" s="447"/>
      <c r="NMI6" s="447"/>
      <c r="NMJ6" s="447"/>
      <c r="NMK6" s="447"/>
      <c r="NML6" s="447"/>
      <c r="NMM6" s="447"/>
      <c r="NMN6" s="447"/>
      <c r="NMO6" s="447"/>
      <c r="NMP6" s="447"/>
      <c r="NMQ6" s="447"/>
      <c r="NMR6" s="447"/>
      <c r="NMS6" s="447"/>
      <c r="NMT6" s="447"/>
      <c r="NMU6" s="447"/>
      <c r="NMV6" s="447"/>
      <c r="NMW6" s="447"/>
      <c r="NMX6" s="447"/>
      <c r="NMY6" s="447"/>
      <c r="NMZ6" s="447"/>
      <c r="NNA6" s="447"/>
      <c r="NNB6" s="447"/>
      <c r="NNC6" s="447"/>
      <c r="NND6" s="447"/>
      <c r="NNE6" s="447"/>
      <c r="NNF6" s="447"/>
      <c r="NNG6" s="447"/>
      <c r="NNH6" s="447"/>
      <c r="NNI6" s="447"/>
      <c r="NNJ6" s="447"/>
      <c r="NNK6" s="447"/>
      <c r="NNL6" s="447"/>
      <c r="NNM6" s="447"/>
      <c r="NNN6" s="447"/>
      <c r="NNO6" s="447"/>
      <c r="NNP6" s="447"/>
      <c r="NNQ6" s="447"/>
      <c r="NNR6" s="447"/>
      <c r="NNS6" s="447"/>
      <c r="NNT6" s="447"/>
      <c r="NNU6" s="447"/>
      <c r="NNV6" s="447"/>
      <c r="NNW6" s="447"/>
      <c r="NNX6" s="447"/>
      <c r="NNY6" s="447"/>
      <c r="NNZ6" s="447"/>
      <c r="NOA6" s="447"/>
      <c r="NOB6" s="447"/>
      <c r="NOC6" s="447"/>
      <c r="NOD6" s="447"/>
      <c r="NOE6" s="447"/>
      <c r="NOF6" s="447"/>
      <c r="NOG6" s="447"/>
      <c r="NOH6" s="447"/>
      <c r="NOI6" s="447"/>
      <c r="NOJ6" s="447"/>
      <c r="NOK6" s="447"/>
      <c r="NOL6" s="447"/>
      <c r="NOM6" s="447"/>
      <c r="NON6" s="447"/>
      <c r="NOO6" s="447"/>
      <c r="NOP6" s="447"/>
      <c r="NOQ6" s="447"/>
      <c r="NOR6" s="447"/>
      <c r="NOS6" s="447"/>
      <c r="NOT6" s="447"/>
      <c r="NOU6" s="447"/>
      <c r="NOV6" s="447"/>
      <c r="NOW6" s="447"/>
      <c r="NOX6" s="447"/>
      <c r="NOY6" s="447"/>
      <c r="NOZ6" s="447"/>
      <c r="NPA6" s="447"/>
      <c r="NPB6" s="447"/>
      <c r="NPC6" s="447"/>
      <c r="NPD6" s="447"/>
      <c r="NPE6" s="447"/>
      <c r="NPF6" s="447"/>
      <c r="NPG6" s="447"/>
      <c r="NPH6" s="447"/>
      <c r="NPI6" s="447"/>
      <c r="NPJ6" s="447"/>
      <c r="NPK6" s="447"/>
      <c r="NPL6" s="447"/>
      <c r="NPM6" s="447"/>
      <c r="NPN6" s="447"/>
      <c r="NPO6" s="447"/>
      <c r="NPP6" s="447"/>
      <c r="NPQ6" s="447"/>
      <c r="NPR6" s="447"/>
      <c r="NPS6" s="447"/>
      <c r="NPT6" s="447"/>
      <c r="NPU6" s="447"/>
      <c r="NPV6" s="447"/>
      <c r="NPW6" s="447"/>
      <c r="NPX6" s="447"/>
      <c r="NPY6" s="447"/>
      <c r="NPZ6" s="447"/>
      <c r="NQA6" s="447"/>
      <c r="NQB6" s="447"/>
      <c r="NQC6" s="447"/>
      <c r="NQD6" s="447"/>
      <c r="NQE6" s="447"/>
      <c r="NQF6" s="447"/>
      <c r="NQG6" s="447"/>
      <c r="NQH6" s="447"/>
      <c r="NQI6" s="447"/>
      <c r="NQJ6" s="447"/>
      <c r="NQK6" s="447"/>
      <c r="NQL6" s="447"/>
      <c r="NQM6" s="447"/>
      <c r="NQN6" s="447"/>
      <c r="NQO6" s="447"/>
      <c r="NQP6" s="447"/>
      <c r="NQQ6" s="447"/>
      <c r="NQR6" s="447"/>
      <c r="NQS6" s="447"/>
      <c r="NQT6" s="447"/>
      <c r="NQU6" s="447"/>
      <c r="NQV6" s="447"/>
      <c r="NQW6" s="447"/>
      <c r="NQX6" s="447"/>
      <c r="NQY6" s="447"/>
      <c r="NQZ6" s="447"/>
      <c r="NRA6" s="447"/>
      <c r="NRB6" s="447"/>
      <c r="NRC6" s="447"/>
      <c r="NRD6" s="447"/>
      <c r="NRE6" s="447"/>
      <c r="NRF6" s="447"/>
      <c r="NRG6" s="447"/>
      <c r="NRH6" s="447"/>
      <c r="NRI6" s="447"/>
      <c r="NRJ6" s="447"/>
      <c r="NRK6" s="447"/>
      <c r="NRL6" s="447"/>
      <c r="NRM6" s="447"/>
      <c r="NRN6" s="447"/>
      <c r="NRO6" s="447"/>
      <c r="NRP6" s="447"/>
      <c r="NRQ6" s="447"/>
      <c r="NRR6" s="447"/>
      <c r="NRS6" s="447"/>
      <c r="NRT6" s="447"/>
      <c r="NRU6" s="447"/>
      <c r="NRV6" s="447"/>
      <c r="NRW6" s="447"/>
      <c r="NRX6" s="447"/>
      <c r="NRY6" s="447"/>
      <c r="NRZ6" s="447"/>
      <c r="NSA6" s="447"/>
      <c r="NSB6" s="447"/>
      <c r="NSC6" s="447"/>
      <c r="NSD6" s="447"/>
      <c r="NSE6" s="447"/>
      <c r="NSF6" s="447"/>
      <c r="NSG6" s="447"/>
      <c r="NSH6" s="447"/>
      <c r="NSI6" s="447"/>
      <c r="NSJ6" s="447"/>
      <c r="NSK6" s="447"/>
      <c r="NSL6" s="447"/>
      <c r="NSM6" s="447"/>
      <c r="NSN6" s="447"/>
      <c r="NSO6" s="447"/>
      <c r="NSP6" s="447"/>
      <c r="NSQ6" s="447"/>
      <c r="NSR6" s="447"/>
      <c r="NSS6" s="447"/>
      <c r="NST6" s="447"/>
      <c r="NSU6" s="447"/>
      <c r="NSV6" s="447"/>
      <c r="NSW6" s="447"/>
      <c r="NSX6" s="447"/>
      <c r="NSY6" s="447"/>
      <c r="NSZ6" s="447"/>
      <c r="NTA6" s="447"/>
      <c r="NTB6" s="447"/>
      <c r="NTC6" s="447"/>
      <c r="NTD6" s="447"/>
      <c r="NTE6" s="447"/>
      <c r="NTF6" s="447"/>
      <c r="NTG6" s="447"/>
      <c r="NTH6" s="447"/>
      <c r="NTI6" s="447"/>
      <c r="NTJ6" s="447"/>
      <c r="NTK6" s="447"/>
      <c r="NTL6" s="447"/>
      <c r="NTM6" s="447"/>
      <c r="NTN6" s="447"/>
      <c r="NTO6" s="447"/>
      <c r="NTP6" s="447"/>
      <c r="NTQ6" s="447"/>
      <c r="NTR6" s="447"/>
      <c r="NTS6" s="447"/>
      <c r="NTT6" s="447"/>
      <c r="NTU6" s="447"/>
      <c r="NTV6" s="447"/>
      <c r="NTW6" s="447"/>
      <c r="NTX6" s="447"/>
      <c r="NTY6" s="447"/>
      <c r="NTZ6" s="447"/>
      <c r="NUA6" s="447"/>
      <c r="NUB6" s="447"/>
      <c r="NUC6" s="447"/>
      <c r="NUD6" s="447"/>
      <c r="NUE6" s="447"/>
      <c r="NUF6" s="447"/>
      <c r="NUG6" s="447"/>
      <c r="NUH6" s="447"/>
      <c r="NUI6" s="447"/>
      <c r="NUJ6" s="447"/>
      <c r="NUK6" s="447"/>
      <c r="NUL6" s="447"/>
      <c r="NUM6" s="447"/>
      <c r="NUN6" s="447"/>
      <c r="NUO6" s="447"/>
      <c r="NUP6" s="447"/>
      <c r="NUQ6" s="447"/>
      <c r="NUR6" s="447"/>
      <c r="NUS6" s="447"/>
      <c r="NUT6" s="447"/>
      <c r="NUU6" s="447"/>
      <c r="NUV6" s="447"/>
      <c r="NUW6" s="447"/>
      <c r="NUX6" s="447"/>
      <c r="NUY6" s="447"/>
      <c r="NUZ6" s="447"/>
      <c r="NVA6" s="447"/>
      <c r="NVB6" s="447"/>
      <c r="NVC6" s="447"/>
      <c r="NVD6" s="447"/>
      <c r="NVE6" s="447"/>
      <c r="NVF6" s="447"/>
      <c r="NVG6" s="447"/>
      <c r="NVH6" s="447"/>
      <c r="NVI6" s="447"/>
      <c r="NVJ6" s="447"/>
      <c r="NVK6" s="447"/>
      <c r="NVL6" s="447"/>
      <c r="NVM6" s="447"/>
      <c r="NVN6" s="447"/>
      <c r="NVO6" s="447"/>
      <c r="NVP6" s="447"/>
      <c r="NVQ6" s="447"/>
      <c r="NVR6" s="447"/>
      <c r="NVS6" s="447"/>
      <c r="NVT6" s="447"/>
      <c r="NVU6" s="447"/>
      <c r="NVV6" s="447"/>
      <c r="NVW6" s="447"/>
      <c r="NVX6" s="447"/>
      <c r="NVY6" s="447"/>
      <c r="NVZ6" s="447"/>
      <c r="NWA6" s="447"/>
      <c r="NWB6" s="447"/>
      <c r="NWC6" s="447"/>
      <c r="NWD6" s="447"/>
      <c r="NWE6" s="447"/>
      <c r="NWF6" s="447"/>
      <c r="NWG6" s="447"/>
      <c r="NWH6" s="447"/>
      <c r="NWI6" s="447"/>
      <c r="NWJ6" s="447"/>
      <c r="NWK6" s="447"/>
      <c r="NWL6" s="447"/>
      <c r="NWM6" s="447"/>
      <c r="NWN6" s="447"/>
      <c r="NWO6" s="447"/>
      <c r="NWP6" s="447"/>
      <c r="NWQ6" s="447"/>
      <c r="NWR6" s="447"/>
      <c r="NWS6" s="447"/>
      <c r="NWT6" s="447"/>
      <c r="NWU6" s="447"/>
      <c r="NWV6" s="447"/>
      <c r="NWW6" s="447"/>
      <c r="NWX6" s="447"/>
      <c r="NWY6" s="447"/>
      <c r="NWZ6" s="447"/>
      <c r="NXA6" s="447"/>
      <c r="NXB6" s="447"/>
      <c r="NXC6" s="447"/>
      <c r="NXD6" s="447"/>
      <c r="NXE6" s="447"/>
      <c r="NXF6" s="447"/>
      <c r="NXG6" s="447"/>
      <c r="NXH6" s="447"/>
      <c r="NXI6" s="447"/>
      <c r="NXJ6" s="447"/>
      <c r="NXK6" s="447"/>
      <c r="NXL6" s="447"/>
      <c r="NXM6" s="447"/>
      <c r="NXN6" s="447"/>
      <c r="NXO6" s="447"/>
      <c r="NXP6" s="447"/>
      <c r="NXQ6" s="447"/>
      <c r="NXR6" s="447"/>
      <c r="NXS6" s="447"/>
      <c r="NXT6" s="447"/>
      <c r="NXU6" s="447"/>
      <c r="NXV6" s="447"/>
      <c r="NXW6" s="447"/>
      <c r="NXX6" s="447"/>
      <c r="NXY6" s="447"/>
      <c r="NXZ6" s="447"/>
      <c r="NYA6" s="447"/>
      <c r="NYB6" s="447"/>
      <c r="NYC6" s="447"/>
      <c r="NYD6" s="447"/>
      <c r="NYE6" s="447"/>
      <c r="NYF6" s="447"/>
      <c r="NYG6" s="447"/>
      <c r="NYH6" s="447"/>
      <c r="NYI6" s="447"/>
      <c r="NYJ6" s="447"/>
      <c r="NYK6" s="447"/>
      <c r="NYL6" s="447"/>
      <c r="NYM6" s="447"/>
      <c r="NYN6" s="447"/>
      <c r="NYO6" s="447"/>
      <c r="NYP6" s="447"/>
      <c r="NYQ6" s="447"/>
      <c r="NYR6" s="447"/>
      <c r="NYS6" s="447"/>
      <c r="NYT6" s="447"/>
      <c r="NYU6" s="447"/>
      <c r="NYV6" s="447"/>
      <c r="NYW6" s="447"/>
      <c r="NYX6" s="447"/>
      <c r="NYY6" s="447"/>
      <c r="NYZ6" s="447"/>
      <c r="NZA6" s="447"/>
      <c r="NZB6" s="447"/>
      <c r="NZC6" s="447"/>
      <c r="NZD6" s="447"/>
      <c r="NZE6" s="447"/>
      <c r="NZF6" s="447"/>
      <c r="NZG6" s="447"/>
      <c r="NZH6" s="447"/>
      <c r="NZI6" s="447"/>
      <c r="NZJ6" s="447"/>
      <c r="NZK6" s="447"/>
      <c r="NZL6" s="447"/>
      <c r="NZM6" s="447"/>
      <c r="NZN6" s="447"/>
      <c r="NZO6" s="447"/>
      <c r="NZP6" s="447"/>
      <c r="NZQ6" s="447"/>
      <c r="NZR6" s="447"/>
      <c r="NZS6" s="447"/>
      <c r="NZT6" s="447"/>
      <c r="NZU6" s="447"/>
      <c r="NZV6" s="447"/>
      <c r="NZW6" s="447"/>
      <c r="NZX6" s="447"/>
      <c r="NZY6" s="447"/>
      <c r="NZZ6" s="447"/>
      <c r="OAA6" s="447"/>
      <c r="OAB6" s="447"/>
      <c r="OAC6" s="447"/>
      <c r="OAD6" s="447"/>
      <c r="OAE6" s="447"/>
      <c r="OAF6" s="447"/>
      <c r="OAG6" s="447"/>
      <c r="OAH6" s="447"/>
      <c r="OAI6" s="447"/>
      <c r="OAJ6" s="447"/>
      <c r="OAK6" s="447"/>
      <c r="OAL6" s="447"/>
      <c r="OAM6" s="447"/>
      <c r="OAN6" s="447"/>
      <c r="OAO6" s="447"/>
      <c r="OAP6" s="447"/>
      <c r="OAQ6" s="447"/>
      <c r="OAR6" s="447"/>
      <c r="OAS6" s="447"/>
      <c r="OAT6" s="447"/>
      <c r="OAU6" s="447"/>
      <c r="OAV6" s="447"/>
      <c r="OAW6" s="447"/>
      <c r="OAX6" s="447"/>
      <c r="OAY6" s="447"/>
      <c r="OAZ6" s="447"/>
      <c r="OBA6" s="447"/>
      <c r="OBB6" s="447"/>
      <c r="OBC6" s="447"/>
      <c r="OBD6" s="447"/>
      <c r="OBE6" s="447"/>
      <c r="OBF6" s="447"/>
      <c r="OBG6" s="447"/>
      <c r="OBH6" s="447"/>
      <c r="OBI6" s="447"/>
      <c r="OBJ6" s="447"/>
      <c r="OBK6" s="447"/>
      <c r="OBL6" s="447"/>
      <c r="OBM6" s="447"/>
      <c r="OBN6" s="447"/>
      <c r="OBO6" s="447"/>
      <c r="OBP6" s="447"/>
      <c r="OBQ6" s="447"/>
      <c r="OBR6" s="447"/>
      <c r="OBS6" s="447"/>
      <c r="OBT6" s="447"/>
      <c r="OBU6" s="447"/>
      <c r="OBV6" s="447"/>
      <c r="OBW6" s="447"/>
      <c r="OBX6" s="447"/>
      <c r="OBY6" s="447"/>
      <c r="OBZ6" s="447"/>
      <c r="OCA6" s="447"/>
      <c r="OCB6" s="447"/>
      <c r="OCC6" s="447"/>
      <c r="OCD6" s="447"/>
      <c r="OCE6" s="447"/>
      <c r="OCF6" s="447"/>
      <c r="OCG6" s="447"/>
      <c r="OCH6" s="447"/>
      <c r="OCI6" s="447"/>
      <c r="OCJ6" s="447"/>
      <c r="OCK6" s="447"/>
      <c r="OCL6" s="447"/>
      <c r="OCM6" s="447"/>
      <c r="OCN6" s="447"/>
      <c r="OCO6" s="447"/>
      <c r="OCP6" s="447"/>
      <c r="OCQ6" s="447"/>
      <c r="OCR6" s="447"/>
      <c r="OCS6" s="447"/>
      <c r="OCT6" s="447"/>
      <c r="OCU6" s="447"/>
      <c r="OCV6" s="447"/>
      <c r="OCW6" s="447"/>
      <c r="OCX6" s="447"/>
      <c r="OCY6" s="447"/>
      <c r="OCZ6" s="447"/>
      <c r="ODA6" s="447"/>
      <c r="ODB6" s="447"/>
      <c r="ODC6" s="447"/>
      <c r="ODD6" s="447"/>
      <c r="ODE6" s="447"/>
      <c r="ODF6" s="447"/>
      <c r="ODG6" s="447"/>
      <c r="ODH6" s="447"/>
      <c r="ODI6" s="447"/>
      <c r="ODJ6" s="447"/>
      <c r="ODK6" s="447"/>
      <c r="ODL6" s="447"/>
      <c r="ODM6" s="447"/>
      <c r="ODN6" s="447"/>
      <c r="ODO6" s="447"/>
      <c r="ODP6" s="447"/>
      <c r="ODQ6" s="447"/>
      <c r="ODR6" s="447"/>
      <c r="ODS6" s="447"/>
      <c r="ODT6" s="447"/>
      <c r="ODU6" s="447"/>
      <c r="ODV6" s="447"/>
      <c r="ODW6" s="447"/>
      <c r="ODX6" s="447"/>
      <c r="ODY6" s="447"/>
      <c r="ODZ6" s="447"/>
      <c r="OEA6" s="447"/>
      <c r="OEB6" s="447"/>
      <c r="OEC6" s="447"/>
      <c r="OED6" s="447"/>
      <c r="OEE6" s="447"/>
      <c r="OEF6" s="447"/>
      <c r="OEG6" s="447"/>
      <c r="OEH6" s="447"/>
      <c r="OEI6" s="447"/>
      <c r="OEJ6" s="447"/>
      <c r="OEK6" s="447"/>
      <c r="OEL6" s="447"/>
      <c r="OEM6" s="447"/>
      <c r="OEN6" s="447"/>
      <c r="OEO6" s="447"/>
      <c r="OEP6" s="447"/>
      <c r="OEQ6" s="447"/>
      <c r="OER6" s="447"/>
      <c r="OES6" s="447"/>
      <c r="OET6" s="447"/>
      <c r="OEU6" s="447"/>
      <c r="OEV6" s="447"/>
      <c r="OEW6" s="447"/>
      <c r="OEX6" s="447"/>
      <c r="OEY6" s="447"/>
      <c r="OEZ6" s="447"/>
      <c r="OFA6" s="447"/>
      <c r="OFB6" s="447"/>
      <c r="OFC6" s="447"/>
      <c r="OFD6" s="447"/>
      <c r="OFE6" s="447"/>
      <c r="OFF6" s="447"/>
      <c r="OFG6" s="447"/>
      <c r="OFH6" s="447"/>
      <c r="OFI6" s="447"/>
      <c r="OFJ6" s="447"/>
      <c r="OFK6" s="447"/>
      <c r="OFL6" s="447"/>
      <c r="OFM6" s="447"/>
      <c r="OFN6" s="447"/>
      <c r="OFO6" s="447"/>
      <c r="OFP6" s="447"/>
      <c r="OFQ6" s="447"/>
      <c r="OFR6" s="447"/>
      <c r="OFS6" s="447"/>
      <c r="OFT6" s="447"/>
      <c r="OFU6" s="447"/>
      <c r="OFV6" s="447"/>
      <c r="OFW6" s="447"/>
      <c r="OFX6" s="447"/>
      <c r="OFY6" s="447"/>
      <c r="OFZ6" s="447"/>
      <c r="OGA6" s="447"/>
      <c r="OGB6" s="447"/>
      <c r="OGC6" s="447"/>
      <c r="OGD6" s="447"/>
      <c r="OGE6" s="447"/>
      <c r="OGF6" s="447"/>
      <c r="OGG6" s="447"/>
      <c r="OGH6" s="447"/>
      <c r="OGI6" s="447"/>
      <c r="OGJ6" s="447"/>
      <c r="OGK6" s="447"/>
      <c r="OGL6" s="447"/>
      <c r="OGM6" s="447"/>
      <c r="OGN6" s="447"/>
      <c r="OGO6" s="447"/>
      <c r="OGP6" s="447"/>
      <c r="OGQ6" s="447"/>
      <c r="OGR6" s="447"/>
      <c r="OGS6" s="447"/>
      <c r="OGT6" s="447"/>
      <c r="OGU6" s="447"/>
      <c r="OGV6" s="447"/>
      <c r="OGW6" s="447"/>
      <c r="OGX6" s="447"/>
      <c r="OGY6" s="447"/>
      <c r="OGZ6" s="447"/>
      <c r="OHA6" s="447"/>
      <c r="OHB6" s="447"/>
      <c r="OHC6" s="447"/>
      <c r="OHD6" s="447"/>
      <c r="OHE6" s="447"/>
      <c r="OHF6" s="447"/>
      <c r="OHG6" s="447"/>
      <c r="OHH6" s="447"/>
      <c r="OHI6" s="447"/>
      <c r="OHJ6" s="447"/>
      <c r="OHK6" s="447"/>
      <c r="OHL6" s="447"/>
      <c r="OHM6" s="447"/>
      <c r="OHN6" s="447"/>
      <c r="OHO6" s="447"/>
      <c r="OHP6" s="447"/>
      <c r="OHQ6" s="447"/>
      <c r="OHR6" s="447"/>
      <c r="OHS6" s="447"/>
      <c r="OHT6" s="447"/>
      <c r="OHU6" s="447"/>
      <c r="OHV6" s="447"/>
      <c r="OHW6" s="447"/>
      <c r="OHX6" s="447"/>
      <c r="OHY6" s="447"/>
      <c r="OHZ6" s="447"/>
      <c r="OIA6" s="447"/>
      <c r="OIB6" s="447"/>
      <c r="OIC6" s="447"/>
      <c r="OID6" s="447"/>
      <c r="OIE6" s="447"/>
      <c r="OIF6" s="447"/>
      <c r="OIG6" s="447"/>
      <c r="OIH6" s="447"/>
      <c r="OII6" s="447"/>
      <c r="OIJ6" s="447"/>
      <c r="OIK6" s="447"/>
      <c r="OIL6" s="447"/>
      <c r="OIM6" s="447"/>
      <c r="OIN6" s="447"/>
      <c r="OIO6" s="447"/>
      <c r="OIP6" s="447"/>
      <c r="OIQ6" s="447"/>
      <c r="OIR6" s="447"/>
      <c r="OIS6" s="447"/>
      <c r="OIT6" s="447"/>
      <c r="OIU6" s="447"/>
      <c r="OIV6" s="447"/>
      <c r="OIW6" s="447"/>
      <c r="OIX6" s="447"/>
      <c r="OIY6" s="447"/>
      <c r="OIZ6" s="447"/>
      <c r="OJA6" s="447"/>
      <c r="OJB6" s="447"/>
      <c r="OJC6" s="447"/>
      <c r="OJD6" s="447"/>
      <c r="OJE6" s="447"/>
      <c r="OJF6" s="447"/>
      <c r="OJG6" s="447"/>
      <c r="OJH6" s="447"/>
      <c r="OJI6" s="447"/>
      <c r="OJJ6" s="447"/>
      <c r="OJK6" s="447"/>
      <c r="OJL6" s="447"/>
      <c r="OJM6" s="447"/>
      <c r="OJN6" s="447"/>
      <c r="OJO6" s="447"/>
      <c r="OJP6" s="447"/>
      <c r="OJQ6" s="447"/>
      <c r="OJR6" s="447"/>
      <c r="OJS6" s="447"/>
      <c r="OJT6" s="447"/>
      <c r="OJU6" s="447"/>
      <c r="OJV6" s="447"/>
      <c r="OJW6" s="447"/>
      <c r="OJX6" s="447"/>
      <c r="OJY6" s="447"/>
      <c r="OJZ6" s="447"/>
      <c r="OKA6" s="447"/>
      <c r="OKB6" s="447"/>
      <c r="OKC6" s="447"/>
      <c r="OKD6" s="447"/>
      <c r="OKE6" s="447"/>
      <c r="OKF6" s="447"/>
      <c r="OKG6" s="447"/>
      <c r="OKH6" s="447"/>
      <c r="OKI6" s="447"/>
      <c r="OKJ6" s="447"/>
      <c r="OKK6" s="447"/>
      <c r="OKL6" s="447"/>
      <c r="OKM6" s="447"/>
      <c r="OKN6" s="447"/>
      <c r="OKO6" s="447"/>
      <c r="OKP6" s="447"/>
      <c r="OKQ6" s="447"/>
      <c r="OKR6" s="447"/>
      <c r="OKS6" s="447"/>
      <c r="OKT6" s="447"/>
      <c r="OKU6" s="447"/>
      <c r="OKV6" s="447"/>
      <c r="OKW6" s="447"/>
      <c r="OKX6" s="447"/>
      <c r="OKY6" s="447"/>
      <c r="OKZ6" s="447"/>
      <c r="OLA6" s="447"/>
      <c r="OLB6" s="447"/>
      <c r="OLC6" s="447"/>
      <c r="OLD6" s="447"/>
      <c r="OLE6" s="447"/>
      <c r="OLF6" s="447"/>
      <c r="OLG6" s="447"/>
      <c r="OLH6" s="447"/>
      <c r="OLI6" s="447"/>
      <c r="OLJ6" s="447"/>
      <c r="OLK6" s="447"/>
      <c r="OLL6" s="447"/>
      <c r="OLM6" s="447"/>
      <c r="OLN6" s="447"/>
      <c r="OLO6" s="447"/>
      <c r="OLP6" s="447"/>
      <c r="OLQ6" s="447"/>
      <c r="OLR6" s="447"/>
      <c r="OLS6" s="447"/>
      <c r="OLT6" s="447"/>
      <c r="OLU6" s="447"/>
      <c r="OLV6" s="447"/>
      <c r="OLW6" s="447"/>
      <c r="OLX6" s="447"/>
      <c r="OLY6" s="447"/>
      <c r="OLZ6" s="447"/>
      <c r="OMA6" s="447"/>
      <c r="OMB6" s="447"/>
      <c r="OMC6" s="447"/>
      <c r="OMD6" s="447"/>
      <c r="OME6" s="447"/>
      <c r="OMF6" s="447"/>
      <c r="OMG6" s="447"/>
      <c r="OMH6" s="447"/>
      <c r="OMI6" s="447"/>
      <c r="OMJ6" s="447"/>
      <c r="OMK6" s="447"/>
      <c r="OML6" s="447"/>
      <c r="OMM6" s="447"/>
      <c r="OMN6" s="447"/>
      <c r="OMO6" s="447"/>
      <c r="OMP6" s="447"/>
      <c r="OMQ6" s="447"/>
      <c r="OMR6" s="447"/>
      <c r="OMS6" s="447"/>
      <c r="OMT6" s="447"/>
      <c r="OMU6" s="447"/>
      <c r="OMV6" s="447"/>
      <c r="OMW6" s="447"/>
      <c r="OMX6" s="447"/>
      <c r="OMY6" s="447"/>
      <c r="OMZ6" s="447"/>
      <c r="ONA6" s="447"/>
      <c r="ONB6" s="447"/>
      <c r="ONC6" s="447"/>
      <c r="OND6" s="447"/>
      <c r="ONE6" s="447"/>
      <c r="ONF6" s="447"/>
      <c r="ONG6" s="447"/>
      <c r="ONH6" s="447"/>
      <c r="ONI6" s="447"/>
      <c r="ONJ6" s="447"/>
      <c r="ONK6" s="447"/>
      <c r="ONL6" s="447"/>
      <c r="ONM6" s="447"/>
      <c r="ONN6" s="447"/>
      <c r="ONO6" s="447"/>
      <c r="ONP6" s="447"/>
      <c r="ONQ6" s="447"/>
      <c r="ONR6" s="447"/>
      <c r="ONS6" s="447"/>
      <c r="ONT6" s="447"/>
      <c r="ONU6" s="447"/>
      <c r="ONV6" s="447"/>
      <c r="ONW6" s="447"/>
      <c r="ONX6" s="447"/>
      <c r="ONY6" s="447"/>
      <c r="ONZ6" s="447"/>
      <c r="OOA6" s="447"/>
      <c r="OOB6" s="447"/>
      <c r="OOC6" s="447"/>
      <c r="OOD6" s="447"/>
      <c r="OOE6" s="447"/>
      <c r="OOF6" s="447"/>
      <c r="OOG6" s="447"/>
      <c r="OOH6" s="447"/>
      <c r="OOI6" s="447"/>
      <c r="OOJ6" s="447"/>
      <c r="OOK6" s="447"/>
      <c r="OOL6" s="447"/>
      <c r="OOM6" s="447"/>
      <c r="OON6" s="447"/>
      <c r="OOO6" s="447"/>
      <c r="OOP6" s="447"/>
      <c r="OOQ6" s="447"/>
      <c r="OOR6" s="447"/>
      <c r="OOS6" s="447"/>
      <c r="OOT6" s="447"/>
      <c r="OOU6" s="447"/>
      <c r="OOV6" s="447"/>
      <c r="OOW6" s="447"/>
      <c r="OOX6" s="447"/>
      <c r="OOY6" s="447"/>
      <c r="OOZ6" s="447"/>
      <c r="OPA6" s="447"/>
      <c r="OPB6" s="447"/>
      <c r="OPC6" s="447"/>
      <c r="OPD6" s="447"/>
      <c r="OPE6" s="447"/>
      <c r="OPF6" s="447"/>
      <c r="OPG6" s="447"/>
      <c r="OPH6" s="447"/>
      <c r="OPI6" s="447"/>
      <c r="OPJ6" s="447"/>
      <c r="OPK6" s="447"/>
      <c r="OPL6" s="447"/>
      <c r="OPM6" s="447"/>
      <c r="OPN6" s="447"/>
      <c r="OPO6" s="447"/>
      <c r="OPP6" s="447"/>
      <c r="OPQ6" s="447"/>
      <c r="OPR6" s="447"/>
      <c r="OPS6" s="447"/>
      <c r="OPT6" s="447"/>
      <c r="OPU6" s="447"/>
      <c r="OPV6" s="447"/>
      <c r="OPW6" s="447"/>
      <c r="OPX6" s="447"/>
      <c r="OPY6" s="447"/>
      <c r="OPZ6" s="447"/>
      <c r="OQA6" s="447"/>
      <c r="OQB6" s="447"/>
      <c r="OQC6" s="447"/>
      <c r="OQD6" s="447"/>
      <c r="OQE6" s="447"/>
      <c r="OQF6" s="447"/>
      <c r="OQG6" s="447"/>
      <c r="OQH6" s="447"/>
      <c r="OQI6" s="447"/>
      <c r="OQJ6" s="447"/>
      <c r="OQK6" s="447"/>
      <c r="OQL6" s="447"/>
      <c r="OQM6" s="447"/>
      <c r="OQN6" s="447"/>
      <c r="OQO6" s="447"/>
      <c r="OQP6" s="447"/>
      <c r="OQQ6" s="447"/>
      <c r="OQR6" s="447"/>
      <c r="OQS6" s="447"/>
      <c r="OQT6" s="447"/>
      <c r="OQU6" s="447"/>
      <c r="OQV6" s="447"/>
      <c r="OQW6" s="447"/>
      <c r="OQX6" s="447"/>
      <c r="OQY6" s="447"/>
      <c r="OQZ6" s="447"/>
      <c r="ORA6" s="447"/>
      <c r="ORB6" s="447"/>
      <c r="ORC6" s="447"/>
      <c r="ORD6" s="447"/>
      <c r="ORE6" s="447"/>
      <c r="ORF6" s="447"/>
      <c r="ORG6" s="447"/>
      <c r="ORH6" s="447"/>
      <c r="ORI6" s="447"/>
      <c r="ORJ6" s="447"/>
      <c r="ORK6" s="447"/>
      <c r="ORL6" s="447"/>
      <c r="ORM6" s="447"/>
      <c r="ORN6" s="447"/>
      <c r="ORO6" s="447"/>
      <c r="ORP6" s="447"/>
      <c r="ORQ6" s="447"/>
      <c r="ORR6" s="447"/>
      <c r="ORS6" s="447"/>
      <c r="ORT6" s="447"/>
      <c r="ORU6" s="447"/>
      <c r="ORV6" s="447"/>
      <c r="ORW6" s="447"/>
      <c r="ORX6" s="447"/>
      <c r="ORY6" s="447"/>
      <c r="ORZ6" s="447"/>
      <c r="OSA6" s="447"/>
      <c r="OSB6" s="447"/>
      <c r="OSC6" s="447"/>
      <c r="OSD6" s="447"/>
      <c r="OSE6" s="447"/>
      <c r="OSF6" s="447"/>
      <c r="OSG6" s="447"/>
      <c r="OSH6" s="447"/>
      <c r="OSI6" s="447"/>
      <c r="OSJ6" s="447"/>
      <c r="OSK6" s="447"/>
      <c r="OSL6" s="447"/>
      <c r="OSM6" s="447"/>
      <c r="OSN6" s="447"/>
      <c r="OSO6" s="447"/>
      <c r="OSP6" s="447"/>
      <c r="OSQ6" s="447"/>
      <c r="OSR6" s="447"/>
      <c r="OSS6" s="447"/>
      <c r="OST6" s="447"/>
      <c r="OSU6" s="447"/>
      <c r="OSV6" s="447"/>
      <c r="OSW6" s="447"/>
      <c r="OSX6" s="447"/>
      <c r="OSY6" s="447"/>
      <c r="OSZ6" s="447"/>
      <c r="OTA6" s="447"/>
      <c r="OTB6" s="447"/>
      <c r="OTC6" s="447"/>
      <c r="OTD6" s="447"/>
      <c r="OTE6" s="447"/>
      <c r="OTF6" s="447"/>
      <c r="OTG6" s="447"/>
      <c r="OTH6" s="447"/>
      <c r="OTI6" s="447"/>
      <c r="OTJ6" s="447"/>
      <c r="OTK6" s="447"/>
      <c r="OTL6" s="447"/>
      <c r="OTM6" s="447"/>
      <c r="OTN6" s="447"/>
      <c r="OTO6" s="447"/>
      <c r="OTP6" s="447"/>
      <c r="OTQ6" s="447"/>
      <c r="OTR6" s="447"/>
      <c r="OTS6" s="447"/>
      <c r="OTT6" s="447"/>
      <c r="OTU6" s="447"/>
      <c r="OTV6" s="447"/>
      <c r="OTW6" s="447"/>
      <c r="OTX6" s="447"/>
      <c r="OTY6" s="447"/>
      <c r="OTZ6" s="447"/>
      <c r="OUA6" s="447"/>
      <c r="OUB6" s="447"/>
      <c r="OUC6" s="447"/>
      <c r="OUD6" s="447"/>
      <c r="OUE6" s="447"/>
      <c r="OUF6" s="447"/>
      <c r="OUG6" s="447"/>
      <c r="OUH6" s="447"/>
      <c r="OUI6" s="447"/>
      <c r="OUJ6" s="447"/>
      <c r="OUK6" s="447"/>
      <c r="OUL6" s="447"/>
      <c r="OUM6" s="447"/>
      <c r="OUN6" s="447"/>
      <c r="OUO6" s="447"/>
      <c r="OUP6" s="447"/>
      <c r="OUQ6" s="447"/>
      <c r="OUR6" s="447"/>
      <c r="OUS6" s="447"/>
      <c r="OUT6" s="447"/>
      <c r="OUU6" s="447"/>
      <c r="OUV6" s="447"/>
      <c r="OUW6" s="447"/>
      <c r="OUX6" s="447"/>
      <c r="OUY6" s="447"/>
      <c r="OUZ6" s="447"/>
      <c r="OVA6" s="447"/>
      <c r="OVB6" s="447"/>
      <c r="OVC6" s="447"/>
      <c r="OVD6" s="447"/>
      <c r="OVE6" s="447"/>
      <c r="OVF6" s="447"/>
      <c r="OVG6" s="447"/>
      <c r="OVH6" s="447"/>
      <c r="OVI6" s="447"/>
      <c r="OVJ6" s="447"/>
      <c r="OVK6" s="447"/>
      <c r="OVL6" s="447"/>
      <c r="OVM6" s="447"/>
      <c r="OVN6" s="447"/>
      <c r="OVO6" s="447"/>
      <c r="OVP6" s="447"/>
      <c r="OVQ6" s="447"/>
      <c r="OVR6" s="447"/>
      <c r="OVS6" s="447"/>
      <c r="OVT6" s="447"/>
      <c r="OVU6" s="447"/>
      <c r="OVV6" s="447"/>
      <c r="OVW6" s="447"/>
      <c r="OVX6" s="447"/>
      <c r="OVY6" s="447"/>
      <c r="OVZ6" s="447"/>
      <c r="OWA6" s="447"/>
      <c r="OWB6" s="447"/>
      <c r="OWC6" s="447"/>
      <c r="OWD6" s="447"/>
      <c r="OWE6" s="447"/>
      <c r="OWF6" s="447"/>
      <c r="OWG6" s="447"/>
      <c r="OWH6" s="447"/>
      <c r="OWI6" s="447"/>
      <c r="OWJ6" s="447"/>
      <c r="OWK6" s="447"/>
      <c r="OWL6" s="447"/>
      <c r="OWM6" s="447"/>
      <c r="OWN6" s="447"/>
      <c r="OWO6" s="447"/>
      <c r="OWP6" s="447"/>
      <c r="OWQ6" s="447"/>
      <c r="OWR6" s="447"/>
      <c r="OWS6" s="447"/>
      <c r="OWT6" s="447"/>
      <c r="OWU6" s="447"/>
      <c r="OWV6" s="447"/>
      <c r="OWW6" s="447"/>
      <c r="OWX6" s="447"/>
      <c r="OWY6" s="447"/>
      <c r="OWZ6" s="447"/>
      <c r="OXA6" s="447"/>
      <c r="OXB6" s="447"/>
      <c r="OXC6" s="447"/>
      <c r="OXD6" s="447"/>
      <c r="OXE6" s="447"/>
      <c r="OXF6" s="447"/>
      <c r="OXG6" s="447"/>
      <c r="OXH6" s="447"/>
      <c r="OXI6" s="447"/>
      <c r="OXJ6" s="447"/>
      <c r="OXK6" s="447"/>
      <c r="OXL6" s="447"/>
      <c r="OXM6" s="447"/>
      <c r="OXN6" s="447"/>
      <c r="OXO6" s="447"/>
      <c r="OXP6" s="447"/>
      <c r="OXQ6" s="447"/>
      <c r="OXR6" s="447"/>
      <c r="OXS6" s="447"/>
      <c r="OXT6" s="447"/>
      <c r="OXU6" s="447"/>
      <c r="OXV6" s="447"/>
      <c r="OXW6" s="447"/>
      <c r="OXX6" s="447"/>
      <c r="OXY6" s="447"/>
      <c r="OXZ6" s="447"/>
      <c r="OYA6" s="447"/>
      <c r="OYB6" s="447"/>
      <c r="OYC6" s="447"/>
      <c r="OYD6" s="447"/>
      <c r="OYE6" s="447"/>
      <c r="OYF6" s="447"/>
      <c r="OYG6" s="447"/>
      <c r="OYH6" s="447"/>
      <c r="OYI6" s="447"/>
      <c r="OYJ6" s="447"/>
      <c r="OYK6" s="447"/>
      <c r="OYL6" s="447"/>
      <c r="OYM6" s="447"/>
      <c r="OYN6" s="447"/>
      <c r="OYO6" s="447"/>
      <c r="OYP6" s="447"/>
      <c r="OYQ6" s="447"/>
      <c r="OYR6" s="447"/>
      <c r="OYS6" s="447"/>
      <c r="OYT6" s="447"/>
      <c r="OYU6" s="447"/>
      <c r="OYV6" s="447"/>
      <c r="OYW6" s="447"/>
      <c r="OYX6" s="447"/>
      <c r="OYY6" s="447"/>
      <c r="OYZ6" s="447"/>
      <c r="OZA6" s="447"/>
      <c r="OZB6" s="447"/>
      <c r="OZC6" s="447"/>
      <c r="OZD6" s="447"/>
      <c r="OZE6" s="447"/>
      <c r="OZF6" s="447"/>
      <c r="OZG6" s="447"/>
      <c r="OZH6" s="447"/>
      <c r="OZI6" s="447"/>
      <c r="OZJ6" s="447"/>
      <c r="OZK6" s="447"/>
      <c r="OZL6" s="447"/>
      <c r="OZM6" s="447"/>
      <c r="OZN6" s="447"/>
      <c r="OZO6" s="447"/>
      <c r="OZP6" s="447"/>
      <c r="OZQ6" s="447"/>
      <c r="OZR6" s="447"/>
      <c r="OZS6" s="447"/>
      <c r="OZT6" s="447"/>
      <c r="OZU6" s="447"/>
      <c r="OZV6" s="447"/>
      <c r="OZW6" s="447"/>
      <c r="OZX6" s="447"/>
      <c r="OZY6" s="447"/>
      <c r="OZZ6" s="447"/>
      <c r="PAA6" s="447"/>
      <c r="PAB6" s="447"/>
      <c r="PAC6" s="447"/>
      <c r="PAD6" s="447"/>
      <c r="PAE6" s="447"/>
      <c r="PAF6" s="447"/>
      <c r="PAG6" s="447"/>
      <c r="PAH6" s="447"/>
      <c r="PAI6" s="447"/>
      <c r="PAJ6" s="447"/>
      <c r="PAK6" s="447"/>
      <c r="PAL6" s="447"/>
      <c r="PAM6" s="447"/>
      <c r="PAN6" s="447"/>
      <c r="PAO6" s="447"/>
      <c r="PAP6" s="447"/>
      <c r="PAQ6" s="447"/>
      <c r="PAR6" s="447"/>
      <c r="PAS6" s="447"/>
      <c r="PAT6" s="447"/>
      <c r="PAU6" s="447"/>
      <c r="PAV6" s="447"/>
      <c r="PAW6" s="447"/>
      <c r="PAX6" s="447"/>
      <c r="PAY6" s="447"/>
      <c r="PAZ6" s="447"/>
      <c r="PBA6" s="447"/>
      <c r="PBB6" s="447"/>
      <c r="PBC6" s="447"/>
      <c r="PBD6" s="447"/>
      <c r="PBE6" s="447"/>
      <c r="PBF6" s="447"/>
      <c r="PBG6" s="447"/>
      <c r="PBH6" s="447"/>
      <c r="PBI6" s="447"/>
      <c r="PBJ6" s="447"/>
      <c r="PBK6" s="447"/>
      <c r="PBL6" s="447"/>
      <c r="PBM6" s="447"/>
      <c r="PBN6" s="447"/>
      <c r="PBO6" s="447"/>
      <c r="PBP6" s="447"/>
      <c r="PBQ6" s="447"/>
      <c r="PBR6" s="447"/>
      <c r="PBS6" s="447"/>
      <c r="PBT6" s="447"/>
      <c r="PBU6" s="447"/>
      <c r="PBV6" s="447"/>
      <c r="PBW6" s="447"/>
      <c r="PBX6" s="447"/>
      <c r="PBY6" s="447"/>
      <c r="PBZ6" s="447"/>
      <c r="PCA6" s="447"/>
      <c r="PCB6" s="447"/>
      <c r="PCC6" s="447"/>
      <c r="PCD6" s="447"/>
      <c r="PCE6" s="447"/>
      <c r="PCF6" s="447"/>
      <c r="PCG6" s="447"/>
      <c r="PCH6" s="447"/>
      <c r="PCI6" s="447"/>
      <c r="PCJ6" s="447"/>
      <c r="PCK6" s="447"/>
      <c r="PCL6" s="447"/>
      <c r="PCM6" s="447"/>
      <c r="PCN6" s="447"/>
      <c r="PCO6" s="447"/>
      <c r="PCP6" s="447"/>
      <c r="PCQ6" s="447"/>
      <c r="PCR6" s="447"/>
      <c r="PCS6" s="447"/>
      <c r="PCT6" s="447"/>
      <c r="PCU6" s="447"/>
      <c r="PCV6" s="447"/>
      <c r="PCW6" s="447"/>
      <c r="PCX6" s="447"/>
      <c r="PCY6" s="447"/>
      <c r="PCZ6" s="447"/>
      <c r="PDA6" s="447"/>
      <c r="PDB6" s="447"/>
      <c r="PDC6" s="447"/>
      <c r="PDD6" s="447"/>
      <c r="PDE6" s="447"/>
      <c r="PDF6" s="447"/>
      <c r="PDG6" s="447"/>
      <c r="PDH6" s="447"/>
      <c r="PDI6" s="447"/>
      <c r="PDJ6" s="447"/>
      <c r="PDK6" s="447"/>
      <c r="PDL6" s="447"/>
      <c r="PDM6" s="447"/>
      <c r="PDN6" s="447"/>
      <c r="PDO6" s="447"/>
      <c r="PDP6" s="447"/>
      <c r="PDQ6" s="447"/>
      <c r="PDR6" s="447"/>
      <c r="PDS6" s="447"/>
      <c r="PDT6" s="447"/>
      <c r="PDU6" s="447"/>
      <c r="PDV6" s="447"/>
      <c r="PDW6" s="447"/>
      <c r="PDX6" s="447"/>
      <c r="PDY6" s="447"/>
      <c r="PDZ6" s="447"/>
      <c r="PEA6" s="447"/>
      <c r="PEB6" s="447"/>
      <c r="PEC6" s="447"/>
      <c r="PED6" s="447"/>
      <c r="PEE6" s="447"/>
      <c r="PEF6" s="447"/>
      <c r="PEG6" s="447"/>
      <c r="PEH6" s="447"/>
      <c r="PEI6" s="447"/>
      <c r="PEJ6" s="447"/>
      <c r="PEK6" s="447"/>
      <c r="PEL6" s="447"/>
      <c r="PEM6" s="447"/>
      <c r="PEN6" s="447"/>
      <c r="PEO6" s="447"/>
      <c r="PEP6" s="447"/>
      <c r="PEQ6" s="447"/>
      <c r="PER6" s="447"/>
      <c r="PES6" s="447"/>
      <c r="PET6" s="447"/>
      <c r="PEU6" s="447"/>
      <c r="PEV6" s="447"/>
      <c r="PEW6" s="447"/>
      <c r="PEX6" s="447"/>
      <c r="PEY6" s="447"/>
      <c r="PEZ6" s="447"/>
      <c r="PFA6" s="447"/>
      <c r="PFB6" s="447"/>
      <c r="PFC6" s="447"/>
      <c r="PFD6" s="447"/>
      <c r="PFE6" s="447"/>
      <c r="PFF6" s="447"/>
      <c r="PFG6" s="447"/>
      <c r="PFH6" s="447"/>
      <c r="PFI6" s="447"/>
      <c r="PFJ6" s="447"/>
      <c r="PFK6" s="447"/>
      <c r="PFL6" s="447"/>
      <c r="PFM6" s="447"/>
      <c r="PFN6" s="447"/>
      <c r="PFO6" s="447"/>
      <c r="PFP6" s="447"/>
      <c r="PFQ6" s="447"/>
      <c r="PFR6" s="447"/>
      <c r="PFS6" s="447"/>
      <c r="PFT6" s="447"/>
      <c r="PFU6" s="447"/>
      <c r="PFV6" s="447"/>
      <c r="PFW6" s="447"/>
      <c r="PFX6" s="447"/>
      <c r="PFY6" s="447"/>
      <c r="PFZ6" s="447"/>
      <c r="PGA6" s="447"/>
      <c r="PGB6" s="447"/>
      <c r="PGC6" s="447"/>
      <c r="PGD6" s="447"/>
      <c r="PGE6" s="447"/>
      <c r="PGF6" s="447"/>
      <c r="PGG6" s="447"/>
      <c r="PGH6" s="447"/>
      <c r="PGI6" s="447"/>
      <c r="PGJ6" s="447"/>
      <c r="PGK6" s="447"/>
      <c r="PGL6" s="447"/>
      <c r="PGM6" s="447"/>
      <c r="PGN6" s="447"/>
      <c r="PGO6" s="447"/>
      <c r="PGP6" s="447"/>
      <c r="PGQ6" s="447"/>
      <c r="PGR6" s="447"/>
      <c r="PGS6" s="447"/>
      <c r="PGT6" s="447"/>
      <c r="PGU6" s="447"/>
      <c r="PGV6" s="447"/>
      <c r="PGW6" s="447"/>
      <c r="PGX6" s="447"/>
      <c r="PGY6" s="447"/>
      <c r="PGZ6" s="447"/>
      <c r="PHA6" s="447"/>
      <c r="PHB6" s="447"/>
      <c r="PHC6" s="447"/>
      <c r="PHD6" s="447"/>
      <c r="PHE6" s="447"/>
      <c r="PHF6" s="447"/>
      <c r="PHG6" s="447"/>
      <c r="PHH6" s="447"/>
      <c r="PHI6" s="447"/>
      <c r="PHJ6" s="447"/>
      <c r="PHK6" s="447"/>
      <c r="PHL6" s="447"/>
      <c r="PHM6" s="447"/>
      <c r="PHN6" s="447"/>
      <c r="PHO6" s="447"/>
      <c r="PHP6" s="447"/>
      <c r="PHQ6" s="447"/>
      <c r="PHR6" s="447"/>
      <c r="PHS6" s="447"/>
      <c r="PHT6" s="447"/>
      <c r="PHU6" s="447"/>
      <c r="PHV6" s="447"/>
      <c r="PHW6" s="447"/>
      <c r="PHX6" s="447"/>
      <c r="PHY6" s="447"/>
      <c r="PHZ6" s="447"/>
      <c r="PIA6" s="447"/>
      <c r="PIB6" s="447"/>
      <c r="PIC6" s="447"/>
      <c r="PID6" s="447"/>
      <c r="PIE6" s="447"/>
      <c r="PIF6" s="447"/>
      <c r="PIG6" s="447"/>
      <c r="PIH6" s="447"/>
      <c r="PII6" s="447"/>
      <c r="PIJ6" s="447"/>
      <c r="PIK6" s="447"/>
      <c r="PIL6" s="447"/>
      <c r="PIM6" s="447"/>
      <c r="PIN6" s="447"/>
      <c r="PIO6" s="447"/>
      <c r="PIP6" s="447"/>
      <c r="PIQ6" s="447"/>
      <c r="PIR6" s="447"/>
      <c r="PIS6" s="447"/>
      <c r="PIT6" s="447"/>
      <c r="PIU6" s="447"/>
      <c r="PIV6" s="447"/>
      <c r="PIW6" s="447"/>
      <c r="PIX6" s="447"/>
      <c r="PIY6" s="447"/>
      <c r="PIZ6" s="447"/>
      <c r="PJA6" s="447"/>
      <c r="PJB6" s="447"/>
      <c r="PJC6" s="447"/>
      <c r="PJD6" s="447"/>
      <c r="PJE6" s="447"/>
      <c r="PJF6" s="447"/>
      <c r="PJG6" s="447"/>
      <c r="PJH6" s="447"/>
      <c r="PJI6" s="447"/>
      <c r="PJJ6" s="447"/>
      <c r="PJK6" s="447"/>
      <c r="PJL6" s="447"/>
      <c r="PJM6" s="447"/>
      <c r="PJN6" s="447"/>
      <c r="PJO6" s="447"/>
      <c r="PJP6" s="447"/>
      <c r="PJQ6" s="447"/>
      <c r="PJR6" s="447"/>
      <c r="PJS6" s="447"/>
      <c r="PJT6" s="447"/>
      <c r="PJU6" s="447"/>
      <c r="PJV6" s="447"/>
      <c r="PJW6" s="447"/>
      <c r="PJX6" s="447"/>
      <c r="PJY6" s="447"/>
      <c r="PJZ6" s="447"/>
      <c r="PKA6" s="447"/>
      <c r="PKB6" s="447"/>
      <c r="PKC6" s="447"/>
      <c r="PKD6" s="447"/>
      <c r="PKE6" s="447"/>
      <c r="PKF6" s="447"/>
      <c r="PKG6" s="447"/>
      <c r="PKH6" s="447"/>
      <c r="PKI6" s="447"/>
      <c r="PKJ6" s="447"/>
      <c r="PKK6" s="447"/>
      <c r="PKL6" s="447"/>
      <c r="PKM6" s="447"/>
      <c r="PKN6" s="447"/>
      <c r="PKO6" s="447"/>
      <c r="PKP6" s="447"/>
      <c r="PKQ6" s="447"/>
      <c r="PKR6" s="447"/>
      <c r="PKS6" s="447"/>
      <c r="PKT6" s="447"/>
      <c r="PKU6" s="447"/>
      <c r="PKV6" s="447"/>
      <c r="PKW6" s="447"/>
      <c r="PKX6" s="447"/>
      <c r="PKY6" s="447"/>
      <c r="PKZ6" s="447"/>
      <c r="PLA6" s="447"/>
      <c r="PLB6" s="447"/>
      <c r="PLC6" s="447"/>
      <c r="PLD6" s="447"/>
      <c r="PLE6" s="447"/>
      <c r="PLF6" s="447"/>
      <c r="PLG6" s="447"/>
      <c r="PLH6" s="447"/>
      <c r="PLI6" s="447"/>
      <c r="PLJ6" s="447"/>
      <c r="PLK6" s="447"/>
      <c r="PLL6" s="447"/>
      <c r="PLM6" s="447"/>
      <c r="PLN6" s="447"/>
      <c r="PLO6" s="447"/>
      <c r="PLP6" s="447"/>
      <c r="PLQ6" s="447"/>
      <c r="PLR6" s="447"/>
      <c r="PLS6" s="447"/>
      <c r="PLT6" s="447"/>
      <c r="PLU6" s="447"/>
      <c r="PLV6" s="447"/>
      <c r="PLW6" s="447"/>
      <c r="PLX6" s="447"/>
      <c r="PLY6" s="447"/>
      <c r="PLZ6" s="447"/>
      <c r="PMA6" s="447"/>
      <c r="PMB6" s="447"/>
      <c r="PMC6" s="447"/>
      <c r="PMD6" s="447"/>
      <c r="PME6" s="447"/>
      <c r="PMF6" s="447"/>
      <c r="PMG6" s="447"/>
      <c r="PMH6" s="447"/>
      <c r="PMI6" s="447"/>
      <c r="PMJ6" s="447"/>
      <c r="PMK6" s="447"/>
      <c r="PML6" s="447"/>
      <c r="PMM6" s="447"/>
      <c r="PMN6" s="447"/>
      <c r="PMO6" s="447"/>
      <c r="PMP6" s="447"/>
      <c r="PMQ6" s="447"/>
      <c r="PMR6" s="447"/>
      <c r="PMS6" s="447"/>
      <c r="PMT6" s="447"/>
      <c r="PMU6" s="447"/>
      <c r="PMV6" s="447"/>
      <c r="PMW6" s="447"/>
      <c r="PMX6" s="447"/>
      <c r="PMY6" s="447"/>
      <c r="PMZ6" s="447"/>
      <c r="PNA6" s="447"/>
      <c r="PNB6" s="447"/>
      <c r="PNC6" s="447"/>
      <c r="PND6" s="447"/>
      <c r="PNE6" s="447"/>
      <c r="PNF6" s="447"/>
      <c r="PNG6" s="447"/>
      <c r="PNH6" s="447"/>
      <c r="PNI6" s="447"/>
      <c r="PNJ6" s="447"/>
      <c r="PNK6" s="447"/>
      <c r="PNL6" s="447"/>
      <c r="PNM6" s="447"/>
      <c r="PNN6" s="447"/>
      <c r="PNO6" s="447"/>
      <c r="PNP6" s="447"/>
      <c r="PNQ6" s="447"/>
      <c r="PNR6" s="447"/>
      <c r="PNS6" s="447"/>
      <c r="PNT6" s="447"/>
      <c r="PNU6" s="447"/>
      <c r="PNV6" s="447"/>
      <c r="PNW6" s="447"/>
      <c r="PNX6" s="447"/>
      <c r="PNY6" s="447"/>
      <c r="PNZ6" s="447"/>
      <c r="POA6" s="447"/>
      <c r="POB6" s="447"/>
      <c r="POC6" s="447"/>
      <c r="POD6" s="447"/>
      <c r="POE6" s="447"/>
      <c r="POF6" s="447"/>
      <c r="POG6" s="447"/>
      <c r="POH6" s="447"/>
      <c r="POI6" s="447"/>
      <c r="POJ6" s="447"/>
      <c r="POK6" s="447"/>
      <c r="POL6" s="447"/>
      <c r="POM6" s="447"/>
      <c r="PON6" s="447"/>
      <c r="POO6" s="447"/>
      <c r="POP6" s="447"/>
      <c r="POQ6" s="447"/>
      <c r="POR6" s="447"/>
      <c r="POS6" s="447"/>
      <c r="POT6" s="447"/>
      <c r="POU6" s="447"/>
      <c r="POV6" s="447"/>
      <c r="POW6" s="447"/>
      <c r="POX6" s="447"/>
      <c r="POY6" s="447"/>
      <c r="POZ6" s="447"/>
      <c r="PPA6" s="447"/>
      <c r="PPB6" s="447"/>
      <c r="PPC6" s="447"/>
      <c r="PPD6" s="447"/>
      <c r="PPE6" s="447"/>
      <c r="PPF6" s="447"/>
      <c r="PPG6" s="447"/>
      <c r="PPH6" s="447"/>
      <c r="PPI6" s="447"/>
      <c r="PPJ6" s="447"/>
      <c r="PPK6" s="447"/>
      <c r="PPL6" s="447"/>
      <c r="PPM6" s="447"/>
      <c r="PPN6" s="447"/>
      <c r="PPO6" s="447"/>
      <c r="PPP6" s="447"/>
      <c r="PPQ6" s="447"/>
      <c r="PPR6" s="447"/>
      <c r="PPS6" s="447"/>
      <c r="PPT6" s="447"/>
      <c r="PPU6" s="447"/>
      <c r="PPV6" s="447"/>
      <c r="PPW6" s="447"/>
      <c r="PPX6" s="447"/>
      <c r="PPY6" s="447"/>
      <c r="PPZ6" s="447"/>
      <c r="PQA6" s="447"/>
      <c r="PQB6" s="447"/>
      <c r="PQC6" s="447"/>
      <c r="PQD6" s="447"/>
      <c r="PQE6" s="447"/>
      <c r="PQF6" s="447"/>
      <c r="PQG6" s="447"/>
      <c r="PQH6" s="447"/>
      <c r="PQI6" s="447"/>
      <c r="PQJ6" s="447"/>
      <c r="PQK6" s="447"/>
      <c r="PQL6" s="447"/>
      <c r="PQM6" s="447"/>
      <c r="PQN6" s="447"/>
      <c r="PQO6" s="447"/>
      <c r="PQP6" s="447"/>
      <c r="PQQ6" s="447"/>
      <c r="PQR6" s="447"/>
      <c r="PQS6" s="447"/>
      <c r="PQT6" s="447"/>
      <c r="PQU6" s="447"/>
      <c r="PQV6" s="447"/>
      <c r="PQW6" s="447"/>
      <c r="PQX6" s="447"/>
      <c r="PQY6" s="447"/>
      <c r="PQZ6" s="447"/>
      <c r="PRA6" s="447"/>
      <c r="PRB6" s="447"/>
      <c r="PRC6" s="447"/>
      <c r="PRD6" s="447"/>
      <c r="PRE6" s="447"/>
      <c r="PRF6" s="447"/>
      <c r="PRG6" s="447"/>
      <c r="PRH6" s="447"/>
      <c r="PRI6" s="447"/>
      <c r="PRJ6" s="447"/>
      <c r="PRK6" s="447"/>
      <c r="PRL6" s="447"/>
      <c r="PRM6" s="447"/>
      <c r="PRN6" s="447"/>
      <c r="PRO6" s="447"/>
      <c r="PRP6" s="447"/>
      <c r="PRQ6" s="447"/>
      <c r="PRR6" s="447"/>
      <c r="PRS6" s="447"/>
      <c r="PRT6" s="447"/>
      <c r="PRU6" s="447"/>
      <c r="PRV6" s="447"/>
      <c r="PRW6" s="447"/>
      <c r="PRX6" s="447"/>
      <c r="PRY6" s="447"/>
      <c r="PRZ6" s="447"/>
      <c r="PSA6" s="447"/>
      <c r="PSB6" s="447"/>
      <c r="PSC6" s="447"/>
      <c r="PSD6" s="447"/>
      <c r="PSE6" s="447"/>
      <c r="PSF6" s="447"/>
      <c r="PSG6" s="447"/>
      <c r="PSH6" s="447"/>
      <c r="PSI6" s="447"/>
      <c r="PSJ6" s="447"/>
      <c r="PSK6" s="447"/>
      <c r="PSL6" s="447"/>
      <c r="PSM6" s="447"/>
      <c r="PSN6" s="447"/>
      <c r="PSO6" s="447"/>
      <c r="PSP6" s="447"/>
      <c r="PSQ6" s="447"/>
      <c r="PSR6" s="447"/>
      <c r="PSS6" s="447"/>
      <c r="PST6" s="447"/>
      <c r="PSU6" s="447"/>
      <c r="PSV6" s="447"/>
      <c r="PSW6" s="447"/>
      <c r="PSX6" s="447"/>
      <c r="PSY6" s="447"/>
      <c r="PSZ6" s="447"/>
      <c r="PTA6" s="447"/>
      <c r="PTB6" s="447"/>
      <c r="PTC6" s="447"/>
      <c r="PTD6" s="447"/>
      <c r="PTE6" s="447"/>
      <c r="PTF6" s="447"/>
      <c r="PTG6" s="447"/>
      <c r="PTH6" s="447"/>
      <c r="PTI6" s="447"/>
      <c r="PTJ6" s="447"/>
      <c r="PTK6" s="447"/>
      <c r="PTL6" s="447"/>
      <c r="PTM6" s="447"/>
      <c r="PTN6" s="447"/>
      <c r="PTO6" s="447"/>
      <c r="PTP6" s="447"/>
      <c r="PTQ6" s="447"/>
      <c r="PTR6" s="447"/>
      <c r="PTS6" s="447"/>
      <c r="PTT6" s="447"/>
      <c r="PTU6" s="447"/>
      <c r="PTV6" s="447"/>
      <c r="PTW6" s="447"/>
      <c r="PTX6" s="447"/>
      <c r="PTY6" s="447"/>
      <c r="PTZ6" s="447"/>
      <c r="PUA6" s="447"/>
      <c r="PUB6" s="447"/>
      <c r="PUC6" s="447"/>
      <c r="PUD6" s="447"/>
      <c r="PUE6" s="447"/>
      <c r="PUF6" s="447"/>
      <c r="PUG6" s="447"/>
      <c r="PUH6" s="447"/>
      <c r="PUI6" s="447"/>
      <c r="PUJ6" s="447"/>
      <c r="PUK6" s="447"/>
      <c r="PUL6" s="447"/>
      <c r="PUM6" s="447"/>
      <c r="PUN6" s="447"/>
      <c r="PUO6" s="447"/>
      <c r="PUP6" s="447"/>
      <c r="PUQ6" s="447"/>
      <c r="PUR6" s="447"/>
      <c r="PUS6" s="447"/>
      <c r="PUT6" s="447"/>
      <c r="PUU6" s="447"/>
      <c r="PUV6" s="447"/>
      <c r="PUW6" s="447"/>
      <c r="PUX6" s="447"/>
      <c r="PUY6" s="447"/>
      <c r="PUZ6" s="447"/>
      <c r="PVA6" s="447"/>
      <c r="PVB6" s="447"/>
      <c r="PVC6" s="447"/>
      <c r="PVD6" s="447"/>
      <c r="PVE6" s="447"/>
      <c r="PVF6" s="447"/>
      <c r="PVG6" s="447"/>
      <c r="PVH6" s="447"/>
      <c r="PVI6" s="447"/>
      <c r="PVJ6" s="447"/>
      <c r="PVK6" s="447"/>
      <c r="PVL6" s="447"/>
      <c r="PVM6" s="447"/>
      <c r="PVN6" s="447"/>
      <c r="PVO6" s="447"/>
      <c r="PVP6" s="447"/>
      <c r="PVQ6" s="447"/>
      <c r="PVR6" s="447"/>
      <c r="PVS6" s="447"/>
      <c r="PVT6" s="447"/>
      <c r="PVU6" s="447"/>
      <c r="PVV6" s="447"/>
      <c r="PVW6" s="447"/>
      <c r="PVX6" s="447"/>
      <c r="PVY6" s="447"/>
      <c r="PVZ6" s="447"/>
      <c r="PWA6" s="447"/>
      <c r="PWB6" s="447"/>
      <c r="PWC6" s="447"/>
      <c r="PWD6" s="447"/>
      <c r="PWE6" s="447"/>
      <c r="PWF6" s="447"/>
      <c r="PWG6" s="447"/>
      <c r="PWH6" s="447"/>
      <c r="PWI6" s="447"/>
      <c r="PWJ6" s="447"/>
      <c r="PWK6" s="447"/>
      <c r="PWL6" s="447"/>
      <c r="PWM6" s="447"/>
      <c r="PWN6" s="447"/>
      <c r="PWO6" s="447"/>
      <c r="PWP6" s="447"/>
      <c r="PWQ6" s="447"/>
      <c r="PWR6" s="447"/>
      <c r="PWS6" s="447"/>
      <c r="PWT6" s="447"/>
      <c r="PWU6" s="447"/>
      <c r="PWV6" s="447"/>
      <c r="PWW6" s="447"/>
      <c r="PWX6" s="447"/>
      <c r="PWY6" s="447"/>
      <c r="PWZ6" s="447"/>
      <c r="PXA6" s="447"/>
      <c r="PXB6" s="447"/>
      <c r="PXC6" s="447"/>
      <c r="PXD6" s="447"/>
      <c r="PXE6" s="447"/>
      <c r="PXF6" s="447"/>
      <c r="PXG6" s="447"/>
      <c r="PXH6" s="447"/>
      <c r="PXI6" s="447"/>
      <c r="PXJ6" s="447"/>
      <c r="PXK6" s="447"/>
      <c r="PXL6" s="447"/>
      <c r="PXM6" s="447"/>
      <c r="PXN6" s="447"/>
      <c r="PXO6" s="447"/>
      <c r="PXP6" s="447"/>
      <c r="PXQ6" s="447"/>
      <c r="PXR6" s="447"/>
      <c r="PXS6" s="447"/>
      <c r="PXT6" s="447"/>
      <c r="PXU6" s="447"/>
      <c r="PXV6" s="447"/>
      <c r="PXW6" s="447"/>
      <c r="PXX6" s="447"/>
      <c r="PXY6" s="447"/>
      <c r="PXZ6" s="447"/>
      <c r="PYA6" s="447"/>
      <c r="PYB6" s="447"/>
      <c r="PYC6" s="447"/>
      <c r="PYD6" s="447"/>
      <c r="PYE6" s="447"/>
      <c r="PYF6" s="447"/>
      <c r="PYG6" s="447"/>
      <c r="PYH6" s="447"/>
      <c r="PYI6" s="447"/>
      <c r="PYJ6" s="447"/>
      <c r="PYK6" s="447"/>
      <c r="PYL6" s="447"/>
      <c r="PYM6" s="447"/>
      <c r="PYN6" s="447"/>
      <c r="PYO6" s="447"/>
      <c r="PYP6" s="447"/>
      <c r="PYQ6" s="447"/>
      <c r="PYR6" s="447"/>
      <c r="PYS6" s="447"/>
      <c r="PYT6" s="447"/>
      <c r="PYU6" s="447"/>
      <c r="PYV6" s="447"/>
      <c r="PYW6" s="447"/>
      <c r="PYX6" s="447"/>
      <c r="PYY6" s="447"/>
      <c r="PYZ6" s="447"/>
      <c r="PZA6" s="447"/>
      <c r="PZB6" s="447"/>
      <c r="PZC6" s="447"/>
      <c r="PZD6" s="447"/>
      <c r="PZE6" s="447"/>
      <c r="PZF6" s="447"/>
      <c r="PZG6" s="447"/>
      <c r="PZH6" s="447"/>
      <c r="PZI6" s="447"/>
      <c r="PZJ6" s="447"/>
      <c r="PZK6" s="447"/>
      <c r="PZL6" s="447"/>
      <c r="PZM6" s="447"/>
      <c r="PZN6" s="447"/>
      <c r="PZO6" s="447"/>
      <c r="PZP6" s="447"/>
      <c r="PZQ6" s="447"/>
      <c r="PZR6" s="447"/>
      <c r="PZS6" s="447"/>
      <c r="PZT6" s="447"/>
      <c r="PZU6" s="447"/>
      <c r="PZV6" s="447"/>
      <c r="PZW6" s="447"/>
      <c r="PZX6" s="447"/>
      <c r="PZY6" s="447"/>
      <c r="PZZ6" s="447"/>
      <c r="QAA6" s="447"/>
      <c r="QAB6" s="447"/>
      <c r="QAC6" s="447"/>
      <c r="QAD6" s="447"/>
      <c r="QAE6" s="447"/>
      <c r="QAF6" s="447"/>
      <c r="QAG6" s="447"/>
      <c r="QAH6" s="447"/>
      <c r="QAI6" s="447"/>
      <c r="QAJ6" s="447"/>
      <c r="QAK6" s="447"/>
      <c r="QAL6" s="447"/>
      <c r="QAM6" s="447"/>
      <c r="QAN6" s="447"/>
      <c r="QAO6" s="447"/>
      <c r="QAP6" s="447"/>
      <c r="QAQ6" s="447"/>
      <c r="QAR6" s="447"/>
      <c r="QAS6" s="447"/>
      <c r="QAT6" s="447"/>
      <c r="QAU6" s="447"/>
      <c r="QAV6" s="447"/>
      <c r="QAW6" s="447"/>
      <c r="QAX6" s="447"/>
      <c r="QAY6" s="447"/>
      <c r="QAZ6" s="447"/>
      <c r="QBA6" s="447"/>
      <c r="QBB6" s="447"/>
      <c r="QBC6" s="447"/>
      <c r="QBD6" s="447"/>
      <c r="QBE6" s="447"/>
      <c r="QBF6" s="447"/>
      <c r="QBG6" s="447"/>
      <c r="QBH6" s="447"/>
      <c r="QBI6" s="447"/>
      <c r="QBJ6" s="447"/>
      <c r="QBK6" s="447"/>
      <c r="QBL6" s="447"/>
      <c r="QBM6" s="447"/>
      <c r="QBN6" s="447"/>
      <c r="QBO6" s="447"/>
      <c r="QBP6" s="447"/>
      <c r="QBQ6" s="447"/>
      <c r="QBR6" s="447"/>
      <c r="QBS6" s="447"/>
      <c r="QBT6" s="447"/>
      <c r="QBU6" s="447"/>
      <c r="QBV6" s="447"/>
      <c r="QBW6" s="447"/>
      <c r="QBX6" s="447"/>
      <c r="QBY6" s="447"/>
      <c r="QBZ6" s="447"/>
      <c r="QCA6" s="447"/>
      <c r="QCB6" s="447"/>
      <c r="QCC6" s="447"/>
      <c r="QCD6" s="447"/>
      <c r="QCE6" s="447"/>
      <c r="QCF6" s="447"/>
      <c r="QCG6" s="447"/>
      <c r="QCH6" s="447"/>
      <c r="QCI6" s="447"/>
      <c r="QCJ6" s="447"/>
      <c r="QCK6" s="447"/>
      <c r="QCL6" s="447"/>
      <c r="QCM6" s="447"/>
      <c r="QCN6" s="447"/>
      <c r="QCO6" s="447"/>
      <c r="QCP6" s="447"/>
      <c r="QCQ6" s="447"/>
      <c r="QCR6" s="447"/>
      <c r="QCS6" s="447"/>
      <c r="QCT6" s="447"/>
      <c r="QCU6" s="447"/>
      <c r="QCV6" s="447"/>
      <c r="QCW6" s="447"/>
      <c r="QCX6" s="447"/>
      <c r="QCY6" s="447"/>
      <c r="QCZ6" s="447"/>
      <c r="QDA6" s="447"/>
      <c r="QDB6" s="447"/>
      <c r="QDC6" s="447"/>
      <c r="QDD6" s="447"/>
      <c r="QDE6" s="447"/>
      <c r="QDF6" s="447"/>
      <c r="QDG6" s="447"/>
      <c r="QDH6" s="447"/>
      <c r="QDI6" s="447"/>
      <c r="QDJ6" s="447"/>
      <c r="QDK6" s="447"/>
      <c r="QDL6" s="447"/>
      <c r="QDM6" s="447"/>
      <c r="QDN6" s="447"/>
      <c r="QDO6" s="447"/>
      <c r="QDP6" s="447"/>
      <c r="QDQ6" s="447"/>
      <c r="QDR6" s="447"/>
      <c r="QDS6" s="447"/>
      <c r="QDT6" s="447"/>
      <c r="QDU6" s="447"/>
      <c r="QDV6" s="447"/>
      <c r="QDW6" s="447"/>
      <c r="QDX6" s="447"/>
      <c r="QDY6" s="447"/>
      <c r="QDZ6" s="447"/>
      <c r="QEA6" s="447"/>
      <c r="QEB6" s="447"/>
      <c r="QEC6" s="447"/>
      <c r="QED6" s="447"/>
      <c r="QEE6" s="447"/>
      <c r="QEF6" s="447"/>
      <c r="QEG6" s="447"/>
      <c r="QEH6" s="447"/>
      <c r="QEI6" s="447"/>
      <c r="QEJ6" s="447"/>
      <c r="QEK6" s="447"/>
      <c r="QEL6" s="447"/>
      <c r="QEM6" s="447"/>
      <c r="QEN6" s="447"/>
      <c r="QEO6" s="447"/>
      <c r="QEP6" s="447"/>
      <c r="QEQ6" s="447"/>
      <c r="QER6" s="447"/>
      <c r="QES6" s="447"/>
      <c r="QET6" s="447"/>
      <c r="QEU6" s="447"/>
      <c r="QEV6" s="447"/>
      <c r="QEW6" s="447"/>
      <c r="QEX6" s="447"/>
      <c r="QEY6" s="447"/>
      <c r="QEZ6" s="447"/>
      <c r="QFA6" s="447"/>
      <c r="QFB6" s="447"/>
      <c r="QFC6" s="447"/>
      <c r="QFD6" s="447"/>
      <c r="QFE6" s="447"/>
      <c r="QFF6" s="447"/>
      <c r="QFG6" s="447"/>
      <c r="QFH6" s="447"/>
      <c r="QFI6" s="447"/>
      <c r="QFJ6" s="447"/>
      <c r="QFK6" s="447"/>
      <c r="QFL6" s="447"/>
      <c r="QFM6" s="447"/>
      <c r="QFN6" s="447"/>
      <c r="QFO6" s="447"/>
      <c r="QFP6" s="447"/>
      <c r="QFQ6" s="447"/>
      <c r="QFR6" s="447"/>
      <c r="QFS6" s="447"/>
      <c r="QFT6" s="447"/>
      <c r="QFU6" s="447"/>
      <c r="QFV6" s="447"/>
      <c r="QFW6" s="447"/>
      <c r="QFX6" s="447"/>
      <c r="QFY6" s="447"/>
      <c r="QFZ6" s="447"/>
      <c r="QGA6" s="447"/>
      <c r="QGB6" s="447"/>
      <c r="QGC6" s="447"/>
      <c r="QGD6" s="447"/>
      <c r="QGE6" s="447"/>
      <c r="QGF6" s="447"/>
      <c r="QGG6" s="447"/>
      <c r="QGH6" s="447"/>
      <c r="QGI6" s="447"/>
      <c r="QGJ6" s="447"/>
      <c r="QGK6" s="447"/>
      <c r="QGL6" s="447"/>
      <c r="QGM6" s="447"/>
      <c r="QGN6" s="447"/>
      <c r="QGO6" s="447"/>
      <c r="QGP6" s="447"/>
      <c r="QGQ6" s="447"/>
      <c r="QGR6" s="447"/>
      <c r="QGS6" s="447"/>
      <c r="QGT6" s="447"/>
      <c r="QGU6" s="447"/>
      <c r="QGV6" s="447"/>
      <c r="QGW6" s="447"/>
      <c r="QGX6" s="447"/>
      <c r="QGY6" s="447"/>
      <c r="QGZ6" s="447"/>
      <c r="QHA6" s="447"/>
      <c r="QHB6" s="447"/>
      <c r="QHC6" s="447"/>
      <c r="QHD6" s="447"/>
      <c r="QHE6" s="447"/>
      <c r="QHF6" s="447"/>
      <c r="QHG6" s="447"/>
      <c r="QHH6" s="447"/>
      <c r="QHI6" s="447"/>
      <c r="QHJ6" s="447"/>
      <c r="QHK6" s="447"/>
      <c r="QHL6" s="447"/>
      <c r="QHM6" s="447"/>
      <c r="QHN6" s="447"/>
      <c r="QHO6" s="447"/>
      <c r="QHP6" s="447"/>
      <c r="QHQ6" s="447"/>
      <c r="QHR6" s="447"/>
      <c r="QHS6" s="447"/>
      <c r="QHT6" s="447"/>
      <c r="QHU6" s="447"/>
      <c r="QHV6" s="447"/>
      <c r="QHW6" s="447"/>
      <c r="QHX6" s="447"/>
      <c r="QHY6" s="447"/>
      <c r="QHZ6" s="447"/>
      <c r="QIA6" s="447"/>
      <c r="QIB6" s="447"/>
      <c r="QIC6" s="447"/>
      <c r="QID6" s="447"/>
      <c r="QIE6" s="447"/>
      <c r="QIF6" s="447"/>
      <c r="QIG6" s="447"/>
      <c r="QIH6" s="447"/>
      <c r="QII6" s="447"/>
      <c r="QIJ6" s="447"/>
      <c r="QIK6" s="447"/>
      <c r="QIL6" s="447"/>
      <c r="QIM6" s="447"/>
      <c r="QIN6" s="447"/>
      <c r="QIO6" s="447"/>
      <c r="QIP6" s="447"/>
      <c r="QIQ6" s="447"/>
      <c r="QIR6" s="447"/>
      <c r="QIS6" s="447"/>
      <c r="QIT6" s="447"/>
      <c r="QIU6" s="447"/>
      <c r="QIV6" s="447"/>
      <c r="QIW6" s="447"/>
      <c r="QIX6" s="447"/>
      <c r="QIY6" s="447"/>
      <c r="QIZ6" s="447"/>
      <c r="QJA6" s="447"/>
      <c r="QJB6" s="447"/>
      <c r="QJC6" s="447"/>
      <c r="QJD6" s="447"/>
      <c r="QJE6" s="447"/>
      <c r="QJF6" s="447"/>
      <c r="QJG6" s="447"/>
      <c r="QJH6" s="447"/>
      <c r="QJI6" s="447"/>
      <c r="QJJ6" s="447"/>
      <c r="QJK6" s="447"/>
      <c r="QJL6" s="447"/>
      <c r="QJM6" s="447"/>
      <c r="QJN6" s="447"/>
      <c r="QJO6" s="447"/>
      <c r="QJP6" s="447"/>
      <c r="QJQ6" s="447"/>
      <c r="QJR6" s="447"/>
      <c r="QJS6" s="447"/>
      <c r="QJT6" s="447"/>
      <c r="QJU6" s="447"/>
      <c r="QJV6" s="447"/>
      <c r="QJW6" s="447"/>
      <c r="QJX6" s="447"/>
      <c r="QJY6" s="447"/>
      <c r="QJZ6" s="447"/>
      <c r="QKA6" s="447"/>
      <c r="QKB6" s="447"/>
      <c r="QKC6" s="447"/>
      <c r="QKD6" s="447"/>
      <c r="QKE6" s="447"/>
      <c r="QKF6" s="447"/>
      <c r="QKG6" s="447"/>
      <c r="QKH6" s="447"/>
      <c r="QKI6" s="447"/>
      <c r="QKJ6" s="447"/>
      <c r="QKK6" s="447"/>
      <c r="QKL6" s="447"/>
      <c r="QKM6" s="447"/>
      <c r="QKN6" s="447"/>
      <c r="QKO6" s="447"/>
      <c r="QKP6" s="447"/>
      <c r="QKQ6" s="447"/>
      <c r="QKR6" s="447"/>
      <c r="QKS6" s="447"/>
      <c r="QKT6" s="447"/>
      <c r="QKU6" s="447"/>
      <c r="QKV6" s="447"/>
      <c r="QKW6" s="447"/>
      <c r="QKX6" s="447"/>
      <c r="QKY6" s="447"/>
      <c r="QKZ6" s="447"/>
      <c r="QLA6" s="447"/>
      <c r="QLB6" s="447"/>
      <c r="QLC6" s="447"/>
      <c r="QLD6" s="447"/>
      <c r="QLE6" s="447"/>
      <c r="QLF6" s="447"/>
      <c r="QLG6" s="447"/>
      <c r="QLH6" s="447"/>
      <c r="QLI6" s="447"/>
      <c r="QLJ6" s="447"/>
      <c r="QLK6" s="447"/>
      <c r="QLL6" s="447"/>
      <c r="QLM6" s="447"/>
      <c r="QLN6" s="447"/>
      <c r="QLO6" s="447"/>
      <c r="QLP6" s="447"/>
      <c r="QLQ6" s="447"/>
      <c r="QLR6" s="447"/>
      <c r="QLS6" s="447"/>
      <c r="QLT6" s="447"/>
      <c r="QLU6" s="447"/>
      <c r="QLV6" s="447"/>
      <c r="QLW6" s="447"/>
      <c r="QLX6" s="447"/>
      <c r="QLY6" s="447"/>
      <c r="QLZ6" s="447"/>
      <c r="QMA6" s="447"/>
      <c r="QMB6" s="447"/>
      <c r="QMC6" s="447"/>
      <c r="QMD6" s="447"/>
      <c r="QME6" s="447"/>
      <c r="QMF6" s="447"/>
      <c r="QMG6" s="447"/>
      <c r="QMH6" s="447"/>
      <c r="QMI6" s="447"/>
      <c r="QMJ6" s="447"/>
      <c r="QMK6" s="447"/>
      <c r="QML6" s="447"/>
      <c r="QMM6" s="447"/>
      <c r="QMN6" s="447"/>
      <c r="QMO6" s="447"/>
      <c r="QMP6" s="447"/>
      <c r="QMQ6" s="447"/>
      <c r="QMR6" s="447"/>
      <c r="QMS6" s="447"/>
      <c r="QMT6" s="447"/>
      <c r="QMU6" s="447"/>
      <c r="QMV6" s="447"/>
      <c r="QMW6" s="447"/>
      <c r="QMX6" s="447"/>
      <c r="QMY6" s="447"/>
      <c r="QMZ6" s="447"/>
      <c r="QNA6" s="447"/>
      <c r="QNB6" s="447"/>
      <c r="QNC6" s="447"/>
      <c r="QND6" s="447"/>
      <c r="QNE6" s="447"/>
      <c r="QNF6" s="447"/>
      <c r="QNG6" s="447"/>
      <c r="QNH6" s="447"/>
      <c r="QNI6" s="447"/>
      <c r="QNJ6" s="447"/>
      <c r="QNK6" s="447"/>
      <c r="QNL6" s="447"/>
      <c r="QNM6" s="447"/>
      <c r="QNN6" s="447"/>
      <c r="QNO6" s="447"/>
      <c r="QNP6" s="447"/>
      <c r="QNQ6" s="447"/>
      <c r="QNR6" s="447"/>
      <c r="QNS6" s="447"/>
      <c r="QNT6" s="447"/>
      <c r="QNU6" s="447"/>
      <c r="QNV6" s="447"/>
      <c r="QNW6" s="447"/>
      <c r="QNX6" s="447"/>
      <c r="QNY6" s="447"/>
      <c r="QNZ6" s="447"/>
      <c r="QOA6" s="447"/>
      <c r="QOB6" s="447"/>
      <c r="QOC6" s="447"/>
      <c r="QOD6" s="447"/>
      <c r="QOE6" s="447"/>
      <c r="QOF6" s="447"/>
      <c r="QOG6" s="447"/>
      <c r="QOH6" s="447"/>
      <c r="QOI6" s="447"/>
      <c r="QOJ6" s="447"/>
      <c r="QOK6" s="447"/>
      <c r="QOL6" s="447"/>
      <c r="QOM6" s="447"/>
      <c r="QON6" s="447"/>
      <c r="QOO6" s="447"/>
      <c r="QOP6" s="447"/>
      <c r="QOQ6" s="447"/>
      <c r="QOR6" s="447"/>
      <c r="QOS6" s="447"/>
      <c r="QOT6" s="447"/>
      <c r="QOU6" s="447"/>
      <c r="QOV6" s="447"/>
      <c r="QOW6" s="447"/>
      <c r="QOX6" s="447"/>
      <c r="QOY6" s="447"/>
      <c r="QOZ6" s="447"/>
      <c r="QPA6" s="447"/>
      <c r="QPB6" s="447"/>
      <c r="QPC6" s="447"/>
      <c r="QPD6" s="447"/>
      <c r="QPE6" s="447"/>
      <c r="QPF6" s="447"/>
      <c r="QPG6" s="447"/>
      <c r="QPH6" s="447"/>
      <c r="QPI6" s="447"/>
      <c r="QPJ6" s="447"/>
      <c r="QPK6" s="447"/>
      <c r="QPL6" s="447"/>
      <c r="QPM6" s="447"/>
      <c r="QPN6" s="447"/>
      <c r="QPO6" s="447"/>
      <c r="QPP6" s="447"/>
      <c r="QPQ6" s="447"/>
      <c r="QPR6" s="447"/>
      <c r="QPS6" s="447"/>
      <c r="QPT6" s="447"/>
      <c r="QPU6" s="447"/>
      <c r="QPV6" s="447"/>
      <c r="QPW6" s="447"/>
      <c r="QPX6" s="447"/>
      <c r="QPY6" s="447"/>
      <c r="QPZ6" s="447"/>
      <c r="QQA6" s="447"/>
      <c r="QQB6" s="447"/>
      <c r="QQC6" s="447"/>
      <c r="QQD6" s="447"/>
      <c r="QQE6" s="447"/>
      <c r="QQF6" s="447"/>
      <c r="QQG6" s="447"/>
      <c r="QQH6" s="447"/>
      <c r="QQI6" s="447"/>
      <c r="QQJ6" s="447"/>
      <c r="QQK6" s="447"/>
      <c r="QQL6" s="447"/>
      <c r="QQM6" s="447"/>
      <c r="QQN6" s="447"/>
      <c r="QQO6" s="447"/>
      <c r="QQP6" s="447"/>
      <c r="QQQ6" s="447"/>
      <c r="QQR6" s="447"/>
      <c r="QQS6" s="447"/>
      <c r="QQT6" s="447"/>
      <c r="QQU6" s="447"/>
      <c r="QQV6" s="447"/>
      <c r="QQW6" s="447"/>
      <c r="QQX6" s="447"/>
      <c r="QQY6" s="447"/>
      <c r="QQZ6" s="447"/>
      <c r="QRA6" s="447"/>
      <c r="QRB6" s="447"/>
      <c r="QRC6" s="447"/>
      <c r="QRD6" s="447"/>
      <c r="QRE6" s="447"/>
      <c r="QRF6" s="447"/>
      <c r="QRG6" s="447"/>
      <c r="QRH6" s="447"/>
      <c r="QRI6" s="447"/>
      <c r="QRJ6" s="447"/>
      <c r="QRK6" s="447"/>
      <c r="QRL6" s="447"/>
      <c r="QRM6" s="447"/>
      <c r="QRN6" s="447"/>
      <c r="QRO6" s="447"/>
      <c r="QRP6" s="447"/>
      <c r="QRQ6" s="447"/>
      <c r="QRR6" s="447"/>
      <c r="QRS6" s="447"/>
      <c r="QRT6" s="447"/>
      <c r="QRU6" s="447"/>
      <c r="QRV6" s="447"/>
      <c r="QRW6" s="447"/>
      <c r="QRX6" s="447"/>
      <c r="QRY6" s="447"/>
      <c r="QRZ6" s="447"/>
      <c r="QSA6" s="447"/>
      <c r="QSB6" s="447"/>
      <c r="QSC6" s="447"/>
      <c r="QSD6" s="447"/>
      <c r="QSE6" s="447"/>
      <c r="QSF6" s="447"/>
      <c r="QSG6" s="447"/>
      <c r="QSH6" s="447"/>
      <c r="QSI6" s="447"/>
      <c r="QSJ6" s="447"/>
      <c r="QSK6" s="447"/>
      <c r="QSL6" s="447"/>
      <c r="QSM6" s="447"/>
      <c r="QSN6" s="447"/>
      <c r="QSO6" s="447"/>
      <c r="QSP6" s="447"/>
      <c r="QSQ6" s="447"/>
      <c r="QSR6" s="447"/>
      <c r="QSS6" s="447"/>
      <c r="QST6" s="447"/>
      <c r="QSU6" s="447"/>
      <c r="QSV6" s="447"/>
      <c r="QSW6" s="447"/>
      <c r="QSX6" s="447"/>
      <c r="QSY6" s="447"/>
      <c r="QSZ6" s="447"/>
      <c r="QTA6" s="447"/>
      <c r="QTB6" s="447"/>
      <c r="QTC6" s="447"/>
      <c r="QTD6" s="447"/>
      <c r="QTE6" s="447"/>
      <c r="QTF6" s="447"/>
      <c r="QTG6" s="447"/>
      <c r="QTH6" s="447"/>
      <c r="QTI6" s="447"/>
      <c r="QTJ6" s="447"/>
      <c r="QTK6" s="447"/>
      <c r="QTL6" s="447"/>
      <c r="QTM6" s="447"/>
      <c r="QTN6" s="447"/>
      <c r="QTO6" s="447"/>
      <c r="QTP6" s="447"/>
      <c r="QTQ6" s="447"/>
      <c r="QTR6" s="447"/>
      <c r="QTS6" s="447"/>
      <c r="QTT6" s="447"/>
      <c r="QTU6" s="447"/>
      <c r="QTV6" s="447"/>
      <c r="QTW6" s="447"/>
      <c r="QTX6" s="447"/>
      <c r="QTY6" s="447"/>
      <c r="QTZ6" s="447"/>
      <c r="QUA6" s="447"/>
      <c r="QUB6" s="447"/>
      <c r="QUC6" s="447"/>
      <c r="QUD6" s="447"/>
      <c r="QUE6" s="447"/>
      <c r="QUF6" s="447"/>
      <c r="QUG6" s="447"/>
      <c r="QUH6" s="447"/>
      <c r="QUI6" s="447"/>
      <c r="QUJ6" s="447"/>
      <c r="QUK6" s="447"/>
      <c r="QUL6" s="447"/>
      <c r="QUM6" s="447"/>
      <c r="QUN6" s="447"/>
      <c r="QUO6" s="447"/>
      <c r="QUP6" s="447"/>
      <c r="QUQ6" s="447"/>
      <c r="QUR6" s="447"/>
      <c r="QUS6" s="447"/>
      <c r="QUT6" s="447"/>
      <c r="QUU6" s="447"/>
      <c r="QUV6" s="447"/>
      <c r="QUW6" s="447"/>
      <c r="QUX6" s="447"/>
      <c r="QUY6" s="447"/>
      <c r="QUZ6" s="447"/>
      <c r="QVA6" s="447"/>
      <c r="QVB6" s="447"/>
      <c r="QVC6" s="447"/>
      <c r="QVD6" s="447"/>
      <c r="QVE6" s="447"/>
      <c r="QVF6" s="447"/>
      <c r="QVG6" s="447"/>
      <c r="QVH6" s="447"/>
      <c r="QVI6" s="447"/>
      <c r="QVJ6" s="447"/>
      <c r="QVK6" s="447"/>
      <c r="QVL6" s="447"/>
      <c r="QVM6" s="447"/>
      <c r="QVN6" s="447"/>
      <c r="QVO6" s="447"/>
      <c r="QVP6" s="447"/>
      <c r="QVQ6" s="447"/>
      <c r="QVR6" s="447"/>
      <c r="QVS6" s="447"/>
      <c r="QVT6" s="447"/>
      <c r="QVU6" s="447"/>
      <c r="QVV6" s="447"/>
      <c r="QVW6" s="447"/>
      <c r="QVX6" s="447"/>
      <c r="QVY6" s="447"/>
      <c r="QVZ6" s="447"/>
      <c r="QWA6" s="447"/>
      <c r="QWB6" s="447"/>
      <c r="QWC6" s="447"/>
      <c r="QWD6" s="447"/>
      <c r="QWE6" s="447"/>
      <c r="QWF6" s="447"/>
      <c r="QWG6" s="447"/>
      <c r="QWH6" s="447"/>
      <c r="QWI6" s="447"/>
      <c r="QWJ6" s="447"/>
      <c r="QWK6" s="447"/>
      <c r="QWL6" s="447"/>
      <c r="QWM6" s="447"/>
      <c r="QWN6" s="447"/>
      <c r="QWO6" s="447"/>
      <c r="QWP6" s="447"/>
      <c r="QWQ6" s="447"/>
      <c r="QWR6" s="447"/>
      <c r="QWS6" s="447"/>
      <c r="QWT6" s="447"/>
      <c r="QWU6" s="447"/>
      <c r="QWV6" s="447"/>
      <c r="QWW6" s="447"/>
      <c r="QWX6" s="447"/>
      <c r="QWY6" s="447"/>
      <c r="QWZ6" s="447"/>
      <c r="QXA6" s="447"/>
      <c r="QXB6" s="447"/>
      <c r="QXC6" s="447"/>
      <c r="QXD6" s="447"/>
      <c r="QXE6" s="447"/>
      <c r="QXF6" s="447"/>
      <c r="QXG6" s="447"/>
      <c r="QXH6" s="447"/>
      <c r="QXI6" s="447"/>
      <c r="QXJ6" s="447"/>
      <c r="QXK6" s="447"/>
      <c r="QXL6" s="447"/>
      <c r="QXM6" s="447"/>
      <c r="QXN6" s="447"/>
      <c r="QXO6" s="447"/>
      <c r="QXP6" s="447"/>
      <c r="QXQ6" s="447"/>
      <c r="QXR6" s="447"/>
      <c r="QXS6" s="447"/>
      <c r="QXT6" s="447"/>
      <c r="QXU6" s="447"/>
      <c r="QXV6" s="447"/>
      <c r="QXW6" s="447"/>
      <c r="QXX6" s="447"/>
      <c r="QXY6" s="447"/>
      <c r="QXZ6" s="447"/>
      <c r="QYA6" s="447"/>
      <c r="QYB6" s="447"/>
      <c r="QYC6" s="447"/>
      <c r="QYD6" s="447"/>
      <c r="QYE6" s="447"/>
      <c r="QYF6" s="447"/>
      <c r="QYG6" s="447"/>
      <c r="QYH6" s="447"/>
      <c r="QYI6" s="447"/>
      <c r="QYJ6" s="447"/>
      <c r="QYK6" s="447"/>
      <c r="QYL6" s="447"/>
      <c r="QYM6" s="447"/>
      <c r="QYN6" s="447"/>
      <c r="QYO6" s="447"/>
      <c r="QYP6" s="447"/>
      <c r="QYQ6" s="447"/>
      <c r="QYR6" s="447"/>
      <c r="QYS6" s="447"/>
      <c r="QYT6" s="447"/>
      <c r="QYU6" s="447"/>
      <c r="QYV6" s="447"/>
      <c r="QYW6" s="447"/>
      <c r="QYX6" s="447"/>
      <c r="QYY6" s="447"/>
      <c r="QYZ6" s="447"/>
      <c r="QZA6" s="447"/>
      <c r="QZB6" s="447"/>
      <c r="QZC6" s="447"/>
      <c r="QZD6" s="447"/>
      <c r="QZE6" s="447"/>
      <c r="QZF6" s="447"/>
      <c r="QZG6" s="447"/>
      <c r="QZH6" s="447"/>
      <c r="QZI6" s="447"/>
      <c r="QZJ6" s="447"/>
      <c r="QZK6" s="447"/>
      <c r="QZL6" s="447"/>
      <c r="QZM6" s="447"/>
      <c r="QZN6" s="447"/>
      <c r="QZO6" s="447"/>
      <c r="QZP6" s="447"/>
      <c r="QZQ6" s="447"/>
      <c r="QZR6" s="447"/>
      <c r="QZS6" s="447"/>
      <c r="QZT6" s="447"/>
      <c r="QZU6" s="447"/>
      <c r="QZV6" s="447"/>
      <c r="QZW6" s="447"/>
      <c r="QZX6" s="447"/>
      <c r="QZY6" s="447"/>
      <c r="QZZ6" s="447"/>
      <c r="RAA6" s="447"/>
      <c r="RAB6" s="447"/>
      <c r="RAC6" s="447"/>
      <c r="RAD6" s="447"/>
      <c r="RAE6" s="447"/>
      <c r="RAF6" s="447"/>
      <c r="RAG6" s="447"/>
      <c r="RAH6" s="447"/>
      <c r="RAI6" s="447"/>
      <c r="RAJ6" s="447"/>
      <c r="RAK6" s="447"/>
      <c r="RAL6" s="447"/>
      <c r="RAM6" s="447"/>
      <c r="RAN6" s="447"/>
      <c r="RAO6" s="447"/>
      <c r="RAP6" s="447"/>
      <c r="RAQ6" s="447"/>
      <c r="RAR6" s="447"/>
      <c r="RAS6" s="447"/>
      <c r="RAT6" s="447"/>
      <c r="RAU6" s="447"/>
      <c r="RAV6" s="447"/>
      <c r="RAW6" s="447"/>
      <c r="RAX6" s="447"/>
      <c r="RAY6" s="447"/>
      <c r="RAZ6" s="447"/>
      <c r="RBA6" s="447"/>
      <c r="RBB6" s="447"/>
      <c r="RBC6" s="447"/>
      <c r="RBD6" s="447"/>
      <c r="RBE6" s="447"/>
      <c r="RBF6" s="447"/>
      <c r="RBG6" s="447"/>
      <c r="RBH6" s="447"/>
      <c r="RBI6" s="447"/>
      <c r="RBJ6" s="447"/>
      <c r="RBK6" s="447"/>
      <c r="RBL6" s="447"/>
      <c r="RBM6" s="447"/>
      <c r="RBN6" s="447"/>
      <c r="RBO6" s="447"/>
      <c r="RBP6" s="447"/>
      <c r="RBQ6" s="447"/>
      <c r="RBR6" s="447"/>
      <c r="RBS6" s="447"/>
      <c r="RBT6" s="447"/>
      <c r="RBU6" s="447"/>
      <c r="RBV6" s="447"/>
      <c r="RBW6" s="447"/>
      <c r="RBX6" s="447"/>
      <c r="RBY6" s="447"/>
      <c r="RBZ6" s="447"/>
      <c r="RCA6" s="447"/>
      <c r="RCB6" s="447"/>
      <c r="RCC6" s="447"/>
      <c r="RCD6" s="447"/>
      <c r="RCE6" s="447"/>
      <c r="RCF6" s="447"/>
      <c r="RCG6" s="447"/>
      <c r="RCH6" s="447"/>
      <c r="RCI6" s="447"/>
      <c r="RCJ6" s="447"/>
      <c r="RCK6" s="447"/>
      <c r="RCL6" s="447"/>
      <c r="RCM6" s="447"/>
      <c r="RCN6" s="447"/>
      <c r="RCO6" s="447"/>
      <c r="RCP6" s="447"/>
      <c r="RCQ6" s="447"/>
      <c r="RCR6" s="447"/>
      <c r="RCS6" s="447"/>
      <c r="RCT6" s="447"/>
      <c r="RCU6" s="447"/>
      <c r="RCV6" s="447"/>
      <c r="RCW6" s="447"/>
      <c r="RCX6" s="447"/>
      <c r="RCY6" s="447"/>
      <c r="RCZ6" s="447"/>
      <c r="RDA6" s="447"/>
      <c r="RDB6" s="447"/>
      <c r="RDC6" s="447"/>
      <c r="RDD6" s="447"/>
      <c r="RDE6" s="447"/>
      <c r="RDF6" s="447"/>
      <c r="RDG6" s="447"/>
      <c r="RDH6" s="447"/>
      <c r="RDI6" s="447"/>
      <c r="RDJ6" s="447"/>
      <c r="RDK6" s="447"/>
      <c r="RDL6" s="447"/>
      <c r="RDM6" s="447"/>
      <c r="RDN6" s="447"/>
      <c r="RDO6" s="447"/>
      <c r="RDP6" s="447"/>
      <c r="RDQ6" s="447"/>
      <c r="RDR6" s="447"/>
      <c r="RDS6" s="447"/>
      <c r="RDT6" s="447"/>
      <c r="RDU6" s="447"/>
      <c r="RDV6" s="447"/>
      <c r="RDW6" s="447"/>
      <c r="RDX6" s="447"/>
      <c r="RDY6" s="447"/>
      <c r="RDZ6" s="447"/>
      <c r="REA6" s="447"/>
      <c r="REB6" s="447"/>
      <c r="REC6" s="447"/>
      <c r="RED6" s="447"/>
      <c r="REE6" s="447"/>
      <c r="REF6" s="447"/>
      <c r="REG6" s="447"/>
      <c r="REH6" s="447"/>
      <c r="REI6" s="447"/>
      <c r="REJ6" s="447"/>
      <c r="REK6" s="447"/>
      <c r="REL6" s="447"/>
      <c r="REM6" s="447"/>
      <c r="REN6" s="447"/>
      <c r="REO6" s="447"/>
      <c r="REP6" s="447"/>
      <c r="REQ6" s="447"/>
      <c r="RER6" s="447"/>
      <c r="RES6" s="447"/>
      <c r="RET6" s="447"/>
      <c r="REU6" s="447"/>
      <c r="REV6" s="447"/>
      <c r="REW6" s="447"/>
      <c r="REX6" s="447"/>
      <c r="REY6" s="447"/>
      <c r="REZ6" s="447"/>
      <c r="RFA6" s="447"/>
      <c r="RFB6" s="447"/>
      <c r="RFC6" s="447"/>
      <c r="RFD6" s="447"/>
      <c r="RFE6" s="447"/>
      <c r="RFF6" s="447"/>
      <c r="RFG6" s="447"/>
      <c r="RFH6" s="447"/>
      <c r="RFI6" s="447"/>
      <c r="RFJ6" s="447"/>
      <c r="RFK6" s="447"/>
      <c r="RFL6" s="447"/>
      <c r="RFM6" s="447"/>
      <c r="RFN6" s="447"/>
      <c r="RFO6" s="447"/>
      <c r="RFP6" s="447"/>
      <c r="RFQ6" s="447"/>
      <c r="RFR6" s="447"/>
      <c r="RFS6" s="447"/>
      <c r="RFT6" s="447"/>
      <c r="RFU6" s="447"/>
      <c r="RFV6" s="447"/>
      <c r="RFW6" s="447"/>
      <c r="RFX6" s="447"/>
      <c r="RFY6" s="447"/>
      <c r="RFZ6" s="447"/>
      <c r="RGA6" s="447"/>
      <c r="RGB6" s="447"/>
      <c r="RGC6" s="447"/>
      <c r="RGD6" s="447"/>
      <c r="RGE6" s="447"/>
      <c r="RGF6" s="447"/>
      <c r="RGG6" s="447"/>
      <c r="RGH6" s="447"/>
      <c r="RGI6" s="447"/>
      <c r="RGJ6" s="447"/>
      <c r="RGK6" s="447"/>
      <c r="RGL6" s="447"/>
      <c r="RGM6" s="447"/>
      <c r="RGN6" s="447"/>
      <c r="RGO6" s="447"/>
      <c r="RGP6" s="447"/>
      <c r="RGQ6" s="447"/>
      <c r="RGR6" s="447"/>
      <c r="RGS6" s="447"/>
      <c r="RGT6" s="447"/>
      <c r="RGU6" s="447"/>
      <c r="RGV6" s="447"/>
      <c r="RGW6" s="447"/>
      <c r="RGX6" s="447"/>
      <c r="RGY6" s="447"/>
      <c r="RGZ6" s="447"/>
      <c r="RHA6" s="447"/>
      <c r="RHB6" s="447"/>
      <c r="RHC6" s="447"/>
      <c r="RHD6" s="447"/>
      <c r="RHE6" s="447"/>
      <c r="RHF6" s="447"/>
      <c r="RHG6" s="447"/>
      <c r="RHH6" s="447"/>
      <c r="RHI6" s="447"/>
      <c r="RHJ6" s="447"/>
      <c r="RHK6" s="447"/>
      <c r="RHL6" s="447"/>
      <c r="RHM6" s="447"/>
      <c r="RHN6" s="447"/>
      <c r="RHO6" s="447"/>
      <c r="RHP6" s="447"/>
      <c r="RHQ6" s="447"/>
      <c r="RHR6" s="447"/>
      <c r="RHS6" s="447"/>
      <c r="RHT6" s="447"/>
      <c r="RHU6" s="447"/>
      <c r="RHV6" s="447"/>
      <c r="RHW6" s="447"/>
      <c r="RHX6" s="447"/>
      <c r="RHY6" s="447"/>
      <c r="RHZ6" s="447"/>
      <c r="RIA6" s="447"/>
      <c r="RIB6" s="447"/>
      <c r="RIC6" s="447"/>
      <c r="RID6" s="447"/>
      <c r="RIE6" s="447"/>
      <c r="RIF6" s="447"/>
      <c r="RIG6" s="447"/>
      <c r="RIH6" s="447"/>
      <c r="RII6" s="447"/>
      <c r="RIJ6" s="447"/>
      <c r="RIK6" s="447"/>
      <c r="RIL6" s="447"/>
      <c r="RIM6" s="447"/>
      <c r="RIN6" s="447"/>
      <c r="RIO6" s="447"/>
      <c r="RIP6" s="447"/>
      <c r="RIQ6" s="447"/>
      <c r="RIR6" s="447"/>
      <c r="RIS6" s="447"/>
      <c r="RIT6" s="447"/>
      <c r="RIU6" s="447"/>
      <c r="RIV6" s="447"/>
      <c r="RIW6" s="447"/>
      <c r="RIX6" s="447"/>
      <c r="RIY6" s="447"/>
      <c r="RIZ6" s="447"/>
      <c r="RJA6" s="447"/>
      <c r="RJB6" s="447"/>
      <c r="RJC6" s="447"/>
      <c r="RJD6" s="447"/>
      <c r="RJE6" s="447"/>
      <c r="RJF6" s="447"/>
      <c r="RJG6" s="447"/>
      <c r="RJH6" s="447"/>
      <c r="RJI6" s="447"/>
      <c r="RJJ6" s="447"/>
      <c r="RJK6" s="447"/>
      <c r="RJL6" s="447"/>
      <c r="RJM6" s="447"/>
      <c r="RJN6" s="447"/>
      <c r="RJO6" s="447"/>
      <c r="RJP6" s="447"/>
      <c r="RJQ6" s="447"/>
      <c r="RJR6" s="447"/>
      <c r="RJS6" s="447"/>
      <c r="RJT6" s="447"/>
      <c r="RJU6" s="447"/>
      <c r="RJV6" s="447"/>
      <c r="RJW6" s="447"/>
      <c r="RJX6" s="447"/>
      <c r="RJY6" s="447"/>
      <c r="RJZ6" s="447"/>
      <c r="RKA6" s="447"/>
      <c r="RKB6" s="447"/>
      <c r="RKC6" s="447"/>
      <c r="RKD6" s="447"/>
      <c r="RKE6" s="447"/>
      <c r="RKF6" s="447"/>
      <c r="RKG6" s="447"/>
      <c r="RKH6" s="447"/>
      <c r="RKI6" s="447"/>
      <c r="RKJ6" s="447"/>
      <c r="RKK6" s="447"/>
      <c r="RKL6" s="447"/>
      <c r="RKM6" s="447"/>
      <c r="RKN6" s="447"/>
      <c r="RKO6" s="447"/>
      <c r="RKP6" s="447"/>
      <c r="RKQ6" s="447"/>
      <c r="RKR6" s="447"/>
      <c r="RKS6" s="447"/>
      <c r="RKT6" s="447"/>
      <c r="RKU6" s="447"/>
      <c r="RKV6" s="447"/>
      <c r="RKW6" s="447"/>
      <c r="RKX6" s="447"/>
      <c r="RKY6" s="447"/>
      <c r="RKZ6" s="447"/>
      <c r="RLA6" s="447"/>
      <c r="RLB6" s="447"/>
      <c r="RLC6" s="447"/>
      <c r="RLD6" s="447"/>
      <c r="RLE6" s="447"/>
      <c r="RLF6" s="447"/>
      <c r="RLG6" s="447"/>
      <c r="RLH6" s="447"/>
      <c r="RLI6" s="447"/>
      <c r="RLJ6" s="447"/>
      <c r="RLK6" s="447"/>
      <c r="RLL6" s="447"/>
      <c r="RLM6" s="447"/>
      <c r="RLN6" s="447"/>
      <c r="RLO6" s="447"/>
      <c r="RLP6" s="447"/>
      <c r="RLQ6" s="447"/>
      <c r="RLR6" s="447"/>
      <c r="RLS6" s="447"/>
      <c r="RLT6" s="447"/>
      <c r="RLU6" s="447"/>
      <c r="RLV6" s="447"/>
      <c r="RLW6" s="447"/>
      <c r="RLX6" s="447"/>
      <c r="RLY6" s="447"/>
      <c r="RLZ6" s="447"/>
      <c r="RMA6" s="447"/>
      <c r="RMB6" s="447"/>
      <c r="RMC6" s="447"/>
      <c r="RMD6" s="447"/>
      <c r="RME6" s="447"/>
      <c r="RMF6" s="447"/>
      <c r="RMG6" s="447"/>
      <c r="RMH6" s="447"/>
      <c r="RMI6" s="447"/>
      <c r="RMJ6" s="447"/>
      <c r="RMK6" s="447"/>
      <c r="RML6" s="447"/>
      <c r="RMM6" s="447"/>
      <c r="RMN6" s="447"/>
      <c r="RMO6" s="447"/>
      <c r="RMP6" s="447"/>
      <c r="RMQ6" s="447"/>
      <c r="RMR6" s="447"/>
      <c r="RMS6" s="447"/>
      <c r="RMT6" s="447"/>
      <c r="RMU6" s="447"/>
      <c r="RMV6" s="447"/>
      <c r="RMW6" s="447"/>
      <c r="RMX6" s="447"/>
      <c r="RMY6" s="447"/>
      <c r="RMZ6" s="447"/>
      <c r="RNA6" s="447"/>
      <c r="RNB6" s="447"/>
      <c r="RNC6" s="447"/>
      <c r="RND6" s="447"/>
      <c r="RNE6" s="447"/>
      <c r="RNF6" s="447"/>
      <c r="RNG6" s="447"/>
      <c r="RNH6" s="447"/>
      <c r="RNI6" s="447"/>
      <c r="RNJ6" s="447"/>
      <c r="RNK6" s="447"/>
      <c r="RNL6" s="447"/>
      <c r="RNM6" s="447"/>
      <c r="RNN6" s="447"/>
      <c r="RNO6" s="447"/>
      <c r="RNP6" s="447"/>
      <c r="RNQ6" s="447"/>
      <c r="RNR6" s="447"/>
      <c r="RNS6" s="447"/>
      <c r="RNT6" s="447"/>
      <c r="RNU6" s="447"/>
      <c r="RNV6" s="447"/>
      <c r="RNW6" s="447"/>
      <c r="RNX6" s="447"/>
      <c r="RNY6" s="447"/>
      <c r="RNZ6" s="447"/>
      <c r="ROA6" s="447"/>
      <c r="ROB6" s="447"/>
      <c r="ROC6" s="447"/>
      <c r="ROD6" s="447"/>
      <c r="ROE6" s="447"/>
      <c r="ROF6" s="447"/>
      <c r="ROG6" s="447"/>
      <c r="ROH6" s="447"/>
      <c r="ROI6" s="447"/>
      <c r="ROJ6" s="447"/>
      <c r="ROK6" s="447"/>
      <c r="ROL6" s="447"/>
      <c r="ROM6" s="447"/>
      <c r="RON6" s="447"/>
      <c r="ROO6" s="447"/>
      <c r="ROP6" s="447"/>
      <c r="ROQ6" s="447"/>
      <c r="ROR6" s="447"/>
      <c r="ROS6" s="447"/>
      <c r="ROT6" s="447"/>
      <c r="ROU6" s="447"/>
      <c r="ROV6" s="447"/>
      <c r="ROW6" s="447"/>
      <c r="ROX6" s="447"/>
      <c r="ROY6" s="447"/>
      <c r="ROZ6" s="447"/>
      <c r="RPA6" s="447"/>
      <c r="RPB6" s="447"/>
      <c r="RPC6" s="447"/>
      <c r="RPD6" s="447"/>
      <c r="RPE6" s="447"/>
      <c r="RPF6" s="447"/>
      <c r="RPG6" s="447"/>
      <c r="RPH6" s="447"/>
      <c r="RPI6" s="447"/>
      <c r="RPJ6" s="447"/>
      <c r="RPK6" s="447"/>
      <c r="RPL6" s="447"/>
      <c r="RPM6" s="447"/>
      <c r="RPN6" s="447"/>
      <c r="RPO6" s="447"/>
      <c r="RPP6" s="447"/>
      <c r="RPQ6" s="447"/>
      <c r="RPR6" s="447"/>
      <c r="RPS6" s="447"/>
      <c r="RPT6" s="447"/>
      <c r="RPU6" s="447"/>
      <c r="RPV6" s="447"/>
      <c r="RPW6" s="447"/>
      <c r="RPX6" s="447"/>
      <c r="RPY6" s="447"/>
      <c r="RPZ6" s="447"/>
      <c r="RQA6" s="447"/>
      <c r="RQB6" s="447"/>
      <c r="RQC6" s="447"/>
      <c r="RQD6" s="447"/>
      <c r="RQE6" s="447"/>
      <c r="RQF6" s="447"/>
      <c r="RQG6" s="447"/>
      <c r="RQH6" s="447"/>
      <c r="RQI6" s="447"/>
      <c r="RQJ6" s="447"/>
      <c r="RQK6" s="447"/>
      <c r="RQL6" s="447"/>
      <c r="RQM6" s="447"/>
      <c r="RQN6" s="447"/>
      <c r="RQO6" s="447"/>
      <c r="RQP6" s="447"/>
      <c r="RQQ6" s="447"/>
      <c r="RQR6" s="447"/>
      <c r="RQS6" s="447"/>
      <c r="RQT6" s="447"/>
      <c r="RQU6" s="447"/>
      <c r="RQV6" s="447"/>
      <c r="RQW6" s="447"/>
      <c r="RQX6" s="447"/>
      <c r="RQY6" s="447"/>
      <c r="RQZ6" s="447"/>
      <c r="RRA6" s="447"/>
      <c r="RRB6" s="447"/>
      <c r="RRC6" s="447"/>
      <c r="RRD6" s="447"/>
      <c r="RRE6" s="447"/>
      <c r="RRF6" s="447"/>
      <c r="RRG6" s="447"/>
      <c r="RRH6" s="447"/>
      <c r="RRI6" s="447"/>
      <c r="RRJ6" s="447"/>
      <c r="RRK6" s="447"/>
      <c r="RRL6" s="447"/>
      <c r="RRM6" s="447"/>
      <c r="RRN6" s="447"/>
      <c r="RRO6" s="447"/>
      <c r="RRP6" s="447"/>
      <c r="RRQ6" s="447"/>
      <c r="RRR6" s="447"/>
      <c r="RRS6" s="447"/>
      <c r="RRT6" s="447"/>
      <c r="RRU6" s="447"/>
      <c r="RRV6" s="447"/>
      <c r="RRW6" s="447"/>
      <c r="RRX6" s="447"/>
      <c r="RRY6" s="447"/>
      <c r="RRZ6" s="447"/>
      <c r="RSA6" s="447"/>
      <c r="RSB6" s="447"/>
      <c r="RSC6" s="447"/>
      <c r="RSD6" s="447"/>
      <c r="RSE6" s="447"/>
      <c r="RSF6" s="447"/>
      <c r="RSG6" s="447"/>
      <c r="RSH6" s="447"/>
      <c r="RSI6" s="447"/>
      <c r="RSJ6" s="447"/>
      <c r="RSK6" s="447"/>
      <c r="RSL6" s="447"/>
      <c r="RSM6" s="447"/>
      <c r="RSN6" s="447"/>
      <c r="RSO6" s="447"/>
      <c r="RSP6" s="447"/>
      <c r="RSQ6" s="447"/>
      <c r="RSR6" s="447"/>
      <c r="RSS6" s="447"/>
      <c r="RST6" s="447"/>
      <c r="RSU6" s="447"/>
      <c r="RSV6" s="447"/>
      <c r="RSW6" s="447"/>
      <c r="RSX6" s="447"/>
      <c r="RSY6" s="447"/>
      <c r="RSZ6" s="447"/>
      <c r="RTA6" s="447"/>
      <c r="RTB6" s="447"/>
      <c r="RTC6" s="447"/>
      <c r="RTD6" s="447"/>
      <c r="RTE6" s="447"/>
      <c r="RTF6" s="447"/>
      <c r="RTG6" s="447"/>
      <c r="RTH6" s="447"/>
      <c r="RTI6" s="447"/>
      <c r="RTJ6" s="447"/>
      <c r="RTK6" s="447"/>
      <c r="RTL6" s="447"/>
      <c r="RTM6" s="447"/>
      <c r="RTN6" s="447"/>
      <c r="RTO6" s="447"/>
      <c r="RTP6" s="447"/>
      <c r="RTQ6" s="447"/>
      <c r="RTR6" s="447"/>
      <c r="RTS6" s="447"/>
      <c r="RTT6" s="447"/>
      <c r="RTU6" s="447"/>
      <c r="RTV6" s="447"/>
      <c r="RTW6" s="447"/>
      <c r="RTX6" s="447"/>
      <c r="RTY6" s="447"/>
      <c r="RTZ6" s="447"/>
      <c r="RUA6" s="447"/>
      <c r="RUB6" s="447"/>
      <c r="RUC6" s="447"/>
      <c r="RUD6" s="447"/>
      <c r="RUE6" s="447"/>
      <c r="RUF6" s="447"/>
      <c r="RUG6" s="447"/>
      <c r="RUH6" s="447"/>
      <c r="RUI6" s="447"/>
      <c r="RUJ6" s="447"/>
      <c r="RUK6" s="447"/>
      <c r="RUL6" s="447"/>
      <c r="RUM6" s="447"/>
      <c r="RUN6" s="447"/>
      <c r="RUO6" s="447"/>
      <c r="RUP6" s="447"/>
      <c r="RUQ6" s="447"/>
      <c r="RUR6" s="447"/>
      <c r="RUS6" s="447"/>
      <c r="RUT6" s="447"/>
      <c r="RUU6" s="447"/>
      <c r="RUV6" s="447"/>
      <c r="RUW6" s="447"/>
      <c r="RUX6" s="447"/>
      <c r="RUY6" s="447"/>
      <c r="RUZ6" s="447"/>
      <c r="RVA6" s="447"/>
      <c r="RVB6" s="447"/>
      <c r="RVC6" s="447"/>
      <c r="RVD6" s="447"/>
      <c r="RVE6" s="447"/>
      <c r="RVF6" s="447"/>
      <c r="RVG6" s="447"/>
      <c r="RVH6" s="447"/>
      <c r="RVI6" s="447"/>
      <c r="RVJ6" s="447"/>
      <c r="RVK6" s="447"/>
      <c r="RVL6" s="447"/>
      <c r="RVM6" s="447"/>
      <c r="RVN6" s="447"/>
      <c r="RVO6" s="447"/>
      <c r="RVP6" s="447"/>
      <c r="RVQ6" s="447"/>
      <c r="RVR6" s="447"/>
      <c r="RVS6" s="447"/>
      <c r="RVT6" s="447"/>
      <c r="RVU6" s="447"/>
      <c r="RVV6" s="447"/>
      <c r="RVW6" s="447"/>
      <c r="RVX6" s="447"/>
      <c r="RVY6" s="447"/>
      <c r="RVZ6" s="447"/>
      <c r="RWA6" s="447"/>
      <c r="RWB6" s="447"/>
      <c r="RWC6" s="447"/>
      <c r="RWD6" s="447"/>
      <c r="RWE6" s="447"/>
      <c r="RWF6" s="447"/>
      <c r="RWG6" s="447"/>
      <c r="RWH6" s="447"/>
      <c r="RWI6" s="447"/>
      <c r="RWJ6" s="447"/>
      <c r="RWK6" s="447"/>
      <c r="RWL6" s="447"/>
      <c r="RWM6" s="447"/>
      <c r="RWN6" s="447"/>
      <c r="RWO6" s="447"/>
      <c r="RWP6" s="447"/>
      <c r="RWQ6" s="447"/>
      <c r="RWR6" s="447"/>
      <c r="RWS6" s="447"/>
      <c r="RWT6" s="447"/>
      <c r="RWU6" s="447"/>
      <c r="RWV6" s="447"/>
      <c r="RWW6" s="447"/>
      <c r="RWX6" s="447"/>
      <c r="RWY6" s="447"/>
      <c r="RWZ6" s="447"/>
      <c r="RXA6" s="447"/>
      <c r="RXB6" s="447"/>
      <c r="RXC6" s="447"/>
      <c r="RXD6" s="447"/>
      <c r="RXE6" s="447"/>
      <c r="RXF6" s="447"/>
      <c r="RXG6" s="447"/>
      <c r="RXH6" s="447"/>
      <c r="RXI6" s="447"/>
      <c r="RXJ6" s="447"/>
      <c r="RXK6" s="447"/>
      <c r="RXL6" s="447"/>
      <c r="RXM6" s="447"/>
      <c r="RXN6" s="447"/>
      <c r="RXO6" s="447"/>
      <c r="RXP6" s="447"/>
      <c r="RXQ6" s="447"/>
      <c r="RXR6" s="447"/>
      <c r="RXS6" s="447"/>
      <c r="RXT6" s="447"/>
      <c r="RXU6" s="447"/>
      <c r="RXV6" s="447"/>
      <c r="RXW6" s="447"/>
      <c r="RXX6" s="447"/>
      <c r="RXY6" s="447"/>
      <c r="RXZ6" s="447"/>
      <c r="RYA6" s="447"/>
      <c r="RYB6" s="447"/>
      <c r="RYC6" s="447"/>
      <c r="RYD6" s="447"/>
      <c r="RYE6" s="447"/>
      <c r="RYF6" s="447"/>
      <c r="RYG6" s="447"/>
      <c r="RYH6" s="447"/>
      <c r="RYI6" s="447"/>
      <c r="RYJ6" s="447"/>
      <c r="RYK6" s="447"/>
      <c r="RYL6" s="447"/>
      <c r="RYM6" s="447"/>
      <c r="RYN6" s="447"/>
      <c r="RYO6" s="447"/>
      <c r="RYP6" s="447"/>
      <c r="RYQ6" s="447"/>
      <c r="RYR6" s="447"/>
      <c r="RYS6" s="447"/>
      <c r="RYT6" s="447"/>
      <c r="RYU6" s="447"/>
      <c r="RYV6" s="447"/>
      <c r="RYW6" s="447"/>
      <c r="RYX6" s="447"/>
      <c r="RYY6" s="447"/>
      <c r="RYZ6" s="447"/>
      <c r="RZA6" s="447"/>
      <c r="RZB6" s="447"/>
      <c r="RZC6" s="447"/>
      <c r="RZD6" s="447"/>
      <c r="RZE6" s="447"/>
      <c r="RZF6" s="447"/>
      <c r="RZG6" s="447"/>
      <c r="RZH6" s="447"/>
      <c r="RZI6" s="447"/>
      <c r="RZJ6" s="447"/>
      <c r="RZK6" s="447"/>
      <c r="RZL6" s="447"/>
      <c r="RZM6" s="447"/>
      <c r="RZN6" s="447"/>
      <c r="RZO6" s="447"/>
      <c r="RZP6" s="447"/>
      <c r="RZQ6" s="447"/>
      <c r="RZR6" s="447"/>
      <c r="RZS6" s="447"/>
      <c r="RZT6" s="447"/>
      <c r="RZU6" s="447"/>
      <c r="RZV6" s="447"/>
      <c r="RZW6" s="447"/>
      <c r="RZX6" s="447"/>
      <c r="RZY6" s="447"/>
      <c r="RZZ6" s="447"/>
      <c r="SAA6" s="447"/>
      <c r="SAB6" s="447"/>
      <c r="SAC6" s="447"/>
      <c r="SAD6" s="447"/>
      <c r="SAE6" s="447"/>
      <c r="SAF6" s="447"/>
      <c r="SAG6" s="447"/>
      <c r="SAH6" s="447"/>
      <c r="SAI6" s="447"/>
      <c r="SAJ6" s="447"/>
      <c r="SAK6" s="447"/>
      <c r="SAL6" s="447"/>
      <c r="SAM6" s="447"/>
      <c r="SAN6" s="447"/>
      <c r="SAO6" s="447"/>
      <c r="SAP6" s="447"/>
      <c r="SAQ6" s="447"/>
      <c r="SAR6" s="447"/>
      <c r="SAS6" s="447"/>
      <c r="SAT6" s="447"/>
      <c r="SAU6" s="447"/>
      <c r="SAV6" s="447"/>
      <c r="SAW6" s="447"/>
      <c r="SAX6" s="447"/>
      <c r="SAY6" s="447"/>
      <c r="SAZ6" s="447"/>
      <c r="SBA6" s="447"/>
      <c r="SBB6" s="447"/>
      <c r="SBC6" s="447"/>
      <c r="SBD6" s="447"/>
      <c r="SBE6" s="447"/>
      <c r="SBF6" s="447"/>
      <c r="SBG6" s="447"/>
      <c r="SBH6" s="447"/>
      <c r="SBI6" s="447"/>
      <c r="SBJ6" s="447"/>
      <c r="SBK6" s="447"/>
      <c r="SBL6" s="447"/>
      <c r="SBM6" s="447"/>
      <c r="SBN6" s="447"/>
      <c r="SBO6" s="447"/>
      <c r="SBP6" s="447"/>
      <c r="SBQ6" s="447"/>
      <c r="SBR6" s="447"/>
      <c r="SBS6" s="447"/>
      <c r="SBT6" s="447"/>
      <c r="SBU6" s="447"/>
      <c r="SBV6" s="447"/>
      <c r="SBW6" s="447"/>
      <c r="SBX6" s="447"/>
      <c r="SBY6" s="447"/>
      <c r="SBZ6" s="447"/>
      <c r="SCA6" s="447"/>
      <c r="SCB6" s="447"/>
      <c r="SCC6" s="447"/>
      <c r="SCD6" s="447"/>
      <c r="SCE6" s="447"/>
      <c r="SCF6" s="447"/>
      <c r="SCG6" s="447"/>
      <c r="SCH6" s="447"/>
      <c r="SCI6" s="447"/>
      <c r="SCJ6" s="447"/>
      <c r="SCK6" s="447"/>
      <c r="SCL6" s="447"/>
      <c r="SCM6" s="447"/>
      <c r="SCN6" s="447"/>
      <c r="SCO6" s="447"/>
      <c r="SCP6" s="447"/>
      <c r="SCQ6" s="447"/>
      <c r="SCR6" s="447"/>
      <c r="SCS6" s="447"/>
      <c r="SCT6" s="447"/>
      <c r="SCU6" s="447"/>
      <c r="SCV6" s="447"/>
      <c r="SCW6" s="447"/>
      <c r="SCX6" s="447"/>
      <c r="SCY6" s="447"/>
      <c r="SCZ6" s="447"/>
      <c r="SDA6" s="447"/>
      <c r="SDB6" s="447"/>
      <c r="SDC6" s="447"/>
      <c r="SDD6" s="447"/>
      <c r="SDE6" s="447"/>
      <c r="SDF6" s="447"/>
      <c r="SDG6" s="447"/>
      <c r="SDH6" s="447"/>
      <c r="SDI6" s="447"/>
      <c r="SDJ6" s="447"/>
      <c r="SDK6" s="447"/>
      <c r="SDL6" s="447"/>
      <c r="SDM6" s="447"/>
      <c r="SDN6" s="447"/>
      <c r="SDO6" s="447"/>
      <c r="SDP6" s="447"/>
      <c r="SDQ6" s="447"/>
      <c r="SDR6" s="447"/>
      <c r="SDS6" s="447"/>
      <c r="SDT6" s="447"/>
      <c r="SDU6" s="447"/>
      <c r="SDV6" s="447"/>
      <c r="SDW6" s="447"/>
      <c r="SDX6" s="447"/>
      <c r="SDY6" s="447"/>
      <c r="SDZ6" s="447"/>
      <c r="SEA6" s="447"/>
      <c r="SEB6" s="447"/>
      <c r="SEC6" s="447"/>
      <c r="SED6" s="447"/>
      <c r="SEE6" s="447"/>
      <c r="SEF6" s="447"/>
      <c r="SEG6" s="447"/>
      <c r="SEH6" s="447"/>
      <c r="SEI6" s="447"/>
      <c r="SEJ6" s="447"/>
      <c r="SEK6" s="447"/>
      <c r="SEL6" s="447"/>
      <c r="SEM6" s="447"/>
      <c r="SEN6" s="447"/>
      <c r="SEO6" s="447"/>
      <c r="SEP6" s="447"/>
      <c r="SEQ6" s="447"/>
      <c r="SER6" s="447"/>
      <c r="SES6" s="447"/>
      <c r="SET6" s="447"/>
      <c r="SEU6" s="447"/>
      <c r="SEV6" s="447"/>
      <c r="SEW6" s="447"/>
      <c r="SEX6" s="447"/>
      <c r="SEY6" s="447"/>
      <c r="SEZ6" s="447"/>
      <c r="SFA6" s="447"/>
      <c r="SFB6" s="447"/>
      <c r="SFC6" s="447"/>
      <c r="SFD6" s="447"/>
      <c r="SFE6" s="447"/>
      <c r="SFF6" s="447"/>
      <c r="SFG6" s="447"/>
      <c r="SFH6" s="447"/>
      <c r="SFI6" s="447"/>
      <c r="SFJ6" s="447"/>
      <c r="SFK6" s="447"/>
      <c r="SFL6" s="447"/>
      <c r="SFM6" s="447"/>
      <c r="SFN6" s="447"/>
      <c r="SFO6" s="447"/>
      <c r="SFP6" s="447"/>
      <c r="SFQ6" s="447"/>
      <c r="SFR6" s="447"/>
      <c r="SFS6" s="447"/>
      <c r="SFT6" s="447"/>
      <c r="SFU6" s="447"/>
      <c r="SFV6" s="447"/>
      <c r="SFW6" s="447"/>
      <c r="SFX6" s="447"/>
      <c r="SFY6" s="447"/>
      <c r="SFZ6" s="447"/>
      <c r="SGA6" s="447"/>
      <c r="SGB6" s="447"/>
      <c r="SGC6" s="447"/>
      <c r="SGD6" s="447"/>
      <c r="SGE6" s="447"/>
      <c r="SGF6" s="447"/>
      <c r="SGG6" s="447"/>
      <c r="SGH6" s="447"/>
      <c r="SGI6" s="447"/>
      <c r="SGJ6" s="447"/>
      <c r="SGK6" s="447"/>
      <c r="SGL6" s="447"/>
      <c r="SGM6" s="447"/>
      <c r="SGN6" s="447"/>
      <c r="SGO6" s="447"/>
      <c r="SGP6" s="447"/>
      <c r="SGQ6" s="447"/>
      <c r="SGR6" s="447"/>
      <c r="SGS6" s="447"/>
      <c r="SGT6" s="447"/>
      <c r="SGU6" s="447"/>
      <c r="SGV6" s="447"/>
      <c r="SGW6" s="447"/>
      <c r="SGX6" s="447"/>
      <c r="SGY6" s="447"/>
      <c r="SGZ6" s="447"/>
      <c r="SHA6" s="447"/>
      <c r="SHB6" s="447"/>
      <c r="SHC6" s="447"/>
      <c r="SHD6" s="447"/>
      <c r="SHE6" s="447"/>
      <c r="SHF6" s="447"/>
      <c r="SHG6" s="447"/>
      <c r="SHH6" s="447"/>
      <c r="SHI6" s="447"/>
      <c r="SHJ6" s="447"/>
      <c r="SHK6" s="447"/>
      <c r="SHL6" s="447"/>
      <c r="SHM6" s="447"/>
      <c r="SHN6" s="447"/>
      <c r="SHO6" s="447"/>
      <c r="SHP6" s="447"/>
      <c r="SHQ6" s="447"/>
      <c r="SHR6" s="447"/>
      <c r="SHS6" s="447"/>
      <c r="SHT6" s="447"/>
      <c r="SHU6" s="447"/>
      <c r="SHV6" s="447"/>
      <c r="SHW6" s="447"/>
      <c r="SHX6" s="447"/>
      <c r="SHY6" s="447"/>
      <c r="SHZ6" s="447"/>
      <c r="SIA6" s="447"/>
      <c r="SIB6" s="447"/>
      <c r="SIC6" s="447"/>
      <c r="SID6" s="447"/>
      <c r="SIE6" s="447"/>
      <c r="SIF6" s="447"/>
      <c r="SIG6" s="447"/>
      <c r="SIH6" s="447"/>
      <c r="SII6" s="447"/>
      <c r="SIJ6" s="447"/>
      <c r="SIK6" s="447"/>
      <c r="SIL6" s="447"/>
      <c r="SIM6" s="447"/>
      <c r="SIN6" s="447"/>
      <c r="SIO6" s="447"/>
      <c r="SIP6" s="447"/>
      <c r="SIQ6" s="447"/>
      <c r="SIR6" s="447"/>
      <c r="SIS6" s="447"/>
      <c r="SIT6" s="447"/>
      <c r="SIU6" s="447"/>
      <c r="SIV6" s="447"/>
      <c r="SIW6" s="447"/>
      <c r="SIX6" s="447"/>
      <c r="SIY6" s="447"/>
      <c r="SIZ6" s="447"/>
      <c r="SJA6" s="447"/>
      <c r="SJB6" s="447"/>
      <c r="SJC6" s="447"/>
      <c r="SJD6" s="447"/>
      <c r="SJE6" s="447"/>
      <c r="SJF6" s="447"/>
      <c r="SJG6" s="447"/>
      <c r="SJH6" s="447"/>
      <c r="SJI6" s="447"/>
      <c r="SJJ6" s="447"/>
      <c r="SJK6" s="447"/>
      <c r="SJL6" s="447"/>
      <c r="SJM6" s="447"/>
      <c r="SJN6" s="447"/>
      <c r="SJO6" s="447"/>
      <c r="SJP6" s="447"/>
      <c r="SJQ6" s="447"/>
      <c r="SJR6" s="447"/>
      <c r="SJS6" s="447"/>
      <c r="SJT6" s="447"/>
      <c r="SJU6" s="447"/>
      <c r="SJV6" s="447"/>
      <c r="SJW6" s="447"/>
      <c r="SJX6" s="447"/>
      <c r="SJY6" s="447"/>
      <c r="SJZ6" s="447"/>
      <c r="SKA6" s="447"/>
      <c r="SKB6" s="447"/>
      <c r="SKC6" s="447"/>
      <c r="SKD6" s="447"/>
      <c r="SKE6" s="447"/>
      <c r="SKF6" s="447"/>
      <c r="SKG6" s="447"/>
      <c r="SKH6" s="447"/>
      <c r="SKI6" s="447"/>
      <c r="SKJ6" s="447"/>
      <c r="SKK6" s="447"/>
      <c r="SKL6" s="447"/>
      <c r="SKM6" s="447"/>
      <c r="SKN6" s="447"/>
      <c r="SKO6" s="447"/>
      <c r="SKP6" s="447"/>
      <c r="SKQ6" s="447"/>
      <c r="SKR6" s="447"/>
      <c r="SKS6" s="447"/>
      <c r="SKT6" s="447"/>
      <c r="SKU6" s="447"/>
      <c r="SKV6" s="447"/>
      <c r="SKW6" s="447"/>
      <c r="SKX6" s="447"/>
      <c r="SKY6" s="447"/>
      <c r="SKZ6" s="447"/>
      <c r="SLA6" s="447"/>
      <c r="SLB6" s="447"/>
      <c r="SLC6" s="447"/>
      <c r="SLD6" s="447"/>
      <c r="SLE6" s="447"/>
      <c r="SLF6" s="447"/>
      <c r="SLG6" s="447"/>
      <c r="SLH6" s="447"/>
      <c r="SLI6" s="447"/>
      <c r="SLJ6" s="447"/>
      <c r="SLK6" s="447"/>
      <c r="SLL6" s="447"/>
      <c r="SLM6" s="447"/>
      <c r="SLN6" s="447"/>
      <c r="SLO6" s="447"/>
      <c r="SLP6" s="447"/>
      <c r="SLQ6" s="447"/>
      <c r="SLR6" s="447"/>
      <c r="SLS6" s="447"/>
      <c r="SLT6" s="447"/>
      <c r="SLU6" s="447"/>
      <c r="SLV6" s="447"/>
      <c r="SLW6" s="447"/>
      <c r="SLX6" s="447"/>
      <c r="SLY6" s="447"/>
      <c r="SLZ6" s="447"/>
      <c r="SMA6" s="447"/>
      <c r="SMB6" s="447"/>
      <c r="SMC6" s="447"/>
      <c r="SMD6" s="447"/>
      <c r="SME6" s="447"/>
      <c r="SMF6" s="447"/>
      <c r="SMG6" s="447"/>
      <c r="SMH6" s="447"/>
      <c r="SMI6" s="447"/>
      <c r="SMJ6" s="447"/>
      <c r="SMK6" s="447"/>
      <c r="SML6" s="447"/>
      <c r="SMM6" s="447"/>
      <c r="SMN6" s="447"/>
      <c r="SMO6" s="447"/>
      <c r="SMP6" s="447"/>
      <c r="SMQ6" s="447"/>
      <c r="SMR6" s="447"/>
      <c r="SMS6" s="447"/>
      <c r="SMT6" s="447"/>
      <c r="SMU6" s="447"/>
      <c r="SMV6" s="447"/>
      <c r="SMW6" s="447"/>
      <c r="SMX6" s="447"/>
      <c r="SMY6" s="447"/>
      <c r="SMZ6" s="447"/>
      <c r="SNA6" s="447"/>
      <c r="SNB6" s="447"/>
      <c r="SNC6" s="447"/>
      <c r="SND6" s="447"/>
      <c r="SNE6" s="447"/>
      <c r="SNF6" s="447"/>
      <c r="SNG6" s="447"/>
      <c r="SNH6" s="447"/>
      <c r="SNI6" s="447"/>
      <c r="SNJ6" s="447"/>
      <c r="SNK6" s="447"/>
      <c r="SNL6" s="447"/>
      <c r="SNM6" s="447"/>
      <c r="SNN6" s="447"/>
      <c r="SNO6" s="447"/>
      <c r="SNP6" s="447"/>
      <c r="SNQ6" s="447"/>
      <c r="SNR6" s="447"/>
      <c r="SNS6" s="447"/>
      <c r="SNT6" s="447"/>
      <c r="SNU6" s="447"/>
      <c r="SNV6" s="447"/>
      <c r="SNW6" s="447"/>
      <c r="SNX6" s="447"/>
      <c r="SNY6" s="447"/>
      <c r="SNZ6" s="447"/>
      <c r="SOA6" s="447"/>
      <c r="SOB6" s="447"/>
      <c r="SOC6" s="447"/>
      <c r="SOD6" s="447"/>
      <c r="SOE6" s="447"/>
      <c r="SOF6" s="447"/>
      <c r="SOG6" s="447"/>
      <c r="SOH6" s="447"/>
      <c r="SOI6" s="447"/>
      <c r="SOJ6" s="447"/>
      <c r="SOK6" s="447"/>
      <c r="SOL6" s="447"/>
      <c r="SOM6" s="447"/>
      <c r="SON6" s="447"/>
      <c r="SOO6" s="447"/>
      <c r="SOP6" s="447"/>
      <c r="SOQ6" s="447"/>
      <c r="SOR6" s="447"/>
      <c r="SOS6" s="447"/>
      <c r="SOT6" s="447"/>
      <c r="SOU6" s="447"/>
      <c r="SOV6" s="447"/>
      <c r="SOW6" s="447"/>
      <c r="SOX6" s="447"/>
      <c r="SOY6" s="447"/>
      <c r="SOZ6" s="447"/>
      <c r="SPA6" s="447"/>
      <c r="SPB6" s="447"/>
      <c r="SPC6" s="447"/>
      <c r="SPD6" s="447"/>
      <c r="SPE6" s="447"/>
      <c r="SPF6" s="447"/>
      <c r="SPG6" s="447"/>
      <c r="SPH6" s="447"/>
      <c r="SPI6" s="447"/>
      <c r="SPJ6" s="447"/>
      <c r="SPK6" s="447"/>
      <c r="SPL6" s="447"/>
      <c r="SPM6" s="447"/>
      <c r="SPN6" s="447"/>
      <c r="SPO6" s="447"/>
      <c r="SPP6" s="447"/>
      <c r="SPQ6" s="447"/>
      <c r="SPR6" s="447"/>
      <c r="SPS6" s="447"/>
      <c r="SPT6" s="447"/>
      <c r="SPU6" s="447"/>
      <c r="SPV6" s="447"/>
      <c r="SPW6" s="447"/>
      <c r="SPX6" s="447"/>
      <c r="SPY6" s="447"/>
      <c r="SPZ6" s="447"/>
      <c r="SQA6" s="447"/>
      <c r="SQB6" s="447"/>
      <c r="SQC6" s="447"/>
      <c r="SQD6" s="447"/>
      <c r="SQE6" s="447"/>
      <c r="SQF6" s="447"/>
      <c r="SQG6" s="447"/>
      <c r="SQH6" s="447"/>
      <c r="SQI6" s="447"/>
      <c r="SQJ6" s="447"/>
      <c r="SQK6" s="447"/>
      <c r="SQL6" s="447"/>
      <c r="SQM6" s="447"/>
      <c r="SQN6" s="447"/>
      <c r="SQO6" s="447"/>
      <c r="SQP6" s="447"/>
      <c r="SQQ6" s="447"/>
      <c r="SQR6" s="447"/>
      <c r="SQS6" s="447"/>
      <c r="SQT6" s="447"/>
      <c r="SQU6" s="447"/>
      <c r="SQV6" s="447"/>
      <c r="SQW6" s="447"/>
      <c r="SQX6" s="447"/>
      <c r="SQY6" s="447"/>
      <c r="SQZ6" s="447"/>
      <c r="SRA6" s="447"/>
      <c r="SRB6" s="447"/>
      <c r="SRC6" s="447"/>
      <c r="SRD6" s="447"/>
      <c r="SRE6" s="447"/>
      <c r="SRF6" s="447"/>
      <c r="SRG6" s="447"/>
      <c r="SRH6" s="447"/>
      <c r="SRI6" s="447"/>
      <c r="SRJ6" s="447"/>
      <c r="SRK6" s="447"/>
      <c r="SRL6" s="447"/>
      <c r="SRM6" s="447"/>
      <c r="SRN6" s="447"/>
      <c r="SRO6" s="447"/>
      <c r="SRP6" s="447"/>
      <c r="SRQ6" s="447"/>
      <c r="SRR6" s="447"/>
      <c r="SRS6" s="447"/>
      <c r="SRT6" s="447"/>
      <c r="SRU6" s="447"/>
      <c r="SRV6" s="447"/>
      <c r="SRW6" s="447"/>
      <c r="SRX6" s="447"/>
      <c r="SRY6" s="447"/>
      <c r="SRZ6" s="447"/>
      <c r="SSA6" s="447"/>
      <c r="SSB6" s="447"/>
      <c r="SSC6" s="447"/>
      <c r="SSD6" s="447"/>
      <c r="SSE6" s="447"/>
      <c r="SSF6" s="447"/>
      <c r="SSG6" s="447"/>
      <c r="SSH6" s="447"/>
      <c r="SSI6" s="447"/>
      <c r="SSJ6" s="447"/>
      <c r="SSK6" s="447"/>
      <c r="SSL6" s="447"/>
      <c r="SSM6" s="447"/>
      <c r="SSN6" s="447"/>
      <c r="SSO6" s="447"/>
      <c r="SSP6" s="447"/>
      <c r="SSQ6" s="447"/>
      <c r="SSR6" s="447"/>
      <c r="SSS6" s="447"/>
      <c r="SST6" s="447"/>
      <c r="SSU6" s="447"/>
      <c r="SSV6" s="447"/>
      <c r="SSW6" s="447"/>
      <c r="SSX6" s="447"/>
      <c r="SSY6" s="447"/>
      <c r="SSZ6" s="447"/>
      <c r="STA6" s="447"/>
      <c r="STB6" s="447"/>
      <c r="STC6" s="447"/>
      <c r="STD6" s="447"/>
      <c r="STE6" s="447"/>
      <c r="STF6" s="447"/>
      <c r="STG6" s="447"/>
      <c r="STH6" s="447"/>
      <c r="STI6" s="447"/>
      <c r="STJ6" s="447"/>
      <c r="STK6" s="447"/>
      <c r="STL6" s="447"/>
      <c r="STM6" s="447"/>
      <c r="STN6" s="447"/>
      <c r="STO6" s="447"/>
      <c r="STP6" s="447"/>
      <c r="STQ6" s="447"/>
      <c r="STR6" s="447"/>
      <c r="STS6" s="447"/>
      <c r="STT6" s="447"/>
      <c r="STU6" s="447"/>
      <c r="STV6" s="447"/>
      <c r="STW6" s="447"/>
      <c r="STX6" s="447"/>
      <c r="STY6" s="447"/>
      <c r="STZ6" s="447"/>
      <c r="SUA6" s="447"/>
      <c r="SUB6" s="447"/>
      <c r="SUC6" s="447"/>
      <c r="SUD6" s="447"/>
      <c r="SUE6" s="447"/>
      <c r="SUF6" s="447"/>
      <c r="SUG6" s="447"/>
      <c r="SUH6" s="447"/>
      <c r="SUI6" s="447"/>
      <c r="SUJ6" s="447"/>
      <c r="SUK6" s="447"/>
      <c r="SUL6" s="447"/>
      <c r="SUM6" s="447"/>
      <c r="SUN6" s="447"/>
      <c r="SUO6" s="447"/>
      <c r="SUP6" s="447"/>
      <c r="SUQ6" s="447"/>
      <c r="SUR6" s="447"/>
      <c r="SUS6" s="447"/>
      <c r="SUT6" s="447"/>
      <c r="SUU6" s="447"/>
      <c r="SUV6" s="447"/>
      <c r="SUW6" s="447"/>
      <c r="SUX6" s="447"/>
      <c r="SUY6" s="447"/>
      <c r="SUZ6" s="447"/>
      <c r="SVA6" s="447"/>
      <c r="SVB6" s="447"/>
      <c r="SVC6" s="447"/>
      <c r="SVD6" s="447"/>
      <c r="SVE6" s="447"/>
      <c r="SVF6" s="447"/>
      <c r="SVG6" s="447"/>
      <c r="SVH6" s="447"/>
      <c r="SVI6" s="447"/>
      <c r="SVJ6" s="447"/>
      <c r="SVK6" s="447"/>
      <c r="SVL6" s="447"/>
      <c r="SVM6" s="447"/>
      <c r="SVN6" s="447"/>
      <c r="SVO6" s="447"/>
      <c r="SVP6" s="447"/>
      <c r="SVQ6" s="447"/>
      <c r="SVR6" s="447"/>
      <c r="SVS6" s="447"/>
      <c r="SVT6" s="447"/>
      <c r="SVU6" s="447"/>
      <c r="SVV6" s="447"/>
      <c r="SVW6" s="447"/>
      <c r="SVX6" s="447"/>
      <c r="SVY6" s="447"/>
      <c r="SVZ6" s="447"/>
      <c r="SWA6" s="447"/>
      <c r="SWB6" s="447"/>
      <c r="SWC6" s="447"/>
      <c r="SWD6" s="447"/>
      <c r="SWE6" s="447"/>
      <c r="SWF6" s="447"/>
      <c r="SWG6" s="447"/>
      <c r="SWH6" s="447"/>
      <c r="SWI6" s="447"/>
      <c r="SWJ6" s="447"/>
      <c r="SWK6" s="447"/>
      <c r="SWL6" s="447"/>
      <c r="SWM6" s="447"/>
      <c r="SWN6" s="447"/>
      <c r="SWO6" s="447"/>
      <c r="SWP6" s="447"/>
      <c r="SWQ6" s="447"/>
      <c r="SWR6" s="447"/>
      <c r="SWS6" s="447"/>
      <c r="SWT6" s="447"/>
      <c r="SWU6" s="447"/>
      <c r="SWV6" s="447"/>
      <c r="SWW6" s="447"/>
      <c r="SWX6" s="447"/>
      <c r="SWY6" s="447"/>
      <c r="SWZ6" s="447"/>
      <c r="SXA6" s="447"/>
      <c r="SXB6" s="447"/>
      <c r="SXC6" s="447"/>
      <c r="SXD6" s="447"/>
      <c r="SXE6" s="447"/>
      <c r="SXF6" s="447"/>
      <c r="SXG6" s="447"/>
      <c r="SXH6" s="447"/>
      <c r="SXI6" s="447"/>
      <c r="SXJ6" s="447"/>
      <c r="SXK6" s="447"/>
      <c r="SXL6" s="447"/>
      <c r="SXM6" s="447"/>
      <c r="SXN6" s="447"/>
      <c r="SXO6" s="447"/>
      <c r="SXP6" s="447"/>
      <c r="SXQ6" s="447"/>
      <c r="SXR6" s="447"/>
      <c r="SXS6" s="447"/>
      <c r="SXT6" s="447"/>
      <c r="SXU6" s="447"/>
      <c r="SXV6" s="447"/>
      <c r="SXW6" s="447"/>
      <c r="SXX6" s="447"/>
      <c r="SXY6" s="447"/>
      <c r="SXZ6" s="447"/>
      <c r="SYA6" s="447"/>
      <c r="SYB6" s="447"/>
      <c r="SYC6" s="447"/>
      <c r="SYD6" s="447"/>
      <c r="SYE6" s="447"/>
      <c r="SYF6" s="447"/>
      <c r="SYG6" s="447"/>
      <c r="SYH6" s="447"/>
      <c r="SYI6" s="447"/>
      <c r="SYJ6" s="447"/>
      <c r="SYK6" s="447"/>
      <c r="SYL6" s="447"/>
      <c r="SYM6" s="447"/>
      <c r="SYN6" s="447"/>
      <c r="SYO6" s="447"/>
      <c r="SYP6" s="447"/>
      <c r="SYQ6" s="447"/>
      <c r="SYR6" s="447"/>
      <c r="SYS6" s="447"/>
      <c r="SYT6" s="447"/>
      <c r="SYU6" s="447"/>
      <c r="SYV6" s="447"/>
      <c r="SYW6" s="447"/>
      <c r="SYX6" s="447"/>
      <c r="SYY6" s="447"/>
      <c r="SYZ6" s="447"/>
      <c r="SZA6" s="447"/>
      <c r="SZB6" s="447"/>
      <c r="SZC6" s="447"/>
      <c r="SZD6" s="447"/>
      <c r="SZE6" s="447"/>
      <c r="SZF6" s="447"/>
      <c r="SZG6" s="447"/>
      <c r="SZH6" s="447"/>
      <c r="SZI6" s="447"/>
      <c r="SZJ6" s="447"/>
      <c r="SZK6" s="447"/>
      <c r="SZL6" s="447"/>
      <c r="SZM6" s="447"/>
      <c r="SZN6" s="447"/>
      <c r="SZO6" s="447"/>
      <c r="SZP6" s="447"/>
      <c r="SZQ6" s="447"/>
      <c r="SZR6" s="447"/>
      <c r="SZS6" s="447"/>
      <c r="SZT6" s="447"/>
      <c r="SZU6" s="447"/>
      <c r="SZV6" s="447"/>
      <c r="SZW6" s="447"/>
      <c r="SZX6" s="447"/>
      <c r="SZY6" s="447"/>
      <c r="SZZ6" s="447"/>
      <c r="TAA6" s="447"/>
      <c r="TAB6" s="447"/>
      <c r="TAC6" s="447"/>
      <c r="TAD6" s="447"/>
      <c r="TAE6" s="447"/>
      <c r="TAF6" s="447"/>
      <c r="TAG6" s="447"/>
      <c r="TAH6" s="447"/>
      <c r="TAI6" s="447"/>
      <c r="TAJ6" s="447"/>
      <c r="TAK6" s="447"/>
      <c r="TAL6" s="447"/>
      <c r="TAM6" s="447"/>
      <c r="TAN6" s="447"/>
      <c r="TAO6" s="447"/>
      <c r="TAP6" s="447"/>
      <c r="TAQ6" s="447"/>
      <c r="TAR6" s="447"/>
      <c r="TAS6" s="447"/>
      <c r="TAT6" s="447"/>
      <c r="TAU6" s="447"/>
      <c r="TAV6" s="447"/>
      <c r="TAW6" s="447"/>
      <c r="TAX6" s="447"/>
      <c r="TAY6" s="447"/>
      <c r="TAZ6" s="447"/>
      <c r="TBA6" s="447"/>
      <c r="TBB6" s="447"/>
      <c r="TBC6" s="447"/>
      <c r="TBD6" s="447"/>
      <c r="TBE6" s="447"/>
      <c r="TBF6" s="447"/>
      <c r="TBG6" s="447"/>
      <c r="TBH6" s="447"/>
      <c r="TBI6" s="447"/>
      <c r="TBJ6" s="447"/>
      <c r="TBK6" s="447"/>
      <c r="TBL6" s="447"/>
      <c r="TBM6" s="447"/>
      <c r="TBN6" s="447"/>
      <c r="TBO6" s="447"/>
      <c r="TBP6" s="447"/>
      <c r="TBQ6" s="447"/>
      <c r="TBR6" s="447"/>
      <c r="TBS6" s="447"/>
      <c r="TBT6" s="447"/>
      <c r="TBU6" s="447"/>
      <c r="TBV6" s="447"/>
      <c r="TBW6" s="447"/>
      <c r="TBX6" s="447"/>
      <c r="TBY6" s="447"/>
      <c r="TBZ6" s="447"/>
      <c r="TCA6" s="447"/>
      <c r="TCB6" s="447"/>
      <c r="TCC6" s="447"/>
      <c r="TCD6" s="447"/>
      <c r="TCE6" s="447"/>
      <c r="TCF6" s="447"/>
      <c r="TCG6" s="447"/>
      <c r="TCH6" s="447"/>
      <c r="TCI6" s="447"/>
      <c r="TCJ6" s="447"/>
      <c r="TCK6" s="447"/>
      <c r="TCL6" s="447"/>
      <c r="TCM6" s="447"/>
      <c r="TCN6" s="447"/>
      <c r="TCO6" s="447"/>
      <c r="TCP6" s="447"/>
      <c r="TCQ6" s="447"/>
      <c r="TCR6" s="447"/>
      <c r="TCS6" s="447"/>
      <c r="TCT6" s="447"/>
      <c r="TCU6" s="447"/>
      <c r="TCV6" s="447"/>
      <c r="TCW6" s="447"/>
      <c r="TCX6" s="447"/>
      <c r="TCY6" s="447"/>
      <c r="TCZ6" s="447"/>
      <c r="TDA6" s="447"/>
      <c r="TDB6" s="447"/>
      <c r="TDC6" s="447"/>
      <c r="TDD6" s="447"/>
      <c r="TDE6" s="447"/>
      <c r="TDF6" s="447"/>
      <c r="TDG6" s="447"/>
      <c r="TDH6" s="447"/>
      <c r="TDI6" s="447"/>
      <c r="TDJ6" s="447"/>
      <c r="TDK6" s="447"/>
      <c r="TDL6" s="447"/>
      <c r="TDM6" s="447"/>
      <c r="TDN6" s="447"/>
      <c r="TDO6" s="447"/>
      <c r="TDP6" s="447"/>
      <c r="TDQ6" s="447"/>
      <c r="TDR6" s="447"/>
      <c r="TDS6" s="447"/>
      <c r="TDT6" s="447"/>
      <c r="TDU6" s="447"/>
      <c r="TDV6" s="447"/>
      <c r="TDW6" s="447"/>
      <c r="TDX6" s="447"/>
      <c r="TDY6" s="447"/>
      <c r="TDZ6" s="447"/>
      <c r="TEA6" s="447"/>
      <c r="TEB6" s="447"/>
      <c r="TEC6" s="447"/>
      <c r="TED6" s="447"/>
      <c r="TEE6" s="447"/>
      <c r="TEF6" s="447"/>
      <c r="TEG6" s="447"/>
      <c r="TEH6" s="447"/>
      <c r="TEI6" s="447"/>
      <c r="TEJ6" s="447"/>
      <c r="TEK6" s="447"/>
      <c r="TEL6" s="447"/>
      <c r="TEM6" s="447"/>
      <c r="TEN6" s="447"/>
      <c r="TEO6" s="447"/>
      <c r="TEP6" s="447"/>
      <c r="TEQ6" s="447"/>
      <c r="TER6" s="447"/>
      <c r="TES6" s="447"/>
      <c r="TET6" s="447"/>
      <c r="TEU6" s="447"/>
      <c r="TEV6" s="447"/>
      <c r="TEW6" s="447"/>
      <c r="TEX6" s="447"/>
      <c r="TEY6" s="447"/>
      <c r="TEZ6" s="447"/>
      <c r="TFA6" s="447"/>
      <c r="TFB6" s="447"/>
      <c r="TFC6" s="447"/>
      <c r="TFD6" s="447"/>
      <c r="TFE6" s="447"/>
      <c r="TFF6" s="447"/>
      <c r="TFG6" s="447"/>
      <c r="TFH6" s="447"/>
      <c r="TFI6" s="447"/>
      <c r="TFJ6" s="447"/>
      <c r="TFK6" s="447"/>
      <c r="TFL6" s="447"/>
      <c r="TFM6" s="447"/>
      <c r="TFN6" s="447"/>
      <c r="TFO6" s="447"/>
      <c r="TFP6" s="447"/>
      <c r="TFQ6" s="447"/>
      <c r="TFR6" s="447"/>
      <c r="TFS6" s="447"/>
      <c r="TFT6" s="447"/>
      <c r="TFU6" s="447"/>
      <c r="TFV6" s="447"/>
      <c r="TFW6" s="447"/>
      <c r="TFX6" s="447"/>
      <c r="TFY6" s="447"/>
      <c r="TFZ6" s="447"/>
      <c r="TGA6" s="447"/>
      <c r="TGB6" s="447"/>
      <c r="TGC6" s="447"/>
      <c r="TGD6" s="447"/>
      <c r="TGE6" s="447"/>
      <c r="TGF6" s="447"/>
      <c r="TGG6" s="447"/>
      <c r="TGH6" s="447"/>
      <c r="TGI6" s="447"/>
      <c r="TGJ6" s="447"/>
      <c r="TGK6" s="447"/>
      <c r="TGL6" s="447"/>
      <c r="TGM6" s="447"/>
      <c r="TGN6" s="447"/>
      <c r="TGO6" s="447"/>
      <c r="TGP6" s="447"/>
      <c r="TGQ6" s="447"/>
      <c r="TGR6" s="447"/>
      <c r="TGS6" s="447"/>
      <c r="TGT6" s="447"/>
      <c r="TGU6" s="447"/>
      <c r="TGV6" s="447"/>
      <c r="TGW6" s="447"/>
      <c r="TGX6" s="447"/>
      <c r="TGY6" s="447"/>
      <c r="TGZ6" s="447"/>
      <c r="THA6" s="447"/>
      <c r="THB6" s="447"/>
      <c r="THC6" s="447"/>
      <c r="THD6" s="447"/>
      <c r="THE6" s="447"/>
      <c r="THF6" s="447"/>
      <c r="THG6" s="447"/>
      <c r="THH6" s="447"/>
      <c r="THI6" s="447"/>
      <c r="THJ6" s="447"/>
      <c r="THK6" s="447"/>
      <c r="THL6" s="447"/>
      <c r="THM6" s="447"/>
      <c r="THN6" s="447"/>
      <c r="THO6" s="447"/>
      <c r="THP6" s="447"/>
      <c r="THQ6" s="447"/>
      <c r="THR6" s="447"/>
      <c r="THS6" s="447"/>
      <c r="THT6" s="447"/>
      <c r="THU6" s="447"/>
      <c r="THV6" s="447"/>
      <c r="THW6" s="447"/>
      <c r="THX6" s="447"/>
      <c r="THY6" s="447"/>
      <c r="THZ6" s="447"/>
      <c r="TIA6" s="447"/>
      <c r="TIB6" s="447"/>
      <c r="TIC6" s="447"/>
      <c r="TID6" s="447"/>
      <c r="TIE6" s="447"/>
      <c r="TIF6" s="447"/>
      <c r="TIG6" s="447"/>
      <c r="TIH6" s="447"/>
      <c r="TII6" s="447"/>
      <c r="TIJ6" s="447"/>
      <c r="TIK6" s="447"/>
      <c r="TIL6" s="447"/>
      <c r="TIM6" s="447"/>
      <c r="TIN6" s="447"/>
      <c r="TIO6" s="447"/>
      <c r="TIP6" s="447"/>
      <c r="TIQ6" s="447"/>
      <c r="TIR6" s="447"/>
      <c r="TIS6" s="447"/>
      <c r="TIT6" s="447"/>
      <c r="TIU6" s="447"/>
      <c r="TIV6" s="447"/>
      <c r="TIW6" s="447"/>
      <c r="TIX6" s="447"/>
      <c r="TIY6" s="447"/>
      <c r="TIZ6" s="447"/>
      <c r="TJA6" s="447"/>
      <c r="TJB6" s="447"/>
      <c r="TJC6" s="447"/>
      <c r="TJD6" s="447"/>
      <c r="TJE6" s="447"/>
      <c r="TJF6" s="447"/>
      <c r="TJG6" s="447"/>
      <c r="TJH6" s="447"/>
      <c r="TJI6" s="447"/>
      <c r="TJJ6" s="447"/>
      <c r="TJK6" s="447"/>
      <c r="TJL6" s="447"/>
      <c r="TJM6" s="447"/>
      <c r="TJN6" s="447"/>
      <c r="TJO6" s="447"/>
      <c r="TJP6" s="447"/>
      <c r="TJQ6" s="447"/>
      <c r="TJR6" s="447"/>
      <c r="TJS6" s="447"/>
      <c r="TJT6" s="447"/>
      <c r="TJU6" s="447"/>
      <c r="TJV6" s="447"/>
      <c r="TJW6" s="447"/>
      <c r="TJX6" s="447"/>
      <c r="TJY6" s="447"/>
      <c r="TJZ6" s="447"/>
      <c r="TKA6" s="447"/>
      <c r="TKB6" s="447"/>
      <c r="TKC6" s="447"/>
      <c r="TKD6" s="447"/>
      <c r="TKE6" s="447"/>
      <c r="TKF6" s="447"/>
      <c r="TKG6" s="447"/>
      <c r="TKH6" s="447"/>
      <c r="TKI6" s="447"/>
      <c r="TKJ6" s="447"/>
      <c r="TKK6" s="447"/>
      <c r="TKL6" s="447"/>
      <c r="TKM6" s="447"/>
      <c r="TKN6" s="447"/>
      <c r="TKO6" s="447"/>
      <c r="TKP6" s="447"/>
      <c r="TKQ6" s="447"/>
      <c r="TKR6" s="447"/>
      <c r="TKS6" s="447"/>
      <c r="TKT6" s="447"/>
      <c r="TKU6" s="447"/>
      <c r="TKV6" s="447"/>
      <c r="TKW6" s="447"/>
      <c r="TKX6" s="447"/>
      <c r="TKY6" s="447"/>
      <c r="TKZ6" s="447"/>
      <c r="TLA6" s="447"/>
      <c r="TLB6" s="447"/>
      <c r="TLC6" s="447"/>
      <c r="TLD6" s="447"/>
      <c r="TLE6" s="447"/>
      <c r="TLF6" s="447"/>
      <c r="TLG6" s="447"/>
      <c r="TLH6" s="447"/>
      <c r="TLI6" s="447"/>
      <c r="TLJ6" s="447"/>
      <c r="TLK6" s="447"/>
      <c r="TLL6" s="447"/>
      <c r="TLM6" s="447"/>
      <c r="TLN6" s="447"/>
      <c r="TLO6" s="447"/>
      <c r="TLP6" s="447"/>
      <c r="TLQ6" s="447"/>
      <c r="TLR6" s="447"/>
      <c r="TLS6" s="447"/>
      <c r="TLT6" s="447"/>
      <c r="TLU6" s="447"/>
      <c r="TLV6" s="447"/>
      <c r="TLW6" s="447"/>
      <c r="TLX6" s="447"/>
      <c r="TLY6" s="447"/>
      <c r="TLZ6" s="447"/>
      <c r="TMA6" s="447"/>
      <c r="TMB6" s="447"/>
      <c r="TMC6" s="447"/>
      <c r="TMD6" s="447"/>
      <c r="TME6" s="447"/>
      <c r="TMF6" s="447"/>
      <c r="TMG6" s="447"/>
      <c r="TMH6" s="447"/>
      <c r="TMI6" s="447"/>
      <c r="TMJ6" s="447"/>
      <c r="TMK6" s="447"/>
      <c r="TML6" s="447"/>
      <c r="TMM6" s="447"/>
      <c r="TMN6" s="447"/>
      <c r="TMO6" s="447"/>
      <c r="TMP6" s="447"/>
      <c r="TMQ6" s="447"/>
      <c r="TMR6" s="447"/>
      <c r="TMS6" s="447"/>
      <c r="TMT6" s="447"/>
      <c r="TMU6" s="447"/>
      <c r="TMV6" s="447"/>
      <c r="TMW6" s="447"/>
      <c r="TMX6" s="447"/>
      <c r="TMY6" s="447"/>
      <c r="TMZ6" s="447"/>
      <c r="TNA6" s="447"/>
      <c r="TNB6" s="447"/>
      <c r="TNC6" s="447"/>
      <c r="TND6" s="447"/>
      <c r="TNE6" s="447"/>
      <c r="TNF6" s="447"/>
      <c r="TNG6" s="447"/>
      <c r="TNH6" s="447"/>
      <c r="TNI6" s="447"/>
      <c r="TNJ6" s="447"/>
      <c r="TNK6" s="447"/>
      <c r="TNL6" s="447"/>
      <c r="TNM6" s="447"/>
      <c r="TNN6" s="447"/>
      <c r="TNO6" s="447"/>
      <c r="TNP6" s="447"/>
      <c r="TNQ6" s="447"/>
      <c r="TNR6" s="447"/>
      <c r="TNS6" s="447"/>
      <c r="TNT6" s="447"/>
      <c r="TNU6" s="447"/>
      <c r="TNV6" s="447"/>
      <c r="TNW6" s="447"/>
      <c r="TNX6" s="447"/>
      <c r="TNY6" s="447"/>
      <c r="TNZ6" s="447"/>
      <c r="TOA6" s="447"/>
      <c r="TOB6" s="447"/>
      <c r="TOC6" s="447"/>
      <c r="TOD6" s="447"/>
      <c r="TOE6" s="447"/>
      <c r="TOF6" s="447"/>
      <c r="TOG6" s="447"/>
      <c r="TOH6" s="447"/>
      <c r="TOI6" s="447"/>
      <c r="TOJ6" s="447"/>
      <c r="TOK6" s="447"/>
      <c r="TOL6" s="447"/>
      <c r="TOM6" s="447"/>
      <c r="TON6" s="447"/>
      <c r="TOO6" s="447"/>
      <c r="TOP6" s="447"/>
      <c r="TOQ6" s="447"/>
      <c r="TOR6" s="447"/>
      <c r="TOS6" s="447"/>
      <c r="TOT6" s="447"/>
      <c r="TOU6" s="447"/>
      <c r="TOV6" s="447"/>
      <c r="TOW6" s="447"/>
      <c r="TOX6" s="447"/>
      <c r="TOY6" s="447"/>
      <c r="TOZ6" s="447"/>
      <c r="TPA6" s="447"/>
      <c r="TPB6" s="447"/>
      <c r="TPC6" s="447"/>
      <c r="TPD6" s="447"/>
      <c r="TPE6" s="447"/>
      <c r="TPF6" s="447"/>
      <c r="TPG6" s="447"/>
      <c r="TPH6" s="447"/>
      <c r="TPI6" s="447"/>
      <c r="TPJ6" s="447"/>
      <c r="TPK6" s="447"/>
      <c r="TPL6" s="447"/>
      <c r="TPM6" s="447"/>
      <c r="TPN6" s="447"/>
      <c r="TPO6" s="447"/>
      <c r="TPP6" s="447"/>
      <c r="TPQ6" s="447"/>
      <c r="TPR6" s="447"/>
      <c r="TPS6" s="447"/>
      <c r="TPT6" s="447"/>
      <c r="TPU6" s="447"/>
      <c r="TPV6" s="447"/>
      <c r="TPW6" s="447"/>
      <c r="TPX6" s="447"/>
      <c r="TPY6" s="447"/>
      <c r="TPZ6" s="447"/>
      <c r="TQA6" s="447"/>
      <c r="TQB6" s="447"/>
      <c r="TQC6" s="447"/>
      <c r="TQD6" s="447"/>
      <c r="TQE6" s="447"/>
      <c r="TQF6" s="447"/>
      <c r="TQG6" s="447"/>
      <c r="TQH6" s="447"/>
      <c r="TQI6" s="447"/>
      <c r="TQJ6" s="447"/>
      <c r="TQK6" s="447"/>
      <c r="TQL6" s="447"/>
      <c r="TQM6" s="447"/>
      <c r="TQN6" s="447"/>
      <c r="TQO6" s="447"/>
      <c r="TQP6" s="447"/>
      <c r="TQQ6" s="447"/>
      <c r="TQR6" s="447"/>
      <c r="TQS6" s="447"/>
      <c r="TQT6" s="447"/>
      <c r="TQU6" s="447"/>
      <c r="TQV6" s="447"/>
      <c r="TQW6" s="447"/>
      <c r="TQX6" s="447"/>
      <c r="TQY6" s="447"/>
      <c r="TQZ6" s="447"/>
      <c r="TRA6" s="447"/>
      <c r="TRB6" s="447"/>
      <c r="TRC6" s="447"/>
      <c r="TRD6" s="447"/>
      <c r="TRE6" s="447"/>
      <c r="TRF6" s="447"/>
      <c r="TRG6" s="447"/>
      <c r="TRH6" s="447"/>
      <c r="TRI6" s="447"/>
      <c r="TRJ6" s="447"/>
      <c r="TRK6" s="447"/>
      <c r="TRL6" s="447"/>
      <c r="TRM6" s="447"/>
      <c r="TRN6" s="447"/>
      <c r="TRO6" s="447"/>
      <c r="TRP6" s="447"/>
      <c r="TRQ6" s="447"/>
      <c r="TRR6" s="447"/>
      <c r="TRS6" s="447"/>
      <c r="TRT6" s="447"/>
      <c r="TRU6" s="447"/>
      <c r="TRV6" s="447"/>
      <c r="TRW6" s="447"/>
      <c r="TRX6" s="447"/>
      <c r="TRY6" s="447"/>
      <c r="TRZ6" s="447"/>
      <c r="TSA6" s="447"/>
      <c r="TSB6" s="447"/>
      <c r="TSC6" s="447"/>
      <c r="TSD6" s="447"/>
      <c r="TSE6" s="447"/>
      <c r="TSF6" s="447"/>
      <c r="TSG6" s="447"/>
      <c r="TSH6" s="447"/>
      <c r="TSI6" s="447"/>
      <c r="TSJ6" s="447"/>
      <c r="TSK6" s="447"/>
      <c r="TSL6" s="447"/>
      <c r="TSM6" s="447"/>
      <c r="TSN6" s="447"/>
      <c r="TSO6" s="447"/>
      <c r="TSP6" s="447"/>
      <c r="TSQ6" s="447"/>
      <c r="TSR6" s="447"/>
      <c r="TSS6" s="447"/>
      <c r="TST6" s="447"/>
      <c r="TSU6" s="447"/>
      <c r="TSV6" s="447"/>
      <c r="TSW6" s="447"/>
      <c r="TSX6" s="447"/>
      <c r="TSY6" s="447"/>
      <c r="TSZ6" s="447"/>
      <c r="TTA6" s="447"/>
      <c r="TTB6" s="447"/>
      <c r="TTC6" s="447"/>
      <c r="TTD6" s="447"/>
      <c r="TTE6" s="447"/>
      <c r="TTF6" s="447"/>
      <c r="TTG6" s="447"/>
      <c r="TTH6" s="447"/>
      <c r="TTI6" s="447"/>
      <c r="TTJ6" s="447"/>
      <c r="TTK6" s="447"/>
      <c r="TTL6" s="447"/>
      <c r="TTM6" s="447"/>
      <c r="TTN6" s="447"/>
      <c r="TTO6" s="447"/>
      <c r="TTP6" s="447"/>
      <c r="TTQ6" s="447"/>
      <c r="TTR6" s="447"/>
      <c r="TTS6" s="447"/>
      <c r="TTT6" s="447"/>
      <c r="TTU6" s="447"/>
      <c r="TTV6" s="447"/>
      <c r="TTW6" s="447"/>
      <c r="TTX6" s="447"/>
      <c r="TTY6" s="447"/>
      <c r="TTZ6" s="447"/>
      <c r="TUA6" s="447"/>
      <c r="TUB6" s="447"/>
      <c r="TUC6" s="447"/>
      <c r="TUD6" s="447"/>
      <c r="TUE6" s="447"/>
      <c r="TUF6" s="447"/>
      <c r="TUG6" s="447"/>
      <c r="TUH6" s="447"/>
      <c r="TUI6" s="447"/>
      <c r="TUJ6" s="447"/>
      <c r="TUK6" s="447"/>
      <c r="TUL6" s="447"/>
      <c r="TUM6" s="447"/>
      <c r="TUN6" s="447"/>
      <c r="TUO6" s="447"/>
      <c r="TUP6" s="447"/>
      <c r="TUQ6" s="447"/>
      <c r="TUR6" s="447"/>
      <c r="TUS6" s="447"/>
      <c r="TUT6" s="447"/>
      <c r="TUU6" s="447"/>
      <c r="TUV6" s="447"/>
      <c r="TUW6" s="447"/>
      <c r="TUX6" s="447"/>
      <c r="TUY6" s="447"/>
      <c r="TUZ6" s="447"/>
      <c r="TVA6" s="447"/>
      <c r="TVB6" s="447"/>
      <c r="TVC6" s="447"/>
      <c r="TVD6" s="447"/>
      <c r="TVE6" s="447"/>
      <c r="TVF6" s="447"/>
      <c r="TVG6" s="447"/>
      <c r="TVH6" s="447"/>
      <c r="TVI6" s="447"/>
      <c r="TVJ6" s="447"/>
      <c r="TVK6" s="447"/>
      <c r="TVL6" s="447"/>
      <c r="TVM6" s="447"/>
      <c r="TVN6" s="447"/>
      <c r="TVO6" s="447"/>
      <c r="TVP6" s="447"/>
      <c r="TVQ6" s="447"/>
      <c r="TVR6" s="447"/>
      <c r="TVS6" s="447"/>
      <c r="TVT6" s="447"/>
      <c r="TVU6" s="447"/>
      <c r="TVV6" s="447"/>
      <c r="TVW6" s="447"/>
      <c r="TVX6" s="447"/>
      <c r="TVY6" s="447"/>
      <c r="TVZ6" s="447"/>
      <c r="TWA6" s="447"/>
      <c r="TWB6" s="447"/>
      <c r="TWC6" s="447"/>
      <c r="TWD6" s="447"/>
      <c r="TWE6" s="447"/>
      <c r="TWF6" s="447"/>
      <c r="TWG6" s="447"/>
      <c r="TWH6" s="447"/>
      <c r="TWI6" s="447"/>
      <c r="TWJ6" s="447"/>
      <c r="TWK6" s="447"/>
      <c r="TWL6" s="447"/>
      <c r="TWM6" s="447"/>
      <c r="TWN6" s="447"/>
      <c r="TWO6" s="447"/>
      <c r="TWP6" s="447"/>
      <c r="TWQ6" s="447"/>
      <c r="TWR6" s="447"/>
      <c r="TWS6" s="447"/>
      <c r="TWT6" s="447"/>
      <c r="TWU6" s="447"/>
      <c r="TWV6" s="447"/>
      <c r="TWW6" s="447"/>
      <c r="TWX6" s="447"/>
      <c r="TWY6" s="447"/>
      <c r="TWZ6" s="447"/>
      <c r="TXA6" s="447"/>
      <c r="TXB6" s="447"/>
      <c r="TXC6" s="447"/>
      <c r="TXD6" s="447"/>
      <c r="TXE6" s="447"/>
      <c r="TXF6" s="447"/>
      <c r="TXG6" s="447"/>
      <c r="TXH6" s="447"/>
      <c r="TXI6" s="447"/>
      <c r="TXJ6" s="447"/>
      <c r="TXK6" s="447"/>
      <c r="TXL6" s="447"/>
      <c r="TXM6" s="447"/>
      <c r="TXN6" s="447"/>
      <c r="TXO6" s="447"/>
      <c r="TXP6" s="447"/>
      <c r="TXQ6" s="447"/>
      <c r="TXR6" s="447"/>
      <c r="TXS6" s="447"/>
      <c r="TXT6" s="447"/>
      <c r="TXU6" s="447"/>
      <c r="TXV6" s="447"/>
      <c r="TXW6" s="447"/>
      <c r="TXX6" s="447"/>
      <c r="TXY6" s="447"/>
      <c r="TXZ6" s="447"/>
      <c r="TYA6" s="447"/>
      <c r="TYB6" s="447"/>
      <c r="TYC6" s="447"/>
      <c r="TYD6" s="447"/>
      <c r="TYE6" s="447"/>
      <c r="TYF6" s="447"/>
      <c r="TYG6" s="447"/>
      <c r="TYH6" s="447"/>
      <c r="TYI6" s="447"/>
      <c r="TYJ6" s="447"/>
      <c r="TYK6" s="447"/>
      <c r="TYL6" s="447"/>
      <c r="TYM6" s="447"/>
      <c r="TYN6" s="447"/>
      <c r="TYO6" s="447"/>
      <c r="TYP6" s="447"/>
      <c r="TYQ6" s="447"/>
      <c r="TYR6" s="447"/>
      <c r="TYS6" s="447"/>
      <c r="TYT6" s="447"/>
      <c r="TYU6" s="447"/>
      <c r="TYV6" s="447"/>
      <c r="TYW6" s="447"/>
      <c r="TYX6" s="447"/>
      <c r="TYY6" s="447"/>
      <c r="TYZ6" s="447"/>
      <c r="TZA6" s="447"/>
      <c r="TZB6" s="447"/>
      <c r="TZC6" s="447"/>
      <c r="TZD6" s="447"/>
      <c r="TZE6" s="447"/>
      <c r="TZF6" s="447"/>
      <c r="TZG6" s="447"/>
      <c r="TZH6" s="447"/>
      <c r="TZI6" s="447"/>
      <c r="TZJ6" s="447"/>
      <c r="TZK6" s="447"/>
      <c r="TZL6" s="447"/>
      <c r="TZM6" s="447"/>
      <c r="TZN6" s="447"/>
      <c r="TZO6" s="447"/>
      <c r="TZP6" s="447"/>
      <c r="TZQ6" s="447"/>
      <c r="TZR6" s="447"/>
      <c r="TZS6" s="447"/>
      <c r="TZT6" s="447"/>
      <c r="TZU6" s="447"/>
      <c r="TZV6" s="447"/>
      <c r="TZW6" s="447"/>
      <c r="TZX6" s="447"/>
      <c r="TZY6" s="447"/>
      <c r="TZZ6" s="447"/>
      <c r="UAA6" s="447"/>
      <c r="UAB6" s="447"/>
      <c r="UAC6" s="447"/>
      <c r="UAD6" s="447"/>
      <c r="UAE6" s="447"/>
      <c r="UAF6" s="447"/>
      <c r="UAG6" s="447"/>
      <c r="UAH6" s="447"/>
      <c r="UAI6" s="447"/>
      <c r="UAJ6" s="447"/>
      <c r="UAK6" s="447"/>
      <c r="UAL6" s="447"/>
      <c r="UAM6" s="447"/>
      <c r="UAN6" s="447"/>
      <c r="UAO6" s="447"/>
      <c r="UAP6" s="447"/>
      <c r="UAQ6" s="447"/>
      <c r="UAR6" s="447"/>
      <c r="UAS6" s="447"/>
      <c r="UAT6" s="447"/>
      <c r="UAU6" s="447"/>
      <c r="UAV6" s="447"/>
      <c r="UAW6" s="447"/>
      <c r="UAX6" s="447"/>
      <c r="UAY6" s="447"/>
      <c r="UAZ6" s="447"/>
      <c r="UBA6" s="447"/>
      <c r="UBB6" s="447"/>
      <c r="UBC6" s="447"/>
      <c r="UBD6" s="447"/>
      <c r="UBE6" s="447"/>
      <c r="UBF6" s="447"/>
      <c r="UBG6" s="447"/>
      <c r="UBH6" s="447"/>
      <c r="UBI6" s="447"/>
      <c r="UBJ6" s="447"/>
      <c r="UBK6" s="447"/>
      <c r="UBL6" s="447"/>
      <c r="UBM6" s="447"/>
      <c r="UBN6" s="447"/>
      <c r="UBO6" s="447"/>
      <c r="UBP6" s="447"/>
      <c r="UBQ6" s="447"/>
      <c r="UBR6" s="447"/>
      <c r="UBS6" s="447"/>
      <c r="UBT6" s="447"/>
      <c r="UBU6" s="447"/>
      <c r="UBV6" s="447"/>
      <c r="UBW6" s="447"/>
      <c r="UBX6" s="447"/>
      <c r="UBY6" s="447"/>
      <c r="UBZ6" s="447"/>
      <c r="UCA6" s="447"/>
      <c r="UCB6" s="447"/>
      <c r="UCC6" s="447"/>
      <c r="UCD6" s="447"/>
      <c r="UCE6" s="447"/>
      <c r="UCF6" s="447"/>
      <c r="UCG6" s="447"/>
      <c r="UCH6" s="447"/>
      <c r="UCI6" s="447"/>
      <c r="UCJ6" s="447"/>
      <c r="UCK6" s="447"/>
      <c r="UCL6" s="447"/>
      <c r="UCM6" s="447"/>
      <c r="UCN6" s="447"/>
      <c r="UCO6" s="447"/>
      <c r="UCP6" s="447"/>
      <c r="UCQ6" s="447"/>
      <c r="UCR6" s="447"/>
      <c r="UCS6" s="447"/>
      <c r="UCT6" s="447"/>
      <c r="UCU6" s="447"/>
      <c r="UCV6" s="447"/>
      <c r="UCW6" s="447"/>
      <c r="UCX6" s="447"/>
      <c r="UCY6" s="447"/>
      <c r="UCZ6" s="447"/>
      <c r="UDA6" s="447"/>
      <c r="UDB6" s="447"/>
      <c r="UDC6" s="447"/>
      <c r="UDD6" s="447"/>
      <c r="UDE6" s="447"/>
      <c r="UDF6" s="447"/>
      <c r="UDG6" s="447"/>
      <c r="UDH6" s="447"/>
      <c r="UDI6" s="447"/>
      <c r="UDJ6" s="447"/>
      <c r="UDK6" s="447"/>
      <c r="UDL6" s="447"/>
      <c r="UDM6" s="447"/>
      <c r="UDN6" s="447"/>
      <c r="UDO6" s="447"/>
      <c r="UDP6" s="447"/>
      <c r="UDQ6" s="447"/>
      <c r="UDR6" s="447"/>
      <c r="UDS6" s="447"/>
      <c r="UDT6" s="447"/>
      <c r="UDU6" s="447"/>
      <c r="UDV6" s="447"/>
      <c r="UDW6" s="447"/>
      <c r="UDX6" s="447"/>
      <c r="UDY6" s="447"/>
      <c r="UDZ6" s="447"/>
      <c r="UEA6" s="447"/>
      <c r="UEB6" s="447"/>
      <c r="UEC6" s="447"/>
      <c r="UED6" s="447"/>
      <c r="UEE6" s="447"/>
      <c r="UEF6" s="447"/>
      <c r="UEG6" s="447"/>
      <c r="UEH6" s="447"/>
      <c r="UEI6" s="447"/>
      <c r="UEJ6" s="447"/>
      <c r="UEK6" s="447"/>
      <c r="UEL6" s="447"/>
      <c r="UEM6" s="447"/>
      <c r="UEN6" s="447"/>
      <c r="UEO6" s="447"/>
      <c r="UEP6" s="447"/>
      <c r="UEQ6" s="447"/>
      <c r="UER6" s="447"/>
      <c r="UES6" s="447"/>
      <c r="UET6" s="447"/>
      <c r="UEU6" s="447"/>
      <c r="UEV6" s="447"/>
      <c r="UEW6" s="447"/>
      <c r="UEX6" s="447"/>
      <c r="UEY6" s="447"/>
      <c r="UEZ6" s="447"/>
      <c r="UFA6" s="447"/>
      <c r="UFB6" s="447"/>
      <c r="UFC6" s="447"/>
      <c r="UFD6" s="447"/>
      <c r="UFE6" s="447"/>
      <c r="UFF6" s="447"/>
      <c r="UFG6" s="447"/>
      <c r="UFH6" s="447"/>
      <c r="UFI6" s="447"/>
      <c r="UFJ6" s="447"/>
      <c r="UFK6" s="447"/>
      <c r="UFL6" s="447"/>
      <c r="UFM6" s="447"/>
      <c r="UFN6" s="447"/>
      <c r="UFO6" s="447"/>
      <c r="UFP6" s="447"/>
      <c r="UFQ6" s="447"/>
      <c r="UFR6" s="447"/>
      <c r="UFS6" s="447"/>
      <c r="UFT6" s="447"/>
      <c r="UFU6" s="447"/>
      <c r="UFV6" s="447"/>
      <c r="UFW6" s="447"/>
      <c r="UFX6" s="447"/>
      <c r="UFY6" s="447"/>
      <c r="UFZ6" s="447"/>
      <c r="UGA6" s="447"/>
      <c r="UGB6" s="447"/>
      <c r="UGC6" s="447"/>
      <c r="UGD6" s="447"/>
      <c r="UGE6" s="447"/>
      <c r="UGF6" s="447"/>
      <c r="UGG6" s="447"/>
      <c r="UGH6" s="447"/>
      <c r="UGI6" s="447"/>
      <c r="UGJ6" s="447"/>
      <c r="UGK6" s="447"/>
      <c r="UGL6" s="447"/>
      <c r="UGM6" s="447"/>
      <c r="UGN6" s="447"/>
      <c r="UGO6" s="447"/>
      <c r="UGP6" s="447"/>
      <c r="UGQ6" s="447"/>
      <c r="UGR6" s="447"/>
      <c r="UGS6" s="447"/>
      <c r="UGT6" s="447"/>
      <c r="UGU6" s="447"/>
      <c r="UGV6" s="447"/>
      <c r="UGW6" s="447"/>
      <c r="UGX6" s="447"/>
      <c r="UGY6" s="447"/>
      <c r="UGZ6" s="447"/>
      <c r="UHA6" s="447"/>
      <c r="UHB6" s="447"/>
      <c r="UHC6" s="447"/>
      <c r="UHD6" s="447"/>
      <c r="UHE6" s="447"/>
      <c r="UHF6" s="447"/>
      <c r="UHG6" s="447"/>
      <c r="UHH6" s="447"/>
      <c r="UHI6" s="447"/>
      <c r="UHJ6" s="447"/>
      <c r="UHK6" s="447"/>
      <c r="UHL6" s="447"/>
      <c r="UHM6" s="447"/>
      <c r="UHN6" s="447"/>
      <c r="UHO6" s="447"/>
      <c r="UHP6" s="447"/>
      <c r="UHQ6" s="447"/>
      <c r="UHR6" s="447"/>
      <c r="UHS6" s="447"/>
      <c r="UHT6" s="447"/>
      <c r="UHU6" s="447"/>
      <c r="UHV6" s="447"/>
      <c r="UHW6" s="447"/>
      <c r="UHX6" s="447"/>
      <c r="UHY6" s="447"/>
      <c r="UHZ6" s="447"/>
      <c r="UIA6" s="447"/>
      <c r="UIB6" s="447"/>
      <c r="UIC6" s="447"/>
      <c r="UID6" s="447"/>
      <c r="UIE6" s="447"/>
      <c r="UIF6" s="447"/>
      <c r="UIG6" s="447"/>
      <c r="UIH6" s="447"/>
      <c r="UII6" s="447"/>
      <c r="UIJ6" s="447"/>
      <c r="UIK6" s="447"/>
      <c r="UIL6" s="447"/>
      <c r="UIM6" s="447"/>
      <c r="UIN6" s="447"/>
      <c r="UIO6" s="447"/>
      <c r="UIP6" s="447"/>
      <c r="UIQ6" s="447"/>
      <c r="UIR6" s="447"/>
      <c r="UIS6" s="447"/>
      <c r="UIT6" s="447"/>
      <c r="UIU6" s="447"/>
      <c r="UIV6" s="447"/>
      <c r="UIW6" s="447"/>
      <c r="UIX6" s="447"/>
      <c r="UIY6" s="447"/>
      <c r="UIZ6" s="447"/>
      <c r="UJA6" s="447"/>
      <c r="UJB6" s="447"/>
      <c r="UJC6" s="447"/>
      <c r="UJD6" s="447"/>
      <c r="UJE6" s="447"/>
      <c r="UJF6" s="447"/>
      <c r="UJG6" s="447"/>
      <c r="UJH6" s="447"/>
      <c r="UJI6" s="447"/>
      <c r="UJJ6" s="447"/>
      <c r="UJK6" s="447"/>
      <c r="UJL6" s="447"/>
      <c r="UJM6" s="447"/>
      <c r="UJN6" s="447"/>
      <c r="UJO6" s="447"/>
      <c r="UJP6" s="447"/>
      <c r="UJQ6" s="447"/>
      <c r="UJR6" s="447"/>
      <c r="UJS6" s="447"/>
      <c r="UJT6" s="447"/>
      <c r="UJU6" s="447"/>
      <c r="UJV6" s="447"/>
      <c r="UJW6" s="447"/>
      <c r="UJX6" s="447"/>
      <c r="UJY6" s="447"/>
      <c r="UJZ6" s="447"/>
      <c r="UKA6" s="447"/>
      <c r="UKB6" s="447"/>
      <c r="UKC6" s="447"/>
      <c r="UKD6" s="447"/>
      <c r="UKE6" s="447"/>
      <c r="UKF6" s="447"/>
      <c r="UKG6" s="447"/>
      <c r="UKH6" s="447"/>
      <c r="UKI6" s="447"/>
      <c r="UKJ6" s="447"/>
      <c r="UKK6" s="447"/>
      <c r="UKL6" s="447"/>
      <c r="UKM6" s="447"/>
      <c r="UKN6" s="447"/>
      <c r="UKO6" s="447"/>
      <c r="UKP6" s="447"/>
      <c r="UKQ6" s="447"/>
      <c r="UKR6" s="447"/>
      <c r="UKS6" s="447"/>
      <c r="UKT6" s="447"/>
      <c r="UKU6" s="447"/>
      <c r="UKV6" s="447"/>
      <c r="UKW6" s="447"/>
      <c r="UKX6" s="447"/>
      <c r="UKY6" s="447"/>
      <c r="UKZ6" s="447"/>
      <c r="ULA6" s="447"/>
      <c r="ULB6" s="447"/>
      <c r="ULC6" s="447"/>
      <c r="ULD6" s="447"/>
      <c r="ULE6" s="447"/>
      <c r="ULF6" s="447"/>
      <c r="ULG6" s="447"/>
      <c r="ULH6" s="447"/>
      <c r="ULI6" s="447"/>
      <c r="ULJ6" s="447"/>
      <c r="ULK6" s="447"/>
      <c r="ULL6" s="447"/>
      <c r="ULM6" s="447"/>
      <c r="ULN6" s="447"/>
      <c r="ULO6" s="447"/>
      <c r="ULP6" s="447"/>
      <c r="ULQ6" s="447"/>
      <c r="ULR6" s="447"/>
      <c r="ULS6" s="447"/>
      <c r="ULT6" s="447"/>
      <c r="ULU6" s="447"/>
      <c r="ULV6" s="447"/>
      <c r="ULW6" s="447"/>
      <c r="ULX6" s="447"/>
      <c r="ULY6" s="447"/>
      <c r="ULZ6" s="447"/>
      <c r="UMA6" s="447"/>
      <c r="UMB6" s="447"/>
      <c r="UMC6" s="447"/>
      <c r="UMD6" s="447"/>
      <c r="UME6" s="447"/>
      <c r="UMF6" s="447"/>
      <c r="UMG6" s="447"/>
      <c r="UMH6" s="447"/>
      <c r="UMI6" s="447"/>
      <c r="UMJ6" s="447"/>
      <c r="UMK6" s="447"/>
      <c r="UML6" s="447"/>
      <c r="UMM6" s="447"/>
      <c r="UMN6" s="447"/>
      <c r="UMO6" s="447"/>
      <c r="UMP6" s="447"/>
      <c r="UMQ6" s="447"/>
      <c r="UMR6" s="447"/>
      <c r="UMS6" s="447"/>
      <c r="UMT6" s="447"/>
      <c r="UMU6" s="447"/>
      <c r="UMV6" s="447"/>
      <c r="UMW6" s="447"/>
      <c r="UMX6" s="447"/>
      <c r="UMY6" s="447"/>
      <c r="UMZ6" s="447"/>
      <c r="UNA6" s="447"/>
      <c r="UNB6" s="447"/>
      <c r="UNC6" s="447"/>
      <c r="UND6" s="447"/>
      <c r="UNE6" s="447"/>
      <c r="UNF6" s="447"/>
      <c r="UNG6" s="447"/>
      <c r="UNH6" s="447"/>
      <c r="UNI6" s="447"/>
      <c r="UNJ6" s="447"/>
      <c r="UNK6" s="447"/>
      <c r="UNL6" s="447"/>
      <c r="UNM6" s="447"/>
      <c r="UNN6" s="447"/>
      <c r="UNO6" s="447"/>
      <c r="UNP6" s="447"/>
      <c r="UNQ6" s="447"/>
      <c r="UNR6" s="447"/>
      <c r="UNS6" s="447"/>
      <c r="UNT6" s="447"/>
      <c r="UNU6" s="447"/>
      <c r="UNV6" s="447"/>
      <c r="UNW6" s="447"/>
      <c r="UNX6" s="447"/>
      <c r="UNY6" s="447"/>
      <c r="UNZ6" s="447"/>
      <c r="UOA6" s="447"/>
      <c r="UOB6" s="447"/>
      <c r="UOC6" s="447"/>
      <c r="UOD6" s="447"/>
      <c r="UOE6" s="447"/>
      <c r="UOF6" s="447"/>
      <c r="UOG6" s="447"/>
      <c r="UOH6" s="447"/>
      <c r="UOI6" s="447"/>
      <c r="UOJ6" s="447"/>
      <c r="UOK6" s="447"/>
      <c r="UOL6" s="447"/>
      <c r="UOM6" s="447"/>
      <c r="UON6" s="447"/>
      <c r="UOO6" s="447"/>
      <c r="UOP6" s="447"/>
      <c r="UOQ6" s="447"/>
      <c r="UOR6" s="447"/>
      <c r="UOS6" s="447"/>
      <c r="UOT6" s="447"/>
      <c r="UOU6" s="447"/>
      <c r="UOV6" s="447"/>
      <c r="UOW6" s="447"/>
      <c r="UOX6" s="447"/>
      <c r="UOY6" s="447"/>
      <c r="UOZ6" s="447"/>
      <c r="UPA6" s="447"/>
      <c r="UPB6" s="447"/>
      <c r="UPC6" s="447"/>
      <c r="UPD6" s="447"/>
      <c r="UPE6" s="447"/>
      <c r="UPF6" s="447"/>
      <c r="UPG6" s="447"/>
      <c r="UPH6" s="447"/>
      <c r="UPI6" s="447"/>
      <c r="UPJ6" s="447"/>
      <c r="UPK6" s="447"/>
      <c r="UPL6" s="447"/>
      <c r="UPM6" s="447"/>
      <c r="UPN6" s="447"/>
      <c r="UPO6" s="447"/>
      <c r="UPP6" s="447"/>
      <c r="UPQ6" s="447"/>
      <c r="UPR6" s="447"/>
      <c r="UPS6" s="447"/>
      <c r="UPT6" s="447"/>
      <c r="UPU6" s="447"/>
      <c r="UPV6" s="447"/>
      <c r="UPW6" s="447"/>
      <c r="UPX6" s="447"/>
      <c r="UPY6" s="447"/>
      <c r="UPZ6" s="447"/>
      <c r="UQA6" s="447"/>
      <c r="UQB6" s="447"/>
      <c r="UQC6" s="447"/>
      <c r="UQD6" s="447"/>
      <c r="UQE6" s="447"/>
      <c r="UQF6" s="447"/>
      <c r="UQG6" s="447"/>
      <c r="UQH6" s="447"/>
      <c r="UQI6" s="447"/>
      <c r="UQJ6" s="447"/>
      <c r="UQK6" s="447"/>
      <c r="UQL6" s="447"/>
      <c r="UQM6" s="447"/>
      <c r="UQN6" s="447"/>
      <c r="UQO6" s="447"/>
      <c r="UQP6" s="447"/>
      <c r="UQQ6" s="447"/>
      <c r="UQR6" s="447"/>
      <c r="UQS6" s="447"/>
      <c r="UQT6" s="447"/>
      <c r="UQU6" s="447"/>
      <c r="UQV6" s="447"/>
      <c r="UQW6" s="447"/>
      <c r="UQX6" s="447"/>
      <c r="UQY6" s="447"/>
      <c r="UQZ6" s="447"/>
      <c r="URA6" s="447"/>
      <c r="URB6" s="447"/>
      <c r="URC6" s="447"/>
      <c r="URD6" s="447"/>
      <c r="URE6" s="447"/>
      <c r="URF6" s="447"/>
      <c r="URG6" s="447"/>
      <c r="URH6" s="447"/>
      <c r="URI6" s="447"/>
      <c r="URJ6" s="447"/>
      <c r="URK6" s="447"/>
      <c r="URL6" s="447"/>
      <c r="URM6" s="447"/>
      <c r="URN6" s="447"/>
      <c r="URO6" s="447"/>
      <c r="URP6" s="447"/>
      <c r="URQ6" s="447"/>
      <c r="URR6" s="447"/>
      <c r="URS6" s="447"/>
      <c r="URT6" s="447"/>
      <c r="URU6" s="447"/>
      <c r="URV6" s="447"/>
      <c r="URW6" s="447"/>
      <c r="URX6" s="447"/>
      <c r="URY6" s="447"/>
      <c r="URZ6" s="447"/>
      <c r="USA6" s="447"/>
      <c r="USB6" s="447"/>
      <c r="USC6" s="447"/>
      <c r="USD6" s="447"/>
      <c r="USE6" s="447"/>
      <c r="USF6" s="447"/>
      <c r="USG6" s="447"/>
      <c r="USH6" s="447"/>
      <c r="USI6" s="447"/>
      <c r="USJ6" s="447"/>
      <c r="USK6" s="447"/>
      <c r="USL6" s="447"/>
      <c r="USM6" s="447"/>
      <c r="USN6" s="447"/>
      <c r="USO6" s="447"/>
      <c r="USP6" s="447"/>
      <c r="USQ6" s="447"/>
      <c r="USR6" s="447"/>
      <c r="USS6" s="447"/>
      <c r="UST6" s="447"/>
      <c r="USU6" s="447"/>
      <c r="USV6" s="447"/>
      <c r="USW6" s="447"/>
      <c r="USX6" s="447"/>
      <c r="USY6" s="447"/>
      <c r="USZ6" s="447"/>
      <c r="UTA6" s="447"/>
      <c r="UTB6" s="447"/>
      <c r="UTC6" s="447"/>
      <c r="UTD6" s="447"/>
      <c r="UTE6" s="447"/>
      <c r="UTF6" s="447"/>
      <c r="UTG6" s="447"/>
      <c r="UTH6" s="447"/>
      <c r="UTI6" s="447"/>
      <c r="UTJ6" s="447"/>
      <c r="UTK6" s="447"/>
      <c r="UTL6" s="447"/>
      <c r="UTM6" s="447"/>
      <c r="UTN6" s="447"/>
      <c r="UTO6" s="447"/>
      <c r="UTP6" s="447"/>
      <c r="UTQ6" s="447"/>
      <c r="UTR6" s="447"/>
      <c r="UTS6" s="447"/>
      <c r="UTT6" s="447"/>
      <c r="UTU6" s="447"/>
      <c r="UTV6" s="447"/>
      <c r="UTW6" s="447"/>
      <c r="UTX6" s="447"/>
      <c r="UTY6" s="447"/>
      <c r="UTZ6" s="447"/>
      <c r="UUA6" s="447"/>
      <c r="UUB6" s="447"/>
      <c r="UUC6" s="447"/>
      <c r="UUD6" s="447"/>
      <c r="UUE6" s="447"/>
      <c r="UUF6" s="447"/>
      <c r="UUG6" s="447"/>
      <c r="UUH6" s="447"/>
      <c r="UUI6" s="447"/>
      <c r="UUJ6" s="447"/>
      <c r="UUK6" s="447"/>
      <c r="UUL6" s="447"/>
      <c r="UUM6" s="447"/>
      <c r="UUN6" s="447"/>
      <c r="UUO6" s="447"/>
      <c r="UUP6" s="447"/>
      <c r="UUQ6" s="447"/>
      <c r="UUR6" s="447"/>
      <c r="UUS6" s="447"/>
      <c r="UUT6" s="447"/>
      <c r="UUU6" s="447"/>
      <c r="UUV6" s="447"/>
      <c r="UUW6" s="447"/>
      <c r="UUX6" s="447"/>
      <c r="UUY6" s="447"/>
      <c r="UUZ6" s="447"/>
      <c r="UVA6" s="447"/>
      <c r="UVB6" s="447"/>
      <c r="UVC6" s="447"/>
      <c r="UVD6" s="447"/>
      <c r="UVE6" s="447"/>
      <c r="UVF6" s="447"/>
      <c r="UVG6" s="447"/>
      <c r="UVH6" s="447"/>
      <c r="UVI6" s="447"/>
      <c r="UVJ6" s="447"/>
      <c r="UVK6" s="447"/>
      <c r="UVL6" s="447"/>
      <c r="UVM6" s="447"/>
      <c r="UVN6" s="447"/>
      <c r="UVO6" s="447"/>
      <c r="UVP6" s="447"/>
      <c r="UVQ6" s="447"/>
      <c r="UVR6" s="447"/>
      <c r="UVS6" s="447"/>
      <c r="UVT6" s="447"/>
      <c r="UVU6" s="447"/>
      <c r="UVV6" s="447"/>
      <c r="UVW6" s="447"/>
      <c r="UVX6" s="447"/>
      <c r="UVY6" s="447"/>
      <c r="UVZ6" s="447"/>
      <c r="UWA6" s="447"/>
      <c r="UWB6" s="447"/>
      <c r="UWC6" s="447"/>
      <c r="UWD6" s="447"/>
      <c r="UWE6" s="447"/>
      <c r="UWF6" s="447"/>
      <c r="UWG6" s="447"/>
      <c r="UWH6" s="447"/>
      <c r="UWI6" s="447"/>
      <c r="UWJ6" s="447"/>
      <c r="UWK6" s="447"/>
      <c r="UWL6" s="447"/>
      <c r="UWM6" s="447"/>
      <c r="UWN6" s="447"/>
      <c r="UWO6" s="447"/>
      <c r="UWP6" s="447"/>
      <c r="UWQ6" s="447"/>
      <c r="UWR6" s="447"/>
      <c r="UWS6" s="447"/>
      <c r="UWT6" s="447"/>
      <c r="UWU6" s="447"/>
      <c r="UWV6" s="447"/>
      <c r="UWW6" s="447"/>
      <c r="UWX6" s="447"/>
      <c r="UWY6" s="447"/>
      <c r="UWZ6" s="447"/>
      <c r="UXA6" s="447"/>
      <c r="UXB6" s="447"/>
      <c r="UXC6" s="447"/>
      <c r="UXD6" s="447"/>
      <c r="UXE6" s="447"/>
      <c r="UXF6" s="447"/>
      <c r="UXG6" s="447"/>
      <c r="UXH6" s="447"/>
      <c r="UXI6" s="447"/>
      <c r="UXJ6" s="447"/>
      <c r="UXK6" s="447"/>
      <c r="UXL6" s="447"/>
      <c r="UXM6" s="447"/>
      <c r="UXN6" s="447"/>
      <c r="UXO6" s="447"/>
      <c r="UXP6" s="447"/>
      <c r="UXQ6" s="447"/>
      <c r="UXR6" s="447"/>
      <c r="UXS6" s="447"/>
      <c r="UXT6" s="447"/>
      <c r="UXU6" s="447"/>
      <c r="UXV6" s="447"/>
      <c r="UXW6" s="447"/>
      <c r="UXX6" s="447"/>
      <c r="UXY6" s="447"/>
      <c r="UXZ6" s="447"/>
      <c r="UYA6" s="447"/>
      <c r="UYB6" s="447"/>
      <c r="UYC6" s="447"/>
      <c r="UYD6" s="447"/>
      <c r="UYE6" s="447"/>
      <c r="UYF6" s="447"/>
      <c r="UYG6" s="447"/>
      <c r="UYH6" s="447"/>
      <c r="UYI6" s="447"/>
      <c r="UYJ6" s="447"/>
      <c r="UYK6" s="447"/>
      <c r="UYL6" s="447"/>
      <c r="UYM6" s="447"/>
      <c r="UYN6" s="447"/>
      <c r="UYO6" s="447"/>
      <c r="UYP6" s="447"/>
      <c r="UYQ6" s="447"/>
      <c r="UYR6" s="447"/>
      <c r="UYS6" s="447"/>
      <c r="UYT6" s="447"/>
      <c r="UYU6" s="447"/>
      <c r="UYV6" s="447"/>
      <c r="UYW6" s="447"/>
      <c r="UYX6" s="447"/>
      <c r="UYY6" s="447"/>
      <c r="UYZ6" s="447"/>
      <c r="UZA6" s="447"/>
      <c r="UZB6" s="447"/>
      <c r="UZC6" s="447"/>
      <c r="UZD6" s="447"/>
      <c r="UZE6" s="447"/>
      <c r="UZF6" s="447"/>
      <c r="UZG6" s="447"/>
      <c r="UZH6" s="447"/>
      <c r="UZI6" s="447"/>
      <c r="UZJ6" s="447"/>
      <c r="UZK6" s="447"/>
      <c r="UZL6" s="447"/>
      <c r="UZM6" s="447"/>
      <c r="UZN6" s="447"/>
      <c r="UZO6" s="447"/>
      <c r="UZP6" s="447"/>
      <c r="UZQ6" s="447"/>
      <c r="UZR6" s="447"/>
      <c r="UZS6" s="447"/>
      <c r="UZT6" s="447"/>
      <c r="UZU6" s="447"/>
      <c r="UZV6" s="447"/>
      <c r="UZW6" s="447"/>
      <c r="UZX6" s="447"/>
      <c r="UZY6" s="447"/>
      <c r="UZZ6" s="447"/>
      <c r="VAA6" s="447"/>
      <c r="VAB6" s="447"/>
      <c r="VAC6" s="447"/>
      <c r="VAD6" s="447"/>
      <c r="VAE6" s="447"/>
      <c r="VAF6" s="447"/>
      <c r="VAG6" s="447"/>
      <c r="VAH6" s="447"/>
      <c r="VAI6" s="447"/>
      <c r="VAJ6" s="447"/>
      <c r="VAK6" s="447"/>
      <c r="VAL6" s="447"/>
      <c r="VAM6" s="447"/>
      <c r="VAN6" s="447"/>
      <c r="VAO6" s="447"/>
      <c r="VAP6" s="447"/>
      <c r="VAQ6" s="447"/>
      <c r="VAR6" s="447"/>
      <c r="VAS6" s="447"/>
      <c r="VAT6" s="447"/>
      <c r="VAU6" s="447"/>
      <c r="VAV6" s="447"/>
      <c r="VAW6" s="447"/>
      <c r="VAX6" s="447"/>
      <c r="VAY6" s="447"/>
      <c r="VAZ6" s="447"/>
      <c r="VBA6" s="447"/>
      <c r="VBB6" s="447"/>
      <c r="VBC6" s="447"/>
      <c r="VBD6" s="447"/>
      <c r="VBE6" s="447"/>
      <c r="VBF6" s="447"/>
      <c r="VBG6" s="447"/>
      <c r="VBH6" s="447"/>
      <c r="VBI6" s="447"/>
      <c r="VBJ6" s="447"/>
      <c r="VBK6" s="447"/>
      <c r="VBL6" s="447"/>
      <c r="VBM6" s="447"/>
      <c r="VBN6" s="447"/>
      <c r="VBO6" s="447"/>
      <c r="VBP6" s="447"/>
      <c r="VBQ6" s="447"/>
      <c r="VBR6" s="447"/>
      <c r="VBS6" s="447"/>
      <c r="VBT6" s="447"/>
      <c r="VBU6" s="447"/>
      <c r="VBV6" s="447"/>
      <c r="VBW6" s="447"/>
      <c r="VBX6" s="447"/>
      <c r="VBY6" s="447"/>
      <c r="VBZ6" s="447"/>
      <c r="VCA6" s="447"/>
      <c r="VCB6" s="447"/>
      <c r="VCC6" s="447"/>
      <c r="VCD6" s="447"/>
      <c r="VCE6" s="447"/>
      <c r="VCF6" s="447"/>
      <c r="VCG6" s="447"/>
      <c r="VCH6" s="447"/>
      <c r="VCI6" s="447"/>
      <c r="VCJ6" s="447"/>
      <c r="VCK6" s="447"/>
      <c r="VCL6" s="447"/>
      <c r="VCM6" s="447"/>
      <c r="VCN6" s="447"/>
      <c r="VCO6" s="447"/>
      <c r="VCP6" s="447"/>
      <c r="VCQ6" s="447"/>
      <c r="VCR6" s="447"/>
      <c r="VCS6" s="447"/>
      <c r="VCT6" s="447"/>
      <c r="VCU6" s="447"/>
      <c r="VCV6" s="447"/>
      <c r="VCW6" s="447"/>
      <c r="VCX6" s="447"/>
      <c r="VCY6" s="447"/>
      <c r="VCZ6" s="447"/>
      <c r="VDA6" s="447"/>
      <c r="VDB6" s="447"/>
      <c r="VDC6" s="447"/>
      <c r="VDD6" s="447"/>
      <c r="VDE6" s="447"/>
      <c r="VDF6" s="447"/>
      <c r="VDG6" s="447"/>
      <c r="VDH6" s="447"/>
      <c r="VDI6" s="447"/>
      <c r="VDJ6" s="447"/>
      <c r="VDK6" s="447"/>
      <c r="VDL6" s="447"/>
      <c r="VDM6" s="447"/>
      <c r="VDN6" s="447"/>
      <c r="VDO6" s="447"/>
      <c r="VDP6" s="447"/>
      <c r="VDQ6" s="447"/>
      <c r="VDR6" s="447"/>
      <c r="VDS6" s="447"/>
      <c r="VDT6" s="447"/>
      <c r="VDU6" s="447"/>
      <c r="VDV6" s="447"/>
      <c r="VDW6" s="447"/>
      <c r="VDX6" s="447"/>
      <c r="VDY6" s="447"/>
      <c r="VDZ6" s="447"/>
      <c r="VEA6" s="447"/>
      <c r="VEB6" s="447"/>
      <c r="VEC6" s="447"/>
      <c r="VED6" s="447"/>
      <c r="VEE6" s="447"/>
      <c r="VEF6" s="447"/>
      <c r="VEG6" s="447"/>
      <c r="VEH6" s="447"/>
      <c r="VEI6" s="447"/>
      <c r="VEJ6" s="447"/>
      <c r="VEK6" s="447"/>
      <c r="VEL6" s="447"/>
      <c r="VEM6" s="447"/>
      <c r="VEN6" s="447"/>
      <c r="VEO6" s="447"/>
      <c r="VEP6" s="447"/>
      <c r="VEQ6" s="447"/>
      <c r="VER6" s="447"/>
      <c r="VES6" s="447"/>
      <c r="VET6" s="447"/>
      <c r="VEU6" s="447"/>
      <c r="VEV6" s="447"/>
      <c r="VEW6" s="447"/>
      <c r="VEX6" s="447"/>
      <c r="VEY6" s="447"/>
      <c r="VEZ6" s="447"/>
      <c r="VFA6" s="447"/>
      <c r="VFB6" s="447"/>
      <c r="VFC6" s="447"/>
      <c r="VFD6" s="447"/>
      <c r="VFE6" s="447"/>
      <c r="VFF6" s="447"/>
      <c r="VFG6" s="447"/>
      <c r="VFH6" s="447"/>
      <c r="VFI6" s="447"/>
      <c r="VFJ6" s="447"/>
      <c r="VFK6" s="447"/>
      <c r="VFL6" s="447"/>
      <c r="VFM6" s="447"/>
      <c r="VFN6" s="447"/>
      <c r="VFO6" s="447"/>
      <c r="VFP6" s="447"/>
      <c r="VFQ6" s="447"/>
      <c r="VFR6" s="447"/>
      <c r="VFS6" s="447"/>
      <c r="VFT6" s="447"/>
      <c r="VFU6" s="447"/>
      <c r="VFV6" s="447"/>
      <c r="VFW6" s="447"/>
      <c r="VFX6" s="447"/>
      <c r="VFY6" s="447"/>
      <c r="VFZ6" s="447"/>
      <c r="VGA6" s="447"/>
      <c r="VGB6" s="447"/>
      <c r="VGC6" s="447"/>
      <c r="VGD6" s="447"/>
      <c r="VGE6" s="447"/>
      <c r="VGF6" s="447"/>
      <c r="VGG6" s="447"/>
      <c r="VGH6" s="447"/>
      <c r="VGI6" s="447"/>
      <c r="VGJ6" s="447"/>
      <c r="VGK6" s="447"/>
      <c r="VGL6" s="447"/>
      <c r="VGM6" s="447"/>
      <c r="VGN6" s="447"/>
      <c r="VGO6" s="447"/>
      <c r="VGP6" s="447"/>
      <c r="VGQ6" s="447"/>
      <c r="VGR6" s="447"/>
      <c r="VGS6" s="447"/>
      <c r="VGT6" s="447"/>
      <c r="VGU6" s="447"/>
      <c r="VGV6" s="447"/>
      <c r="VGW6" s="447"/>
      <c r="VGX6" s="447"/>
      <c r="VGY6" s="447"/>
      <c r="VGZ6" s="447"/>
      <c r="VHA6" s="447"/>
      <c r="VHB6" s="447"/>
      <c r="VHC6" s="447"/>
      <c r="VHD6" s="447"/>
      <c r="VHE6" s="447"/>
      <c r="VHF6" s="447"/>
      <c r="VHG6" s="447"/>
      <c r="VHH6" s="447"/>
      <c r="VHI6" s="447"/>
      <c r="VHJ6" s="447"/>
      <c r="VHK6" s="447"/>
      <c r="VHL6" s="447"/>
      <c r="VHM6" s="447"/>
      <c r="VHN6" s="447"/>
      <c r="VHO6" s="447"/>
      <c r="VHP6" s="447"/>
      <c r="VHQ6" s="447"/>
      <c r="VHR6" s="447"/>
      <c r="VHS6" s="447"/>
      <c r="VHT6" s="447"/>
      <c r="VHU6" s="447"/>
      <c r="VHV6" s="447"/>
      <c r="VHW6" s="447"/>
      <c r="VHX6" s="447"/>
      <c r="VHY6" s="447"/>
      <c r="VHZ6" s="447"/>
      <c r="VIA6" s="447"/>
      <c r="VIB6" s="447"/>
      <c r="VIC6" s="447"/>
      <c r="VID6" s="447"/>
      <c r="VIE6" s="447"/>
      <c r="VIF6" s="447"/>
      <c r="VIG6" s="447"/>
      <c r="VIH6" s="447"/>
      <c r="VII6" s="447"/>
      <c r="VIJ6" s="447"/>
      <c r="VIK6" s="447"/>
      <c r="VIL6" s="447"/>
      <c r="VIM6" s="447"/>
      <c r="VIN6" s="447"/>
      <c r="VIO6" s="447"/>
      <c r="VIP6" s="447"/>
      <c r="VIQ6" s="447"/>
      <c r="VIR6" s="447"/>
      <c r="VIS6" s="447"/>
      <c r="VIT6" s="447"/>
      <c r="VIU6" s="447"/>
      <c r="VIV6" s="447"/>
      <c r="VIW6" s="447"/>
      <c r="VIX6" s="447"/>
      <c r="VIY6" s="447"/>
      <c r="VIZ6" s="447"/>
      <c r="VJA6" s="447"/>
      <c r="VJB6" s="447"/>
      <c r="VJC6" s="447"/>
      <c r="VJD6" s="447"/>
      <c r="VJE6" s="447"/>
      <c r="VJF6" s="447"/>
      <c r="VJG6" s="447"/>
      <c r="VJH6" s="447"/>
      <c r="VJI6" s="447"/>
      <c r="VJJ6" s="447"/>
      <c r="VJK6" s="447"/>
      <c r="VJL6" s="447"/>
      <c r="VJM6" s="447"/>
      <c r="VJN6" s="447"/>
      <c r="VJO6" s="447"/>
      <c r="VJP6" s="447"/>
      <c r="VJQ6" s="447"/>
      <c r="VJR6" s="447"/>
      <c r="VJS6" s="447"/>
      <c r="VJT6" s="447"/>
      <c r="VJU6" s="447"/>
      <c r="VJV6" s="447"/>
      <c r="VJW6" s="447"/>
      <c r="VJX6" s="447"/>
      <c r="VJY6" s="447"/>
      <c r="VJZ6" s="447"/>
      <c r="VKA6" s="447"/>
      <c r="VKB6" s="447"/>
      <c r="VKC6" s="447"/>
      <c r="VKD6" s="447"/>
      <c r="VKE6" s="447"/>
      <c r="VKF6" s="447"/>
      <c r="VKG6" s="447"/>
      <c r="VKH6" s="447"/>
      <c r="VKI6" s="447"/>
      <c r="VKJ6" s="447"/>
      <c r="VKK6" s="447"/>
      <c r="VKL6" s="447"/>
      <c r="VKM6" s="447"/>
      <c r="VKN6" s="447"/>
      <c r="VKO6" s="447"/>
      <c r="VKP6" s="447"/>
      <c r="VKQ6" s="447"/>
      <c r="VKR6" s="447"/>
      <c r="VKS6" s="447"/>
      <c r="VKT6" s="447"/>
      <c r="VKU6" s="447"/>
      <c r="VKV6" s="447"/>
      <c r="VKW6" s="447"/>
      <c r="VKX6" s="447"/>
      <c r="VKY6" s="447"/>
      <c r="VKZ6" s="447"/>
      <c r="VLA6" s="447"/>
      <c r="VLB6" s="447"/>
      <c r="VLC6" s="447"/>
      <c r="VLD6" s="447"/>
      <c r="VLE6" s="447"/>
      <c r="VLF6" s="447"/>
      <c r="VLG6" s="447"/>
      <c r="VLH6" s="447"/>
      <c r="VLI6" s="447"/>
      <c r="VLJ6" s="447"/>
      <c r="VLK6" s="447"/>
      <c r="VLL6" s="447"/>
      <c r="VLM6" s="447"/>
      <c r="VLN6" s="447"/>
      <c r="VLO6" s="447"/>
      <c r="VLP6" s="447"/>
      <c r="VLQ6" s="447"/>
      <c r="VLR6" s="447"/>
      <c r="VLS6" s="447"/>
      <c r="VLT6" s="447"/>
      <c r="VLU6" s="447"/>
      <c r="VLV6" s="447"/>
      <c r="VLW6" s="447"/>
      <c r="VLX6" s="447"/>
      <c r="VLY6" s="447"/>
      <c r="VLZ6" s="447"/>
      <c r="VMA6" s="447"/>
      <c r="VMB6" s="447"/>
      <c r="VMC6" s="447"/>
      <c r="VMD6" s="447"/>
      <c r="VME6" s="447"/>
      <c r="VMF6" s="447"/>
      <c r="VMG6" s="447"/>
      <c r="VMH6" s="447"/>
      <c r="VMI6" s="447"/>
      <c r="VMJ6" s="447"/>
      <c r="VMK6" s="447"/>
      <c r="VML6" s="447"/>
      <c r="VMM6" s="447"/>
      <c r="VMN6" s="447"/>
      <c r="VMO6" s="447"/>
      <c r="VMP6" s="447"/>
      <c r="VMQ6" s="447"/>
      <c r="VMR6" s="447"/>
      <c r="VMS6" s="447"/>
      <c r="VMT6" s="447"/>
      <c r="VMU6" s="447"/>
      <c r="VMV6" s="447"/>
      <c r="VMW6" s="447"/>
      <c r="VMX6" s="447"/>
      <c r="VMY6" s="447"/>
      <c r="VMZ6" s="447"/>
      <c r="VNA6" s="447"/>
      <c r="VNB6" s="447"/>
      <c r="VNC6" s="447"/>
      <c r="VND6" s="447"/>
      <c r="VNE6" s="447"/>
      <c r="VNF6" s="447"/>
      <c r="VNG6" s="447"/>
      <c r="VNH6" s="447"/>
      <c r="VNI6" s="447"/>
      <c r="VNJ6" s="447"/>
      <c r="VNK6" s="447"/>
      <c r="VNL6" s="447"/>
      <c r="VNM6" s="447"/>
      <c r="VNN6" s="447"/>
      <c r="VNO6" s="447"/>
      <c r="VNP6" s="447"/>
      <c r="VNQ6" s="447"/>
      <c r="VNR6" s="447"/>
      <c r="VNS6" s="447"/>
      <c r="VNT6" s="447"/>
      <c r="VNU6" s="447"/>
      <c r="VNV6" s="447"/>
      <c r="VNW6" s="447"/>
      <c r="VNX6" s="447"/>
      <c r="VNY6" s="447"/>
      <c r="VNZ6" s="447"/>
      <c r="VOA6" s="447"/>
      <c r="VOB6" s="447"/>
      <c r="VOC6" s="447"/>
      <c r="VOD6" s="447"/>
      <c r="VOE6" s="447"/>
      <c r="VOF6" s="447"/>
      <c r="VOG6" s="447"/>
      <c r="VOH6" s="447"/>
      <c r="VOI6" s="447"/>
      <c r="VOJ6" s="447"/>
      <c r="VOK6" s="447"/>
      <c r="VOL6" s="447"/>
      <c r="VOM6" s="447"/>
      <c r="VON6" s="447"/>
      <c r="VOO6" s="447"/>
      <c r="VOP6" s="447"/>
      <c r="VOQ6" s="447"/>
      <c r="VOR6" s="447"/>
      <c r="VOS6" s="447"/>
      <c r="VOT6" s="447"/>
      <c r="VOU6" s="447"/>
      <c r="VOV6" s="447"/>
      <c r="VOW6" s="447"/>
      <c r="VOX6" s="447"/>
      <c r="VOY6" s="447"/>
      <c r="VOZ6" s="447"/>
      <c r="VPA6" s="447"/>
      <c r="VPB6" s="447"/>
      <c r="VPC6" s="447"/>
      <c r="VPD6" s="447"/>
      <c r="VPE6" s="447"/>
      <c r="VPF6" s="447"/>
      <c r="VPG6" s="447"/>
      <c r="VPH6" s="447"/>
      <c r="VPI6" s="447"/>
      <c r="VPJ6" s="447"/>
      <c r="VPK6" s="447"/>
      <c r="VPL6" s="447"/>
      <c r="VPM6" s="447"/>
      <c r="VPN6" s="447"/>
      <c r="VPO6" s="447"/>
      <c r="VPP6" s="447"/>
      <c r="VPQ6" s="447"/>
      <c r="VPR6" s="447"/>
      <c r="VPS6" s="447"/>
      <c r="VPT6" s="447"/>
      <c r="VPU6" s="447"/>
      <c r="VPV6" s="447"/>
      <c r="VPW6" s="447"/>
      <c r="VPX6" s="447"/>
      <c r="VPY6" s="447"/>
      <c r="VPZ6" s="447"/>
      <c r="VQA6" s="447"/>
      <c r="VQB6" s="447"/>
      <c r="VQC6" s="447"/>
      <c r="VQD6" s="447"/>
      <c r="VQE6" s="447"/>
      <c r="VQF6" s="447"/>
      <c r="VQG6" s="447"/>
      <c r="VQH6" s="447"/>
      <c r="VQI6" s="447"/>
      <c r="VQJ6" s="447"/>
      <c r="VQK6" s="447"/>
      <c r="VQL6" s="447"/>
      <c r="VQM6" s="447"/>
      <c r="VQN6" s="447"/>
      <c r="VQO6" s="447"/>
      <c r="VQP6" s="447"/>
      <c r="VQQ6" s="447"/>
      <c r="VQR6" s="447"/>
      <c r="VQS6" s="447"/>
      <c r="VQT6" s="447"/>
      <c r="VQU6" s="447"/>
      <c r="VQV6" s="447"/>
      <c r="VQW6" s="447"/>
      <c r="VQX6" s="447"/>
      <c r="VQY6" s="447"/>
      <c r="VQZ6" s="447"/>
      <c r="VRA6" s="447"/>
      <c r="VRB6" s="447"/>
      <c r="VRC6" s="447"/>
      <c r="VRD6" s="447"/>
      <c r="VRE6" s="447"/>
      <c r="VRF6" s="447"/>
      <c r="VRG6" s="447"/>
      <c r="VRH6" s="447"/>
      <c r="VRI6" s="447"/>
      <c r="VRJ6" s="447"/>
      <c r="VRK6" s="447"/>
      <c r="VRL6" s="447"/>
      <c r="VRM6" s="447"/>
      <c r="VRN6" s="447"/>
      <c r="VRO6" s="447"/>
      <c r="VRP6" s="447"/>
      <c r="VRQ6" s="447"/>
      <c r="VRR6" s="447"/>
      <c r="VRS6" s="447"/>
      <c r="VRT6" s="447"/>
      <c r="VRU6" s="447"/>
      <c r="VRV6" s="447"/>
      <c r="VRW6" s="447"/>
      <c r="VRX6" s="447"/>
      <c r="VRY6" s="447"/>
      <c r="VRZ6" s="447"/>
      <c r="VSA6" s="447"/>
      <c r="VSB6" s="447"/>
      <c r="VSC6" s="447"/>
      <c r="VSD6" s="447"/>
      <c r="VSE6" s="447"/>
      <c r="VSF6" s="447"/>
      <c r="VSG6" s="447"/>
      <c r="VSH6" s="447"/>
      <c r="VSI6" s="447"/>
      <c r="VSJ6" s="447"/>
      <c r="VSK6" s="447"/>
      <c r="VSL6" s="447"/>
      <c r="VSM6" s="447"/>
      <c r="VSN6" s="447"/>
      <c r="VSO6" s="447"/>
      <c r="VSP6" s="447"/>
      <c r="VSQ6" s="447"/>
      <c r="VSR6" s="447"/>
      <c r="VSS6" s="447"/>
      <c r="VST6" s="447"/>
      <c r="VSU6" s="447"/>
      <c r="VSV6" s="447"/>
      <c r="VSW6" s="447"/>
      <c r="VSX6" s="447"/>
      <c r="VSY6" s="447"/>
      <c r="VSZ6" s="447"/>
      <c r="VTA6" s="447"/>
      <c r="VTB6" s="447"/>
      <c r="VTC6" s="447"/>
      <c r="VTD6" s="447"/>
      <c r="VTE6" s="447"/>
      <c r="VTF6" s="447"/>
      <c r="VTG6" s="447"/>
      <c r="VTH6" s="447"/>
      <c r="VTI6" s="447"/>
      <c r="VTJ6" s="447"/>
      <c r="VTK6" s="447"/>
      <c r="VTL6" s="447"/>
      <c r="VTM6" s="447"/>
      <c r="VTN6" s="447"/>
      <c r="VTO6" s="447"/>
      <c r="VTP6" s="447"/>
      <c r="VTQ6" s="447"/>
      <c r="VTR6" s="447"/>
      <c r="VTS6" s="447"/>
      <c r="VTT6" s="447"/>
      <c r="VTU6" s="447"/>
      <c r="VTV6" s="447"/>
      <c r="VTW6" s="447"/>
      <c r="VTX6" s="447"/>
      <c r="VTY6" s="447"/>
      <c r="VTZ6" s="447"/>
      <c r="VUA6" s="447"/>
      <c r="VUB6" s="447"/>
      <c r="VUC6" s="447"/>
      <c r="VUD6" s="447"/>
      <c r="VUE6" s="447"/>
      <c r="VUF6" s="447"/>
      <c r="VUG6" s="447"/>
      <c r="VUH6" s="447"/>
      <c r="VUI6" s="447"/>
      <c r="VUJ6" s="447"/>
      <c r="VUK6" s="447"/>
      <c r="VUL6" s="447"/>
      <c r="VUM6" s="447"/>
      <c r="VUN6" s="447"/>
      <c r="VUO6" s="447"/>
      <c r="VUP6" s="447"/>
      <c r="VUQ6" s="447"/>
      <c r="VUR6" s="447"/>
      <c r="VUS6" s="447"/>
      <c r="VUT6" s="447"/>
      <c r="VUU6" s="447"/>
      <c r="VUV6" s="447"/>
      <c r="VUW6" s="447"/>
      <c r="VUX6" s="447"/>
      <c r="VUY6" s="447"/>
      <c r="VUZ6" s="447"/>
      <c r="VVA6" s="447"/>
      <c r="VVB6" s="447"/>
      <c r="VVC6" s="447"/>
      <c r="VVD6" s="447"/>
      <c r="VVE6" s="447"/>
      <c r="VVF6" s="447"/>
      <c r="VVG6" s="447"/>
      <c r="VVH6" s="447"/>
      <c r="VVI6" s="447"/>
      <c r="VVJ6" s="447"/>
      <c r="VVK6" s="447"/>
      <c r="VVL6" s="447"/>
      <c r="VVM6" s="447"/>
      <c r="VVN6" s="447"/>
      <c r="VVO6" s="447"/>
      <c r="VVP6" s="447"/>
      <c r="VVQ6" s="447"/>
      <c r="VVR6" s="447"/>
      <c r="VVS6" s="447"/>
      <c r="VVT6" s="447"/>
      <c r="VVU6" s="447"/>
      <c r="VVV6" s="447"/>
      <c r="VVW6" s="447"/>
      <c r="VVX6" s="447"/>
      <c r="VVY6" s="447"/>
      <c r="VVZ6" s="447"/>
      <c r="VWA6" s="447"/>
      <c r="VWB6" s="447"/>
      <c r="VWC6" s="447"/>
      <c r="VWD6" s="447"/>
      <c r="VWE6" s="447"/>
      <c r="VWF6" s="447"/>
      <c r="VWG6" s="447"/>
      <c r="VWH6" s="447"/>
      <c r="VWI6" s="447"/>
      <c r="VWJ6" s="447"/>
      <c r="VWK6" s="447"/>
      <c r="VWL6" s="447"/>
      <c r="VWM6" s="447"/>
      <c r="VWN6" s="447"/>
      <c r="VWO6" s="447"/>
      <c r="VWP6" s="447"/>
      <c r="VWQ6" s="447"/>
      <c r="VWR6" s="447"/>
      <c r="VWS6" s="447"/>
      <c r="VWT6" s="447"/>
      <c r="VWU6" s="447"/>
      <c r="VWV6" s="447"/>
      <c r="VWW6" s="447"/>
      <c r="VWX6" s="447"/>
      <c r="VWY6" s="447"/>
      <c r="VWZ6" s="447"/>
      <c r="VXA6" s="447"/>
      <c r="VXB6" s="447"/>
      <c r="VXC6" s="447"/>
      <c r="VXD6" s="447"/>
      <c r="VXE6" s="447"/>
      <c r="VXF6" s="447"/>
      <c r="VXG6" s="447"/>
      <c r="VXH6" s="447"/>
      <c r="VXI6" s="447"/>
      <c r="VXJ6" s="447"/>
      <c r="VXK6" s="447"/>
      <c r="VXL6" s="447"/>
      <c r="VXM6" s="447"/>
      <c r="VXN6" s="447"/>
      <c r="VXO6" s="447"/>
      <c r="VXP6" s="447"/>
      <c r="VXQ6" s="447"/>
      <c r="VXR6" s="447"/>
      <c r="VXS6" s="447"/>
      <c r="VXT6" s="447"/>
      <c r="VXU6" s="447"/>
      <c r="VXV6" s="447"/>
      <c r="VXW6" s="447"/>
      <c r="VXX6" s="447"/>
      <c r="VXY6" s="447"/>
      <c r="VXZ6" s="447"/>
      <c r="VYA6" s="447"/>
      <c r="VYB6" s="447"/>
      <c r="VYC6" s="447"/>
      <c r="VYD6" s="447"/>
      <c r="VYE6" s="447"/>
      <c r="VYF6" s="447"/>
      <c r="VYG6" s="447"/>
      <c r="VYH6" s="447"/>
      <c r="VYI6" s="447"/>
      <c r="VYJ6" s="447"/>
      <c r="VYK6" s="447"/>
      <c r="VYL6" s="447"/>
      <c r="VYM6" s="447"/>
      <c r="VYN6" s="447"/>
      <c r="VYO6" s="447"/>
      <c r="VYP6" s="447"/>
      <c r="VYQ6" s="447"/>
      <c r="VYR6" s="447"/>
      <c r="VYS6" s="447"/>
      <c r="VYT6" s="447"/>
      <c r="VYU6" s="447"/>
      <c r="VYV6" s="447"/>
      <c r="VYW6" s="447"/>
      <c r="VYX6" s="447"/>
      <c r="VYY6" s="447"/>
      <c r="VYZ6" s="447"/>
      <c r="VZA6" s="447"/>
      <c r="VZB6" s="447"/>
      <c r="VZC6" s="447"/>
      <c r="VZD6" s="447"/>
      <c r="VZE6" s="447"/>
      <c r="VZF6" s="447"/>
      <c r="VZG6" s="447"/>
      <c r="VZH6" s="447"/>
      <c r="VZI6" s="447"/>
      <c r="VZJ6" s="447"/>
      <c r="VZK6" s="447"/>
      <c r="VZL6" s="447"/>
      <c r="VZM6" s="447"/>
      <c r="VZN6" s="447"/>
      <c r="VZO6" s="447"/>
      <c r="VZP6" s="447"/>
      <c r="VZQ6" s="447"/>
      <c r="VZR6" s="447"/>
      <c r="VZS6" s="447"/>
      <c r="VZT6" s="447"/>
      <c r="VZU6" s="447"/>
      <c r="VZV6" s="447"/>
      <c r="VZW6" s="447"/>
      <c r="VZX6" s="447"/>
      <c r="VZY6" s="447"/>
      <c r="VZZ6" s="447"/>
      <c r="WAA6" s="447"/>
      <c r="WAB6" s="447"/>
      <c r="WAC6" s="447"/>
      <c r="WAD6" s="447"/>
      <c r="WAE6" s="447"/>
      <c r="WAF6" s="447"/>
      <c r="WAG6" s="447"/>
      <c r="WAH6" s="447"/>
      <c r="WAI6" s="447"/>
      <c r="WAJ6" s="447"/>
      <c r="WAK6" s="447"/>
      <c r="WAL6" s="447"/>
      <c r="WAM6" s="447"/>
      <c r="WAN6" s="447"/>
      <c r="WAO6" s="447"/>
      <c r="WAP6" s="447"/>
      <c r="WAQ6" s="447"/>
      <c r="WAR6" s="447"/>
      <c r="WAS6" s="447"/>
      <c r="WAT6" s="447"/>
      <c r="WAU6" s="447"/>
      <c r="WAV6" s="447"/>
      <c r="WAW6" s="447"/>
      <c r="WAX6" s="447"/>
      <c r="WAY6" s="447"/>
      <c r="WAZ6" s="447"/>
      <c r="WBA6" s="447"/>
      <c r="WBB6" s="447"/>
      <c r="WBC6" s="447"/>
      <c r="WBD6" s="447"/>
      <c r="WBE6" s="447"/>
      <c r="WBF6" s="447"/>
      <c r="WBG6" s="447"/>
      <c r="WBH6" s="447"/>
      <c r="WBI6" s="447"/>
      <c r="WBJ6" s="447"/>
      <c r="WBK6" s="447"/>
      <c r="WBL6" s="447"/>
      <c r="WBM6" s="447"/>
      <c r="WBN6" s="447"/>
      <c r="WBO6" s="447"/>
      <c r="WBP6" s="447"/>
      <c r="WBQ6" s="447"/>
      <c r="WBR6" s="447"/>
      <c r="WBS6" s="447"/>
      <c r="WBT6" s="447"/>
      <c r="WBU6" s="447"/>
      <c r="WBV6" s="447"/>
      <c r="WBW6" s="447"/>
      <c r="WBX6" s="447"/>
      <c r="WBY6" s="447"/>
      <c r="WBZ6" s="447"/>
      <c r="WCA6" s="447"/>
      <c r="WCB6" s="447"/>
      <c r="WCC6" s="447"/>
      <c r="WCD6" s="447"/>
      <c r="WCE6" s="447"/>
      <c r="WCF6" s="447"/>
      <c r="WCG6" s="447"/>
      <c r="WCH6" s="447"/>
      <c r="WCI6" s="447"/>
      <c r="WCJ6" s="447"/>
      <c r="WCK6" s="447"/>
      <c r="WCL6" s="447"/>
      <c r="WCM6" s="447"/>
      <c r="WCN6" s="447"/>
      <c r="WCO6" s="447"/>
      <c r="WCP6" s="447"/>
      <c r="WCQ6" s="447"/>
      <c r="WCR6" s="447"/>
      <c r="WCS6" s="447"/>
      <c r="WCT6" s="447"/>
      <c r="WCU6" s="447"/>
      <c r="WCV6" s="447"/>
      <c r="WCW6" s="447"/>
      <c r="WCX6" s="447"/>
      <c r="WCY6" s="447"/>
      <c r="WCZ6" s="447"/>
      <c r="WDA6" s="447"/>
      <c r="WDB6" s="447"/>
      <c r="WDC6" s="447"/>
      <c r="WDD6" s="447"/>
      <c r="WDE6" s="447"/>
      <c r="WDF6" s="447"/>
      <c r="WDG6" s="447"/>
      <c r="WDH6" s="447"/>
      <c r="WDI6" s="447"/>
      <c r="WDJ6" s="447"/>
      <c r="WDK6" s="447"/>
      <c r="WDL6" s="447"/>
      <c r="WDM6" s="447"/>
      <c r="WDN6" s="447"/>
      <c r="WDO6" s="447"/>
      <c r="WDP6" s="447"/>
      <c r="WDQ6" s="447"/>
      <c r="WDR6" s="447"/>
      <c r="WDS6" s="447"/>
      <c r="WDT6" s="447"/>
      <c r="WDU6" s="447"/>
      <c r="WDV6" s="447"/>
      <c r="WDW6" s="447"/>
      <c r="WDX6" s="447"/>
      <c r="WDY6" s="447"/>
      <c r="WDZ6" s="447"/>
      <c r="WEA6" s="447"/>
      <c r="WEB6" s="447"/>
      <c r="WEC6" s="447"/>
      <c r="WED6" s="447"/>
      <c r="WEE6" s="447"/>
      <c r="WEF6" s="447"/>
      <c r="WEG6" s="447"/>
      <c r="WEH6" s="447"/>
      <c r="WEI6" s="447"/>
      <c r="WEJ6" s="447"/>
      <c r="WEK6" s="447"/>
      <c r="WEL6" s="447"/>
      <c r="WEM6" s="447"/>
      <c r="WEN6" s="447"/>
      <c r="WEO6" s="447"/>
      <c r="WEP6" s="447"/>
      <c r="WEQ6" s="447"/>
      <c r="WER6" s="447"/>
      <c r="WES6" s="447"/>
      <c r="WET6" s="447"/>
      <c r="WEU6" s="447"/>
      <c r="WEV6" s="447"/>
      <c r="WEW6" s="447"/>
      <c r="WEX6" s="447"/>
      <c r="WEY6" s="447"/>
      <c r="WEZ6" s="447"/>
      <c r="WFA6" s="447"/>
      <c r="WFB6" s="447"/>
      <c r="WFC6" s="447"/>
      <c r="WFD6" s="447"/>
      <c r="WFE6" s="447"/>
      <c r="WFF6" s="447"/>
      <c r="WFG6" s="447"/>
      <c r="WFH6" s="447"/>
      <c r="WFI6" s="447"/>
      <c r="WFJ6" s="447"/>
      <c r="WFK6" s="447"/>
      <c r="WFL6" s="447"/>
      <c r="WFM6" s="447"/>
      <c r="WFN6" s="447"/>
      <c r="WFO6" s="447"/>
      <c r="WFP6" s="447"/>
      <c r="WFQ6" s="447"/>
      <c r="WFR6" s="447"/>
      <c r="WFS6" s="447"/>
      <c r="WFT6" s="447"/>
      <c r="WFU6" s="447"/>
      <c r="WFV6" s="447"/>
      <c r="WFW6" s="447"/>
      <c r="WFX6" s="447"/>
      <c r="WFY6" s="447"/>
      <c r="WFZ6" s="447"/>
      <c r="WGA6" s="447"/>
      <c r="WGB6" s="447"/>
      <c r="WGC6" s="447"/>
      <c r="WGD6" s="447"/>
      <c r="WGE6" s="447"/>
      <c r="WGF6" s="447"/>
      <c r="WGG6" s="447"/>
      <c r="WGH6" s="447"/>
      <c r="WGI6" s="447"/>
      <c r="WGJ6" s="447"/>
      <c r="WGK6" s="447"/>
      <c r="WGL6" s="447"/>
      <c r="WGM6" s="447"/>
      <c r="WGN6" s="447"/>
      <c r="WGO6" s="447"/>
      <c r="WGP6" s="447"/>
      <c r="WGQ6" s="447"/>
      <c r="WGR6" s="447"/>
      <c r="WGS6" s="447"/>
      <c r="WGT6" s="447"/>
      <c r="WGU6" s="447"/>
      <c r="WGV6" s="447"/>
      <c r="WGW6" s="447"/>
      <c r="WGX6" s="447"/>
      <c r="WGY6" s="447"/>
      <c r="WGZ6" s="447"/>
      <c r="WHA6" s="447"/>
      <c r="WHB6" s="447"/>
      <c r="WHC6" s="447"/>
      <c r="WHD6" s="447"/>
      <c r="WHE6" s="447"/>
      <c r="WHF6" s="447"/>
      <c r="WHG6" s="447"/>
      <c r="WHH6" s="447"/>
      <c r="WHI6" s="447"/>
      <c r="WHJ6" s="447"/>
      <c r="WHK6" s="447"/>
      <c r="WHL6" s="447"/>
      <c r="WHM6" s="447"/>
      <c r="WHN6" s="447"/>
      <c r="WHO6" s="447"/>
      <c r="WHP6" s="447"/>
      <c r="WHQ6" s="447"/>
      <c r="WHR6" s="447"/>
      <c r="WHS6" s="447"/>
      <c r="WHT6" s="447"/>
      <c r="WHU6" s="447"/>
      <c r="WHV6" s="447"/>
      <c r="WHW6" s="447"/>
      <c r="WHX6" s="447"/>
      <c r="WHY6" s="447"/>
      <c r="WHZ6" s="447"/>
      <c r="WIA6" s="447"/>
      <c r="WIB6" s="447"/>
      <c r="WIC6" s="447"/>
      <c r="WID6" s="447"/>
      <c r="WIE6" s="447"/>
      <c r="WIF6" s="447"/>
      <c r="WIG6" s="447"/>
      <c r="WIH6" s="447"/>
      <c r="WII6" s="447"/>
      <c r="WIJ6" s="447"/>
      <c r="WIK6" s="447"/>
      <c r="WIL6" s="447"/>
      <c r="WIM6" s="447"/>
      <c r="WIN6" s="447"/>
      <c r="WIO6" s="447"/>
      <c r="WIP6" s="447"/>
      <c r="WIQ6" s="447"/>
      <c r="WIR6" s="447"/>
      <c r="WIS6" s="447"/>
      <c r="WIT6" s="447"/>
      <c r="WIU6" s="447"/>
      <c r="WIV6" s="447"/>
      <c r="WIW6" s="447"/>
      <c r="WIX6" s="447"/>
      <c r="WIY6" s="447"/>
      <c r="WIZ6" s="447"/>
      <c r="WJA6" s="447"/>
      <c r="WJB6" s="447"/>
      <c r="WJC6" s="447"/>
      <c r="WJD6" s="447"/>
      <c r="WJE6" s="447"/>
      <c r="WJF6" s="447"/>
      <c r="WJG6" s="447"/>
      <c r="WJH6" s="447"/>
      <c r="WJI6" s="447"/>
      <c r="WJJ6" s="447"/>
      <c r="WJK6" s="447"/>
      <c r="WJL6" s="447"/>
      <c r="WJM6" s="447"/>
      <c r="WJN6" s="447"/>
      <c r="WJO6" s="447"/>
      <c r="WJP6" s="447"/>
      <c r="WJQ6" s="447"/>
      <c r="WJR6" s="447"/>
      <c r="WJS6" s="447"/>
      <c r="WJT6" s="447"/>
      <c r="WJU6" s="447"/>
      <c r="WJV6" s="447"/>
      <c r="WJW6" s="447"/>
      <c r="WJX6" s="447"/>
      <c r="WJY6" s="447"/>
      <c r="WJZ6" s="447"/>
      <c r="WKA6" s="447"/>
      <c r="WKB6" s="447"/>
      <c r="WKC6" s="447"/>
      <c r="WKD6" s="447"/>
      <c r="WKE6" s="447"/>
      <c r="WKF6" s="447"/>
      <c r="WKG6" s="447"/>
      <c r="WKH6" s="447"/>
      <c r="WKI6" s="447"/>
      <c r="WKJ6" s="447"/>
      <c r="WKK6" s="447"/>
      <c r="WKL6" s="447"/>
      <c r="WKM6" s="447"/>
      <c r="WKN6" s="447"/>
      <c r="WKO6" s="447"/>
      <c r="WKP6" s="447"/>
      <c r="WKQ6" s="447"/>
      <c r="WKR6" s="447"/>
      <c r="WKS6" s="447"/>
      <c r="WKT6" s="447"/>
      <c r="WKU6" s="447"/>
      <c r="WKV6" s="447"/>
      <c r="WKW6" s="447"/>
      <c r="WKX6" s="447"/>
      <c r="WKY6" s="447"/>
      <c r="WKZ6" s="447"/>
      <c r="WLA6" s="447"/>
      <c r="WLB6" s="447"/>
      <c r="WLC6" s="447"/>
      <c r="WLD6" s="447"/>
      <c r="WLE6" s="447"/>
      <c r="WLF6" s="447"/>
      <c r="WLG6" s="447"/>
      <c r="WLH6" s="447"/>
      <c r="WLI6" s="447"/>
      <c r="WLJ6" s="447"/>
      <c r="WLK6" s="447"/>
      <c r="WLL6" s="447"/>
      <c r="WLM6" s="447"/>
      <c r="WLN6" s="447"/>
      <c r="WLO6" s="447"/>
      <c r="WLP6" s="447"/>
      <c r="WLQ6" s="447"/>
      <c r="WLR6" s="447"/>
      <c r="WLS6" s="447"/>
      <c r="WLT6" s="447"/>
      <c r="WLU6" s="447"/>
      <c r="WLV6" s="447"/>
      <c r="WLW6" s="447"/>
      <c r="WLX6" s="447"/>
      <c r="WLY6" s="447"/>
      <c r="WLZ6" s="447"/>
      <c r="WMA6" s="447"/>
      <c r="WMB6" s="447"/>
      <c r="WMC6" s="447"/>
      <c r="WMD6" s="447"/>
      <c r="WME6" s="447"/>
      <c r="WMF6" s="447"/>
      <c r="WMG6" s="447"/>
      <c r="WMH6" s="447"/>
      <c r="WMI6" s="447"/>
      <c r="WMJ6" s="447"/>
      <c r="WMK6" s="447"/>
      <c r="WML6" s="447"/>
      <c r="WMM6" s="447"/>
      <c r="WMN6" s="447"/>
      <c r="WMO6" s="447"/>
      <c r="WMP6" s="447"/>
      <c r="WMQ6" s="447"/>
      <c r="WMR6" s="447"/>
      <c r="WMS6" s="447"/>
      <c r="WMT6" s="447"/>
      <c r="WMU6" s="447"/>
      <c r="WMV6" s="447"/>
      <c r="WMW6" s="447"/>
      <c r="WMX6" s="447"/>
      <c r="WMY6" s="447"/>
      <c r="WMZ6" s="447"/>
      <c r="WNA6" s="447"/>
      <c r="WNB6" s="447"/>
      <c r="WNC6" s="447"/>
      <c r="WND6" s="447"/>
      <c r="WNE6" s="447"/>
      <c r="WNF6" s="447"/>
      <c r="WNG6" s="447"/>
      <c r="WNH6" s="447"/>
      <c r="WNI6" s="447"/>
      <c r="WNJ6" s="447"/>
      <c r="WNK6" s="447"/>
      <c r="WNL6" s="447"/>
      <c r="WNM6" s="447"/>
      <c r="WNN6" s="447"/>
      <c r="WNO6" s="447"/>
      <c r="WNP6" s="447"/>
      <c r="WNQ6" s="447"/>
      <c r="WNR6" s="447"/>
      <c r="WNS6" s="447"/>
      <c r="WNT6" s="447"/>
      <c r="WNU6" s="447"/>
      <c r="WNV6" s="447"/>
      <c r="WNW6" s="447"/>
      <c r="WNX6" s="447"/>
      <c r="WNY6" s="447"/>
      <c r="WNZ6" s="447"/>
      <c r="WOA6" s="447"/>
      <c r="WOB6" s="447"/>
      <c r="WOC6" s="447"/>
      <c r="WOD6" s="447"/>
      <c r="WOE6" s="447"/>
      <c r="WOF6" s="447"/>
      <c r="WOG6" s="447"/>
      <c r="WOH6" s="447"/>
      <c r="WOI6" s="447"/>
      <c r="WOJ6" s="447"/>
      <c r="WOK6" s="447"/>
      <c r="WOL6" s="447"/>
      <c r="WOM6" s="447"/>
      <c r="WON6" s="447"/>
      <c r="WOO6" s="447"/>
      <c r="WOP6" s="447"/>
      <c r="WOQ6" s="447"/>
      <c r="WOR6" s="447"/>
      <c r="WOS6" s="447"/>
      <c r="WOT6" s="447"/>
      <c r="WOU6" s="447"/>
      <c r="WOV6" s="447"/>
      <c r="WOW6" s="447"/>
      <c r="WOX6" s="447"/>
      <c r="WOY6" s="447"/>
      <c r="WOZ6" s="447"/>
      <c r="WPA6" s="447"/>
      <c r="WPB6" s="447"/>
      <c r="WPC6" s="447"/>
      <c r="WPD6" s="447"/>
      <c r="WPE6" s="447"/>
      <c r="WPF6" s="447"/>
      <c r="WPG6" s="447"/>
      <c r="WPH6" s="447"/>
      <c r="WPI6" s="447"/>
      <c r="WPJ6" s="447"/>
      <c r="WPK6" s="447"/>
      <c r="WPL6" s="447"/>
      <c r="WPM6" s="447"/>
      <c r="WPN6" s="447"/>
      <c r="WPO6" s="447"/>
      <c r="WPP6" s="447"/>
      <c r="WPQ6" s="447"/>
      <c r="WPR6" s="447"/>
      <c r="WPS6" s="447"/>
      <c r="WPT6" s="447"/>
      <c r="WPU6" s="447"/>
      <c r="WPV6" s="447"/>
      <c r="WPW6" s="447"/>
      <c r="WPX6" s="447"/>
      <c r="WPY6" s="447"/>
      <c r="WPZ6" s="447"/>
      <c r="WQA6" s="447"/>
      <c r="WQB6" s="447"/>
      <c r="WQC6" s="447"/>
      <c r="WQD6" s="447"/>
      <c r="WQE6" s="447"/>
      <c r="WQF6" s="447"/>
      <c r="WQG6" s="447"/>
      <c r="WQH6" s="447"/>
      <c r="WQI6" s="447"/>
      <c r="WQJ6" s="447"/>
      <c r="WQK6" s="447"/>
      <c r="WQL6" s="447"/>
      <c r="WQM6" s="447"/>
      <c r="WQN6" s="447"/>
      <c r="WQO6" s="447"/>
      <c r="WQP6" s="447"/>
      <c r="WQQ6" s="447"/>
      <c r="WQR6" s="447"/>
      <c r="WQS6" s="447"/>
      <c r="WQT6" s="447"/>
      <c r="WQU6" s="447"/>
      <c r="WQV6" s="447"/>
      <c r="WQW6" s="447"/>
      <c r="WQX6" s="447"/>
      <c r="WQY6" s="447"/>
      <c r="WQZ6" s="447"/>
      <c r="WRA6" s="447"/>
      <c r="WRB6" s="447"/>
      <c r="WRC6" s="447"/>
      <c r="WRD6" s="447"/>
      <c r="WRE6" s="447"/>
      <c r="WRF6" s="447"/>
      <c r="WRG6" s="447"/>
      <c r="WRH6" s="447"/>
      <c r="WRI6" s="447"/>
      <c r="WRJ6" s="447"/>
      <c r="WRK6" s="447"/>
      <c r="WRL6" s="447"/>
      <c r="WRM6" s="447"/>
      <c r="WRN6" s="447"/>
      <c r="WRO6" s="447"/>
      <c r="WRP6" s="447"/>
      <c r="WRQ6" s="447"/>
      <c r="WRR6" s="447"/>
      <c r="WRS6" s="447"/>
      <c r="WRT6" s="447"/>
      <c r="WRU6" s="447"/>
      <c r="WRV6" s="447"/>
      <c r="WRW6" s="447"/>
      <c r="WRX6" s="447"/>
      <c r="WRY6" s="447"/>
      <c r="WRZ6" s="447"/>
      <c r="WSA6" s="447"/>
      <c r="WSB6" s="447"/>
      <c r="WSC6" s="447"/>
      <c r="WSD6" s="447"/>
      <c r="WSE6" s="447"/>
      <c r="WSF6" s="447"/>
      <c r="WSG6" s="447"/>
      <c r="WSH6" s="447"/>
      <c r="WSI6" s="447"/>
      <c r="WSJ6" s="447"/>
      <c r="WSK6" s="447"/>
      <c r="WSL6" s="447"/>
      <c r="WSM6" s="447"/>
      <c r="WSN6" s="447"/>
      <c r="WSO6" s="447"/>
      <c r="WSP6" s="447"/>
      <c r="WSQ6" s="447"/>
      <c r="WSR6" s="447"/>
      <c r="WSS6" s="447"/>
      <c r="WST6" s="447"/>
      <c r="WSU6" s="447"/>
      <c r="WSV6" s="447"/>
      <c r="WSW6" s="447"/>
      <c r="WSX6" s="447"/>
      <c r="WSY6" s="447"/>
      <c r="WSZ6" s="447"/>
      <c r="WTA6" s="447"/>
      <c r="WTB6" s="447"/>
      <c r="WTC6" s="447"/>
      <c r="WTD6" s="447"/>
      <c r="WTE6" s="447"/>
      <c r="WTF6" s="447"/>
      <c r="WTG6" s="447"/>
      <c r="WTH6" s="447"/>
      <c r="WTI6" s="447"/>
      <c r="WTJ6" s="447"/>
      <c r="WTK6" s="447"/>
      <c r="WTL6" s="447"/>
      <c r="WTM6" s="447"/>
      <c r="WTN6" s="447"/>
      <c r="WTO6" s="447"/>
      <c r="WTP6" s="447"/>
      <c r="WTQ6" s="447"/>
      <c r="WTR6" s="447"/>
      <c r="WTS6" s="447"/>
      <c r="WTT6" s="447"/>
      <c r="WTU6" s="447"/>
      <c r="WTV6" s="447"/>
      <c r="WTW6" s="447"/>
      <c r="WTX6" s="447"/>
      <c r="WTY6" s="447"/>
      <c r="WTZ6" s="447"/>
      <c r="WUA6" s="447"/>
      <c r="WUB6" s="447"/>
      <c r="WUC6" s="447"/>
      <c r="WUD6" s="447"/>
      <c r="WUE6" s="447"/>
      <c r="WUF6" s="447"/>
      <c r="WUG6" s="447"/>
      <c r="WUH6" s="447"/>
      <c r="WUI6" s="447"/>
      <c r="WUJ6" s="447"/>
      <c r="WUK6" s="447"/>
      <c r="WUL6" s="447"/>
      <c r="WUM6" s="447"/>
      <c r="WUN6" s="447"/>
      <c r="WUO6" s="447"/>
      <c r="WUP6" s="447"/>
      <c r="WUQ6" s="447"/>
      <c r="WUR6" s="447"/>
      <c r="WUS6" s="447"/>
      <c r="WUT6" s="447"/>
      <c r="WUU6" s="447"/>
      <c r="WUV6" s="447"/>
      <c r="WUW6" s="447"/>
      <c r="WUX6" s="447"/>
      <c r="WUY6" s="447"/>
      <c r="WUZ6" s="447"/>
      <c r="WVA6" s="447"/>
      <c r="WVB6" s="447"/>
      <c r="WVC6" s="447"/>
      <c r="WVD6" s="447"/>
      <c r="WVE6" s="447"/>
      <c r="WVF6" s="447"/>
      <c r="WVG6" s="447"/>
      <c r="WVH6" s="447"/>
      <c r="WVI6" s="447"/>
      <c r="WVJ6" s="447"/>
      <c r="WVK6" s="447"/>
      <c r="WVL6" s="447"/>
      <c r="WVM6" s="447"/>
      <c r="WVN6" s="447"/>
      <c r="WVO6" s="447"/>
      <c r="WVP6" s="447"/>
      <c r="WVQ6" s="447"/>
      <c r="WVR6" s="447"/>
      <c r="WVS6" s="447"/>
      <c r="WVT6" s="447"/>
      <c r="WVU6" s="447"/>
      <c r="WVV6" s="447"/>
      <c r="WVW6" s="447"/>
      <c r="WVX6" s="447"/>
      <c r="WVY6" s="447"/>
      <c r="WVZ6" s="447"/>
      <c r="WWA6" s="447"/>
      <c r="WWB6" s="447"/>
      <c r="WWC6" s="447"/>
      <c r="WWD6" s="447"/>
      <c r="WWE6" s="447"/>
      <c r="WWF6" s="447"/>
      <c r="WWG6" s="447"/>
      <c r="WWH6" s="447"/>
      <c r="WWI6" s="447"/>
      <c r="WWJ6" s="447"/>
      <c r="WWK6" s="447"/>
      <c r="WWL6" s="447"/>
      <c r="WWM6" s="447"/>
      <c r="WWN6" s="447"/>
      <c r="WWO6" s="447"/>
      <c r="WWP6" s="447"/>
      <c r="WWQ6" s="447"/>
      <c r="WWR6" s="447"/>
      <c r="WWS6" s="447"/>
      <c r="WWT6" s="447"/>
      <c r="WWU6" s="447"/>
      <c r="WWV6" s="447"/>
      <c r="WWW6" s="447"/>
      <c r="WWX6" s="447"/>
      <c r="WWY6" s="447"/>
      <c r="WWZ6" s="447"/>
      <c r="WXA6" s="447"/>
      <c r="WXB6" s="447"/>
      <c r="WXC6" s="447"/>
      <c r="WXD6" s="447"/>
      <c r="WXE6" s="447"/>
      <c r="WXF6" s="447"/>
      <c r="WXG6" s="447"/>
      <c r="WXH6" s="447"/>
      <c r="WXI6" s="447"/>
      <c r="WXJ6" s="447"/>
      <c r="WXK6" s="447"/>
      <c r="WXL6" s="447"/>
      <c r="WXM6" s="447"/>
      <c r="WXN6" s="447"/>
      <c r="WXO6" s="447"/>
      <c r="WXP6" s="447"/>
      <c r="WXQ6" s="447"/>
      <c r="WXR6" s="447"/>
      <c r="WXS6" s="447"/>
      <c r="WXT6" s="447"/>
      <c r="WXU6" s="447"/>
      <c r="WXV6" s="447"/>
      <c r="WXW6" s="447"/>
      <c r="WXX6" s="447"/>
      <c r="WXY6" s="447"/>
      <c r="WXZ6" s="447"/>
      <c r="WYA6" s="447"/>
      <c r="WYB6" s="447"/>
      <c r="WYC6" s="447"/>
      <c r="WYD6" s="447"/>
      <c r="WYE6" s="447"/>
      <c r="WYF6" s="447"/>
      <c r="WYG6" s="447"/>
      <c r="WYH6" s="447"/>
      <c r="WYI6" s="447"/>
      <c r="WYJ6" s="447"/>
      <c r="WYK6" s="447"/>
      <c r="WYL6" s="447"/>
      <c r="WYM6" s="447"/>
      <c r="WYN6" s="447"/>
      <c r="WYO6" s="447"/>
      <c r="WYP6" s="447"/>
      <c r="WYQ6" s="447"/>
      <c r="WYR6" s="447"/>
      <c r="WYS6" s="447"/>
      <c r="WYT6" s="447"/>
      <c r="WYU6" s="447"/>
      <c r="WYV6" s="447"/>
      <c r="WYW6" s="447"/>
      <c r="WYX6" s="447"/>
      <c r="WYY6" s="447"/>
      <c r="WYZ6" s="447"/>
      <c r="WZA6" s="447"/>
      <c r="WZB6" s="447"/>
      <c r="WZC6" s="447"/>
      <c r="WZD6" s="447"/>
      <c r="WZE6" s="447"/>
      <c r="WZF6" s="447"/>
      <c r="WZG6" s="447"/>
      <c r="WZH6" s="447"/>
      <c r="WZI6" s="447"/>
      <c r="WZJ6" s="447"/>
      <c r="WZK6" s="447"/>
      <c r="WZL6" s="447"/>
      <c r="WZM6" s="447"/>
      <c r="WZN6" s="447"/>
      <c r="WZO6" s="447"/>
      <c r="WZP6" s="447"/>
      <c r="WZQ6" s="447"/>
      <c r="WZR6" s="447"/>
      <c r="WZS6" s="447"/>
      <c r="WZT6" s="447"/>
      <c r="WZU6" s="447"/>
      <c r="WZV6" s="447"/>
      <c r="WZW6" s="447"/>
      <c r="WZX6" s="447"/>
      <c r="WZY6" s="447"/>
      <c r="WZZ6" s="447"/>
      <c r="XAA6" s="447"/>
      <c r="XAB6" s="447"/>
      <c r="XAC6" s="447"/>
      <c r="XAD6" s="447"/>
      <c r="XAE6" s="447"/>
      <c r="XAF6" s="447"/>
      <c r="XAG6" s="447"/>
      <c r="XAH6" s="447"/>
      <c r="XAI6" s="447"/>
      <c r="XAJ6" s="447"/>
      <c r="XAK6" s="447"/>
      <c r="XAL6" s="447"/>
      <c r="XAM6" s="447"/>
      <c r="XAN6" s="447"/>
      <c r="XAO6" s="447"/>
      <c r="XAP6" s="447"/>
      <c r="XAQ6" s="447"/>
      <c r="XAR6" s="447"/>
      <c r="XAS6" s="447"/>
      <c r="XAT6" s="447"/>
      <c r="XAU6" s="447"/>
      <c r="XAV6" s="447"/>
      <c r="XAW6" s="447"/>
      <c r="XAX6" s="447"/>
      <c r="XAY6" s="447"/>
      <c r="XAZ6" s="447"/>
      <c r="XBA6" s="447"/>
      <c r="XBB6" s="447"/>
      <c r="XBC6" s="447"/>
      <c r="XBD6" s="447"/>
      <c r="XBE6" s="447"/>
      <c r="XBF6" s="447"/>
      <c r="XBG6" s="447"/>
      <c r="XBH6" s="447"/>
      <c r="XBI6" s="447"/>
      <c r="XBJ6" s="447"/>
      <c r="XBK6" s="447"/>
      <c r="XBL6" s="447"/>
      <c r="XBM6" s="447"/>
      <c r="XBN6" s="447"/>
      <c r="XBO6" s="447"/>
      <c r="XBP6" s="447"/>
      <c r="XBQ6" s="447"/>
      <c r="XBR6" s="447"/>
      <c r="XBS6" s="447"/>
      <c r="XBT6" s="447"/>
      <c r="XBU6" s="447"/>
      <c r="XBV6" s="447"/>
      <c r="XBW6" s="447"/>
      <c r="XBX6" s="447"/>
      <c r="XBY6" s="447"/>
      <c r="XBZ6" s="447"/>
      <c r="XCA6" s="447"/>
      <c r="XCB6" s="447"/>
      <c r="XCC6" s="447"/>
      <c r="XCD6" s="447"/>
      <c r="XCE6" s="447"/>
      <c r="XCF6" s="447"/>
      <c r="XCG6" s="447"/>
      <c r="XCH6" s="447"/>
      <c r="XCI6" s="447"/>
      <c r="XCJ6" s="447"/>
      <c r="XCK6" s="447"/>
      <c r="XCL6" s="447"/>
      <c r="XCM6" s="447"/>
      <c r="XCN6" s="447"/>
      <c r="XCO6" s="447"/>
      <c r="XCP6" s="447"/>
      <c r="XCQ6" s="447"/>
      <c r="XCR6" s="447"/>
      <c r="XCS6" s="447"/>
      <c r="XCT6" s="447"/>
      <c r="XCU6" s="447"/>
      <c r="XCV6" s="447"/>
      <c r="XCW6" s="447"/>
      <c r="XCX6" s="447"/>
      <c r="XCY6" s="447"/>
      <c r="XCZ6" s="447"/>
      <c r="XDA6" s="447"/>
      <c r="XDB6" s="447"/>
      <c r="XDC6" s="447"/>
      <c r="XDD6" s="447"/>
      <c r="XDE6" s="447"/>
      <c r="XDF6" s="447"/>
      <c r="XDG6" s="448"/>
      <c r="XDH6" s="448"/>
      <c r="XDI6" s="448"/>
      <c r="XDJ6" s="448"/>
      <c r="XDK6" s="448"/>
      <c r="XDL6" s="448"/>
      <c r="XDM6" s="448"/>
      <c r="XDN6" s="448"/>
      <c r="XDO6" s="448"/>
      <c r="XDP6" s="448"/>
      <c r="XDQ6" s="448"/>
      <c r="XDR6" s="444"/>
    </row>
    <row r="7" s="395" customFormat="1" customHeight="1" spans="1:1024 1025:16346">
      <c r="A7" s="140" t="s">
        <v>454</v>
      </c>
      <c r="B7" s="413">
        <v>8.4</v>
      </c>
      <c r="C7" s="449">
        <v>1430</v>
      </c>
      <c r="D7" s="413">
        <v>8.4</v>
      </c>
      <c r="E7" s="449">
        <v>1430</v>
      </c>
      <c r="F7" s="449">
        <v>32</v>
      </c>
      <c r="G7" s="413" t="s">
        <v>455</v>
      </c>
      <c r="H7" s="413">
        <v>11.6</v>
      </c>
      <c r="I7" s="449">
        <v>1970</v>
      </c>
      <c r="J7" s="413">
        <v>11.6</v>
      </c>
      <c r="K7" s="449">
        <v>1970</v>
      </c>
      <c r="L7" s="449">
        <v>25</v>
      </c>
      <c r="M7" s="449" t="s">
        <v>456</v>
      </c>
      <c r="N7" s="413">
        <v>13.9</v>
      </c>
      <c r="O7" s="449">
        <v>2410</v>
      </c>
      <c r="P7" s="413">
        <v>13.9</v>
      </c>
      <c r="Q7" s="449">
        <v>2410</v>
      </c>
      <c r="R7" s="449">
        <v>21</v>
      </c>
      <c r="S7" s="449" t="s">
        <v>457</v>
      </c>
      <c r="T7" s="449" t="s">
        <v>148</v>
      </c>
    </row>
    <row r="8" s="395" customFormat="1" customHeight="1" spans="1:1024 1025:16346">
      <c r="A8" s="140" t="s">
        <v>458</v>
      </c>
      <c r="B8" s="413">
        <v>8.4</v>
      </c>
      <c r="C8" s="449">
        <v>1430</v>
      </c>
      <c r="D8" s="413">
        <v>8.4</v>
      </c>
      <c r="E8" s="449">
        <v>1430</v>
      </c>
      <c r="F8" s="449">
        <v>32</v>
      </c>
      <c r="G8" s="413" t="s">
        <v>455</v>
      </c>
      <c r="H8" s="413">
        <v>11.6</v>
      </c>
      <c r="I8" s="449">
        <v>1970</v>
      </c>
      <c r="J8" s="413">
        <v>11.6</v>
      </c>
      <c r="K8" s="449">
        <v>1970</v>
      </c>
      <c r="L8" s="449">
        <v>25</v>
      </c>
      <c r="M8" s="449" t="s">
        <v>459</v>
      </c>
      <c r="N8" s="413">
        <v>13.9</v>
      </c>
      <c r="O8" s="449">
        <v>2410</v>
      </c>
      <c r="P8" s="413">
        <v>13.9</v>
      </c>
      <c r="Q8" s="449">
        <v>2410</v>
      </c>
      <c r="R8" s="449">
        <v>21</v>
      </c>
      <c r="S8" s="449" t="s">
        <v>460</v>
      </c>
      <c r="T8" s="449" t="s">
        <v>148</v>
      </c>
    </row>
    <row r="9" s="395" customFormat="1" customHeight="1" spans="1:1024 1025:16346">
      <c r="A9" s="140" t="s">
        <v>461</v>
      </c>
      <c r="B9" s="413">
        <v>8.4</v>
      </c>
      <c r="C9" s="449">
        <v>1430</v>
      </c>
      <c r="D9" s="413">
        <v>8.4</v>
      </c>
      <c r="E9" s="449">
        <v>1430</v>
      </c>
      <c r="F9" s="449">
        <v>32</v>
      </c>
      <c r="G9" s="413" t="s">
        <v>403</v>
      </c>
      <c r="H9" s="413">
        <v>11.6</v>
      </c>
      <c r="I9" s="449">
        <v>1970</v>
      </c>
      <c r="J9" s="413">
        <v>11.6</v>
      </c>
      <c r="K9" s="449">
        <v>1970</v>
      </c>
      <c r="L9" s="449">
        <v>25</v>
      </c>
      <c r="M9" s="449" t="s">
        <v>456</v>
      </c>
      <c r="N9" s="413">
        <v>13.9</v>
      </c>
      <c r="O9" s="449">
        <v>2410</v>
      </c>
      <c r="P9" s="413">
        <v>13.9</v>
      </c>
      <c r="Q9" s="449">
        <v>2410</v>
      </c>
      <c r="R9" s="449">
        <v>21</v>
      </c>
      <c r="S9" s="449" t="s">
        <v>457</v>
      </c>
      <c r="T9" s="449" t="s">
        <v>148</v>
      </c>
    </row>
    <row r="10" s="395" customFormat="1" customHeight="1" spans="1:1024 1025:16346">
      <c r="A10" s="140" t="s">
        <v>364</v>
      </c>
      <c r="B10" s="413">
        <v>8.4</v>
      </c>
      <c r="C10" s="449">
        <v>1430</v>
      </c>
      <c r="D10" s="413">
        <v>8.4</v>
      </c>
      <c r="E10" s="449">
        <v>1430</v>
      </c>
      <c r="F10" s="449">
        <v>32</v>
      </c>
      <c r="G10" s="449" t="s">
        <v>403</v>
      </c>
      <c r="H10" s="413">
        <v>11.6</v>
      </c>
      <c r="I10" s="449">
        <v>1970</v>
      </c>
      <c r="J10" s="413">
        <v>11.6</v>
      </c>
      <c r="K10" s="449">
        <v>1970</v>
      </c>
      <c r="L10" s="449">
        <v>25</v>
      </c>
      <c r="M10" s="449" t="s">
        <v>456</v>
      </c>
      <c r="N10" s="413">
        <v>13.9</v>
      </c>
      <c r="O10" s="449">
        <v>2410</v>
      </c>
      <c r="P10" s="413">
        <v>13.9</v>
      </c>
      <c r="Q10" s="449">
        <v>2410</v>
      </c>
      <c r="R10" s="449">
        <v>21</v>
      </c>
      <c r="S10" s="449" t="s">
        <v>457</v>
      </c>
      <c r="T10" s="449">
        <v>35</v>
      </c>
    </row>
    <row r="11" s="395" customFormat="1" customHeight="1" spans="1:1024 1025:16346">
      <c r="A11" s="140" t="s">
        <v>462</v>
      </c>
      <c r="B11" s="413">
        <v>8.5</v>
      </c>
      <c r="C11" s="449">
        <v>1470</v>
      </c>
      <c r="D11" s="413">
        <v>8.5</v>
      </c>
      <c r="E11" s="449">
        <v>1470</v>
      </c>
      <c r="F11" s="449">
        <v>32</v>
      </c>
      <c r="G11" s="449" t="s">
        <v>455</v>
      </c>
      <c r="H11" s="413">
        <v>11.7</v>
      </c>
      <c r="I11" s="449">
        <v>2020</v>
      </c>
      <c r="J11" s="413">
        <v>11.7</v>
      </c>
      <c r="K11" s="449">
        <v>2020</v>
      </c>
      <c r="L11" s="449">
        <v>25</v>
      </c>
      <c r="M11" s="449" t="s">
        <v>456</v>
      </c>
      <c r="N11" s="413">
        <v>14</v>
      </c>
      <c r="O11" s="449">
        <v>2450</v>
      </c>
      <c r="P11" s="413">
        <v>14</v>
      </c>
      <c r="Q11" s="449">
        <v>2450</v>
      </c>
      <c r="R11" s="449">
        <v>21</v>
      </c>
      <c r="S11" s="449" t="s">
        <v>457</v>
      </c>
      <c r="T11" s="449" t="s">
        <v>148</v>
      </c>
    </row>
    <row r="12" s="395" customFormat="1" customHeight="1" spans="1:1024 1025:16346">
      <c r="A12" s="140" t="s">
        <v>463</v>
      </c>
      <c r="B12" s="413">
        <v>8.5</v>
      </c>
      <c r="C12" s="449">
        <v>1470</v>
      </c>
      <c r="D12" s="413">
        <v>8.5</v>
      </c>
      <c r="E12" s="449">
        <v>1470</v>
      </c>
      <c r="F12" s="449">
        <v>32</v>
      </c>
      <c r="G12" s="449" t="s">
        <v>455</v>
      </c>
      <c r="H12" s="413">
        <v>11.7</v>
      </c>
      <c r="I12" s="449">
        <v>2020</v>
      </c>
      <c r="J12" s="413">
        <v>11.7</v>
      </c>
      <c r="K12" s="449">
        <v>2020</v>
      </c>
      <c r="L12" s="449">
        <v>25</v>
      </c>
      <c r="M12" s="449" t="s">
        <v>456</v>
      </c>
      <c r="N12" s="413">
        <v>14</v>
      </c>
      <c r="O12" s="449">
        <v>2450</v>
      </c>
      <c r="P12" s="413">
        <v>14</v>
      </c>
      <c r="Q12" s="449">
        <v>2450</v>
      </c>
      <c r="R12" s="449">
        <v>21</v>
      </c>
      <c r="S12" s="449" t="s">
        <v>457</v>
      </c>
      <c r="T12" s="449" t="s">
        <v>148</v>
      </c>
    </row>
    <row r="13" s="395" customFormat="1" customHeight="1" spans="1:1024 1025:16346">
      <c r="A13" s="140" t="s">
        <v>357</v>
      </c>
      <c r="B13" s="413">
        <v>8.4</v>
      </c>
      <c r="C13" s="449">
        <v>1430</v>
      </c>
      <c r="D13" s="413">
        <v>8.4</v>
      </c>
      <c r="E13" s="449">
        <v>1430</v>
      </c>
      <c r="F13" s="449">
        <v>32</v>
      </c>
      <c r="G13" s="449" t="s">
        <v>403</v>
      </c>
      <c r="H13" s="413">
        <v>11.6</v>
      </c>
      <c r="I13" s="449">
        <v>1970</v>
      </c>
      <c r="J13" s="413">
        <v>11.6</v>
      </c>
      <c r="K13" s="449">
        <v>1970</v>
      </c>
      <c r="L13" s="449">
        <v>25</v>
      </c>
      <c r="M13" s="449" t="s">
        <v>456</v>
      </c>
      <c r="N13" s="413">
        <v>14</v>
      </c>
      <c r="O13" s="449">
        <v>2410</v>
      </c>
      <c r="P13" s="413">
        <v>14</v>
      </c>
      <c r="Q13" s="449">
        <v>2410</v>
      </c>
      <c r="R13" s="449">
        <v>21</v>
      </c>
      <c r="S13" s="449" t="s">
        <v>457</v>
      </c>
      <c r="T13" s="449">
        <v>35</v>
      </c>
    </row>
    <row r="14" s="395" customFormat="1" customHeight="1" spans="1:1024 1025:16346">
      <c r="A14" s="140" t="s">
        <v>464</v>
      </c>
      <c r="B14" s="413">
        <v>8.4</v>
      </c>
      <c r="C14" s="449">
        <v>1430</v>
      </c>
      <c r="D14" s="413">
        <v>8.4</v>
      </c>
      <c r="E14" s="449">
        <v>1430</v>
      </c>
      <c r="F14" s="449">
        <v>32</v>
      </c>
      <c r="G14" s="449" t="s">
        <v>403</v>
      </c>
      <c r="H14" s="413">
        <v>11.6</v>
      </c>
      <c r="I14" s="449">
        <v>1970</v>
      </c>
      <c r="J14" s="413">
        <v>11.6</v>
      </c>
      <c r="K14" s="449">
        <v>1970</v>
      </c>
      <c r="L14" s="449">
        <v>25</v>
      </c>
      <c r="M14" s="449" t="s">
        <v>456</v>
      </c>
      <c r="N14" s="413">
        <v>14</v>
      </c>
      <c r="O14" s="449">
        <v>2410</v>
      </c>
      <c r="P14" s="413">
        <v>14</v>
      </c>
      <c r="Q14" s="449">
        <v>2410</v>
      </c>
      <c r="R14" s="449">
        <v>21</v>
      </c>
      <c r="S14" s="449" t="s">
        <v>457</v>
      </c>
      <c r="T14" s="449">
        <v>35</v>
      </c>
    </row>
    <row r="15" s="395" customFormat="1" customHeight="1" spans="1:1024 1025:16346">
      <c r="A15" s="140" t="s">
        <v>465</v>
      </c>
      <c r="B15" s="413">
        <v>8.9</v>
      </c>
      <c r="C15" s="449">
        <v>1540</v>
      </c>
      <c r="D15" s="413">
        <v>8.9</v>
      </c>
      <c r="E15" s="449">
        <v>1540</v>
      </c>
      <c r="F15" s="449">
        <v>32</v>
      </c>
      <c r="G15" s="449" t="s">
        <v>455</v>
      </c>
      <c r="H15" s="413">
        <v>12.1</v>
      </c>
      <c r="I15" s="449">
        <v>2090</v>
      </c>
      <c r="J15" s="413">
        <v>12.1</v>
      </c>
      <c r="K15" s="449">
        <v>2090</v>
      </c>
      <c r="L15" s="449">
        <v>25</v>
      </c>
      <c r="M15" s="449" t="s">
        <v>466</v>
      </c>
      <c r="N15" s="413">
        <v>14.4</v>
      </c>
      <c r="O15" s="449">
        <v>2520</v>
      </c>
      <c r="P15" s="413">
        <v>14.4</v>
      </c>
      <c r="Q15" s="449">
        <v>2520</v>
      </c>
      <c r="R15" s="449">
        <v>21</v>
      </c>
      <c r="S15" s="449" t="s">
        <v>467</v>
      </c>
      <c r="T15" s="449" t="s">
        <v>148</v>
      </c>
    </row>
    <row r="16" s="395" customFormat="1" customHeight="1" spans="1:1024 1025:16346">
      <c r="A16" s="140" t="s">
        <v>468</v>
      </c>
      <c r="B16" s="413">
        <v>8.8</v>
      </c>
      <c r="C16" s="449">
        <v>1540</v>
      </c>
      <c r="D16" s="413">
        <v>8.8</v>
      </c>
      <c r="E16" s="449">
        <v>1540</v>
      </c>
      <c r="F16" s="449">
        <v>32</v>
      </c>
      <c r="G16" s="449" t="s">
        <v>455</v>
      </c>
      <c r="H16" s="413">
        <v>11.7</v>
      </c>
      <c r="I16" s="449">
        <v>2020</v>
      </c>
      <c r="J16" s="413">
        <v>11.7</v>
      </c>
      <c r="K16" s="449">
        <v>2020</v>
      </c>
      <c r="L16" s="449">
        <v>25</v>
      </c>
      <c r="M16" s="449" t="s">
        <v>469</v>
      </c>
      <c r="N16" s="413">
        <v>14.2</v>
      </c>
      <c r="O16" s="449">
        <v>2440</v>
      </c>
      <c r="P16" s="413">
        <v>14.2</v>
      </c>
      <c r="Q16" s="449">
        <v>2440</v>
      </c>
      <c r="R16" s="449">
        <v>21</v>
      </c>
      <c r="S16" s="449" t="s">
        <v>457</v>
      </c>
      <c r="T16" s="449" t="s">
        <v>148</v>
      </c>
    </row>
    <row r="17" s="395" customFormat="1" customHeight="1" spans="1:30 16335:16345">
      <c r="A17" s="140" t="s">
        <v>359</v>
      </c>
      <c r="B17" s="413">
        <v>8.8</v>
      </c>
      <c r="C17" s="449">
        <v>1460</v>
      </c>
      <c r="D17" s="413">
        <v>8.8</v>
      </c>
      <c r="E17" s="449">
        <v>1460</v>
      </c>
      <c r="F17" s="449">
        <v>32</v>
      </c>
      <c r="G17" s="449" t="s">
        <v>403</v>
      </c>
      <c r="H17" s="413">
        <v>11.7</v>
      </c>
      <c r="I17" s="449">
        <v>2020</v>
      </c>
      <c r="J17" s="413">
        <v>11.7</v>
      </c>
      <c r="K17" s="449">
        <v>2020</v>
      </c>
      <c r="L17" s="449">
        <v>25</v>
      </c>
      <c r="M17" s="449" t="s">
        <v>456</v>
      </c>
      <c r="N17" s="413">
        <v>14.2</v>
      </c>
      <c r="O17" s="449">
        <v>2440</v>
      </c>
      <c r="P17" s="413">
        <v>14.2</v>
      </c>
      <c r="Q17" s="449">
        <v>2440</v>
      </c>
      <c r="R17" s="449">
        <v>21</v>
      </c>
      <c r="S17" s="449" t="s">
        <v>457</v>
      </c>
      <c r="T17" s="449">
        <v>35</v>
      </c>
    </row>
    <row r="18" s="395" customFormat="1" customHeight="1" spans="1:30 16335:16345">
      <c r="A18" s="140" t="s">
        <v>470</v>
      </c>
      <c r="B18" s="413">
        <v>8.8</v>
      </c>
      <c r="C18" s="449">
        <v>1460</v>
      </c>
      <c r="D18" s="413">
        <v>8.8</v>
      </c>
      <c r="E18" s="449">
        <v>1460</v>
      </c>
      <c r="F18" s="449">
        <v>32</v>
      </c>
      <c r="G18" s="449" t="s">
        <v>455</v>
      </c>
      <c r="H18" s="413">
        <v>11.7</v>
      </c>
      <c r="I18" s="449">
        <v>2020</v>
      </c>
      <c r="J18" s="413">
        <v>11.7</v>
      </c>
      <c r="K18" s="449">
        <v>2020</v>
      </c>
      <c r="L18" s="449">
        <v>25</v>
      </c>
      <c r="M18" s="449" t="s">
        <v>469</v>
      </c>
      <c r="N18" s="413">
        <v>14.2</v>
      </c>
      <c r="O18" s="449">
        <v>2440</v>
      </c>
      <c r="P18" s="413">
        <v>14.2</v>
      </c>
      <c r="Q18" s="449">
        <v>2440</v>
      </c>
      <c r="R18" s="449">
        <v>21</v>
      </c>
      <c r="S18" s="449" t="s">
        <v>471</v>
      </c>
      <c r="T18" s="449" t="s">
        <v>148</v>
      </c>
    </row>
    <row r="19" s="395" customFormat="1" customHeight="1" spans="1:30 16335:16345">
      <c r="A19" s="140" t="s">
        <v>472</v>
      </c>
      <c r="B19" s="413">
        <v>8.8</v>
      </c>
      <c r="C19" s="449">
        <v>1460</v>
      </c>
      <c r="D19" s="413">
        <v>8.8</v>
      </c>
      <c r="E19" s="449">
        <v>1460</v>
      </c>
      <c r="F19" s="449">
        <v>32</v>
      </c>
      <c r="G19" s="449" t="s">
        <v>403</v>
      </c>
      <c r="H19" s="413">
        <v>11.7</v>
      </c>
      <c r="I19" s="449">
        <v>2060</v>
      </c>
      <c r="J19" s="413">
        <v>11.7</v>
      </c>
      <c r="K19" s="449">
        <v>2060</v>
      </c>
      <c r="L19" s="449">
        <v>25</v>
      </c>
      <c r="M19" s="449" t="s">
        <v>456</v>
      </c>
      <c r="N19" s="413">
        <v>14.2</v>
      </c>
      <c r="O19" s="449">
        <v>2440</v>
      </c>
      <c r="P19" s="413">
        <v>14.2</v>
      </c>
      <c r="Q19" s="449">
        <v>2440</v>
      </c>
      <c r="R19" s="449">
        <v>21</v>
      </c>
      <c r="S19" s="449" t="s">
        <v>457</v>
      </c>
      <c r="T19" s="449" t="s">
        <v>148</v>
      </c>
      <c r="AD19" s="395" t="s">
        <v>221</v>
      </c>
    </row>
    <row r="20" s="395" customFormat="1" customHeight="1" spans="1:30 16335:16345">
      <c r="A20" s="140" t="s">
        <v>473</v>
      </c>
      <c r="B20" s="413">
        <v>9</v>
      </c>
      <c r="C20" s="449">
        <v>1520</v>
      </c>
      <c r="D20" s="413">
        <v>9</v>
      </c>
      <c r="E20" s="449">
        <v>1520</v>
      </c>
      <c r="F20" s="449">
        <v>32</v>
      </c>
      <c r="G20" s="449" t="s">
        <v>455</v>
      </c>
      <c r="H20" s="413">
        <v>12.2</v>
      </c>
      <c r="I20" s="449">
        <v>2070</v>
      </c>
      <c r="J20" s="413">
        <v>12.2</v>
      </c>
      <c r="K20" s="449">
        <v>2070</v>
      </c>
      <c r="L20" s="449">
        <v>25</v>
      </c>
      <c r="M20" s="449" t="s">
        <v>459</v>
      </c>
      <c r="N20" s="413">
        <v>14.4</v>
      </c>
      <c r="O20" s="449">
        <v>2510</v>
      </c>
      <c r="P20" s="413">
        <v>14.4</v>
      </c>
      <c r="Q20" s="449">
        <v>2510</v>
      </c>
      <c r="R20" s="449">
        <v>21</v>
      </c>
      <c r="S20" s="449" t="s">
        <v>460</v>
      </c>
      <c r="T20" s="449" t="s">
        <v>148</v>
      </c>
    </row>
    <row r="21" s="395" customFormat="1" customHeight="1" spans="1:30 16335:16345">
      <c r="A21" s="140" t="s">
        <v>474</v>
      </c>
      <c r="B21" s="413">
        <v>8.8</v>
      </c>
      <c r="C21" s="449">
        <v>1480</v>
      </c>
      <c r="D21" s="413">
        <v>8.8</v>
      </c>
      <c r="E21" s="449">
        <v>1480</v>
      </c>
      <c r="F21" s="449">
        <v>32</v>
      </c>
      <c r="G21" s="449" t="s">
        <v>455</v>
      </c>
      <c r="H21" s="413">
        <v>12</v>
      </c>
      <c r="I21" s="449">
        <v>2030</v>
      </c>
      <c r="J21" s="413">
        <v>12</v>
      </c>
      <c r="K21" s="449">
        <v>2030</v>
      </c>
      <c r="L21" s="449">
        <v>25</v>
      </c>
      <c r="M21" s="449" t="s">
        <v>459</v>
      </c>
      <c r="N21" s="413">
        <v>14.2</v>
      </c>
      <c r="O21" s="449">
        <v>2470</v>
      </c>
      <c r="P21" s="413">
        <v>14.2</v>
      </c>
      <c r="Q21" s="449">
        <v>2470</v>
      </c>
      <c r="R21" s="449">
        <v>21</v>
      </c>
      <c r="S21" s="449" t="s">
        <v>460</v>
      </c>
      <c r="T21" s="449" t="s">
        <v>148</v>
      </c>
    </row>
    <row r="22" s="395" customFormat="1" customHeight="1" spans="1:30 16335:16345">
      <c r="A22" s="140" t="s">
        <v>475</v>
      </c>
      <c r="B22" s="413">
        <v>8.8</v>
      </c>
      <c r="C22" s="449">
        <v>1480</v>
      </c>
      <c r="D22" s="413">
        <v>8.8</v>
      </c>
      <c r="E22" s="449">
        <v>1480</v>
      </c>
      <c r="F22" s="449">
        <v>32</v>
      </c>
      <c r="G22" s="449" t="s">
        <v>476</v>
      </c>
      <c r="H22" s="413">
        <v>12</v>
      </c>
      <c r="I22" s="449">
        <v>2030</v>
      </c>
      <c r="J22" s="413">
        <v>12</v>
      </c>
      <c r="K22" s="449">
        <v>2030</v>
      </c>
      <c r="L22" s="449">
        <v>25</v>
      </c>
      <c r="M22" s="449" t="s">
        <v>456</v>
      </c>
      <c r="N22" s="413">
        <v>14.2</v>
      </c>
      <c r="O22" s="449">
        <v>2470</v>
      </c>
      <c r="P22" s="413">
        <v>14.2</v>
      </c>
      <c r="Q22" s="449">
        <v>2470</v>
      </c>
      <c r="R22" s="449">
        <v>21</v>
      </c>
      <c r="S22" s="449" t="s">
        <v>457</v>
      </c>
      <c r="T22" s="449">
        <v>36</v>
      </c>
    </row>
    <row r="23" s="395" customFormat="1" customHeight="1" spans="1:30 16335:16345">
      <c r="A23" s="140" t="s">
        <v>477</v>
      </c>
      <c r="B23" s="413">
        <v>8.8</v>
      </c>
      <c r="C23" s="449">
        <v>1480</v>
      </c>
      <c r="D23" s="413">
        <v>8.8</v>
      </c>
      <c r="E23" s="449">
        <v>1480</v>
      </c>
      <c r="F23" s="449">
        <v>32</v>
      </c>
      <c r="G23" s="449" t="s">
        <v>455</v>
      </c>
      <c r="H23" s="413">
        <v>12</v>
      </c>
      <c r="I23" s="449">
        <v>2030</v>
      </c>
      <c r="J23" s="413">
        <v>12</v>
      </c>
      <c r="K23" s="449">
        <v>2030</v>
      </c>
      <c r="L23" s="449">
        <v>25</v>
      </c>
      <c r="M23" s="449" t="s">
        <v>478</v>
      </c>
      <c r="N23" s="413">
        <v>14.2</v>
      </c>
      <c r="O23" s="449">
        <v>2470</v>
      </c>
      <c r="P23" s="413">
        <v>14.2</v>
      </c>
      <c r="Q23" s="449">
        <v>2470</v>
      </c>
      <c r="R23" s="449">
        <v>21</v>
      </c>
      <c r="S23" s="449" t="s">
        <v>479</v>
      </c>
      <c r="T23" s="449">
        <v>36</v>
      </c>
    </row>
    <row r="24" s="395" customFormat="1" customHeight="1" spans="1:30 16335:16345">
      <c r="A24" s="140" t="s">
        <v>365</v>
      </c>
      <c r="B24" s="413">
        <v>8.8</v>
      </c>
      <c r="C24" s="449">
        <v>1480</v>
      </c>
      <c r="D24" s="413">
        <v>8.8</v>
      </c>
      <c r="E24" s="449">
        <v>1480</v>
      </c>
      <c r="F24" s="449">
        <v>32</v>
      </c>
      <c r="G24" s="449" t="s">
        <v>455</v>
      </c>
      <c r="H24" s="413">
        <v>12</v>
      </c>
      <c r="I24" s="449">
        <v>2030</v>
      </c>
      <c r="J24" s="413">
        <v>12</v>
      </c>
      <c r="K24" s="449">
        <v>2030</v>
      </c>
      <c r="L24" s="449">
        <v>25</v>
      </c>
      <c r="M24" s="449" t="s">
        <v>459</v>
      </c>
      <c r="N24" s="413">
        <v>14.2</v>
      </c>
      <c r="O24" s="449">
        <v>2470</v>
      </c>
      <c r="P24" s="413">
        <v>14.2</v>
      </c>
      <c r="Q24" s="449">
        <v>2470</v>
      </c>
      <c r="R24" s="449">
        <v>21</v>
      </c>
      <c r="S24" s="449" t="s">
        <v>460</v>
      </c>
      <c r="T24" s="449">
        <v>37</v>
      </c>
    </row>
    <row r="25" s="395" customFormat="1" customHeight="1" spans="1:30 16335:16345">
      <c r="A25" s="140" t="s">
        <v>480</v>
      </c>
      <c r="B25" s="413">
        <v>8.8</v>
      </c>
      <c r="C25" s="449">
        <v>1480</v>
      </c>
      <c r="D25" s="413">
        <v>8.8</v>
      </c>
      <c r="E25" s="449">
        <v>1480</v>
      </c>
      <c r="F25" s="449">
        <v>32</v>
      </c>
      <c r="G25" s="449" t="s">
        <v>455</v>
      </c>
      <c r="H25" s="413">
        <v>12</v>
      </c>
      <c r="I25" s="449">
        <v>2030</v>
      </c>
      <c r="J25" s="413">
        <v>12</v>
      </c>
      <c r="K25" s="449">
        <v>2030</v>
      </c>
      <c r="L25" s="449">
        <v>25</v>
      </c>
      <c r="M25" s="449" t="s">
        <v>456</v>
      </c>
      <c r="N25" s="413">
        <v>14.2</v>
      </c>
      <c r="O25" s="449">
        <v>2470</v>
      </c>
      <c r="P25" s="413">
        <v>14.2</v>
      </c>
      <c r="Q25" s="449">
        <v>2470</v>
      </c>
      <c r="R25" s="449">
        <v>21</v>
      </c>
      <c r="S25" s="449" t="s">
        <v>457</v>
      </c>
      <c r="T25" s="449" t="s">
        <v>148</v>
      </c>
    </row>
    <row r="26" s="395" customFormat="1" customHeight="1" spans="1:30 16335:16345">
      <c r="A26" s="140" t="s">
        <v>481</v>
      </c>
      <c r="B26" s="413">
        <v>8.8</v>
      </c>
      <c r="C26" s="449">
        <v>1480</v>
      </c>
      <c r="D26" s="413">
        <v>8.8</v>
      </c>
      <c r="E26" s="449">
        <v>1480</v>
      </c>
      <c r="F26" s="449">
        <v>32</v>
      </c>
      <c r="G26" s="449" t="s">
        <v>455</v>
      </c>
      <c r="H26" s="413">
        <v>12</v>
      </c>
      <c r="I26" s="449">
        <v>2020</v>
      </c>
      <c r="J26" s="413">
        <v>12</v>
      </c>
      <c r="K26" s="449">
        <v>2020</v>
      </c>
      <c r="L26" s="449">
        <v>25</v>
      </c>
      <c r="M26" s="449" t="s">
        <v>478</v>
      </c>
      <c r="N26" s="413">
        <v>14.2</v>
      </c>
      <c r="O26" s="449">
        <v>2470</v>
      </c>
      <c r="P26" s="413">
        <v>14.2</v>
      </c>
      <c r="Q26" s="449">
        <v>2470</v>
      </c>
      <c r="R26" s="449">
        <v>21</v>
      </c>
      <c r="S26" s="449" t="s">
        <v>479</v>
      </c>
      <c r="T26" s="449" t="s">
        <v>148</v>
      </c>
    </row>
    <row r="27" s="395" customFormat="1" customHeight="1" spans="1:30 16335:16345">
      <c r="A27" s="140" t="s">
        <v>482</v>
      </c>
      <c r="B27" s="413">
        <v>8.8</v>
      </c>
      <c r="C27" s="449">
        <v>1510</v>
      </c>
      <c r="D27" s="413">
        <v>8.8</v>
      </c>
      <c r="E27" s="449">
        <v>1510</v>
      </c>
      <c r="F27" s="449">
        <v>32</v>
      </c>
      <c r="G27" s="449" t="s">
        <v>455</v>
      </c>
      <c r="H27" s="413">
        <v>12.1</v>
      </c>
      <c r="I27" s="449">
        <v>2050</v>
      </c>
      <c r="J27" s="413">
        <v>12.1</v>
      </c>
      <c r="K27" s="449">
        <v>2050</v>
      </c>
      <c r="L27" s="449">
        <v>25</v>
      </c>
      <c r="M27" s="449" t="s">
        <v>483</v>
      </c>
      <c r="N27" s="413">
        <v>14.4</v>
      </c>
      <c r="O27" s="449">
        <v>2510</v>
      </c>
      <c r="P27" s="413">
        <v>14.4</v>
      </c>
      <c r="Q27" s="449">
        <v>2510</v>
      </c>
      <c r="R27" s="449">
        <v>21</v>
      </c>
      <c r="S27" s="449" t="s">
        <v>484</v>
      </c>
      <c r="T27" s="449">
        <v>36</v>
      </c>
    </row>
    <row r="28" s="395" customFormat="1" customHeight="1" spans="1:30 16335:16345">
      <c r="A28" s="140" t="s">
        <v>485</v>
      </c>
      <c r="B28" s="413">
        <v>8.9</v>
      </c>
      <c r="C28" s="449">
        <v>1480</v>
      </c>
      <c r="D28" s="413">
        <v>8.9</v>
      </c>
      <c r="E28" s="449">
        <v>1480</v>
      </c>
      <c r="F28" s="449">
        <v>32</v>
      </c>
      <c r="G28" s="449" t="s">
        <v>455</v>
      </c>
      <c r="H28" s="413">
        <v>11.8</v>
      </c>
      <c r="I28" s="449">
        <v>2000</v>
      </c>
      <c r="J28" s="413">
        <v>11.8</v>
      </c>
      <c r="K28" s="449">
        <v>2000</v>
      </c>
      <c r="L28" s="449">
        <v>25</v>
      </c>
      <c r="M28" s="449" t="s">
        <v>459</v>
      </c>
      <c r="N28" s="413">
        <v>14.3</v>
      </c>
      <c r="O28" s="449">
        <v>2460</v>
      </c>
      <c r="P28" s="413">
        <v>14.3</v>
      </c>
      <c r="Q28" s="449">
        <v>2460</v>
      </c>
      <c r="R28" s="449">
        <v>21</v>
      </c>
      <c r="S28" s="449" t="s">
        <v>460</v>
      </c>
      <c r="T28" s="449">
        <v>37</v>
      </c>
    </row>
    <row r="29" s="395" customFormat="1" customHeight="1" spans="1:30 16335:16345">
      <c r="A29" s="140" t="s">
        <v>486</v>
      </c>
      <c r="B29" s="413">
        <v>9.2</v>
      </c>
      <c r="C29" s="449">
        <v>1480</v>
      </c>
      <c r="D29" s="413">
        <v>9.2</v>
      </c>
      <c r="E29" s="449">
        <v>1480</v>
      </c>
      <c r="F29" s="449">
        <v>32</v>
      </c>
      <c r="G29" s="449" t="s">
        <v>455</v>
      </c>
      <c r="H29" s="413">
        <v>12.2</v>
      </c>
      <c r="I29" s="449">
        <v>2060</v>
      </c>
      <c r="J29" s="413">
        <v>12.2</v>
      </c>
      <c r="K29" s="449">
        <v>2060</v>
      </c>
      <c r="L29" s="449">
        <v>25</v>
      </c>
      <c r="M29" s="449" t="s">
        <v>466</v>
      </c>
      <c r="N29" s="413">
        <v>14.6</v>
      </c>
      <c r="O29" s="449">
        <v>2470</v>
      </c>
      <c r="P29" s="413">
        <v>14.6</v>
      </c>
      <c r="Q29" s="449">
        <v>2470</v>
      </c>
      <c r="R29" s="449">
        <v>21</v>
      </c>
      <c r="S29" s="449" t="s">
        <v>467</v>
      </c>
      <c r="T29" s="449">
        <v>40</v>
      </c>
      <c r="XDG29" s="397"/>
      <c r="XDH29" s="397"/>
      <c r="XDI29" s="397"/>
      <c r="XDJ29" s="397"/>
      <c r="XDK29" s="397"/>
      <c r="XDL29" s="397"/>
      <c r="XDM29" s="397"/>
      <c r="XDN29" s="397"/>
      <c r="XDO29" s="397"/>
      <c r="XDP29" s="397"/>
      <c r="XDQ29" s="397"/>
    </row>
    <row r="30" s="395" customFormat="1" customHeight="1" spans="1:30 16335:16345">
      <c r="A30" s="140" t="s">
        <v>487</v>
      </c>
      <c r="B30" s="413">
        <v>9.2</v>
      </c>
      <c r="C30" s="449">
        <v>1480</v>
      </c>
      <c r="D30" s="413">
        <v>9.2</v>
      </c>
      <c r="E30" s="449">
        <v>1480</v>
      </c>
      <c r="F30" s="449">
        <v>32</v>
      </c>
      <c r="G30" s="449" t="s">
        <v>455</v>
      </c>
      <c r="H30" s="413">
        <v>12.2</v>
      </c>
      <c r="I30" s="449">
        <v>2040</v>
      </c>
      <c r="J30" s="413">
        <v>12.2</v>
      </c>
      <c r="K30" s="449">
        <v>2040</v>
      </c>
      <c r="L30" s="449">
        <v>25</v>
      </c>
      <c r="M30" s="449" t="s">
        <v>469</v>
      </c>
      <c r="N30" s="413">
        <v>14.6</v>
      </c>
      <c r="O30" s="449">
        <v>2470</v>
      </c>
      <c r="P30" s="413">
        <v>14.6</v>
      </c>
      <c r="Q30" s="449">
        <v>2470</v>
      </c>
      <c r="R30" s="449">
        <v>21</v>
      </c>
      <c r="S30" s="449" t="s">
        <v>471</v>
      </c>
      <c r="T30" s="449">
        <v>40</v>
      </c>
      <c r="XDG30" s="397"/>
      <c r="XDH30" s="397"/>
      <c r="XDI30" s="397"/>
      <c r="XDJ30" s="397"/>
      <c r="XDK30" s="397"/>
      <c r="XDL30" s="397"/>
      <c r="XDM30" s="397"/>
      <c r="XDN30" s="397"/>
      <c r="XDO30" s="397"/>
      <c r="XDP30" s="397"/>
      <c r="XDQ30" s="397"/>
    </row>
    <row r="31" s="395" customFormat="1" customHeight="1" spans="1:30 16335:16345">
      <c r="A31" s="140" t="s">
        <v>488</v>
      </c>
      <c r="B31" s="413">
        <v>9.3</v>
      </c>
      <c r="C31" s="449">
        <v>1530</v>
      </c>
      <c r="D31" s="413">
        <v>9.3</v>
      </c>
      <c r="E31" s="449">
        <v>1530</v>
      </c>
      <c r="F31" s="449">
        <v>32</v>
      </c>
      <c r="G31" s="449" t="s">
        <v>455</v>
      </c>
      <c r="H31" s="413">
        <v>12.2</v>
      </c>
      <c r="I31" s="449">
        <v>2090</v>
      </c>
      <c r="J31" s="413">
        <v>12.2</v>
      </c>
      <c r="K31" s="449">
        <v>2090</v>
      </c>
      <c r="L31" s="449">
        <v>25</v>
      </c>
      <c r="M31" s="449" t="s">
        <v>459</v>
      </c>
      <c r="N31" s="413">
        <v>14.7</v>
      </c>
      <c r="O31" s="449">
        <v>2510</v>
      </c>
      <c r="P31" s="413">
        <v>14.7</v>
      </c>
      <c r="Q31" s="449">
        <v>2510</v>
      </c>
      <c r="R31" s="449">
        <v>21</v>
      </c>
      <c r="S31" s="449" t="s">
        <v>460</v>
      </c>
      <c r="T31" s="449">
        <v>36</v>
      </c>
      <c r="XDG31" s="397"/>
      <c r="XDH31" s="397"/>
      <c r="XDI31" s="397"/>
      <c r="XDJ31" s="397"/>
      <c r="XDK31" s="397"/>
      <c r="XDL31" s="397"/>
      <c r="XDM31" s="397"/>
      <c r="XDN31" s="397"/>
      <c r="XDO31" s="397"/>
      <c r="XDP31" s="397"/>
      <c r="XDQ31" s="397"/>
    </row>
    <row r="32" s="395" customFormat="1" customHeight="1" spans="1:30 16335:16345">
      <c r="A32" s="140" t="s">
        <v>489</v>
      </c>
      <c r="B32" s="413">
        <v>9.3</v>
      </c>
      <c r="C32" s="449">
        <v>1530</v>
      </c>
      <c r="D32" s="413">
        <v>9.3</v>
      </c>
      <c r="E32" s="449">
        <v>1530</v>
      </c>
      <c r="F32" s="449">
        <v>32</v>
      </c>
      <c r="G32" s="449" t="s">
        <v>455</v>
      </c>
      <c r="H32" s="413">
        <v>12.2</v>
      </c>
      <c r="I32" s="449">
        <v>2090</v>
      </c>
      <c r="J32" s="413">
        <v>12.2</v>
      </c>
      <c r="K32" s="449">
        <v>2090</v>
      </c>
      <c r="L32" s="449">
        <v>25</v>
      </c>
      <c r="M32" s="449" t="s">
        <v>490</v>
      </c>
      <c r="N32" s="413">
        <v>14.7</v>
      </c>
      <c r="O32" s="449">
        <v>2510</v>
      </c>
      <c r="P32" s="413">
        <v>14.7</v>
      </c>
      <c r="Q32" s="449">
        <v>2510</v>
      </c>
      <c r="R32" s="449">
        <v>21</v>
      </c>
      <c r="S32" s="449" t="s">
        <v>491</v>
      </c>
      <c r="T32" s="449" t="s">
        <v>148</v>
      </c>
      <c r="XDG32" s="397"/>
      <c r="XDH32" s="397"/>
      <c r="XDI32" s="397"/>
      <c r="XDJ32" s="397"/>
      <c r="XDK32" s="397"/>
      <c r="XDL32" s="397"/>
      <c r="XDM32" s="397"/>
      <c r="XDN32" s="397"/>
      <c r="XDO32" s="397"/>
      <c r="XDP32" s="397"/>
      <c r="XDQ32" s="397"/>
    </row>
    <row r="33" s="395" customFormat="1" customHeight="1" spans="1:20 16335:16345">
      <c r="A33" s="140" t="s">
        <v>492</v>
      </c>
      <c r="B33" s="413">
        <v>9.3</v>
      </c>
      <c r="C33" s="449">
        <v>1530</v>
      </c>
      <c r="D33" s="413">
        <v>9.3</v>
      </c>
      <c r="E33" s="449">
        <v>1530</v>
      </c>
      <c r="F33" s="449">
        <v>32</v>
      </c>
      <c r="G33" s="449" t="s">
        <v>455</v>
      </c>
      <c r="H33" s="413">
        <v>12.2</v>
      </c>
      <c r="I33" s="449">
        <v>2090</v>
      </c>
      <c r="J33" s="413">
        <v>12.2</v>
      </c>
      <c r="K33" s="449">
        <v>2090</v>
      </c>
      <c r="L33" s="449">
        <v>25</v>
      </c>
      <c r="M33" s="449" t="s">
        <v>469</v>
      </c>
      <c r="N33" s="413">
        <v>14.7</v>
      </c>
      <c r="O33" s="449">
        <v>2510</v>
      </c>
      <c r="P33" s="413">
        <v>14.7</v>
      </c>
      <c r="Q33" s="449">
        <v>2510</v>
      </c>
      <c r="R33" s="449">
        <v>21</v>
      </c>
      <c r="S33" s="449" t="s">
        <v>471</v>
      </c>
      <c r="T33" s="449">
        <v>36</v>
      </c>
      <c r="XDG33" s="397"/>
      <c r="XDH33" s="397"/>
      <c r="XDI33" s="397"/>
      <c r="XDJ33" s="397"/>
      <c r="XDK33" s="397"/>
      <c r="XDL33" s="397"/>
      <c r="XDM33" s="397"/>
      <c r="XDN33" s="397"/>
      <c r="XDO33" s="397"/>
      <c r="XDP33" s="397"/>
      <c r="XDQ33" s="397"/>
    </row>
    <row r="34" s="395" customFormat="1" customHeight="1" spans="1:20 16335:16345">
      <c r="A34" s="140" t="s">
        <v>493</v>
      </c>
      <c r="B34" s="413">
        <v>9.3</v>
      </c>
      <c r="C34" s="449">
        <v>1530</v>
      </c>
      <c r="D34" s="413">
        <v>9.3</v>
      </c>
      <c r="E34" s="449">
        <v>1530</v>
      </c>
      <c r="F34" s="449">
        <v>32</v>
      </c>
      <c r="G34" s="449" t="s">
        <v>455</v>
      </c>
      <c r="H34" s="413">
        <v>12.5</v>
      </c>
      <c r="I34" s="449">
        <v>2110</v>
      </c>
      <c r="J34" s="413">
        <v>12.5</v>
      </c>
      <c r="K34" s="449">
        <v>2110</v>
      </c>
      <c r="L34" s="449">
        <v>25</v>
      </c>
      <c r="M34" s="449" t="s">
        <v>469</v>
      </c>
      <c r="N34" s="413">
        <v>14.7</v>
      </c>
      <c r="O34" s="449">
        <v>2510</v>
      </c>
      <c r="P34" s="413">
        <v>14.7</v>
      </c>
      <c r="Q34" s="449">
        <v>2510</v>
      </c>
      <c r="R34" s="449">
        <v>21</v>
      </c>
      <c r="S34" s="449" t="s">
        <v>471</v>
      </c>
      <c r="T34" s="449">
        <v>40</v>
      </c>
      <c r="XDG34" s="397"/>
      <c r="XDH34" s="397"/>
      <c r="XDI34" s="397"/>
      <c r="XDJ34" s="397"/>
      <c r="XDK34" s="397"/>
      <c r="XDL34" s="397"/>
      <c r="XDM34" s="397"/>
      <c r="XDN34" s="397"/>
      <c r="XDO34" s="397"/>
      <c r="XDP34" s="397"/>
      <c r="XDQ34" s="397"/>
    </row>
    <row r="35" s="395" customFormat="1" customHeight="1" spans="1:20 16335:16345">
      <c r="A35" s="140" t="s">
        <v>494</v>
      </c>
      <c r="B35" s="413">
        <v>9.3</v>
      </c>
      <c r="C35" s="449">
        <v>1570</v>
      </c>
      <c r="D35" s="413">
        <v>9.3</v>
      </c>
      <c r="E35" s="449">
        <v>1570</v>
      </c>
      <c r="F35" s="449">
        <v>32</v>
      </c>
      <c r="G35" s="449" t="s">
        <v>455</v>
      </c>
      <c r="H35" s="413">
        <v>12.5</v>
      </c>
      <c r="I35" s="449">
        <v>2110</v>
      </c>
      <c r="J35" s="413">
        <v>12.5</v>
      </c>
      <c r="K35" s="449">
        <v>2110</v>
      </c>
      <c r="L35" s="449">
        <v>25</v>
      </c>
      <c r="M35" s="449" t="s">
        <v>490</v>
      </c>
      <c r="N35" s="413">
        <v>14.7</v>
      </c>
      <c r="O35" s="449">
        <v>2550</v>
      </c>
      <c r="P35" s="413">
        <v>14.7</v>
      </c>
      <c r="Q35" s="449">
        <v>2550</v>
      </c>
      <c r="R35" s="449">
        <v>21</v>
      </c>
      <c r="S35" s="449" t="s">
        <v>491</v>
      </c>
      <c r="T35" s="449">
        <v>36</v>
      </c>
      <c r="XDG35" s="397"/>
      <c r="XDH35" s="397"/>
      <c r="XDI35" s="397"/>
      <c r="XDJ35" s="397"/>
      <c r="XDK35" s="397"/>
      <c r="XDL35" s="397"/>
      <c r="XDM35" s="397"/>
      <c r="XDN35" s="397"/>
      <c r="XDO35" s="397"/>
      <c r="XDP35" s="397"/>
      <c r="XDQ35" s="397"/>
    </row>
    <row r="36" s="395" customFormat="1" customHeight="1" spans="1:20 16335:16345">
      <c r="A36" s="140" t="s">
        <v>495</v>
      </c>
      <c r="B36" s="413">
        <v>9.3</v>
      </c>
      <c r="C36" s="449">
        <v>1570</v>
      </c>
      <c r="D36" s="413">
        <v>9.3</v>
      </c>
      <c r="E36" s="449">
        <v>1570</v>
      </c>
      <c r="F36" s="449">
        <v>32</v>
      </c>
      <c r="G36" s="449" t="s">
        <v>455</v>
      </c>
      <c r="H36" s="413">
        <v>12.5</v>
      </c>
      <c r="I36" s="449">
        <v>2110</v>
      </c>
      <c r="J36" s="413">
        <v>12.5</v>
      </c>
      <c r="K36" s="449">
        <v>2110</v>
      </c>
      <c r="L36" s="449">
        <v>25</v>
      </c>
      <c r="M36" s="449" t="s">
        <v>478</v>
      </c>
      <c r="N36" s="413">
        <v>14.7</v>
      </c>
      <c r="O36" s="449">
        <v>2550</v>
      </c>
      <c r="P36" s="413">
        <v>14.7</v>
      </c>
      <c r="Q36" s="449">
        <v>2550</v>
      </c>
      <c r="R36" s="449">
        <v>21</v>
      </c>
      <c r="S36" s="449" t="s">
        <v>479</v>
      </c>
      <c r="T36" s="449" t="s">
        <v>148</v>
      </c>
      <c r="XDG36" s="397"/>
      <c r="XDH36" s="397"/>
      <c r="XDI36" s="397"/>
      <c r="XDJ36" s="397"/>
      <c r="XDK36" s="397"/>
      <c r="XDL36" s="397"/>
      <c r="XDM36" s="397"/>
      <c r="XDN36" s="397"/>
      <c r="XDO36" s="397"/>
      <c r="XDP36" s="397"/>
      <c r="XDQ36" s="397"/>
    </row>
    <row r="37" s="395" customFormat="1" customHeight="1" spans="1:20 16335:16345">
      <c r="A37" s="140" t="s">
        <v>496</v>
      </c>
      <c r="B37" s="413">
        <v>9.3</v>
      </c>
      <c r="C37" s="449">
        <v>1570</v>
      </c>
      <c r="D37" s="413">
        <v>9.3</v>
      </c>
      <c r="E37" s="449">
        <v>1570</v>
      </c>
      <c r="F37" s="449">
        <v>32</v>
      </c>
      <c r="G37" s="449" t="s">
        <v>476</v>
      </c>
      <c r="H37" s="413">
        <v>12.5</v>
      </c>
      <c r="I37" s="449">
        <v>2110</v>
      </c>
      <c r="J37" s="413">
        <v>12.5</v>
      </c>
      <c r="K37" s="449">
        <v>2110</v>
      </c>
      <c r="L37" s="449">
        <v>25</v>
      </c>
      <c r="M37" s="449" t="s">
        <v>483</v>
      </c>
      <c r="N37" s="413">
        <v>14.7</v>
      </c>
      <c r="O37" s="449">
        <v>2550</v>
      </c>
      <c r="P37" s="413">
        <v>14.7</v>
      </c>
      <c r="Q37" s="449">
        <v>2550</v>
      </c>
      <c r="R37" s="449">
        <v>21</v>
      </c>
      <c r="S37" s="449" t="s">
        <v>484</v>
      </c>
      <c r="T37" s="449" t="s">
        <v>148</v>
      </c>
      <c r="XDG37" s="397"/>
      <c r="XDH37" s="397"/>
      <c r="XDI37" s="397"/>
      <c r="XDJ37" s="397"/>
      <c r="XDK37" s="397"/>
      <c r="XDL37" s="397"/>
      <c r="XDM37" s="397"/>
      <c r="XDN37" s="397"/>
      <c r="XDO37" s="397"/>
      <c r="XDP37" s="397"/>
      <c r="XDQ37" s="397"/>
    </row>
    <row r="38" s="395" customFormat="1" customHeight="1" spans="1:20 16335:16345">
      <c r="A38" s="140" t="s">
        <v>497</v>
      </c>
      <c r="B38" s="413">
        <v>9.3</v>
      </c>
      <c r="C38" s="449">
        <v>1570</v>
      </c>
      <c r="D38" s="413">
        <v>9.3</v>
      </c>
      <c r="E38" s="449">
        <v>1570</v>
      </c>
      <c r="F38" s="449">
        <v>32</v>
      </c>
      <c r="G38" s="449" t="s">
        <v>455</v>
      </c>
      <c r="H38" s="413">
        <v>12.5</v>
      </c>
      <c r="I38" s="449">
        <v>2110</v>
      </c>
      <c r="J38" s="413">
        <v>12.5</v>
      </c>
      <c r="K38" s="449">
        <v>2110</v>
      </c>
      <c r="L38" s="449">
        <v>25</v>
      </c>
      <c r="M38" s="449" t="s">
        <v>498</v>
      </c>
      <c r="N38" s="413">
        <v>14.7</v>
      </c>
      <c r="O38" s="449">
        <v>2550</v>
      </c>
      <c r="P38" s="413">
        <v>14.7</v>
      </c>
      <c r="Q38" s="449">
        <v>2550</v>
      </c>
      <c r="R38" s="449">
        <v>21</v>
      </c>
      <c r="S38" s="449" t="s">
        <v>499</v>
      </c>
      <c r="T38" s="449">
        <v>38</v>
      </c>
      <c r="XDG38" s="397"/>
      <c r="XDH38" s="397"/>
      <c r="XDI38" s="397"/>
      <c r="XDJ38" s="397"/>
      <c r="XDK38" s="397"/>
      <c r="XDL38" s="397"/>
      <c r="XDM38" s="397"/>
      <c r="XDN38" s="397"/>
      <c r="XDO38" s="397"/>
      <c r="XDP38" s="397"/>
      <c r="XDQ38" s="397"/>
    </row>
    <row r="39" s="395" customFormat="1" customHeight="1" spans="1:20 16335:16345">
      <c r="A39" s="140" t="s">
        <v>500</v>
      </c>
      <c r="B39" s="413">
        <v>9.3</v>
      </c>
      <c r="C39" s="449">
        <v>1570</v>
      </c>
      <c r="D39" s="413">
        <v>9.3</v>
      </c>
      <c r="E39" s="449">
        <v>1570</v>
      </c>
      <c r="F39" s="449">
        <v>32</v>
      </c>
      <c r="G39" s="449" t="s">
        <v>455</v>
      </c>
      <c r="H39" s="413">
        <v>12.5</v>
      </c>
      <c r="I39" s="449">
        <v>2110</v>
      </c>
      <c r="J39" s="413">
        <v>12.5</v>
      </c>
      <c r="K39" s="449">
        <v>2110</v>
      </c>
      <c r="L39" s="449">
        <v>25</v>
      </c>
      <c r="M39" s="449" t="s">
        <v>456</v>
      </c>
      <c r="N39" s="413">
        <v>14.7</v>
      </c>
      <c r="O39" s="449">
        <v>2550</v>
      </c>
      <c r="P39" s="413">
        <v>14.7</v>
      </c>
      <c r="Q39" s="449">
        <v>2550</v>
      </c>
      <c r="R39" s="449">
        <v>21</v>
      </c>
      <c r="S39" s="449" t="s">
        <v>457</v>
      </c>
      <c r="T39" s="449" t="s">
        <v>148</v>
      </c>
      <c r="XDG39" s="397"/>
      <c r="XDH39" s="397"/>
      <c r="XDI39" s="397"/>
      <c r="XDJ39" s="397"/>
      <c r="XDK39" s="397"/>
      <c r="XDL39" s="397"/>
      <c r="XDM39" s="397"/>
      <c r="XDN39" s="397"/>
      <c r="XDO39" s="397"/>
      <c r="XDP39" s="397"/>
      <c r="XDQ39" s="397"/>
    </row>
    <row r="40" s="395" customFormat="1" customHeight="1" spans="1:20 16335:16345">
      <c r="A40" s="140" t="s">
        <v>362</v>
      </c>
      <c r="B40" s="413">
        <v>9.3</v>
      </c>
      <c r="C40" s="449">
        <v>1570</v>
      </c>
      <c r="D40" s="413">
        <v>9.3</v>
      </c>
      <c r="E40" s="449">
        <v>1570</v>
      </c>
      <c r="F40" s="449">
        <v>32</v>
      </c>
      <c r="G40" s="449" t="s">
        <v>455</v>
      </c>
      <c r="H40" s="413">
        <v>12.5</v>
      </c>
      <c r="I40" s="449">
        <v>2110</v>
      </c>
      <c r="J40" s="413">
        <v>12.5</v>
      </c>
      <c r="K40" s="449">
        <v>2110</v>
      </c>
      <c r="L40" s="449">
        <v>25</v>
      </c>
      <c r="M40" s="449" t="s">
        <v>498</v>
      </c>
      <c r="N40" s="413">
        <v>14.7</v>
      </c>
      <c r="O40" s="449">
        <v>2550</v>
      </c>
      <c r="P40" s="413">
        <v>14.7</v>
      </c>
      <c r="Q40" s="449">
        <v>2550</v>
      </c>
      <c r="R40" s="449">
        <v>21</v>
      </c>
      <c r="S40" s="449" t="s">
        <v>499</v>
      </c>
      <c r="T40" s="449">
        <v>38</v>
      </c>
      <c r="XDG40" s="397"/>
      <c r="XDH40" s="397"/>
      <c r="XDI40" s="397"/>
      <c r="XDJ40" s="397"/>
      <c r="XDK40" s="397"/>
      <c r="XDL40" s="397"/>
      <c r="XDM40" s="397"/>
      <c r="XDN40" s="397"/>
      <c r="XDO40" s="397"/>
      <c r="XDP40" s="397"/>
      <c r="XDQ40" s="397"/>
    </row>
    <row r="41" s="395" customFormat="1" customHeight="1" spans="1:20 16335:16345">
      <c r="A41" s="140" t="s">
        <v>361</v>
      </c>
      <c r="B41" s="413">
        <v>9.3</v>
      </c>
      <c r="C41" s="449">
        <v>1570</v>
      </c>
      <c r="D41" s="413">
        <v>9.3</v>
      </c>
      <c r="E41" s="449">
        <v>1570</v>
      </c>
      <c r="F41" s="449">
        <v>32</v>
      </c>
      <c r="G41" s="449" t="s">
        <v>455</v>
      </c>
      <c r="H41" s="413">
        <v>12.5</v>
      </c>
      <c r="I41" s="449">
        <v>2110</v>
      </c>
      <c r="J41" s="413">
        <v>12.5</v>
      </c>
      <c r="K41" s="449">
        <v>2110</v>
      </c>
      <c r="L41" s="449">
        <v>25</v>
      </c>
      <c r="M41" s="449" t="s">
        <v>469</v>
      </c>
      <c r="N41" s="413">
        <v>14.7</v>
      </c>
      <c r="O41" s="449">
        <v>2550</v>
      </c>
      <c r="P41" s="413">
        <v>14.7</v>
      </c>
      <c r="Q41" s="449">
        <v>2550</v>
      </c>
      <c r="R41" s="449">
        <v>21</v>
      </c>
      <c r="S41" s="449" t="s">
        <v>471</v>
      </c>
      <c r="T41" s="449">
        <v>38</v>
      </c>
      <c r="XDG41" s="397"/>
      <c r="XDH41" s="397"/>
      <c r="XDI41" s="397"/>
      <c r="XDJ41" s="397"/>
      <c r="XDK41" s="397"/>
      <c r="XDL41" s="397"/>
      <c r="XDM41" s="397"/>
      <c r="XDN41" s="397"/>
      <c r="XDO41" s="397"/>
      <c r="XDP41" s="397"/>
      <c r="XDQ41" s="397"/>
    </row>
    <row r="42" s="395" customFormat="1" customHeight="1" spans="1:20 16335:16345">
      <c r="A42" s="140" t="s">
        <v>360</v>
      </c>
      <c r="B42" s="413">
        <v>9.4</v>
      </c>
      <c r="C42" s="449">
        <v>1630</v>
      </c>
      <c r="D42" s="413">
        <v>9.4</v>
      </c>
      <c r="E42" s="449">
        <v>1630</v>
      </c>
      <c r="F42" s="449">
        <v>32</v>
      </c>
      <c r="G42" s="449" t="s">
        <v>455</v>
      </c>
      <c r="H42" s="413">
        <v>12.7</v>
      </c>
      <c r="I42" s="449">
        <v>2190</v>
      </c>
      <c r="J42" s="413">
        <v>12.7</v>
      </c>
      <c r="K42" s="449">
        <v>2190</v>
      </c>
      <c r="L42" s="449">
        <v>25</v>
      </c>
      <c r="M42" s="449" t="s">
        <v>469</v>
      </c>
      <c r="N42" s="413">
        <v>14.9</v>
      </c>
      <c r="O42" s="449">
        <v>2610</v>
      </c>
      <c r="P42" s="413">
        <v>14.9</v>
      </c>
      <c r="Q42" s="449">
        <v>2610</v>
      </c>
      <c r="R42" s="449">
        <v>21</v>
      </c>
      <c r="S42" s="449" t="s">
        <v>471</v>
      </c>
      <c r="T42" s="449">
        <v>37</v>
      </c>
      <c r="XDG42" s="397"/>
      <c r="XDH42" s="397"/>
      <c r="XDI42" s="397"/>
      <c r="XDJ42" s="397"/>
      <c r="XDK42" s="397"/>
      <c r="XDL42" s="397"/>
      <c r="XDM42" s="397"/>
      <c r="XDN42" s="397"/>
      <c r="XDO42" s="397"/>
      <c r="XDP42" s="397"/>
      <c r="XDQ42" s="397"/>
    </row>
    <row r="43" s="395" customFormat="1" customHeight="1" spans="1:20 16335:16345">
      <c r="A43" s="140" t="s">
        <v>501</v>
      </c>
      <c r="B43" s="413">
        <v>9.4</v>
      </c>
      <c r="C43" s="449">
        <v>1630</v>
      </c>
      <c r="D43" s="413">
        <v>9.4</v>
      </c>
      <c r="E43" s="449">
        <v>1630</v>
      </c>
      <c r="F43" s="449">
        <v>32</v>
      </c>
      <c r="G43" s="449" t="s">
        <v>476</v>
      </c>
      <c r="H43" s="413">
        <v>12.7</v>
      </c>
      <c r="I43" s="449">
        <v>2190</v>
      </c>
      <c r="J43" s="413">
        <v>12.7</v>
      </c>
      <c r="K43" s="449">
        <v>2190</v>
      </c>
      <c r="L43" s="449">
        <v>25</v>
      </c>
      <c r="M43" s="449" t="s">
        <v>483</v>
      </c>
      <c r="N43" s="413">
        <v>14.9</v>
      </c>
      <c r="O43" s="449">
        <v>2610</v>
      </c>
      <c r="P43" s="413">
        <v>14.9</v>
      </c>
      <c r="Q43" s="449">
        <v>2610</v>
      </c>
      <c r="R43" s="449">
        <v>21</v>
      </c>
      <c r="S43" s="449" t="s">
        <v>484</v>
      </c>
      <c r="T43" s="449" t="s">
        <v>148</v>
      </c>
      <c r="XDG43" s="397"/>
      <c r="XDH43" s="397"/>
      <c r="XDI43" s="397"/>
      <c r="XDJ43" s="397"/>
      <c r="XDK43" s="397"/>
      <c r="XDL43" s="397"/>
      <c r="XDM43" s="397"/>
      <c r="XDN43" s="397"/>
      <c r="XDO43" s="397"/>
      <c r="XDP43" s="397"/>
      <c r="XDQ43" s="397"/>
    </row>
    <row r="44" s="395" customFormat="1" customHeight="1" spans="1:20 16335:16345">
      <c r="A44" s="140" t="s">
        <v>502</v>
      </c>
      <c r="B44" s="413">
        <v>9.4</v>
      </c>
      <c r="C44" s="449">
        <v>1630</v>
      </c>
      <c r="D44" s="413">
        <v>9.4</v>
      </c>
      <c r="E44" s="449">
        <v>1630</v>
      </c>
      <c r="F44" s="449">
        <v>32</v>
      </c>
      <c r="G44" s="449" t="s">
        <v>455</v>
      </c>
      <c r="H44" s="413">
        <v>12.7</v>
      </c>
      <c r="I44" s="449">
        <v>2190</v>
      </c>
      <c r="J44" s="413">
        <v>12.7</v>
      </c>
      <c r="K44" s="449">
        <v>2190</v>
      </c>
      <c r="L44" s="449">
        <v>25</v>
      </c>
      <c r="M44" s="449" t="s">
        <v>469</v>
      </c>
      <c r="N44" s="413">
        <v>14.9</v>
      </c>
      <c r="O44" s="449">
        <v>2610</v>
      </c>
      <c r="P44" s="413">
        <v>14.9</v>
      </c>
      <c r="Q44" s="449">
        <v>2610</v>
      </c>
      <c r="R44" s="449">
        <v>21</v>
      </c>
      <c r="S44" s="449" t="s">
        <v>471</v>
      </c>
      <c r="T44" s="449" t="s">
        <v>148</v>
      </c>
      <c r="XDG44" s="397"/>
      <c r="XDH44" s="397"/>
      <c r="XDI44" s="397"/>
      <c r="XDJ44" s="397"/>
      <c r="XDK44" s="397"/>
      <c r="XDL44" s="397"/>
      <c r="XDM44" s="397"/>
      <c r="XDN44" s="397"/>
      <c r="XDO44" s="397"/>
      <c r="XDP44" s="397"/>
      <c r="XDQ44" s="397"/>
    </row>
    <row r="45" s="395" customFormat="1" customHeight="1" spans="1:20 16335:16345">
      <c r="A45" s="140" t="s">
        <v>503</v>
      </c>
      <c r="B45" s="413">
        <v>9.4</v>
      </c>
      <c r="C45" s="449">
        <v>1630</v>
      </c>
      <c r="D45" s="413">
        <v>9.4</v>
      </c>
      <c r="E45" s="449">
        <v>1630</v>
      </c>
      <c r="F45" s="449">
        <v>32</v>
      </c>
      <c r="G45" s="449" t="s">
        <v>455</v>
      </c>
      <c r="H45" s="413">
        <v>12.7</v>
      </c>
      <c r="I45" s="449">
        <v>2190</v>
      </c>
      <c r="J45" s="413">
        <v>12.7</v>
      </c>
      <c r="K45" s="449">
        <v>2190</v>
      </c>
      <c r="L45" s="449">
        <v>25</v>
      </c>
      <c r="M45" s="449" t="s">
        <v>466</v>
      </c>
      <c r="N45" s="413">
        <v>14.9</v>
      </c>
      <c r="O45" s="449">
        <v>2610</v>
      </c>
      <c r="P45" s="413">
        <v>14.9</v>
      </c>
      <c r="Q45" s="449">
        <v>2610</v>
      </c>
      <c r="R45" s="449">
        <v>21</v>
      </c>
      <c r="S45" s="449" t="s">
        <v>467</v>
      </c>
      <c r="T45" s="449">
        <v>40</v>
      </c>
      <c r="XDG45" s="397"/>
      <c r="XDH45" s="397"/>
      <c r="XDI45" s="397"/>
      <c r="XDJ45" s="397"/>
      <c r="XDK45" s="397"/>
      <c r="XDL45" s="397"/>
      <c r="XDM45" s="397"/>
      <c r="XDN45" s="397"/>
      <c r="XDO45" s="397"/>
      <c r="XDP45" s="397"/>
      <c r="XDQ45" s="397"/>
    </row>
    <row r="46" s="395" customFormat="1" customHeight="1" spans="1:20 16335:16345">
      <c r="A46" s="140" t="s">
        <v>363</v>
      </c>
      <c r="B46" s="413">
        <v>9.4</v>
      </c>
      <c r="C46" s="449">
        <v>1630</v>
      </c>
      <c r="D46" s="413">
        <v>9.4</v>
      </c>
      <c r="E46" s="449">
        <v>1630</v>
      </c>
      <c r="F46" s="449">
        <v>32</v>
      </c>
      <c r="G46" s="449" t="s">
        <v>455</v>
      </c>
      <c r="H46" s="413">
        <v>12.7</v>
      </c>
      <c r="I46" s="449">
        <v>2190</v>
      </c>
      <c r="J46" s="413">
        <v>12.7</v>
      </c>
      <c r="K46" s="449">
        <v>2190</v>
      </c>
      <c r="L46" s="449">
        <v>25</v>
      </c>
      <c r="M46" s="449" t="s">
        <v>469</v>
      </c>
      <c r="N46" s="413">
        <v>14.9</v>
      </c>
      <c r="O46" s="449">
        <v>2610</v>
      </c>
      <c r="P46" s="413">
        <v>14.9</v>
      </c>
      <c r="Q46" s="449">
        <v>2610</v>
      </c>
      <c r="R46" s="449">
        <v>21</v>
      </c>
      <c r="S46" s="449" t="s">
        <v>471</v>
      </c>
      <c r="T46" s="449">
        <v>38</v>
      </c>
      <c r="XDG46" s="397"/>
      <c r="XDH46" s="397"/>
      <c r="XDI46" s="397"/>
      <c r="XDJ46" s="397"/>
      <c r="XDK46" s="397"/>
      <c r="XDL46" s="397"/>
      <c r="XDM46" s="397"/>
      <c r="XDN46" s="397"/>
      <c r="XDO46" s="397"/>
      <c r="XDP46" s="397"/>
      <c r="XDQ46" s="397"/>
    </row>
    <row r="47" s="395" customFormat="1" customHeight="1" spans="1:20 16335:16345">
      <c r="A47" s="140" t="s">
        <v>504</v>
      </c>
      <c r="B47" s="413">
        <v>9.6</v>
      </c>
      <c r="C47" s="449">
        <v>1650</v>
      </c>
      <c r="D47" s="413">
        <v>9.6</v>
      </c>
      <c r="E47" s="449">
        <v>1650</v>
      </c>
      <c r="F47" s="449">
        <v>32</v>
      </c>
      <c r="G47" s="449" t="s">
        <v>505</v>
      </c>
      <c r="H47" s="413">
        <v>12.7</v>
      </c>
      <c r="I47" s="449">
        <v>2140</v>
      </c>
      <c r="J47" s="413">
        <v>12.7</v>
      </c>
      <c r="K47" s="449">
        <v>2140</v>
      </c>
      <c r="L47" s="449">
        <v>25</v>
      </c>
      <c r="M47" s="449" t="s">
        <v>469</v>
      </c>
      <c r="N47" s="413">
        <v>14.7</v>
      </c>
      <c r="O47" s="449">
        <v>2550</v>
      </c>
      <c r="P47" s="413">
        <v>14.7</v>
      </c>
      <c r="Q47" s="449">
        <v>2550</v>
      </c>
      <c r="R47" s="449">
        <v>21</v>
      </c>
      <c r="S47" s="449" t="s">
        <v>471</v>
      </c>
      <c r="T47" s="449">
        <v>38</v>
      </c>
      <c r="XDG47" s="397"/>
      <c r="XDH47" s="397"/>
      <c r="XDI47" s="397"/>
      <c r="XDJ47" s="397"/>
      <c r="XDK47" s="397"/>
      <c r="XDL47" s="397"/>
      <c r="XDM47" s="397"/>
      <c r="XDN47" s="397"/>
      <c r="XDO47" s="397"/>
      <c r="XDP47" s="397"/>
      <c r="XDQ47" s="397"/>
    </row>
    <row r="48" s="395" customFormat="1" customHeight="1" spans="1:20 16335:16345">
      <c r="A48" s="140" t="s">
        <v>506</v>
      </c>
      <c r="B48" s="413">
        <v>9.6</v>
      </c>
      <c r="C48" s="449">
        <v>1650</v>
      </c>
      <c r="D48" s="413">
        <v>9.6</v>
      </c>
      <c r="E48" s="449">
        <v>1650</v>
      </c>
      <c r="F48" s="449">
        <v>32</v>
      </c>
      <c r="G48" s="449" t="s">
        <v>455</v>
      </c>
      <c r="H48" s="413">
        <v>12.7</v>
      </c>
      <c r="I48" s="449">
        <v>2140</v>
      </c>
      <c r="J48" s="413">
        <v>12.7</v>
      </c>
      <c r="K48" s="449">
        <v>2140</v>
      </c>
      <c r="L48" s="449">
        <v>25</v>
      </c>
      <c r="M48" s="449" t="s">
        <v>466</v>
      </c>
      <c r="N48" s="413">
        <v>14.7</v>
      </c>
      <c r="O48" s="449">
        <v>2550</v>
      </c>
      <c r="P48" s="413">
        <v>14.7</v>
      </c>
      <c r="Q48" s="449">
        <v>2550</v>
      </c>
      <c r="R48" s="449">
        <v>21</v>
      </c>
      <c r="S48" s="449" t="s">
        <v>467</v>
      </c>
      <c r="T48" s="449" t="s">
        <v>148</v>
      </c>
      <c r="XDG48" s="397"/>
      <c r="XDH48" s="397"/>
      <c r="XDI48" s="397"/>
      <c r="XDJ48" s="397"/>
      <c r="XDK48" s="397"/>
      <c r="XDL48" s="397"/>
      <c r="XDM48" s="397"/>
      <c r="XDN48" s="397"/>
      <c r="XDO48" s="397"/>
      <c r="XDP48" s="397"/>
      <c r="XDQ48" s="397"/>
    </row>
    <row r="49" s="395" customFormat="1" customHeight="1" spans="1:20 16335:16345">
      <c r="A49" s="140" t="s">
        <v>507</v>
      </c>
      <c r="B49" s="413">
        <v>9.8</v>
      </c>
      <c r="C49" s="449">
        <v>1640</v>
      </c>
      <c r="D49" s="413">
        <v>9.8</v>
      </c>
      <c r="E49" s="449">
        <v>1640</v>
      </c>
      <c r="F49" s="449">
        <v>32</v>
      </c>
      <c r="G49" s="449" t="s">
        <v>505</v>
      </c>
      <c r="H49" s="413">
        <v>12.7</v>
      </c>
      <c r="I49" s="449">
        <v>2140</v>
      </c>
      <c r="J49" s="413">
        <v>12.7</v>
      </c>
      <c r="K49" s="449">
        <v>2140</v>
      </c>
      <c r="L49" s="449">
        <v>25</v>
      </c>
      <c r="M49" s="449" t="s">
        <v>469</v>
      </c>
      <c r="N49" s="413">
        <v>15</v>
      </c>
      <c r="O49" s="449">
        <v>2620</v>
      </c>
      <c r="P49" s="413">
        <v>15</v>
      </c>
      <c r="Q49" s="449">
        <v>2620</v>
      </c>
      <c r="R49" s="449">
        <v>21</v>
      </c>
      <c r="S49" s="449" t="s">
        <v>471</v>
      </c>
      <c r="T49" s="449" t="s">
        <v>148</v>
      </c>
      <c r="XDG49" s="397"/>
      <c r="XDH49" s="397"/>
      <c r="XDI49" s="397"/>
      <c r="XDJ49" s="397"/>
      <c r="XDK49" s="397"/>
      <c r="XDL49" s="397"/>
      <c r="XDM49" s="397"/>
      <c r="XDN49" s="397"/>
      <c r="XDO49" s="397"/>
      <c r="XDP49" s="397"/>
      <c r="XDQ49" s="397"/>
    </row>
    <row r="50" s="395" customFormat="1" customHeight="1" spans="1:20 16335:16345">
      <c r="A50" s="140" t="s">
        <v>508</v>
      </c>
      <c r="B50" s="413">
        <v>9.9</v>
      </c>
      <c r="C50" s="449">
        <v>1760</v>
      </c>
      <c r="D50" s="413">
        <v>9.9</v>
      </c>
      <c r="E50" s="449">
        <v>1760</v>
      </c>
      <c r="F50" s="449">
        <v>32</v>
      </c>
      <c r="G50" s="449" t="s">
        <v>476</v>
      </c>
      <c r="H50" s="413">
        <v>13.1</v>
      </c>
      <c r="I50" s="449">
        <v>2270</v>
      </c>
      <c r="J50" s="413">
        <v>13.1</v>
      </c>
      <c r="K50" s="449">
        <v>2270</v>
      </c>
      <c r="L50" s="449">
        <v>25</v>
      </c>
      <c r="M50" s="449" t="s">
        <v>483</v>
      </c>
      <c r="N50" s="413">
        <v>15.5</v>
      </c>
      <c r="O50" s="449">
        <v>2740</v>
      </c>
      <c r="P50" s="413">
        <v>15.5</v>
      </c>
      <c r="Q50" s="449">
        <v>2740</v>
      </c>
      <c r="R50" s="449">
        <v>21</v>
      </c>
      <c r="S50" s="449" t="s">
        <v>484</v>
      </c>
      <c r="T50" s="449" t="s">
        <v>148</v>
      </c>
      <c r="XDG50" s="397"/>
      <c r="XDH50" s="397"/>
      <c r="XDI50" s="397"/>
      <c r="XDJ50" s="397"/>
      <c r="XDK50" s="397"/>
      <c r="XDL50" s="397"/>
      <c r="XDM50" s="397"/>
      <c r="XDN50" s="397"/>
      <c r="XDO50" s="397"/>
      <c r="XDP50" s="397"/>
      <c r="XDQ50" s="397"/>
    </row>
    <row r="51" s="395" customFormat="1" customHeight="1" spans="1:20 16335:16345">
      <c r="A51" s="140" t="s">
        <v>509</v>
      </c>
      <c r="B51" s="413">
        <v>10.4</v>
      </c>
      <c r="C51" s="449">
        <v>1760</v>
      </c>
      <c r="D51" s="413">
        <v>10.4</v>
      </c>
      <c r="E51" s="449">
        <v>1760</v>
      </c>
      <c r="F51" s="449">
        <v>32</v>
      </c>
      <c r="G51" s="449" t="s">
        <v>455</v>
      </c>
      <c r="H51" s="413">
        <v>13.6</v>
      </c>
      <c r="I51" s="449">
        <v>2340</v>
      </c>
      <c r="J51" s="413">
        <v>13.6</v>
      </c>
      <c r="K51" s="449">
        <v>2340</v>
      </c>
      <c r="L51" s="449">
        <v>25</v>
      </c>
      <c r="M51" s="449" t="s">
        <v>469</v>
      </c>
      <c r="N51" s="413">
        <v>15.8</v>
      </c>
      <c r="O51" s="449">
        <v>2740</v>
      </c>
      <c r="P51" s="413">
        <v>15.8</v>
      </c>
      <c r="Q51" s="449">
        <v>2740</v>
      </c>
      <c r="R51" s="449">
        <v>21</v>
      </c>
      <c r="S51" s="449" t="s">
        <v>471</v>
      </c>
      <c r="T51" s="449" t="s">
        <v>148</v>
      </c>
      <c r="XDG51" s="397"/>
      <c r="XDH51" s="397"/>
      <c r="XDI51" s="397"/>
      <c r="XDJ51" s="397"/>
      <c r="XDK51" s="397"/>
      <c r="XDL51" s="397"/>
      <c r="XDM51" s="397"/>
      <c r="XDN51" s="397"/>
      <c r="XDO51" s="397"/>
      <c r="XDP51" s="397"/>
      <c r="XDQ51" s="397"/>
    </row>
    <row r="52" s="395" customFormat="1" customHeight="1" spans="1:20 16335:16345">
      <c r="A52" s="140" t="s">
        <v>510</v>
      </c>
      <c r="B52" s="413">
        <v>10.4</v>
      </c>
      <c r="C52" s="449">
        <v>1760</v>
      </c>
      <c r="D52" s="413">
        <v>10.4</v>
      </c>
      <c r="E52" s="449">
        <v>1760</v>
      </c>
      <c r="F52" s="449">
        <v>32</v>
      </c>
      <c r="G52" s="449" t="s">
        <v>476</v>
      </c>
      <c r="H52" s="413">
        <v>13.6</v>
      </c>
      <c r="I52" s="449">
        <v>2340</v>
      </c>
      <c r="J52" s="413">
        <v>13.6</v>
      </c>
      <c r="K52" s="449">
        <v>2340</v>
      </c>
      <c r="L52" s="449">
        <v>25</v>
      </c>
      <c r="M52" s="449" t="s">
        <v>466</v>
      </c>
      <c r="N52" s="413">
        <v>16.1</v>
      </c>
      <c r="O52" s="449">
        <v>2810</v>
      </c>
      <c r="P52" s="413">
        <v>16.1</v>
      </c>
      <c r="Q52" s="449">
        <v>2810</v>
      </c>
      <c r="R52" s="449">
        <v>21</v>
      </c>
      <c r="S52" s="449" t="s">
        <v>467</v>
      </c>
      <c r="T52" s="449">
        <v>38</v>
      </c>
      <c r="XDG52" s="397"/>
      <c r="XDH52" s="397"/>
      <c r="XDI52" s="397"/>
      <c r="XDJ52" s="397"/>
      <c r="XDK52" s="397"/>
      <c r="XDL52" s="397"/>
      <c r="XDM52" s="397"/>
      <c r="XDN52" s="397"/>
      <c r="XDO52" s="397"/>
      <c r="XDP52" s="397"/>
      <c r="XDQ52" s="397"/>
    </row>
    <row r="53" s="395" customFormat="1" customHeight="1" spans="1:20 16335:16345">
      <c r="A53" s="140" t="s">
        <v>511</v>
      </c>
      <c r="B53" s="413">
        <v>10.4</v>
      </c>
      <c r="C53" s="449">
        <v>1760</v>
      </c>
      <c r="D53" s="413">
        <v>10.4</v>
      </c>
      <c r="E53" s="449">
        <v>1760</v>
      </c>
      <c r="F53" s="449">
        <v>32</v>
      </c>
      <c r="G53" s="449" t="s">
        <v>455</v>
      </c>
      <c r="H53" s="413">
        <v>13.6</v>
      </c>
      <c r="I53" s="449">
        <v>2340</v>
      </c>
      <c r="J53" s="413">
        <v>13.6</v>
      </c>
      <c r="K53" s="449">
        <v>2340</v>
      </c>
      <c r="L53" s="449">
        <v>25</v>
      </c>
      <c r="M53" s="449" t="s">
        <v>469</v>
      </c>
      <c r="N53" s="413">
        <v>15.8</v>
      </c>
      <c r="O53" s="449">
        <v>2740</v>
      </c>
      <c r="P53" s="413">
        <v>15.8</v>
      </c>
      <c r="Q53" s="449">
        <v>2740</v>
      </c>
      <c r="R53" s="449">
        <v>21</v>
      </c>
      <c r="S53" s="449" t="s">
        <v>471</v>
      </c>
      <c r="T53" s="449" t="s">
        <v>148</v>
      </c>
      <c r="XDG53" s="397"/>
      <c r="XDH53" s="397"/>
      <c r="XDI53" s="397"/>
      <c r="XDJ53" s="397"/>
      <c r="XDK53" s="397"/>
      <c r="XDL53" s="397"/>
      <c r="XDM53" s="397"/>
      <c r="XDN53" s="397"/>
      <c r="XDO53" s="397"/>
      <c r="XDP53" s="397"/>
      <c r="XDQ53" s="397"/>
    </row>
    <row r="54" s="395" customFormat="1" customHeight="1" spans="1:20 16335:16345">
      <c r="A54" s="140" t="s">
        <v>512</v>
      </c>
      <c r="B54" s="413">
        <v>10.4</v>
      </c>
      <c r="C54" s="449">
        <v>1760</v>
      </c>
      <c r="D54" s="413">
        <v>10.4</v>
      </c>
      <c r="E54" s="449">
        <v>1760</v>
      </c>
      <c r="F54" s="449">
        <v>32</v>
      </c>
      <c r="G54" s="449" t="s">
        <v>455</v>
      </c>
      <c r="H54" s="413">
        <v>13.6</v>
      </c>
      <c r="I54" s="449">
        <v>2340</v>
      </c>
      <c r="J54" s="413">
        <v>13.6</v>
      </c>
      <c r="K54" s="449">
        <v>2340</v>
      </c>
      <c r="L54" s="449">
        <v>25</v>
      </c>
      <c r="M54" s="449" t="s">
        <v>466</v>
      </c>
      <c r="N54" s="413">
        <v>15.8</v>
      </c>
      <c r="O54" s="449">
        <v>2740</v>
      </c>
      <c r="P54" s="413">
        <v>15.8</v>
      </c>
      <c r="Q54" s="449">
        <v>2740</v>
      </c>
      <c r="R54" s="449">
        <v>21</v>
      </c>
      <c r="S54" s="449" t="s">
        <v>467</v>
      </c>
      <c r="T54" s="449" t="s">
        <v>148</v>
      </c>
      <c r="XDG54" s="397"/>
      <c r="XDH54" s="397"/>
      <c r="XDI54" s="397"/>
      <c r="XDJ54" s="397"/>
      <c r="XDK54" s="397"/>
      <c r="XDL54" s="397"/>
      <c r="XDM54" s="397"/>
      <c r="XDN54" s="397"/>
      <c r="XDO54" s="397"/>
      <c r="XDP54" s="397"/>
      <c r="XDQ54" s="397"/>
    </row>
    <row r="55" s="395" customFormat="1" customHeight="1" spans="1:20 16335:16345">
      <c r="A55" s="140" t="s">
        <v>513</v>
      </c>
      <c r="B55" s="413">
        <v>10.4</v>
      </c>
      <c r="C55" s="449">
        <v>1760</v>
      </c>
      <c r="D55" s="413">
        <v>10.4</v>
      </c>
      <c r="E55" s="449">
        <v>1760</v>
      </c>
      <c r="F55" s="449">
        <v>32</v>
      </c>
      <c r="G55" s="449" t="s">
        <v>455</v>
      </c>
      <c r="H55" s="413">
        <v>13.6</v>
      </c>
      <c r="I55" s="449">
        <v>2340</v>
      </c>
      <c r="J55" s="413">
        <v>13.6</v>
      </c>
      <c r="K55" s="449">
        <v>2340</v>
      </c>
      <c r="L55" s="449">
        <v>25</v>
      </c>
      <c r="M55" s="449" t="s">
        <v>466</v>
      </c>
      <c r="N55" s="413">
        <v>15.8</v>
      </c>
      <c r="O55" s="449">
        <v>2740</v>
      </c>
      <c r="P55" s="413">
        <v>15.8</v>
      </c>
      <c r="Q55" s="449">
        <v>2740</v>
      </c>
      <c r="R55" s="449">
        <v>21</v>
      </c>
      <c r="S55" s="449" t="s">
        <v>467</v>
      </c>
      <c r="T55" s="449" t="s">
        <v>148</v>
      </c>
      <c r="XDG55" s="397"/>
      <c r="XDH55" s="397"/>
      <c r="XDI55" s="397"/>
      <c r="XDJ55" s="397"/>
      <c r="XDK55" s="397"/>
      <c r="XDL55" s="397"/>
      <c r="XDM55" s="397"/>
      <c r="XDN55" s="397"/>
      <c r="XDO55" s="397"/>
      <c r="XDP55" s="397"/>
      <c r="XDQ55" s="397"/>
    </row>
    <row r="56" s="395" customFormat="1" customHeight="1" spans="1:20 16335:16345">
      <c r="A56" s="140" t="s">
        <v>440</v>
      </c>
      <c r="B56" s="413">
        <v>10.1</v>
      </c>
      <c r="C56" s="449">
        <v>1760</v>
      </c>
      <c r="D56" s="413">
        <v>10.1</v>
      </c>
      <c r="E56" s="449">
        <v>1760</v>
      </c>
      <c r="F56" s="449">
        <v>32</v>
      </c>
      <c r="G56" s="449" t="s">
        <v>455</v>
      </c>
      <c r="H56" s="413">
        <v>12.9</v>
      </c>
      <c r="I56" s="449">
        <v>2210</v>
      </c>
      <c r="J56" s="413">
        <v>12.9</v>
      </c>
      <c r="K56" s="449">
        <v>2210</v>
      </c>
      <c r="L56" s="449">
        <v>25</v>
      </c>
      <c r="M56" s="449" t="s">
        <v>469</v>
      </c>
      <c r="N56" s="413">
        <v>15.1</v>
      </c>
      <c r="O56" s="449">
        <v>2660</v>
      </c>
      <c r="P56" s="413">
        <v>15.1</v>
      </c>
      <c r="Q56" s="449">
        <v>2660</v>
      </c>
      <c r="R56" s="449">
        <v>21</v>
      </c>
      <c r="S56" s="449" t="s">
        <v>471</v>
      </c>
      <c r="T56" s="449" t="s">
        <v>148</v>
      </c>
      <c r="XDG56" s="397"/>
      <c r="XDH56" s="397"/>
      <c r="XDI56" s="397"/>
      <c r="XDJ56" s="397"/>
      <c r="XDK56" s="397"/>
      <c r="XDL56" s="397"/>
      <c r="XDM56" s="397"/>
      <c r="XDN56" s="397"/>
      <c r="XDO56" s="397"/>
      <c r="XDP56" s="397"/>
      <c r="XDQ56" s="397"/>
    </row>
    <row r="57" s="395" customFormat="1" customHeight="1" spans="1:20 16335:16345">
      <c r="A57" s="140" t="s">
        <v>437</v>
      </c>
      <c r="B57" s="413">
        <v>10.1</v>
      </c>
      <c r="C57" s="449">
        <v>1780</v>
      </c>
      <c r="D57" s="413">
        <v>10.1</v>
      </c>
      <c r="E57" s="449">
        <v>1780</v>
      </c>
      <c r="F57" s="449">
        <v>32</v>
      </c>
      <c r="G57" s="449" t="s">
        <v>455</v>
      </c>
      <c r="H57" s="413">
        <v>12.9</v>
      </c>
      <c r="I57" s="449">
        <v>2210</v>
      </c>
      <c r="J57" s="413">
        <v>12.9</v>
      </c>
      <c r="K57" s="449">
        <v>2210</v>
      </c>
      <c r="L57" s="449">
        <v>25</v>
      </c>
      <c r="M57" s="449" t="s">
        <v>490</v>
      </c>
      <c r="N57" s="413">
        <v>15.1</v>
      </c>
      <c r="O57" s="449">
        <v>2680</v>
      </c>
      <c r="P57" s="413">
        <v>15.1</v>
      </c>
      <c r="Q57" s="449">
        <v>2680</v>
      </c>
      <c r="R57" s="449">
        <v>21</v>
      </c>
      <c r="S57" s="449" t="s">
        <v>491</v>
      </c>
      <c r="T57" s="449">
        <v>37</v>
      </c>
      <c r="XDG57" s="397"/>
      <c r="XDH57" s="397"/>
      <c r="XDI57" s="397"/>
      <c r="XDJ57" s="397"/>
      <c r="XDK57" s="397"/>
      <c r="XDL57" s="397"/>
      <c r="XDM57" s="397"/>
      <c r="XDN57" s="397"/>
      <c r="XDO57" s="397"/>
      <c r="XDP57" s="397"/>
      <c r="XDQ57" s="397"/>
    </row>
    <row r="58" s="395" customFormat="1" customHeight="1" spans="1:20 16335:16345">
      <c r="A58" s="140" t="s">
        <v>514</v>
      </c>
      <c r="B58" s="413">
        <v>10.1</v>
      </c>
      <c r="C58" s="449">
        <v>1790</v>
      </c>
      <c r="D58" s="413">
        <v>10.1</v>
      </c>
      <c r="E58" s="449">
        <v>1790</v>
      </c>
      <c r="F58" s="449">
        <v>32</v>
      </c>
      <c r="G58" s="449" t="s">
        <v>455</v>
      </c>
      <c r="H58" s="413">
        <v>12.9</v>
      </c>
      <c r="I58" s="449">
        <v>2210</v>
      </c>
      <c r="J58" s="413">
        <v>12.9</v>
      </c>
      <c r="K58" s="449">
        <v>2210</v>
      </c>
      <c r="L58" s="449">
        <v>25</v>
      </c>
      <c r="M58" s="449" t="s">
        <v>466</v>
      </c>
      <c r="N58" s="413">
        <v>15.1</v>
      </c>
      <c r="O58" s="449">
        <v>2690</v>
      </c>
      <c r="P58" s="413">
        <v>15.1</v>
      </c>
      <c r="Q58" s="449">
        <v>2690</v>
      </c>
      <c r="R58" s="449">
        <v>21</v>
      </c>
      <c r="S58" s="449" t="s">
        <v>467</v>
      </c>
      <c r="T58" s="449" t="s">
        <v>148</v>
      </c>
      <c r="XDG58" s="397"/>
      <c r="XDH58" s="397"/>
      <c r="XDI58" s="397"/>
      <c r="XDJ58" s="397"/>
      <c r="XDK58" s="397"/>
      <c r="XDL58" s="397"/>
      <c r="XDM58" s="397"/>
      <c r="XDN58" s="397"/>
      <c r="XDO58" s="397"/>
      <c r="XDP58" s="397"/>
      <c r="XDQ58" s="397"/>
    </row>
    <row r="59" s="395" customFormat="1" customHeight="1" spans="1:20 16335:16345">
      <c r="A59" s="140" t="s">
        <v>515</v>
      </c>
      <c r="B59" s="413">
        <v>10.8</v>
      </c>
      <c r="C59" s="449">
        <v>1810</v>
      </c>
      <c r="D59" s="413">
        <v>10.8</v>
      </c>
      <c r="E59" s="449">
        <v>1810</v>
      </c>
      <c r="F59" s="449">
        <v>32</v>
      </c>
      <c r="G59" s="449" t="s">
        <v>455</v>
      </c>
      <c r="H59" s="413">
        <v>13.6</v>
      </c>
      <c r="I59" s="449">
        <v>2340</v>
      </c>
      <c r="J59" s="413">
        <v>13.6</v>
      </c>
      <c r="K59" s="449">
        <v>2340</v>
      </c>
      <c r="L59" s="449">
        <v>25</v>
      </c>
      <c r="M59" s="449" t="s">
        <v>466</v>
      </c>
      <c r="N59" s="413">
        <v>16.1</v>
      </c>
      <c r="O59" s="449">
        <v>2810</v>
      </c>
      <c r="P59" s="413">
        <v>16.1</v>
      </c>
      <c r="Q59" s="449">
        <v>2810</v>
      </c>
      <c r="R59" s="449">
        <v>21</v>
      </c>
      <c r="S59" s="449" t="s">
        <v>467</v>
      </c>
      <c r="T59" s="449" t="s">
        <v>148</v>
      </c>
      <c r="XDG59" s="397"/>
      <c r="XDH59" s="397"/>
      <c r="XDI59" s="397"/>
      <c r="XDJ59" s="397"/>
      <c r="XDK59" s="397"/>
      <c r="XDL59" s="397"/>
      <c r="XDM59" s="397"/>
      <c r="XDN59" s="397"/>
      <c r="XDO59" s="397"/>
      <c r="XDP59" s="397"/>
      <c r="XDQ59" s="397"/>
    </row>
    <row r="60" s="395" customFormat="1" customHeight="1" spans="1:20 16335:16345">
      <c r="A60" s="140" t="s">
        <v>516</v>
      </c>
      <c r="B60" s="208" t="s">
        <v>253</v>
      </c>
      <c r="C60" s="208" t="s">
        <v>253</v>
      </c>
      <c r="D60" s="208" t="s">
        <v>253</v>
      </c>
      <c r="E60" s="208" t="s">
        <v>253</v>
      </c>
      <c r="F60" s="449">
        <v>32</v>
      </c>
      <c r="G60" s="208" t="s">
        <v>455</v>
      </c>
      <c r="H60" s="208" t="s">
        <v>253</v>
      </c>
      <c r="I60" s="208" t="s">
        <v>253</v>
      </c>
      <c r="J60" s="208" t="s">
        <v>253</v>
      </c>
      <c r="K60" s="208" t="s">
        <v>253</v>
      </c>
      <c r="L60" s="449">
        <v>25</v>
      </c>
      <c r="M60" s="208" t="s">
        <v>469</v>
      </c>
      <c r="N60" s="413">
        <v>16.1</v>
      </c>
      <c r="O60" s="449">
        <v>2810</v>
      </c>
      <c r="P60" s="413">
        <v>16.1</v>
      </c>
      <c r="Q60" s="449">
        <v>2810</v>
      </c>
      <c r="R60" s="449">
        <v>21</v>
      </c>
      <c r="S60" s="449" t="s">
        <v>471</v>
      </c>
      <c r="T60" s="449" t="s">
        <v>148</v>
      </c>
      <c r="XDG60" s="397"/>
      <c r="XDH60" s="397"/>
      <c r="XDI60" s="397"/>
      <c r="XDJ60" s="397"/>
      <c r="XDK60" s="397"/>
      <c r="XDL60" s="397"/>
      <c r="XDM60" s="397"/>
      <c r="XDN60" s="397"/>
      <c r="XDO60" s="397"/>
      <c r="XDP60" s="397"/>
      <c r="XDQ60" s="397"/>
    </row>
    <row r="61" s="395" customFormat="1" customHeight="1" spans="1:20 16335:16345">
      <c r="A61" s="140" t="s">
        <v>517</v>
      </c>
      <c r="B61" s="413">
        <v>11.8</v>
      </c>
      <c r="C61" s="449">
        <v>1980</v>
      </c>
      <c r="D61" s="413">
        <v>11.8</v>
      </c>
      <c r="E61" s="449">
        <v>1980</v>
      </c>
      <c r="F61" s="449">
        <v>32</v>
      </c>
      <c r="G61" s="449" t="s">
        <v>455</v>
      </c>
      <c r="H61" s="413">
        <v>14.6</v>
      </c>
      <c r="I61" s="449">
        <v>2490</v>
      </c>
      <c r="J61" s="413">
        <v>14.6</v>
      </c>
      <c r="K61" s="449">
        <v>2490</v>
      </c>
      <c r="L61" s="449">
        <v>25</v>
      </c>
      <c r="M61" s="449" t="s">
        <v>469</v>
      </c>
      <c r="N61" s="413">
        <v>16.8</v>
      </c>
      <c r="O61" s="449">
        <v>2880</v>
      </c>
      <c r="P61" s="413">
        <v>16.8</v>
      </c>
      <c r="Q61" s="449">
        <v>2880</v>
      </c>
      <c r="R61" s="449">
        <v>21</v>
      </c>
      <c r="S61" s="449" t="s">
        <v>471</v>
      </c>
      <c r="T61" s="449" t="s">
        <v>148</v>
      </c>
      <c r="XDG61" s="397"/>
      <c r="XDH61" s="397"/>
      <c r="XDI61" s="397"/>
      <c r="XDJ61" s="397"/>
      <c r="XDK61" s="397"/>
      <c r="XDL61" s="397"/>
      <c r="XDM61" s="397"/>
      <c r="XDN61" s="397"/>
      <c r="XDO61" s="397"/>
      <c r="XDP61" s="397"/>
      <c r="XDQ61" s="397"/>
    </row>
    <row r="62" s="395" customFormat="1" customHeight="1" spans="1:20 16335:16345">
      <c r="A62" s="140" t="s">
        <v>518</v>
      </c>
      <c r="B62" s="413">
        <v>11.8</v>
      </c>
      <c r="C62" s="449">
        <v>1980</v>
      </c>
      <c r="D62" s="413">
        <v>11.8</v>
      </c>
      <c r="E62" s="449">
        <v>1980</v>
      </c>
      <c r="F62" s="449">
        <v>32</v>
      </c>
      <c r="G62" s="449" t="s">
        <v>455</v>
      </c>
      <c r="H62" s="413">
        <v>14.6</v>
      </c>
      <c r="I62" s="449">
        <v>2490</v>
      </c>
      <c r="J62" s="413">
        <v>14.6</v>
      </c>
      <c r="K62" s="449">
        <v>2490</v>
      </c>
      <c r="L62" s="449">
        <v>25</v>
      </c>
      <c r="M62" s="449" t="s">
        <v>469</v>
      </c>
      <c r="N62" s="413">
        <v>16.8</v>
      </c>
      <c r="O62" s="449">
        <v>2880</v>
      </c>
      <c r="P62" s="413">
        <v>16.8</v>
      </c>
      <c r="Q62" s="449">
        <v>2880</v>
      </c>
      <c r="R62" s="449">
        <v>21</v>
      </c>
      <c r="S62" s="449" t="s">
        <v>471</v>
      </c>
      <c r="T62" s="449" t="s">
        <v>148</v>
      </c>
      <c r="XDG62" s="397"/>
      <c r="XDH62" s="397"/>
      <c r="XDI62" s="397"/>
      <c r="XDJ62" s="397"/>
      <c r="XDK62" s="397"/>
      <c r="XDL62" s="397"/>
      <c r="XDM62" s="397"/>
      <c r="XDN62" s="397"/>
      <c r="XDO62" s="397"/>
      <c r="XDP62" s="397"/>
      <c r="XDQ62" s="397"/>
    </row>
    <row r="63" s="395" customFormat="1" customHeight="1" spans="1:20 16335:16345">
      <c r="A63" s="140" t="s">
        <v>519</v>
      </c>
      <c r="B63" s="413">
        <v>11.8</v>
      </c>
      <c r="C63" s="449">
        <v>1980</v>
      </c>
      <c r="D63" s="413">
        <v>11.8</v>
      </c>
      <c r="E63" s="449">
        <v>1980</v>
      </c>
      <c r="F63" s="449">
        <v>32</v>
      </c>
      <c r="G63" s="449" t="s">
        <v>455</v>
      </c>
      <c r="H63" s="413">
        <v>14.6</v>
      </c>
      <c r="I63" s="449">
        <v>2490</v>
      </c>
      <c r="J63" s="413">
        <v>14.6</v>
      </c>
      <c r="K63" s="449">
        <v>2490</v>
      </c>
      <c r="L63" s="449">
        <v>25</v>
      </c>
      <c r="M63" s="449" t="s">
        <v>469</v>
      </c>
      <c r="N63" s="413">
        <v>16.8</v>
      </c>
      <c r="O63" s="449">
        <v>2880</v>
      </c>
      <c r="P63" s="413">
        <v>16.8</v>
      </c>
      <c r="Q63" s="449">
        <v>2880</v>
      </c>
      <c r="R63" s="449">
        <v>21</v>
      </c>
      <c r="S63" s="449" t="s">
        <v>471</v>
      </c>
      <c r="T63" s="449" t="s">
        <v>148</v>
      </c>
      <c r="XDG63" s="397"/>
      <c r="XDH63" s="397"/>
      <c r="XDI63" s="397"/>
      <c r="XDJ63" s="397"/>
      <c r="XDK63" s="397"/>
      <c r="XDL63" s="397"/>
      <c r="XDM63" s="397"/>
      <c r="XDN63" s="397"/>
      <c r="XDO63" s="397"/>
      <c r="XDP63" s="397"/>
      <c r="XDQ63" s="397"/>
    </row>
    <row r="64" s="395" customFormat="1" ht="242" customHeight="1" spans="1:20 16335:16345">
      <c r="A64" s="450" t="s">
        <v>61</v>
      </c>
      <c r="B64" s="451" t="s">
        <v>520</v>
      </c>
      <c r="C64" s="451"/>
      <c r="D64" s="451"/>
      <c r="E64" s="451"/>
      <c r="F64" s="451"/>
      <c r="G64" s="451"/>
      <c r="H64" s="451" t="s">
        <v>521</v>
      </c>
      <c r="I64" s="451"/>
      <c r="J64" s="451"/>
      <c r="K64" s="451"/>
      <c r="L64" s="451"/>
      <c r="M64" s="451"/>
      <c r="N64" s="451" t="s">
        <v>522</v>
      </c>
      <c r="O64" s="451"/>
      <c r="P64" s="451"/>
      <c r="Q64" s="451"/>
      <c r="R64" s="451"/>
      <c r="S64" s="451"/>
      <c r="T64" s="452"/>
      <c r="XDG64" s="397"/>
      <c r="XDH64" s="397"/>
      <c r="XDI64" s="397"/>
      <c r="XDJ64" s="397"/>
      <c r="XDK64" s="397"/>
      <c r="XDL64" s="397"/>
      <c r="XDM64" s="397"/>
      <c r="XDN64" s="397"/>
      <c r="XDO64" s="397"/>
      <c r="XDP64" s="397"/>
      <c r="XDQ64" s="397"/>
    </row>
    <row r="65" s="395" customFormat="1" customHeight="1" spans="1:13 16335:16345">
      <c r="A65" s="396"/>
      <c r="B65" s="394"/>
      <c r="C65" s="394"/>
      <c r="D65" s="394"/>
      <c r="E65" s="394"/>
      <c r="F65" s="394"/>
      <c r="G65" s="394"/>
      <c r="H65" s="394"/>
      <c r="I65" s="394"/>
      <c r="J65" s="394"/>
      <c r="K65" s="394"/>
      <c r="L65" s="394"/>
      <c r="M65" s="394"/>
      <c r="XDG65" s="397"/>
      <c r="XDH65" s="397"/>
      <c r="XDI65" s="397"/>
      <c r="XDJ65" s="397"/>
      <c r="XDK65" s="397"/>
      <c r="XDL65" s="397"/>
      <c r="XDM65" s="397"/>
      <c r="XDN65" s="397"/>
      <c r="XDO65" s="397"/>
      <c r="XDP65" s="397"/>
      <c r="XDQ65" s="397"/>
    </row>
    <row r="66" s="395" customFormat="1" customHeight="1" spans="1:13 16335:16345">
      <c r="A66" s="396"/>
      <c r="B66" s="394"/>
      <c r="C66" s="394"/>
      <c r="D66" s="394"/>
      <c r="E66" s="394"/>
      <c r="F66" s="394"/>
      <c r="G66" s="394"/>
      <c r="H66" s="394"/>
      <c r="I66" s="394"/>
      <c r="J66" s="394"/>
      <c r="K66" s="394"/>
      <c r="L66" s="394"/>
      <c r="M66" s="394"/>
      <c r="XDG66" s="397"/>
      <c r="XDH66" s="397"/>
      <c r="XDI66" s="397"/>
      <c r="XDJ66" s="397"/>
      <c r="XDK66" s="397"/>
      <c r="XDL66" s="397"/>
      <c r="XDM66" s="397"/>
      <c r="XDN66" s="397"/>
      <c r="XDO66" s="397"/>
      <c r="XDP66" s="397"/>
      <c r="XDQ66" s="397"/>
    </row>
    <row r="67" s="395" customFormat="1" customHeight="1" spans="1:13 16335:16345">
      <c r="A67" s="396"/>
      <c r="B67" s="394"/>
      <c r="C67" s="394"/>
      <c r="D67" s="394"/>
      <c r="E67" s="394"/>
      <c r="F67" s="394"/>
      <c r="G67" s="394"/>
      <c r="H67" s="394"/>
      <c r="I67" s="394"/>
      <c r="J67" s="394"/>
      <c r="K67" s="394"/>
      <c r="L67" s="394"/>
      <c r="M67" s="394"/>
      <c r="XDG67" s="397"/>
      <c r="XDH67" s="397"/>
      <c r="XDI67" s="397"/>
      <c r="XDJ67" s="397"/>
      <c r="XDK67" s="397"/>
      <c r="XDL67" s="397"/>
      <c r="XDM67" s="397"/>
      <c r="XDN67" s="397"/>
      <c r="XDO67" s="397"/>
      <c r="XDP67" s="397"/>
      <c r="XDQ67" s="397"/>
    </row>
    <row r="68" s="395" customFormat="1" customHeight="1" spans="1:13 16335:16345">
      <c r="A68" s="396"/>
      <c r="B68" s="394"/>
      <c r="C68" s="394"/>
      <c r="D68" s="394"/>
      <c r="E68" s="394"/>
      <c r="F68" s="394"/>
      <c r="G68" s="394"/>
      <c r="H68" s="394"/>
      <c r="I68" s="394"/>
      <c r="J68" s="394"/>
      <c r="K68" s="394"/>
      <c r="L68" s="394"/>
      <c r="M68" s="394"/>
      <c r="XDG68" s="397"/>
      <c r="XDH68" s="397"/>
      <c r="XDI68" s="397"/>
      <c r="XDJ68" s="397"/>
      <c r="XDK68" s="397"/>
      <c r="XDL68" s="397"/>
      <c r="XDM68" s="397"/>
      <c r="XDN68" s="397"/>
      <c r="XDO68" s="397"/>
      <c r="XDP68" s="397"/>
      <c r="XDQ68" s="397"/>
    </row>
    <row r="69" s="395" customFormat="1" customHeight="1" spans="1:13 16335:16345">
      <c r="A69" s="396"/>
      <c r="B69" s="394"/>
      <c r="C69" s="394"/>
      <c r="D69" s="394"/>
      <c r="E69" s="394"/>
      <c r="F69" s="394"/>
      <c r="G69" s="394"/>
      <c r="H69" s="394"/>
      <c r="I69" s="394"/>
      <c r="J69" s="394"/>
      <c r="K69" s="394"/>
      <c r="L69" s="394"/>
      <c r="M69" s="394"/>
      <c r="XDG69" s="397"/>
      <c r="XDH69" s="397"/>
      <c r="XDI69" s="397"/>
      <c r="XDJ69" s="397"/>
      <c r="XDK69" s="397"/>
      <c r="XDL69" s="397"/>
      <c r="XDM69" s="397"/>
      <c r="XDN69" s="397"/>
      <c r="XDO69" s="397"/>
      <c r="XDP69" s="397"/>
      <c r="XDQ69" s="397"/>
    </row>
    <row r="70" s="395" customFormat="1" customHeight="1" spans="1:13 16335:16345">
      <c r="A70" s="396"/>
      <c r="B70" s="394"/>
      <c r="C70" s="394"/>
      <c r="D70" s="394"/>
      <c r="E70" s="394"/>
      <c r="F70" s="394"/>
      <c r="G70" s="394"/>
      <c r="H70" s="394"/>
      <c r="I70" s="394"/>
      <c r="J70" s="394"/>
      <c r="K70" s="394"/>
      <c r="L70" s="394"/>
      <c r="M70" s="394"/>
      <c r="XDG70" s="397"/>
      <c r="XDH70" s="397"/>
      <c r="XDI70" s="397"/>
      <c r="XDJ70" s="397"/>
      <c r="XDK70" s="397"/>
      <c r="XDL70" s="397"/>
      <c r="XDM70" s="397"/>
      <c r="XDN70" s="397"/>
      <c r="XDO70" s="397"/>
      <c r="XDP70" s="397"/>
      <c r="XDQ70" s="397"/>
    </row>
    <row r="71" s="395" customFormat="1" customHeight="1" spans="1:13 16335:16345">
      <c r="A71" s="396"/>
      <c r="B71" s="394"/>
      <c r="C71" s="394"/>
      <c r="D71" s="394"/>
      <c r="E71" s="394"/>
      <c r="F71" s="394"/>
      <c r="G71" s="394"/>
      <c r="H71" s="394"/>
      <c r="I71" s="394"/>
      <c r="J71" s="394"/>
      <c r="K71" s="394"/>
      <c r="L71" s="394"/>
      <c r="M71" s="394"/>
      <c r="XDG71" s="397"/>
      <c r="XDH71" s="397"/>
      <c r="XDI71" s="397"/>
      <c r="XDJ71" s="397"/>
      <c r="XDK71" s="397"/>
      <c r="XDL71" s="397"/>
      <c r="XDM71" s="397"/>
      <c r="XDN71" s="397"/>
      <c r="XDO71" s="397"/>
      <c r="XDP71" s="397"/>
      <c r="XDQ71" s="397"/>
    </row>
    <row r="72" s="395" customFormat="1" customHeight="1" spans="1:13 16335:16345">
      <c r="A72" s="396"/>
      <c r="B72" s="394"/>
      <c r="C72" s="394"/>
      <c r="D72" s="394"/>
      <c r="E72" s="394"/>
      <c r="F72" s="394"/>
      <c r="G72" s="394"/>
      <c r="H72" s="394"/>
      <c r="I72" s="394"/>
      <c r="J72" s="394"/>
      <c r="K72" s="394"/>
      <c r="L72" s="394"/>
      <c r="M72" s="394"/>
      <c r="XDG72" s="397"/>
      <c r="XDH72" s="397"/>
      <c r="XDI72" s="397"/>
      <c r="XDJ72" s="397"/>
      <c r="XDK72" s="397"/>
      <c r="XDL72" s="397"/>
      <c r="XDM72" s="397"/>
      <c r="XDN72" s="397"/>
      <c r="XDO72" s="397"/>
      <c r="XDP72" s="397"/>
      <c r="XDQ72" s="397"/>
    </row>
    <row r="73" s="395" customFormat="1" customHeight="1" spans="1:13 16335:16345">
      <c r="A73" s="396"/>
      <c r="B73" s="394"/>
      <c r="C73" s="394"/>
      <c r="D73" s="394"/>
      <c r="E73" s="394"/>
      <c r="F73" s="394"/>
      <c r="G73" s="394"/>
      <c r="H73" s="394"/>
      <c r="I73" s="394"/>
      <c r="J73" s="394"/>
      <c r="K73" s="394"/>
      <c r="L73" s="394"/>
      <c r="M73" s="394"/>
      <c r="XDG73" s="397"/>
      <c r="XDH73" s="397"/>
      <c r="XDI73" s="397"/>
      <c r="XDJ73" s="397"/>
      <c r="XDK73" s="397"/>
      <c r="XDL73" s="397"/>
      <c r="XDM73" s="397"/>
      <c r="XDN73" s="397"/>
      <c r="XDO73" s="397"/>
      <c r="XDP73" s="397"/>
      <c r="XDQ73" s="397"/>
    </row>
  </sheetData>
  <sheetProtection formatCells="0" insertHyperlinks="0" autoFilter="0"/>
  <mergeCells count="21">
    <mergeCell ref="A4:G4"/>
    <mergeCell ref="H4:M4"/>
    <mergeCell ref="N4:T4"/>
    <mergeCell ref="B5:C5"/>
    <mergeCell ref="D5:E5"/>
    <mergeCell ref="H5:I5"/>
    <mergeCell ref="J5:K5"/>
    <mergeCell ref="N5:O5"/>
    <mergeCell ref="P5:Q5"/>
    <mergeCell ref="B64:G64"/>
    <mergeCell ref="H64:M64"/>
    <mergeCell ref="N64:T64"/>
    <mergeCell ref="A5:A6"/>
    <mergeCell ref="F5:F6"/>
    <mergeCell ref="G5:G6"/>
    <mergeCell ref="L5:L6"/>
    <mergeCell ref="M5:M6"/>
    <mergeCell ref="R5:R6"/>
    <mergeCell ref="S5:S6"/>
    <mergeCell ref="T5:T6"/>
    <mergeCell ref="A1:T3"/>
  </mergeCells>
  <pageMargins left="0.75" right="0.75" top="1" bottom="1" header="0.511805555555556" footer="0.511805555555556"/>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K30"/>
  <sheetViews>
    <sheetView workbookViewId="0">
      <selection activeCell="Q21" sqref="Q21"/>
    </sheetView>
  </sheetViews>
  <sheetFormatPr defaultColWidth="9.25833333333333" defaultRowHeight="25" customHeight="1"/>
  <cols>
    <col min="1" max="1" width="14.7" style="396" customWidth="1"/>
    <col min="2" max="3" width="14.2583333333333" style="394" customWidth="1"/>
    <col min="4" max="5" width="13.7583333333333" style="394" customWidth="1"/>
    <col min="6" max="6" width="16.9416666666667" style="394" customWidth="1"/>
    <col min="7" max="7" width="24.8583333333333" style="394" customWidth="1"/>
    <col min="8" max="8" width="26.3833333333333" style="394" customWidth="1"/>
    <col min="9" max="9" width="9.075" style="394"/>
    <col min="10" max="10" width="5.75833333333333" style="394"/>
    <col min="11" max="11" width="6.375" style="394"/>
    <col min="12" max="16355" width="5.75833333333333" style="394"/>
    <col min="16356" max="16356" width="5.75833333333333" style="397"/>
    <col min="16357" max="16384" width="9.25833333333333" style="397"/>
  </cols>
  <sheetData>
    <row r="1" s="393" customFormat="1" customHeight="1" spans="1:11">
      <c r="A1" s="398" t="s">
        <v>523</v>
      </c>
      <c r="B1" s="399"/>
      <c r="C1" s="399"/>
      <c r="D1" s="399"/>
      <c r="E1" s="399"/>
      <c r="F1" s="399"/>
      <c r="G1" s="399"/>
      <c r="H1" s="400"/>
      <c r="I1" s="401"/>
    </row>
    <row r="2" s="393" customFormat="1" customHeight="1" spans="1:11">
      <c r="A2" s="402"/>
      <c r="B2" s="399"/>
      <c r="C2" s="399"/>
      <c r="D2" s="399"/>
      <c r="E2" s="399"/>
      <c r="F2" s="399"/>
      <c r="G2" s="399"/>
      <c r="H2" s="400"/>
      <c r="I2" s="401"/>
    </row>
    <row r="3" s="393" customFormat="1" ht="38" customHeight="1" spans="1:11">
      <c r="A3" s="403"/>
      <c r="B3" s="404"/>
      <c r="C3" s="404"/>
      <c r="D3" s="404"/>
      <c r="E3" s="404"/>
      <c r="F3" s="404"/>
      <c r="G3" s="404"/>
      <c r="H3" s="405"/>
      <c r="I3" s="401"/>
    </row>
    <row r="4" s="393" customFormat="1" customHeight="1" spans="1:11">
      <c r="A4" s="406" t="s">
        <v>29</v>
      </c>
      <c r="B4" s="407"/>
      <c r="C4" s="407"/>
      <c r="D4" s="407"/>
      <c r="E4" s="407"/>
      <c r="F4" s="407"/>
      <c r="G4" s="407"/>
      <c r="H4" s="408"/>
      <c r="I4" s="401"/>
    </row>
    <row r="5" s="394" customFormat="1" customHeight="1" spans="1:11">
      <c r="A5" s="150" t="s">
        <v>287</v>
      </c>
      <c r="B5" s="116" t="s">
        <v>184</v>
      </c>
      <c r="C5" s="116"/>
      <c r="D5" s="116" t="s">
        <v>260</v>
      </c>
      <c r="E5" s="116"/>
      <c r="F5" s="117" t="s">
        <v>376</v>
      </c>
      <c r="G5" s="117" t="s">
        <v>288</v>
      </c>
      <c r="H5" s="409" t="s">
        <v>289</v>
      </c>
    </row>
    <row r="6" s="395" customFormat="1" customHeight="1" spans="1:11">
      <c r="A6" s="150"/>
      <c r="B6" s="410" t="s">
        <v>290</v>
      </c>
      <c r="C6" s="117" t="s">
        <v>291</v>
      </c>
      <c r="D6" s="410" t="s">
        <v>290</v>
      </c>
      <c r="E6" s="117" t="s">
        <v>291</v>
      </c>
      <c r="F6" s="411"/>
      <c r="G6" s="411"/>
      <c r="H6" s="409"/>
      <c r="I6" s="412"/>
    </row>
    <row r="7" s="395" customFormat="1" customHeight="1" spans="1:11">
      <c r="A7" s="410" t="s">
        <v>524</v>
      </c>
      <c r="B7" s="413">
        <v>8.7</v>
      </c>
      <c r="C7" s="413">
        <v>1470</v>
      </c>
      <c r="D7" s="413">
        <v>9</v>
      </c>
      <c r="E7" s="413">
        <v>1530</v>
      </c>
      <c r="F7" s="413">
        <v>34</v>
      </c>
      <c r="G7" s="413" t="s">
        <v>525</v>
      </c>
      <c r="H7" s="413" t="s">
        <v>148</v>
      </c>
      <c r="K7" s="28"/>
    </row>
    <row r="8" s="395" customFormat="1" customHeight="1" spans="1:11">
      <c r="A8" s="410" t="s">
        <v>503</v>
      </c>
      <c r="B8" s="413">
        <v>8.7</v>
      </c>
      <c r="C8" s="413">
        <v>1470</v>
      </c>
      <c r="D8" s="413">
        <v>9</v>
      </c>
      <c r="E8" s="413">
        <v>1530</v>
      </c>
      <c r="F8" s="413">
        <v>34</v>
      </c>
      <c r="G8" s="413" t="s">
        <v>405</v>
      </c>
      <c r="H8" s="413" t="s">
        <v>148</v>
      </c>
    </row>
    <row r="9" s="395" customFormat="1" customHeight="1" spans="1:11">
      <c r="A9" s="410" t="s">
        <v>501</v>
      </c>
      <c r="B9" s="413">
        <v>8.7</v>
      </c>
      <c r="C9" s="413">
        <v>1470</v>
      </c>
      <c r="D9" s="413">
        <v>9</v>
      </c>
      <c r="E9" s="413">
        <v>1530</v>
      </c>
      <c r="F9" s="413">
        <v>34</v>
      </c>
      <c r="G9" s="413" t="s">
        <v>525</v>
      </c>
      <c r="H9" s="413" t="s">
        <v>148</v>
      </c>
    </row>
    <row r="10" s="395" customFormat="1" customHeight="1" spans="1:11">
      <c r="A10" s="410" t="s">
        <v>515</v>
      </c>
      <c r="B10" s="413">
        <v>8.7</v>
      </c>
      <c r="C10" s="413">
        <v>1470</v>
      </c>
      <c r="D10" s="413">
        <v>9</v>
      </c>
      <c r="E10" s="413">
        <v>1530</v>
      </c>
      <c r="F10" s="413">
        <v>34</v>
      </c>
      <c r="G10" s="413" t="s">
        <v>525</v>
      </c>
      <c r="H10" s="413" t="s">
        <v>148</v>
      </c>
    </row>
    <row r="11" s="395" customFormat="1" customHeight="1" spans="1:11">
      <c r="A11" s="410" t="s">
        <v>526</v>
      </c>
      <c r="B11" s="413">
        <v>8.7</v>
      </c>
      <c r="C11" s="413">
        <v>1470</v>
      </c>
      <c r="D11" s="413">
        <v>9</v>
      </c>
      <c r="E11" s="413">
        <v>1530</v>
      </c>
      <c r="F11" s="413">
        <v>34</v>
      </c>
      <c r="G11" s="413" t="s">
        <v>527</v>
      </c>
      <c r="H11" s="413" t="s">
        <v>148</v>
      </c>
    </row>
    <row r="12" s="395" customFormat="1" customHeight="1" spans="1:11">
      <c r="A12" s="410" t="s">
        <v>514</v>
      </c>
      <c r="B12" s="413">
        <v>8.7</v>
      </c>
      <c r="C12" s="413">
        <v>1470</v>
      </c>
      <c r="D12" s="413">
        <v>9</v>
      </c>
      <c r="E12" s="413">
        <v>1530</v>
      </c>
      <c r="F12" s="413">
        <v>34</v>
      </c>
      <c r="G12" s="413" t="s">
        <v>527</v>
      </c>
      <c r="H12" s="413" t="s">
        <v>148</v>
      </c>
    </row>
    <row r="13" s="395" customFormat="1" customHeight="1" spans="1:11">
      <c r="A13" s="410" t="s">
        <v>363</v>
      </c>
      <c r="B13" s="413">
        <v>8.7</v>
      </c>
      <c r="C13" s="413">
        <v>1470</v>
      </c>
      <c r="D13" s="413">
        <v>9</v>
      </c>
      <c r="E13" s="413">
        <v>1530</v>
      </c>
      <c r="F13" s="413">
        <v>34</v>
      </c>
      <c r="G13" s="413" t="s">
        <v>405</v>
      </c>
      <c r="H13" s="413" t="s">
        <v>148</v>
      </c>
    </row>
    <row r="14" s="395" customFormat="1" customHeight="1" spans="1:11">
      <c r="A14" s="410" t="s">
        <v>508</v>
      </c>
      <c r="B14" s="413">
        <v>8.9</v>
      </c>
      <c r="C14" s="413">
        <v>1490</v>
      </c>
      <c r="D14" s="413">
        <v>9.2</v>
      </c>
      <c r="E14" s="413">
        <v>1550</v>
      </c>
      <c r="F14" s="413">
        <v>34</v>
      </c>
      <c r="G14" s="413" t="s">
        <v>405</v>
      </c>
      <c r="H14" s="413" t="s">
        <v>148</v>
      </c>
    </row>
    <row r="15" s="395" customFormat="1" customHeight="1" spans="1:11">
      <c r="A15" s="410" t="s">
        <v>516</v>
      </c>
      <c r="B15" s="413">
        <v>8.9</v>
      </c>
      <c r="C15" s="413">
        <v>1490</v>
      </c>
      <c r="D15" s="413">
        <v>9.2</v>
      </c>
      <c r="E15" s="413">
        <v>1550</v>
      </c>
      <c r="F15" s="413">
        <v>34</v>
      </c>
      <c r="G15" s="413" t="s">
        <v>525</v>
      </c>
      <c r="H15" s="413" t="s">
        <v>148</v>
      </c>
    </row>
    <row r="16" s="395" customFormat="1" customHeight="1" spans="1:11">
      <c r="A16" s="410" t="s">
        <v>360</v>
      </c>
      <c r="B16" s="413">
        <v>8.9</v>
      </c>
      <c r="C16" s="413">
        <v>1490</v>
      </c>
      <c r="D16" s="413">
        <v>9.2</v>
      </c>
      <c r="E16" s="413">
        <v>1550</v>
      </c>
      <c r="F16" s="413">
        <v>34</v>
      </c>
      <c r="G16" s="413" t="s">
        <v>405</v>
      </c>
      <c r="H16" s="413" t="s">
        <v>148</v>
      </c>
    </row>
    <row r="17" s="395" customFormat="1" customHeight="1" spans="1:8">
      <c r="A17" s="410" t="s">
        <v>517</v>
      </c>
      <c r="B17" s="413">
        <v>8.9</v>
      </c>
      <c r="C17" s="413">
        <v>1510</v>
      </c>
      <c r="D17" s="413">
        <v>9.2</v>
      </c>
      <c r="E17" s="413">
        <v>1570</v>
      </c>
      <c r="F17" s="413">
        <v>34</v>
      </c>
      <c r="G17" s="413" t="s">
        <v>525</v>
      </c>
      <c r="H17" s="413" t="s">
        <v>148</v>
      </c>
    </row>
    <row r="18" s="395" customFormat="1" customHeight="1" spans="1:8">
      <c r="A18" s="410" t="s">
        <v>518</v>
      </c>
      <c r="B18" s="413">
        <v>8.9</v>
      </c>
      <c r="C18" s="413">
        <v>1510</v>
      </c>
      <c r="D18" s="413">
        <v>9.2</v>
      </c>
      <c r="E18" s="413">
        <v>1570</v>
      </c>
      <c r="F18" s="413">
        <v>34</v>
      </c>
      <c r="G18" s="413" t="s">
        <v>405</v>
      </c>
      <c r="H18" s="413" t="s">
        <v>148</v>
      </c>
    </row>
    <row r="19" s="395" customFormat="1" customHeight="1" spans="1:8">
      <c r="A19" s="410" t="s">
        <v>519</v>
      </c>
      <c r="B19" s="413">
        <v>8.9</v>
      </c>
      <c r="C19" s="413">
        <v>1510</v>
      </c>
      <c r="D19" s="413">
        <v>9.2</v>
      </c>
      <c r="E19" s="413">
        <v>1570</v>
      </c>
      <c r="F19" s="413">
        <v>34</v>
      </c>
      <c r="G19" s="413" t="s">
        <v>525</v>
      </c>
      <c r="H19" s="413" t="s">
        <v>148</v>
      </c>
    </row>
    <row r="20" s="395" customFormat="1" customHeight="1" spans="1:8">
      <c r="A20" s="410" t="s">
        <v>528</v>
      </c>
      <c r="B20" s="413">
        <v>8.9</v>
      </c>
      <c r="C20" s="413">
        <v>1510</v>
      </c>
      <c r="D20" s="413">
        <v>9.2</v>
      </c>
      <c r="E20" s="413">
        <v>1570</v>
      </c>
      <c r="F20" s="413">
        <v>34</v>
      </c>
      <c r="G20" s="413" t="s">
        <v>525</v>
      </c>
      <c r="H20" s="413" t="s">
        <v>148</v>
      </c>
    </row>
    <row r="21" s="395" customFormat="1" customHeight="1" spans="1:8">
      <c r="A21" s="410" t="s">
        <v>529</v>
      </c>
      <c r="B21" s="413">
        <v>8.9</v>
      </c>
      <c r="C21" s="413">
        <v>1510</v>
      </c>
      <c r="D21" s="413">
        <v>9.2</v>
      </c>
      <c r="E21" s="413">
        <v>1570</v>
      </c>
      <c r="F21" s="413">
        <v>34</v>
      </c>
      <c r="G21" s="413" t="s">
        <v>525</v>
      </c>
      <c r="H21" s="413" t="s">
        <v>148</v>
      </c>
    </row>
    <row r="22" s="395" customFormat="1" customHeight="1" spans="1:8">
      <c r="A22" s="410" t="s">
        <v>530</v>
      </c>
      <c r="B22" s="413">
        <v>9.1</v>
      </c>
      <c r="C22" s="413">
        <v>1530</v>
      </c>
      <c r="D22" s="413">
        <v>9.4</v>
      </c>
      <c r="E22" s="413">
        <v>1590</v>
      </c>
      <c r="F22" s="413">
        <v>34</v>
      </c>
      <c r="G22" s="413" t="s">
        <v>405</v>
      </c>
      <c r="H22" s="413" t="s">
        <v>148</v>
      </c>
    </row>
    <row r="23" customHeight="1" spans="1:8">
      <c r="A23" s="410" t="s">
        <v>531</v>
      </c>
      <c r="B23" s="413">
        <v>9.1</v>
      </c>
      <c r="C23" s="413">
        <v>1530</v>
      </c>
      <c r="D23" s="413">
        <v>9.4</v>
      </c>
      <c r="E23" s="413">
        <v>1590</v>
      </c>
      <c r="F23" s="413">
        <v>34</v>
      </c>
      <c r="G23" s="413" t="s">
        <v>405</v>
      </c>
      <c r="H23" s="413" t="s">
        <v>148</v>
      </c>
    </row>
    <row r="24" customHeight="1" spans="1:8">
      <c r="A24" s="410" t="s">
        <v>509</v>
      </c>
      <c r="B24" s="413">
        <v>9.1</v>
      </c>
      <c r="C24" s="413">
        <v>1600</v>
      </c>
      <c r="D24" s="413">
        <v>9.4</v>
      </c>
      <c r="E24" s="413">
        <v>1660</v>
      </c>
      <c r="F24" s="413">
        <v>34</v>
      </c>
      <c r="G24" s="413" t="s">
        <v>405</v>
      </c>
      <c r="H24" s="413" t="s">
        <v>148</v>
      </c>
    </row>
    <row r="25" customHeight="1" spans="1:8">
      <c r="A25" s="410" t="s">
        <v>511</v>
      </c>
      <c r="B25" s="413">
        <v>9.1</v>
      </c>
      <c r="C25" s="413">
        <v>1530</v>
      </c>
      <c r="D25" s="413">
        <v>9.4</v>
      </c>
      <c r="E25" s="413">
        <v>1590</v>
      </c>
      <c r="F25" s="413">
        <v>34</v>
      </c>
      <c r="G25" s="413" t="s">
        <v>405</v>
      </c>
      <c r="H25" s="413" t="s">
        <v>148</v>
      </c>
    </row>
    <row r="26" customHeight="1" spans="1:8">
      <c r="A26" s="410" t="s">
        <v>510</v>
      </c>
      <c r="B26" s="413">
        <v>9.3</v>
      </c>
      <c r="C26" s="413">
        <v>1530</v>
      </c>
      <c r="D26" s="413">
        <v>9.6</v>
      </c>
      <c r="E26" s="413">
        <v>1590</v>
      </c>
      <c r="F26" s="413">
        <v>34</v>
      </c>
      <c r="G26" s="413" t="s">
        <v>405</v>
      </c>
      <c r="H26" s="413" t="s">
        <v>148</v>
      </c>
    </row>
    <row r="27" customHeight="1" spans="1:8">
      <c r="A27" s="410" t="s">
        <v>513</v>
      </c>
      <c r="B27" s="413">
        <v>9.3</v>
      </c>
      <c r="C27" s="413">
        <v>1530</v>
      </c>
      <c r="D27" s="413">
        <v>9.6</v>
      </c>
      <c r="E27" s="413">
        <v>1590</v>
      </c>
      <c r="F27" s="413">
        <v>34</v>
      </c>
      <c r="G27" s="413" t="s">
        <v>405</v>
      </c>
      <c r="H27" s="413" t="s">
        <v>148</v>
      </c>
    </row>
    <row r="28" customHeight="1" spans="1:8">
      <c r="A28" s="410" t="s">
        <v>350</v>
      </c>
      <c r="B28" s="413">
        <v>9.3</v>
      </c>
      <c r="C28" s="413">
        <v>1530</v>
      </c>
      <c r="D28" s="413">
        <v>9.6</v>
      </c>
      <c r="E28" s="413">
        <v>1590</v>
      </c>
      <c r="F28" s="413">
        <v>34</v>
      </c>
      <c r="G28" s="413" t="s">
        <v>405</v>
      </c>
      <c r="H28" s="413" t="s">
        <v>148</v>
      </c>
    </row>
    <row r="29" customHeight="1" spans="1:8">
      <c r="A29" s="414" t="s">
        <v>61</v>
      </c>
      <c r="B29" s="415" t="s">
        <v>532</v>
      </c>
      <c r="C29" s="416"/>
      <c r="D29" s="416"/>
      <c r="E29" s="416"/>
      <c r="F29" s="416"/>
      <c r="G29" s="416"/>
      <c r="H29" s="417"/>
    </row>
    <row r="30" ht="201" customHeight="1" spans="1:8">
      <c r="A30" s="418"/>
      <c r="B30" s="419"/>
      <c r="C30" s="420"/>
      <c r="D30" s="420"/>
      <c r="E30" s="420"/>
      <c r="F30" s="420"/>
      <c r="G30" s="420"/>
      <c r="H30" s="421"/>
    </row>
  </sheetData>
  <mergeCells count="10">
    <mergeCell ref="A4:H4"/>
    <mergeCell ref="B5:C5"/>
    <mergeCell ref="D5:E5"/>
    <mergeCell ref="A5:A6"/>
    <mergeCell ref="A29:A30"/>
    <mergeCell ref="F5:F6"/>
    <mergeCell ref="G5:G6"/>
    <mergeCell ref="H5:H6"/>
    <mergeCell ref="A1:H3"/>
    <mergeCell ref="B29:H30"/>
  </mergeCells>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L37"/>
  <sheetViews>
    <sheetView zoomScale="131" zoomScaleNormal="131" workbookViewId="0">
      <selection activeCell="A23" sqref="A23:H23"/>
    </sheetView>
  </sheetViews>
  <sheetFormatPr defaultColWidth="6.125" defaultRowHeight="16.5"/>
  <cols>
    <col min="1" max="1" width="23.875" style="238" customWidth="1"/>
    <col min="2" max="3" width="11" style="238" customWidth="1"/>
    <col min="4" max="4" width="13.875" style="238" customWidth="1"/>
    <col min="5" max="5" width="11" style="238" customWidth="1"/>
    <col min="6" max="6" width="13.875" style="238" customWidth="1"/>
    <col min="7" max="8" width="13.375" style="238" customWidth="1"/>
    <col min="9" max="11" width="6.125" style="238"/>
    <col min="12" max="12" width="9.875" style="238" customWidth="1"/>
    <col min="13" max="16384" width="6.125" style="238"/>
  </cols>
  <sheetData>
    <row r="1" ht="25.5" spans="1:12">
      <c r="A1" s="250" t="s">
        <v>533</v>
      </c>
      <c r="B1" s="250"/>
      <c r="C1" s="250"/>
      <c r="D1" s="250"/>
      <c r="E1" s="250"/>
      <c r="F1" s="250"/>
      <c r="G1" s="250"/>
      <c r="H1" s="250"/>
    </row>
    <row r="2" ht="17.1" customHeight="1" spans="1:12">
      <c r="A2" s="251" t="s">
        <v>534</v>
      </c>
      <c r="B2" s="251"/>
      <c r="C2" s="251"/>
      <c r="D2" s="251"/>
      <c r="E2" s="251"/>
      <c r="F2" s="251"/>
      <c r="G2" s="251"/>
      <c r="H2" s="251"/>
    </row>
    <row r="3" ht="17.1" customHeight="1" spans="1:12">
      <c r="A3" s="252" t="s">
        <v>535</v>
      </c>
      <c r="B3" s="252"/>
      <c r="C3" s="252"/>
      <c r="D3" s="252"/>
      <c r="E3" s="252"/>
      <c r="F3" s="252"/>
      <c r="G3" s="252"/>
      <c r="H3" s="252"/>
    </row>
    <row r="4" ht="26.1" customHeight="1" spans="1:12">
      <c r="A4" s="253" t="s">
        <v>536</v>
      </c>
      <c r="B4" s="253"/>
      <c r="C4" s="253"/>
      <c r="D4" s="253"/>
      <c r="E4" s="253"/>
      <c r="F4" s="253"/>
      <c r="G4" s="253"/>
      <c r="H4" s="253"/>
    </row>
    <row r="5" s="239" customFormat="1" ht="18" customHeight="1" spans="1:12">
      <c r="A5" s="349" t="s">
        <v>537</v>
      </c>
      <c r="B5" s="350" t="s">
        <v>538</v>
      </c>
      <c r="C5" s="351"/>
      <c r="D5" s="352"/>
      <c r="E5" s="353" t="s">
        <v>539</v>
      </c>
      <c r="F5" s="353"/>
      <c r="G5" s="354" t="s">
        <v>540</v>
      </c>
      <c r="H5" s="355"/>
    </row>
    <row r="6" s="239" customFormat="1" ht="18" customHeight="1" spans="1:12">
      <c r="A6" s="356"/>
      <c r="B6" s="357" t="s">
        <v>541</v>
      </c>
      <c r="C6" s="357" t="s">
        <v>391</v>
      </c>
      <c r="D6" s="357" t="s">
        <v>61</v>
      </c>
      <c r="E6" s="358" t="s">
        <v>541</v>
      </c>
      <c r="F6" s="358" t="s">
        <v>61</v>
      </c>
      <c r="G6" s="359" t="s">
        <v>541</v>
      </c>
      <c r="H6" s="360" t="s">
        <v>61</v>
      </c>
    </row>
    <row r="7" s="240" customFormat="1" ht="20.1" customHeight="1" spans="1:12">
      <c r="A7" s="361" t="s">
        <v>542</v>
      </c>
      <c r="B7" s="362" t="s">
        <v>119</v>
      </c>
      <c r="C7" s="362" t="s">
        <v>543</v>
      </c>
      <c r="D7" s="266" t="s">
        <v>544</v>
      </c>
      <c r="E7" s="363" t="s">
        <v>545</v>
      </c>
      <c r="F7" s="364" t="s">
        <v>546</v>
      </c>
      <c r="G7" s="264" t="s">
        <v>545</v>
      </c>
      <c r="H7" s="365" t="s">
        <v>547</v>
      </c>
    </row>
    <row r="8" s="241" customFormat="1" ht="18.95" customHeight="1" spans="1:12">
      <c r="A8" s="366" t="s">
        <v>548</v>
      </c>
      <c r="B8" s="270" t="s">
        <v>119</v>
      </c>
      <c r="C8" s="270" t="s">
        <v>543</v>
      </c>
      <c r="D8" s="272"/>
      <c r="E8" s="367" t="s">
        <v>545</v>
      </c>
      <c r="F8" s="364"/>
      <c r="G8" s="270" t="s">
        <v>545</v>
      </c>
      <c r="H8" s="368"/>
    </row>
    <row r="9" ht="18.95" customHeight="1" spans="1:12">
      <c r="A9" s="361" t="s">
        <v>549</v>
      </c>
      <c r="B9" s="264" t="s">
        <v>119</v>
      </c>
      <c r="C9" s="264" t="s">
        <v>550</v>
      </c>
      <c r="D9" s="272"/>
      <c r="E9" s="363" t="s">
        <v>551</v>
      </c>
      <c r="F9" s="364"/>
      <c r="G9" s="264" t="s">
        <v>551</v>
      </c>
      <c r="H9" s="368"/>
      <c r="K9" s="240"/>
      <c r="L9" s="240"/>
    </row>
    <row r="10" s="242" customFormat="1" ht="18.95" customHeight="1" spans="1:12">
      <c r="A10" s="369" t="s">
        <v>552</v>
      </c>
      <c r="B10" s="276" t="s">
        <v>119</v>
      </c>
      <c r="C10" s="276" t="s">
        <v>543</v>
      </c>
      <c r="D10" s="272"/>
      <c r="E10" s="370" t="s">
        <v>551</v>
      </c>
      <c r="F10" s="364"/>
      <c r="G10" s="276" t="s">
        <v>551</v>
      </c>
      <c r="H10" s="368"/>
      <c r="K10" s="371"/>
      <c r="L10" s="371"/>
    </row>
    <row r="11" ht="18.95" customHeight="1" spans="1:12">
      <c r="A11" s="361" t="s">
        <v>553</v>
      </c>
      <c r="B11" s="264" t="s">
        <v>545</v>
      </c>
      <c r="C11" s="264" t="s">
        <v>554</v>
      </c>
      <c r="D11" s="272"/>
      <c r="E11" s="363" t="s">
        <v>551</v>
      </c>
      <c r="F11" s="364"/>
      <c r="G11" s="264" t="s">
        <v>551</v>
      </c>
      <c r="H11" s="368"/>
      <c r="K11" s="240"/>
      <c r="L11" s="240"/>
    </row>
    <row r="12" s="245" customFormat="1" ht="18.95" customHeight="1" spans="1:12">
      <c r="A12" s="372" t="s">
        <v>555</v>
      </c>
      <c r="B12" s="282" t="s">
        <v>545</v>
      </c>
      <c r="C12" s="282" t="s">
        <v>554</v>
      </c>
      <c r="D12" s="272"/>
      <c r="E12" s="373" t="s">
        <v>551</v>
      </c>
      <c r="F12" s="364"/>
      <c r="G12" s="282" t="s">
        <v>551</v>
      </c>
      <c r="H12" s="368"/>
      <c r="K12" s="374"/>
      <c r="L12" s="374"/>
    </row>
    <row r="13" ht="18.95" customHeight="1" spans="1:12">
      <c r="A13" s="375" t="s">
        <v>232</v>
      </c>
      <c r="B13" s="376" t="s">
        <v>545</v>
      </c>
      <c r="C13" s="376" t="s">
        <v>556</v>
      </c>
      <c r="D13" s="272"/>
      <c r="E13" s="377" t="s">
        <v>551</v>
      </c>
      <c r="F13" s="378"/>
      <c r="G13" s="376" t="s">
        <v>551</v>
      </c>
      <c r="H13" s="368"/>
      <c r="K13" s="240"/>
      <c r="L13" s="240"/>
    </row>
    <row r="14" s="244" customFormat="1" ht="18.95" customHeight="1" spans="1:12">
      <c r="A14" s="379" t="s">
        <v>347</v>
      </c>
      <c r="B14" s="279" t="s">
        <v>545</v>
      </c>
      <c r="C14" s="279" t="s">
        <v>556</v>
      </c>
      <c r="D14" s="272"/>
      <c r="E14" s="380" t="s">
        <v>551</v>
      </c>
      <c r="F14" s="381"/>
      <c r="G14" s="279" t="s">
        <v>551</v>
      </c>
      <c r="H14" s="368"/>
      <c r="K14" s="382"/>
      <c r="L14" s="382"/>
    </row>
    <row r="15" ht="21" customHeight="1" spans="1:12">
      <c r="A15" s="375" t="s">
        <v>350</v>
      </c>
      <c r="B15" s="376" t="s">
        <v>545</v>
      </c>
      <c r="C15" s="376" t="s">
        <v>557</v>
      </c>
      <c r="D15" s="272"/>
      <c r="E15" s="377" t="s">
        <v>551</v>
      </c>
      <c r="F15" s="378"/>
      <c r="G15" s="376" t="s">
        <v>551</v>
      </c>
      <c r="H15" s="368"/>
      <c r="K15" s="240"/>
      <c r="L15" s="240"/>
    </row>
    <row r="16" s="242" customFormat="1" ht="18" customHeight="1" spans="1:12">
      <c r="A16" s="369" t="s">
        <v>357</v>
      </c>
      <c r="B16" s="276" t="s">
        <v>545</v>
      </c>
      <c r="C16" s="276" t="s">
        <v>558</v>
      </c>
      <c r="D16" s="383"/>
      <c r="E16" s="370" t="s">
        <v>551</v>
      </c>
      <c r="F16" s="384"/>
      <c r="G16" s="276" t="s">
        <v>551</v>
      </c>
      <c r="H16" s="385"/>
      <c r="K16" s="371"/>
      <c r="L16" s="371"/>
    </row>
    <row r="17" s="243" customFormat="1" ht="18" customHeight="1" spans="1:8">
      <c r="A17" s="316" t="s">
        <v>559</v>
      </c>
      <c r="B17" s="317"/>
      <c r="C17" s="317"/>
      <c r="D17" s="317"/>
      <c r="E17" s="317"/>
      <c r="F17" s="317"/>
      <c r="G17" s="317"/>
      <c r="H17" s="318"/>
    </row>
    <row r="18" s="243" customFormat="1" ht="18" customHeight="1" spans="1:8">
      <c r="A18" s="304" t="s">
        <v>560</v>
      </c>
      <c r="B18" s="305"/>
      <c r="C18" s="305"/>
      <c r="D18" s="305"/>
      <c r="E18" s="305"/>
      <c r="F18" s="305"/>
      <c r="G18" s="305"/>
      <c r="H18" s="306"/>
    </row>
    <row r="19" ht="15" customHeight="1" spans="1:8">
      <c r="A19" s="304" t="s">
        <v>561</v>
      </c>
      <c r="B19" s="305"/>
      <c r="C19" s="305"/>
      <c r="D19" s="305"/>
      <c r="E19" s="305"/>
      <c r="F19" s="305"/>
      <c r="G19" s="305"/>
      <c r="H19" s="306"/>
    </row>
    <row r="20" ht="27" customHeight="1" spans="1:8">
      <c r="A20" s="304" t="s">
        <v>562</v>
      </c>
      <c r="B20" s="305"/>
      <c r="C20" s="305"/>
      <c r="D20" s="305"/>
      <c r="E20" s="305"/>
      <c r="F20" s="305"/>
      <c r="G20" s="305"/>
      <c r="H20" s="306"/>
    </row>
    <row r="21" ht="18.75" customHeight="1" spans="1:8">
      <c r="A21" s="316" t="s">
        <v>563</v>
      </c>
      <c r="B21" s="317"/>
      <c r="C21" s="317"/>
      <c r="D21" s="317"/>
      <c r="E21" s="317"/>
      <c r="F21" s="317"/>
      <c r="G21" s="317"/>
      <c r="H21" s="318"/>
    </row>
    <row r="22" ht="17.1" customHeight="1" spans="1:8">
      <c r="A22" s="313" t="s">
        <v>564</v>
      </c>
      <c r="B22" s="314"/>
      <c r="C22" s="314"/>
      <c r="D22" s="314"/>
      <c r="E22" s="314"/>
      <c r="F22" s="314"/>
      <c r="G22" s="314"/>
      <c r="H22" s="315"/>
    </row>
    <row r="23" ht="17.1" customHeight="1" spans="1:8">
      <c r="A23" s="313" t="s">
        <v>565</v>
      </c>
      <c r="B23" s="314"/>
      <c r="C23" s="314"/>
      <c r="D23" s="314"/>
      <c r="E23" s="314"/>
      <c r="F23" s="314"/>
      <c r="G23" s="314"/>
      <c r="H23" s="315"/>
    </row>
    <row r="24" ht="17.1" customHeight="1" spans="1:8">
      <c r="A24" s="313" t="s">
        <v>566</v>
      </c>
      <c r="B24" s="314"/>
      <c r="C24" s="314"/>
      <c r="D24" s="314"/>
      <c r="E24" s="314"/>
      <c r="F24" s="314"/>
      <c r="G24" s="314"/>
      <c r="H24" s="315"/>
    </row>
    <row r="25" ht="17.1" customHeight="1" spans="1:8">
      <c r="A25" s="386" t="s">
        <v>567</v>
      </c>
      <c r="B25" s="387"/>
      <c r="C25" s="387"/>
      <c r="D25" s="387"/>
      <c r="E25" s="387"/>
      <c r="F25" s="387"/>
      <c r="G25" s="387"/>
      <c r="H25" s="388"/>
    </row>
    <row r="26" ht="17.1" customHeight="1" spans="1:8">
      <c r="A26" s="313" t="s">
        <v>568</v>
      </c>
      <c r="B26" s="314"/>
      <c r="C26" s="314"/>
      <c r="D26" s="314"/>
      <c r="E26" s="314"/>
      <c r="F26" s="314"/>
      <c r="G26" s="314"/>
      <c r="H26" s="315"/>
    </row>
    <row r="27" ht="17.1" customHeight="1" spans="1:8">
      <c r="A27" s="313" t="s">
        <v>569</v>
      </c>
      <c r="B27" s="314"/>
      <c r="C27" s="314"/>
      <c r="D27" s="314"/>
      <c r="E27" s="314"/>
      <c r="F27" s="314"/>
      <c r="G27" s="314"/>
      <c r="H27" s="315"/>
    </row>
    <row r="28" ht="17.1" customHeight="1" spans="1:8">
      <c r="A28" s="389" t="s">
        <v>570</v>
      </c>
      <c r="B28" s="390"/>
      <c r="C28" s="390"/>
      <c r="D28" s="390"/>
      <c r="E28" s="390"/>
      <c r="F28" s="390"/>
      <c r="G28" s="390"/>
      <c r="H28" s="391"/>
    </row>
    <row r="29" ht="18.75" customHeight="1" spans="1:8">
      <c r="A29" s="301" t="s">
        <v>571</v>
      </c>
      <c r="B29" s="302"/>
      <c r="C29" s="302"/>
      <c r="D29" s="302"/>
      <c r="E29" s="302"/>
      <c r="F29" s="302"/>
      <c r="G29" s="302"/>
      <c r="H29" s="303"/>
    </row>
    <row r="30" spans="1:8">
      <c r="A30" s="319" t="s">
        <v>153</v>
      </c>
      <c r="B30" s="320"/>
      <c r="C30" s="320"/>
      <c r="D30" s="320"/>
      <c r="E30" s="320"/>
      <c r="F30" s="320"/>
      <c r="G30" s="320"/>
      <c r="H30" s="321"/>
    </row>
    <row r="31" ht="29.1" customHeight="1" spans="1:8">
      <c r="A31" s="319" t="s">
        <v>572</v>
      </c>
      <c r="B31" s="320"/>
      <c r="C31" s="320"/>
      <c r="D31" s="320"/>
      <c r="E31" s="320"/>
      <c r="F31" s="320"/>
      <c r="G31" s="320"/>
      <c r="H31" s="321"/>
    </row>
    <row r="32" ht="15.75" customHeight="1" spans="1:8">
      <c r="A32" s="319" t="s">
        <v>573</v>
      </c>
      <c r="B32" s="320"/>
      <c r="C32" s="320"/>
      <c r="D32" s="320"/>
      <c r="E32" s="320"/>
      <c r="F32" s="320"/>
      <c r="G32" s="320"/>
      <c r="H32" s="321"/>
    </row>
    <row r="33" ht="15.75" customHeight="1" spans="1:8">
      <c r="A33" s="313" t="s">
        <v>574</v>
      </c>
      <c r="B33" s="314"/>
      <c r="C33" s="314"/>
      <c r="D33" s="314"/>
      <c r="E33" s="314"/>
      <c r="F33" s="314"/>
      <c r="G33" s="314"/>
      <c r="H33" s="315"/>
    </row>
    <row r="34" ht="15.75" customHeight="1" spans="1:8">
      <c r="A34" s="325" t="s">
        <v>575</v>
      </c>
      <c r="B34" s="326"/>
      <c r="C34" s="326"/>
      <c r="D34" s="326"/>
      <c r="E34" s="326"/>
      <c r="F34" s="326"/>
      <c r="G34" s="326"/>
      <c r="H34" s="327"/>
    </row>
    <row r="35" ht="18.75" customHeight="1" spans="1:8">
      <c r="A35" s="316" t="s">
        <v>576</v>
      </c>
      <c r="B35" s="317"/>
      <c r="C35" s="317"/>
      <c r="D35" s="317"/>
      <c r="E35" s="317"/>
      <c r="F35" s="317"/>
      <c r="G35" s="317"/>
      <c r="H35" s="318"/>
    </row>
    <row r="36" ht="30.75" customHeight="1" spans="1:8">
      <c r="A36" s="392" t="s">
        <v>577</v>
      </c>
      <c r="B36" s="329"/>
      <c r="C36" s="329"/>
      <c r="D36" s="329"/>
      <c r="E36" s="329"/>
      <c r="F36" s="329"/>
      <c r="G36" s="329"/>
      <c r="H36" s="330"/>
    </row>
    <row r="37" ht="20.1" customHeight="1" spans="1:8">
      <c r="A37" s="331" t="s">
        <v>578</v>
      </c>
      <c r="B37" s="332"/>
      <c r="C37" s="332"/>
      <c r="D37" s="332"/>
      <c r="E37" s="332"/>
      <c r="F37" s="332"/>
      <c r="G37" s="332"/>
      <c r="H37" s="333"/>
    </row>
  </sheetData>
  <sheetProtection formatCells="0" insertHyperlinks="0" autoFilter="0"/>
  <mergeCells count="32">
    <mergeCell ref="A1:H1"/>
    <mergeCell ref="A2:H2"/>
    <mergeCell ref="A3:H3"/>
    <mergeCell ref="A4:H4"/>
    <mergeCell ref="B5:D5"/>
    <mergeCell ref="E5:F5"/>
    <mergeCell ref="G5:H5"/>
    <mergeCell ref="A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5:A6"/>
    <mergeCell ref="D7:D16"/>
    <mergeCell ref="F7:F16"/>
    <mergeCell ref="H7:H16"/>
  </mergeCells>
  <hyperlinks>
    <hyperlink ref="A34:H34" location="反倾销列表!A1" display="5、反倾销产品"/>
  </hyperlinks>
  <pageMargins left="0.75" right="0.75" top="1" bottom="1" header="0.511805555555556" footer="0.511805555555556"/>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theme="5" tint="0.799981688894314"/>
  </sheetPr>
  <dimension ref="A1:H46"/>
  <sheetViews>
    <sheetView zoomScale="125" zoomScaleNormal="125" workbookViewId="0">
      <selection activeCell="A23" sqref="A23:H23"/>
    </sheetView>
  </sheetViews>
  <sheetFormatPr defaultColWidth="9.875" defaultRowHeight="16.5" outlineLevelCol="7"/>
  <cols>
    <col min="1" max="1" width="25.625" style="238" customWidth="1"/>
    <col min="2" max="4" width="11" style="238" customWidth="1"/>
    <col min="5" max="5" width="15.125" style="238" customWidth="1"/>
    <col min="6" max="6" width="11.7583333333333" style="238" customWidth="1"/>
    <col min="7" max="7" width="13.625" style="238" customWidth="1"/>
    <col min="8" max="8" width="18.125" style="238" customWidth="1"/>
    <col min="9" max="9" width="2.375" style="238" customWidth="1"/>
    <col min="10" max="10" width="9.5" style="238" customWidth="1"/>
    <col min="11" max="11" width="6.25833333333333" style="238"/>
    <col min="12" max="254" width="6.125" style="238"/>
  </cols>
  <sheetData>
    <row r="1" s="238" customFormat="1" ht="25.5" spans="1:8">
      <c r="A1" s="250" t="s">
        <v>533</v>
      </c>
      <c r="B1" s="250"/>
      <c r="C1" s="250"/>
      <c r="D1" s="250"/>
      <c r="E1" s="250"/>
      <c r="F1" s="250"/>
      <c r="G1" s="250"/>
      <c r="H1" s="250"/>
    </row>
    <row r="2" s="238" customFormat="1" ht="17.1" customHeight="1" spans="1:8">
      <c r="A2" s="251" t="s">
        <v>534</v>
      </c>
      <c r="B2" s="251"/>
      <c r="C2" s="251"/>
      <c r="D2" s="251"/>
      <c r="E2" s="251"/>
      <c r="F2" s="251"/>
      <c r="G2" s="251"/>
      <c r="H2" s="251"/>
    </row>
    <row r="3" s="238" customFormat="1" ht="17.1" customHeight="1" spans="1:8">
      <c r="A3" s="252" t="s">
        <v>535</v>
      </c>
      <c r="B3" s="252"/>
      <c r="C3" s="252"/>
      <c r="D3" s="252"/>
      <c r="E3" s="252"/>
      <c r="F3" s="252"/>
      <c r="G3" s="252"/>
      <c r="H3" s="252"/>
    </row>
    <row r="4" s="238" customFormat="1" ht="27.95" customHeight="1" spans="1:8">
      <c r="A4" s="253" t="s">
        <v>579</v>
      </c>
      <c r="B4" s="253"/>
      <c r="C4" s="253"/>
      <c r="D4" s="253"/>
      <c r="E4" s="253"/>
      <c r="F4" s="253"/>
      <c r="G4" s="253"/>
      <c r="H4" s="253"/>
    </row>
    <row r="5" s="239" customFormat="1" ht="18" customHeight="1" spans="1:8">
      <c r="A5" s="254" t="s">
        <v>580</v>
      </c>
      <c r="B5" s="255" t="s">
        <v>581</v>
      </c>
      <c r="C5" s="255"/>
      <c r="D5" s="255"/>
      <c r="E5" s="255"/>
      <c r="F5" s="256" t="s">
        <v>582</v>
      </c>
      <c r="G5" s="256"/>
      <c r="H5" s="257" t="s">
        <v>583</v>
      </c>
    </row>
    <row r="6" s="239" customFormat="1" ht="18" customHeight="1" spans="1:8">
      <c r="A6" s="259"/>
      <c r="B6" s="260" t="s">
        <v>584</v>
      </c>
      <c r="C6" s="260" t="s">
        <v>585</v>
      </c>
      <c r="D6" s="260" t="s">
        <v>586</v>
      </c>
      <c r="E6" s="260" t="s">
        <v>61</v>
      </c>
      <c r="F6" s="261" t="s">
        <v>587</v>
      </c>
      <c r="G6" s="261" t="s">
        <v>588</v>
      </c>
      <c r="H6" s="262"/>
    </row>
    <row r="7" s="240" customFormat="1" ht="18" customHeight="1" spans="1:8">
      <c r="A7" s="263" t="s">
        <v>589</v>
      </c>
      <c r="B7" s="264" t="s">
        <v>545</v>
      </c>
      <c r="C7" s="264">
        <v>1440</v>
      </c>
      <c r="D7" s="264">
        <v>1440</v>
      </c>
      <c r="E7" s="265" t="s">
        <v>590</v>
      </c>
      <c r="F7" s="264" t="s">
        <v>591</v>
      </c>
      <c r="G7" s="266" t="s">
        <v>592</v>
      </c>
      <c r="H7" s="267" t="s">
        <v>593</v>
      </c>
    </row>
    <row r="8" s="241" customFormat="1" ht="18" customHeight="1" spans="1:8">
      <c r="A8" s="269" t="s">
        <v>594</v>
      </c>
      <c r="B8" s="270">
        <v>1750</v>
      </c>
      <c r="C8" s="270">
        <v>1700</v>
      </c>
      <c r="D8" s="270">
        <v>1700</v>
      </c>
      <c r="E8" s="271"/>
      <c r="F8" s="270">
        <v>10.5</v>
      </c>
      <c r="G8" s="272"/>
      <c r="H8" s="273" t="s">
        <v>593</v>
      </c>
    </row>
    <row r="9" s="238" customFormat="1" ht="18" customHeight="1" spans="1:8">
      <c r="A9" s="263" t="s">
        <v>595</v>
      </c>
      <c r="B9" s="264">
        <v>1900</v>
      </c>
      <c r="C9" s="264">
        <v>1850</v>
      </c>
      <c r="D9" s="264">
        <v>1850</v>
      </c>
      <c r="E9" s="271"/>
      <c r="F9" s="264">
        <v>11.5</v>
      </c>
      <c r="G9" s="272"/>
      <c r="H9" s="267" t="s">
        <v>593</v>
      </c>
    </row>
    <row r="10" s="242" customFormat="1" ht="18" customHeight="1" spans="1:8">
      <c r="A10" s="275" t="s">
        <v>596</v>
      </c>
      <c r="B10" s="276">
        <v>1900</v>
      </c>
      <c r="C10" s="276">
        <v>1850</v>
      </c>
      <c r="D10" s="276">
        <v>1850</v>
      </c>
      <c r="E10" s="271"/>
      <c r="F10" s="276">
        <v>11.5</v>
      </c>
      <c r="G10" s="272"/>
      <c r="H10" s="277" t="s">
        <v>593</v>
      </c>
    </row>
    <row r="11" s="243" customFormat="1" ht="18" customHeight="1" spans="1:8">
      <c r="A11" s="263" t="s">
        <v>597</v>
      </c>
      <c r="B11" s="264">
        <v>1900</v>
      </c>
      <c r="C11" s="264">
        <v>1850</v>
      </c>
      <c r="D11" s="264">
        <v>1850</v>
      </c>
      <c r="E11" s="271"/>
      <c r="F11" s="264">
        <v>11.5</v>
      </c>
      <c r="G11" s="272"/>
      <c r="H11" s="267" t="s">
        <v>593</v>
      </c>
    </row>
    <row r="12" s="244" customFormat="1" ht="18" customHeight="1" spans="1:8">
      <c r="A12" s="278" t="s">
        <v>598</v>
      </c>
      <c r="B12" s="343">
        <v>2100</v>
      </c>
      <c r="C12" s="343">
        <v>2050</v>
      </c>
      <c r="D12" s="343">
        <v>2050</v>
      </c>
      <c r="E12" s="271"/>
      <c r="F12" s="279">
        <v>12.5</v>
      </c>
      <c r="G12" s="272"/>
      <c r="H12" s="280" t="s">
        <v>599</v>
      </c>
    </row>
    <row r="13" s="243" customFormat="1" ht="18" customHeight="1" spans="1:8">
      <c r="A13" s="263" t="s">
        <v>600</v>
      </c>
      <c r="B13" s="264">
        <v>2180</v>
      </c>
      <c r="C13" s="264">
        <v>2130</v>
      </c>
      <c r="D13" s="264">
        <v>2130</v>
      </c>
      <c r="E13" s="271"/>
      <c r="F13" s="264">
        <v>13</v>
      </c>
      <c r="G13" s="272"/>
      <c r="H13" s="267" t="s">
        <v>601</v>
      </c>
    </row>
    <row r="14" s="245" customFormat="1" ht="18" customHeight="1" spans="1:8">
      <c r="A14" s="281" t="s">
        <v>602</v>
      </c>
      <c r="B14" s="282" t="s">
        <v>545</v>
      </c>
      <c r="C14" s="282">
        <v>2190</v>
      </c>
      <c r="D14" s="282">
        <v>2190</v>
      </c>
      <c r="E14" s="344"/>
      <c r="F14" s="283">
        <v>13.5</v>
      </c>
      <c r="G14" s="345"/>
      <c r="H14" s="284" t="s">
        <v>601</v>
      </c>
    </row>
    <row r="15" s="243" customFormat="1" ht="18" customHeight="1" spans="1:8">
      <c r="A15" s="285" t="s">
        <v>603</v>
      </c>
      <c r="B15" s="264" t="s">
        <v>545</v>
      </c>
      <c r="C15" s="264">
        <v>2190</v>
      </c>
      <c r="D15" s="264">
        <v>2190</v>
      </c>
      <c r="E15" s="271"/>
      <c r="F15" s="346">
        <v>13.5</v>
      </c>
      <c r="G15" s="272"/>
      <c r="H15" s="286" t="s">
        <v>601</v>
      </c>
    </row>
    <row r="16" s="246" customFormat="1" ht="18" customHeight="1" spans="1:8">
      <c r="A16" s="287" t="s">
        <v>604</v>
      </c>
      <c r="B16" s="288" t="s">
        <v>545</v>
      </c>
      <c r="C16" s="288">
        <v>2190</v>
      </c>
      <c r="D16" s="288">
        <v>2190</v>
      </c>
      <c r="E16" s="347"/>
      <c r="F16" s="289">
        <v>13.5</v>
      </c>
      <c r="G16" s="348"/>
      <c r="H16" s="290" t="s">
        <v>601</v>
      </c>
    </row>
    <row r="17" s="243" customFormat="1" ht="18" customHeight="1" spans="1:8">
      <c r="A17" s="297" t="s">
        <v>605</v>
      </c>
      <c r="B17" s="298" t="s">
        <v>606</v>
      </c>
      <c r="C17" s="299"/>
      <c r="D17" s="299"/>
      <c r="E17" s="299"/>
      <c r="F17" s="299"/>
      <c r="G17" s="299"/>
      <c r="H17" s="300"/>
    </row>
    <row r="18" s="243" customFormat="1" ht="17.1" customHeight="1" spans="1:8">
      <c r="A18" s="301" t="s">
        <v>559</v>
      </c>
      <c r="B18" s="302"/>
      <c r="C18" s="302"/>
      <c r="D18" s="302"/>
      <c r="E18" s="302"/>
      <c r="F18" s="302"/>
      <c r="G18" s="302"/>
      <c r="H18" s="303"/>
    </row>
    <row r="19" s="248" customFormat="1" ht="17.1" customHeight="1" spans="1:8">
      <c r="A19" s="304" t="s">
        <v>607</v>
      </c>
      <c r="B19" s="305"/>
      <c r="C19" s="305"/>
      <c r="D19" s="305"/>
      <c r="E19" s="305"/>
      <c r="F19" s="305"/>
      <c r="G19" s="305"/>
      <c r="H19" s="306"/>
    </row>
    <row r="20" s="249" customFormat="1" ht="17.1" customHeight="1" spans="1:8">
      <c r="A20" s="307" t="s">
        <v>608</v>
      </c>
      <c r="B20" s="308"/>
      <c r="C20" s="308"/>
      <c r="D20" s="308"/>
      <c r="E20" s="308"/>
      <c r="F20" s="308"/>
      <c r="G20" s="308"/>
      <c r="H20" s="309"/>
    </row>
    <row r="21" s="238" customFormat="1" ht="17.1" customHeight="1" spans="1:8">
      <c r="A21" s="301" t="s">
        <v>609</v>
      </c>
      <c r="B21" s="302"/>
      <c r="C21" s="302"/>
      <c r="D21" s="302"/>
      <c r="E21" s="302"/>
      <c r="F21" s="302"/>
      <c r="G21" s="302"/>
      <c r="H21" s="303"/>
    </row>
    <row r="22" s="238" customFormat="1" ht="17.1" customHeight="1" spans="1:8">
      <c r="A22" s="310" t="s">
        <v>610</v>
      </c>
      <c r="B22" s="311"/>
      <c r="C22" s="311"/>
      <c r="D22" s="311"/>
      <c r="E22" s="311"/>
      <c r="F22" s="311"/>
      <c r="G22" s="311"/>
      <c r="H22" s="312"/>
    </row>
    <row r="23" s="238" customFormat="1" ht="17.1" customHeight="1" spans="1:8">
      <c r="A23" s="313" t="s">
        <v>611</v>
      </c>
      <c r="B23" s="314"/>
      <c r="C23" s="314"/>
      <c r="D23" s="314"/>
      <c r="E23" s="314"/>
      <c r="F23" s="314"/>
      <c r="G23" s="314"/>
      <c r="H23" s="315"/>
    </row>
    <row r="24" s="238" customFormat="1" ht="17.1" customHeight="1" spans="1:8">
      <c r="A24" s="313" t="s">
        <v>612</v>
      </c>
      <c r="B24" s="314"/>
      <c r="C24" s="314"/>
      <c r="D24" s="314"/>
      <c r="E24" s="314"/>
      <c r="F24" s="314"/>
      <c r="G24" s="314"/>
      <c r="H24" s="315"/>
    </row>
    <row r="25" s="238" customFormat="1" ht="17.1" customHeight="1" spans="1:8">
      <c r="A25" s="313" t="s">
        <v>613</v>
      </c>
      <c r="B25" s="314"/>
      <c r="C25" s="314"/>
      <c r="D25" s="314"/>
      <c r="E25" s="314"/>
      <c r="F25" s="314"/>
      <c r="G25" s="314"/>
      <c r="H25" s="315"/>
    </row>
    <row r="26" s="238" customFormat="1" ht="17.1" customHeight="1" spans="1:8">
      <c r="A26" s="313" t="s">
        <v>614</v>
      </c>
      <c r="B26" s="314"/>
      <c r="C26" s="314"/>
      <c r="D26" s="314"/>
      <c r="E26" s="314"/>
      <c r="F26" s="314"/>
      <c r="G26" s="314"/>
      <c r="H26" s="315"/>
    </row>
    <row r="27" s="238" customFormat="1" ht="17.1" customHeight="1" spans="1:8">
      <c r="A27" s="313" t="s">
        <v>615</v>
      </c>
      <c r="B27" s="314"/>
      <c r="C27" s="314"/>
      <c r="D27" s="314"/>
      <c r="E27" s="314"/>
      <c r="F27" s="314"/>
      <c r="G27" s="314"/>
      <c r="H27" s="315"/>
    </row>
    <row r="28" s="238" customFormat="1" ht="18.75" customHeight="1" spans="1:8">
      <c r="A28" s="316" t="s">
        <v>616</v>
      </c>
      <c r="B28" s="317"/>
      <c r="C28" s="317"/>
      <c r="D28" s="317"/>
      <c r="E28" s="317"/>
      <c r="F28" s="317"/>
      <c r="G28" s="317"/>
      <c r="H28" s="318"/>
    </row>
    <row r="29" s="238" customFormat="1" spans="1:8">
      <c r="A29" s="319" t="s">
        <v>617</v>
      </c>
      <c r="B29" s="320"/>
      <c r="C29" s="320"/>
      <c r="D29" s="320"/>
      <c r="E29" s="320"/>
      <c r="F29" s="320"/>
      <c r="G29" s="320"/>
      <c r="H29" s="321"/>
    </row>
    <row r="30" s="238" customFormat="1" spans="1:8">
      <c r="A30" s="319" t="s">
        <v>618</v>
      </c>
      <c r="B30" s="320"/>
      <c r="C30" s="320"/>
      <c r="D30" s="320"/>
      <c r="E30" s="320"/>
      <c r="F30" s="320"/>
      <c r="G30" s="320"/>
      <c r="H30" s="321"/>
    </row>
    <row r="31" s="238" customFormat="1" ht="26.1" customHeight="1" spans="1:8">
      <c r="A31" s="319" t="s">
        <v>619</v>
      </c>
      <c r="B31" s="320"/>
      <c r="C31" s="320"/>
      <c r="D31" s="320"/>
      <c r="E31" s="320"/>
      <c r="F31" s="320"/>
      <c r="G31" s="320"/>
      <c r="H31" s="321"/>
    </row>
    <row r="32" s="238" customFormat="1" ht="15" customHeight="1" spans="1:8">
      <c r="A32" s="319" t="s">
        <v>620</v>
      </c>
      <c r="B32" s="320"/>
      <c r="C32" s="320"/>
      <c r="D32" s="320"/>
      <c r="E32" s="320"/>
      <c r="F32" s="320"/>
      <c r="G32" s="320"/>
      <c r="H32" s="321"/>
    </row>
    <row r="33" s="238" customFormat="1" ht="15" customHeight="1" spans="1:8">
      <c r="A33" s="322" t="s">
        <v>621</v>
      </c>
      <c r="B33" s="323"/>
      <c r="C33" s="323"/>
      <c r="D33" s="323"/>
      <c r="E33" s="323"/>
      <c r="F33" s="323"/>
      <c r="G33" s="323"/>
      <c r="H33" s="324"/>
    </row>
    <row r="34" s="238" customFormat="1" ht="18.75" customHeight="1" spans="1:8">
      <c r="A34" s="301" t="s">
        <v>622</v>
      </c>
      <c r="B34" s="302"/>
      <c r="C34" s="302"/>
      <c r="D34" s="302"/>
      <c r="E34" s="302"/>
      <c r="F34" s="302"/>
      <c r="G34" s="302"/>
      <c r="H34" s="303"/>
    </row>
    <row r="35" s="238" customFormat="1" spans="1:8">
      <c r="A35" s="319" t="s">
        <v>153</v>
      </c>
      <c r="B35" s="320"/>
      <c r="C35" s="320"/>
      <c r="D35" s="320"/>
      <c r="E35" s="320"/>
      <c r="F35" s="320"/>
      <c r="G35" s="320"/>
      <c r="H35" s="321"/>
    </row>
    <row r="36" s="238" customFormat="1" ht="29.1" customHeight="1" spans="1:8">
      <c r="A36" s="319" t="s">
        <v>572</v>
      </c>
      <c r="B36" s="320"/>
      <c r="C36" s="320"/>
      <c r="D36" s="320"/>
      <c r="E36" s="320"/>
      <c r="F36" s="320"/>
      <c r="G36" s="320"/>
      <c r="H36" s="321"/>
    </row>
    <row r="37" s="238" customFormat="1" ht="15.75" customHeight="1" spans="1:8">
      <c r="A37" s="319" t="s">
        <v>573</v>
      </c>
      <c r="B37" s="320"/>
      <c r="C37" s="320"/>
      <c r="D37" s="320"/>
      <c r="E37" s="320"/>
      <c r="F37" s="320"/>
      <c r="G37" s="320"/>
      <c r="H37" s="321"/>
    </row>
    <row r="38" s="238" customFormat="1" ht="15.75" customHeight="1" spans="1:8">
      <c r="A38" s="313" t="s">
        <v>574</v>
      </c>
      <c r="B38" s="314"/>
      <c r="C38" s="314"/>
      <c r="D38" s="314"/>
      <c r="E38" s="314"/>
      <c r="F38" s="314"/>
      <c r="G38" s="314"/>
      <c r="H38" s="315"/>
    </row>
    <row r="39" s="238" customFormat="1" ht="15.75" customHeight="1" spans="1:8">
      <c r="A39" s="325" t="s">
        <v>575</v>
      </c>
      <c r="B39" s="326"/>
      <c r="C39" s="326"/>
      <c r="D39" s="326"/>
      <c r="E39" s="326"/>
      <c r="F39" s="326"/>
      <c r="G39" s="326"/>
      <c r="H39" s="327"/>
    </row>
    <row r="40" s="238" customFormat="1" ht="18.75" customHeight="1" spans="1:8">
      <c r="A40" s="316" t="s">
        <v>623</v>
      </c>
      <c r="B40" s="317"/>
      <c r="C40" s="317"/>
      <c r="D40" s="317"/>
      <c r="E40" s="317"/>
      <c r="F40" s="317"/>
      <c r="G40" s="317"/>
      <c r="H40" s="318"/>
    </row>
    <row r="41" s="238" customFormat="1" ht="30.75" customHeight="1" spans="1:8">
      <c r="A41" s="328" t="s">
        <v>624</v>
      </c>
      <c r="B41" s="329"/>
      <c r="C41" s="329"/>
      <c r="D41" s="329"/>
      <c r="E41" s="329"/>
      <c r="F41" s="329"/>
      <c r="G41" s="329"/>
      <c r="H41" s="330"/>
    </row>
    <row r="42" s="238" customFormat="1" ht="144.95" customHeight="1" spans="1:8">
      <c r="A42" s="331" t="s">
        <v>625</v>
      </c>
      <c r="B42" s="332"/>
      <c r="C42" s="332"/>
      <c r="D42" s="332"/>
      <c r="E42" s="332"/>
      <c r="F42" s="332"/>
      <c r="G42" s="332"/>
      <c r="H42" s="333"/>
    </row>
    <row r="43" s="238" customFormat="1" ht="18.75" customHeight="1" spans="1:8">
      <c r="A43" s="301" t="s">
        <v>626</v>
      </c>
      <c r="B43" s="302"/>
      <c r="C43" s="302"/>
      <c r="D43" s="302"/>
      <c r="E43" s="302"/>
      <c r="F43" s="302"/>
      <c r="G43" s="302"/>
      <c r="H43" s="303"/>
    </row>
    <row r="44" s="238" customFormat="1" ht="32.1" customHeight="1" spans="1:8">
      <c r="A44" s="334" t="s">
        <v>627</v>
      </c>
      <c r="B44" s="335"/>
      <c r="C44" s="335"/>
      <c r="D44" s="335"/>
      <c r="E44" s="335"/>
      <c r="F44" s="335"/>
      <c r="G44" s="335"/>
      <c r="H44" s="336"/>
    </row>
    <row r="45" s="238" customFormat="1" ht="54" customHeight="1" spans="1:8">
      <c r="A45" s="337" t="s">
        <v>628</v>
      </c>
      <c r="B45" s="338"/>
      <c r="C45" s="338"/>
      <c r="D45" s="338"/>
      <c r="E45" s="338"/>
      <c r="F45" s="338"/>
      <c r="G45" s="338"/>
      <c r="H45" s="339"/>
    </row>
    <row r="46" s="238" customFormat="1" ht="30" customHeight="1" spans="1:8">
      <c r="A46" s="340" t="s">
        <v>629</v>
      </c>
      <c r="B46" s="341"/>
      <c r="C46" s="341"/>
      <c r="D46" s="341"/>
      <c r="E46" s="341"/>
      <c r="F46" s="341"/>
      <c r="G46" s="341"/>
      <c r="H46" s="342"/>
    </row>
  </sheetData>
  <sheetProtection formatCells="0" insertHyperlinks="0" autoFilter="0"/>
  <mergeCells count="40">
    <mergeCell ref="A1:H1"/>
    <mergeCell ref="A2:H2"/>
    <mergeCell ref="A3:H3"/>
    <mergeCell ref="A4:H4"/>
    <mergeCell ref="B5:E5"/>
    <mergeCell ref="F5:G5"/>
    <mergeCell ref="B17:H17"/>
    <mergeCell ref="A18:H18"/>
    <mergeCell ref="A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5:A6"/>
    <mergeCell ref="E7:E16"/>
    <mergeCell ref="G7:G16"/>
    <mergeCell ref="H5:H6"/>
  </mergeCells>
  <hyperlinks>
    <hyperlink ref="A39:H39" location="反倾销列表!A1" display="5、反倾销产品"/>
  </hyperlinks>
  <pageMargins left="0.75" right="0.75" top="1" bottom="1" header="0.509027777777778" footer="0.509027777777778"/>
  <pageSetup paperSize="9" orientation="portrait"/>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theme="8" tint="0.799981688894314"/>
  </sheetPr>
  <dimension ref="A1:J48"/>
  <sheetViews>
    <sheetView zoomScale="125" zoomScaleNormal="125" workbookViewId="0">
      <selection activeCell="A23" sqref="A23:H23"/>
    </sheetView>
  </sheetViews>
  <sheetFormatPr defaultColWidth="9.875" defaultRowHeight="16.5"/>
  <cols>
    <col min="1" max="1" width="28.7583333333333" style="238" customWidth="1"/>
    <col min="2" max="4" width="11" style="238" customWidth="1"/>
    <col min="5" max="5" width="15.125" style="238" customWidth="1"/>
    <col min="6" max="6" width="11" style="238" customWidth="1"/>
    <col min="7" max="7" width="14.875" style="238" customWidth="1"/>
    <col min="8" max="8" width="19.7583333333333" style="238" customWidth="1"/>
    <col min="9" max="9" width="2.375" style="238" customWidth="1"/>
    <col min="10" max="10" width="9.5" style="238" customWidth="1"/>
    <col min="11" max="254" width="6.125" style="238"/>
  </cols>
  <sheetData>
    <row r="1" s="238" customFormat="1" ht="25.5" spans="1:10">
      <c r="A1" s="250" t="s">
        <v>533</v>
      </c>
      <c r="B1" s="250"/>
      <c r="C1" s="250"/>
      <c r="D1" s="250"/>
      <c r="E1" s="250"/>
      <c r="F1" s="250"/>
      <c r="G1" s="250"/>
      <c r="H1" s="250"/>
    </row>
    <row r="2" s="238" customFormat="1" ht="17.1" customHeight="1" spans="1:10">
      <c r="A2" s="251" t="s">
        <v>534</v>
      </c>
      <c r="B2" s="251"/>
      <c r="C2" s="251"/>
      <c r="D2" s="251"/>
      <c r="E2" s="251"/>
      <c r="F2" s="251"/>
      <c r="G2" s="251"/>
      <c r="H2" s="251"/>
    </row>
    <row r="3" s="238" customFormat="1" ht="17.1" customHeight="1" spans="1:10">
      <c r="A3" s="252" t="s">
        <v>535</v>
      </c>
      <c r="B3" s="252"/>
      <c r="C3" s="252"/>
      <c r="D3" s="252"/>
      <c r="E3" s="252"/>
      <c r="F3" s="252"/>
      <c r="G3" s="252"/>
      <c r="H3" s="252"/>
    </row>
    <row r="4" s="238" customFormat="1" ht="27.95" customHeight="1" spans="1:10">
      <c r="A4" s="253" t="s">
        <v>630</v>
      </c>
      <c r="B4" s="253"/>
      <c r="C4" s="253"/>
      <c r="D4" s="253"/>
      <c r="E4" s="253"/>
      <c r="F4" s="253"/>
      <c r="G4" s="253"/>
      <c r="H4" s="253"/>
    </row>
    <row r="5" s="239" customFormat="1" ht="18" customHeight="1" spans="1:10">
      <c r="A5" s="254" t="s">
        <v>580</v>
      </c>
      <c r="B5" s="255" t="s">
        <v>631</v>
      </c>
      <c r="C5" s="255"/>
      <c r="D5" s="255"/>
      <c r="E5" s="255"/>
      <c r="F5" s="256" t="s">
        <v>632</v>
      </c>
      <c r="G5" s="256"/>
      <c r="H5" s="257" t="s">
        <v>583</v>
      </c>
      <c r="J5" s="258"/>
    </row>
    <row r="6" s="239" customFormat="1" ht="18" customHeight="1" spans="1:10">
      <c r="A6" s="259"/>
      <c r="B6" s="260" t="s">
        <v>584</v>
      </c>
      <c r="C6" s="260" t="s">
        <v>585</v>
      </c>
      <c r="D6" s="260" t="s">
        <v>586</v>
      </c>
      <c r="E6" s="260" t="s">
        <v>61</v>
      </c>
      <c r="F6" s="261" t="s">
        <v>587</v>
      </c>
      <c r="G6" s="261" t="s">
        <v>588</v>
      </c>
      <c r="H6" s="262"/>
      <c r="J6" s="258"/>
    </row>
    <row r="7" s="240" customFormat="1" ht="18" customHeight="1" spans="1:10">
      <c r="A7" s="263" t="s">
        <v>633</v>
      </c>
      <c r="B7" s="264">
        <v>1180</v>
      </c>
      <c r="C7" s="264">
        <v>1180</v>
      </c>
      <c r="D7" s="264">
        <v>1180</v>
      </c>
      <c r="E7" s="265" t="s">
        <v>590</v>
      </c>
      <c r="F7" s="264">
        <v>8.5</v>
      </c>
      <c r="G7" s="266" t="s">
        <v>634</v>
      </c>
      <c r="H7" s="267" t="s">
        <v>635</v>
      </c>
      <c r="J7" s="268"/>
    </row>
    <row r="8" s="241" customFormat="1" ht="18" customHeight="1" spans="1:10">
      <c r="A8" s="269" t="s">
        <v>636</v>
      </c>
      <c r="B8" s="270">
        <v>1180</v>
      </c>
      <c r="C8" s="270">
        <v>1180</v>
      </c>
      <c r="D8" s="270">
        <v>1180</v>
      </c>
      <c r="E8" s="271"/>
      <c r="F8" s="270">
        <v>8.5</v>
      </c>
      <c r="G8" s="272"/>
      <c r="H8" s="273" t="s">
        <v>635</v>
      </c>
      <c r="I8" s="247"/>
      <c r="J8" s="274"/>
    </row>
    <row r="9" s="238" customFormat="1" ht="18" customHeight="1" spans="1:10">
      <c r="A9" s="263" t="s">
        <v>429</v>
      </c>
      <c r="B9" s="264">
        <v>1230</v>
      </c>
      <c r="C9" s="264">
        <v>1230</v>
      </c>
      <c r="D9" s="264">
        <f>D8+50</f>
        <v>1230</v>
      </c>
      <c r="E9" s="271"/>
      <c r="F9" s="264">
        <v>8.8</v>
      </c>
      <c r="G9" s="272"/>
      <c r="H9" s="267" t="s">
        <v>635</v>
      </c>
    </row>
    <row r="10" s="242" customFormat="1" ht="18" customHeight="1" spans="1:10">
      <c r="A10" s="275" t="s">
        <v>637</v>
      </c>
      <c r="B10" s="276">
        <v>1230</v>
      </c>
      <c r="C10" s="276">
        <v>1230</v>
      </c>
      <c r="D10" s="276">
        <v>1230</v>
      </c>
      <c r="E10" s="271"/>
      <c r="F10" s="276">
        <v>8.8</v>
      </c>
      <c r="G10" s="272"/>
      <c r="H10" s="277" t="s">
        <v>635</v>
      </c>
    </row>
    <row r="11" s="243" customFormat="1" ht="18" customHeight="1" spans="1:10">
      <c r="A11" s="263" t="s">
        <v>638</v>
      </c>
      <c r="B11" s="264">
        <v>1230</v>
      </c>
      <c r="C11" s="264">
        <v>1230</v>
      </c>
      <c r="D11" s="264">
        <v>1230</v>
      </c>
      <c r="E11" s="271"/>
      <c r="F11" s="264">
        <v>8.8</v>
      </c>
      <c r="G11" s="272"/>
      <c r="H11" s="267" t="s">
        <v>635</v>
      </c>
    </row>
    <row r="12" s="244" customFormat="1" ht="18" customHeight="1" spans="1:10">
      <c r="A12" s="278" t="s">
        <v>422</v>
      </c>
      <c r="B12" s="279">
        <v>1230</v>
      </c>
      <c r="C12" s="279">
        <v>1230</v>
      </c>
      <c r="D12" s="279">
        <v>1230</v>
      </c>
      <c r="E12" s="271"/>
      <c r="F12" s="279">
        <v>8.8</v>
      </c>
      <c r="G12" s="272"/>
      <c r="H12" s="280" t="s">
        <v>635</v>
      </c>
    </row>
    <row r="13" s="243" customFormat="1" ht="18" customHeight="1" spans="1:10">
      <c r="A13" s="263" t="s">
        <v>639</v>
      </c>
      <c r="B13" s="264">
        <v>1260</v>
      </c>
      <c r="C13" s="264">
        <v>1260</v>
      </c>
      <c r="D13" s="264">
        <f>D8+80</f>
        <v>1260</v>
      </c>
      <c r="E13" s="271"/>
      <c r="F13" s="264">
        <v>9</v>
      </c>
      <c r="G13" s="272"/>
      <c r="H13" s="267" t="s">
        <v>635</v>
      </c>
    </row>
    <row r="14" s="245" customFormat="1" ht="18" customHeight="1" spans="1:10">
      <c r="A14" s="281" t="s">
        <v>509</v>
      </c>
      <c r="B14" s="282">
        <v>1340</v>
      </c>
      <c r="C14" s="282">
        <v>1340</v>
      </c>
      <c r="D14" s="282">
        <v>1340</v>
      </c>
      <c r="E14" s="271"/>
      <c r="F14" s="283">
        <v>9.5</v>
      </c>
      <c r="G14" s="272"/>
      <c r="H14" s="284" t="s">
        <v>635</v>
      </c>
    </row>
    <row r="15" s="243" customFormat="1" ht="18" customHeight="1" spans="1:10">
      <c r="A15" s="285" t="s">
        <v>640</v>
      </c>
      <c r="B15" s="264">
        <v>1340</v>
      </c>
      <c r="C15" s="264">
        <v>1340</v>
      </c>
      <c r="D15" s="264">
        <v>1340</v>
      </c>
      <c r="E15" s="271"/>
      <c r="F15" s="264">
        <v>9.5</v>
      </c>
      <c r="G15" s="272"/>
      <c r="H15" s="286" t="s">
        <v>641</v>
      </c>
      <c r="J15" s="243" t="s">
        <v>642</v>
      </c>
    </row>
    <row r="16" s="246" customFormat="1" ht="18" customHeight="1" spans="1:10">
      <c r="A16" s="287" t="s">
        <v>643</v>
      </c>
      <c r="B16" s="288">
        <v>1340</v>
      </c>
      <c r="C16" s="288">
        <v>1340</v>
      </c>
      <c r="D16" s="288">
        <v>1340</v>
      </c>
      <c r="E16" s="271"/>
      <c r="F16" s="289">
        <v>9.5</v>
      </c>
      <c r="G16" s="272"/>
      <c r="H16" s="290" t="s">
        <v>641</v>
      </c>
    </row>
    <row r="17" s="238" customFormat="1" ht="18" customHeight="1" spans="1:10">
      <c r="A17" s="291" t="s">
        <v>644</v>
      </c>
      <c r="B17" s="264">
        <v>1340</v>
      </c>
      <c r="C17" s="264">
        <v>1340</v>
      </c>
      <c r="D17" s="264">
        <v>1340</v>
      </c>
      <c r="E17" s="271"/>
      <c r="F17" s="292">
        <v>9.5</v>
      </c>
      <c r="G17" s="272"/>
      <c r="H17" s="293" t="s">
        <v>641</v>
      </c>
    </row>
    <row r="18" s="247" customFormat="1" ht="18" customHeight="1" spans="1:10">
      <c r="A18" s="294" t="s">
        <v>349</v>
      </c>
      <c r="B18" s="295">
        <v>1420</v>
      </c>
      <c r="C18" s="295">
        <v>1420</v>
      </c>
      <c r="D18" s="295">
        <v>1420</v>
      </c>
      <c r="E18" s="271"/>
      <c r="F18" s="295">
        <v>10</v>
      </c>
      <c r="G18" s="272"/>
      <c r="H18" s="296" t="s">
        <v>641</v>
      </c>
    </row>
    <row r="19" s="243" customFormat="1" ht="18" customHeight="1" spans="1:10">
      <c r="A19" s="297" t="s">
        <v>605</v>
      </c>
      <c r="B19" s="298" t="s">
        <v>645</v>
      </c>
      <c r="C19" s="299"/>
      <c r="D19" s="299"/>
      <c r="E19" s="299"/>
      <c r="F19" s="299"/>
      <c r="G19" s="299"/>
      <c r="H19" s="300"/>
    </row>
    <row r="20" s="243" customFormat="1" ht="17.1" customHeight="1" spans="1:10">
      <c r="A20" s="301" t="s">
        <v>559</v>
      </c>
      <c r="B20" s="302"/>
      <c r="C20" s="302"/>
      <c r="D20" s="302"/>
      <c r="E20" s="302"/>
      <c r="F20" s="302"/>
      <c r="G20" s="302"/>
      <c r="H20" s="303"/>
    </row>
    <row r="21" s="248" customFormat="1" ht="17.1" customHeight="1" spans="1:10">
      <c r="A21" s="304" t="s">
        <v>607</v>
      </c>
      <c r="B21" s="305"/>
      <c r="C21" s="305"/>
      <c r="D21" s="305"/>
      <c r="E21" s="305"/>
      <c r="F21" s="305"/>
      <c r="G21" s="305"/>
      <c r="H21" s="306"/>
      <c r="I21" s="249"/>
      <c r="J21" s="249"/>
    </row>
    <row r="22" s="249" customFormat="1" ht="17.1" customHeight="1" spans="1:10">
      <c r="A22" s="307" t="s">
        <v>608</v>
      </c>
      <c r="B22" s="308"/>
      <c r="C22" s="308"/>
      <c r="D22" s="308"/>
      <c r="E22" s="308"/>
      <c r="F22" s="308"/>
      <c r="G22" s="308"/>
      <c r="H22" s="309"/>
    </row>
    <row r="23" s="238" customFormat="1" ht="17.1" customHeight="1" spans="1:10">
      <c r="A23" s="301" t="s">
        <v>609</v>
      </c>
      <c r="B23" s="302"/>
      <c r="C23" s="302"/>
      <c r="D23" s="302"/>
      <c r="E23" s="302"/>
      <c r="F23" s="302"/>
      <c r="G23" s="302"/>
      <c r="H23" s="303"/>
    </row>
    <row r="24" s="238" customFormat="1" ht="17.1" customHeight="1" spans="1:10">
      <c r="A24" s="310" t="s">
        <v>610</v>
      </c>
      <c r="B24" s="311"/>
      <c r="C24" s="311"/>
      <c r="D24" s="311"/>
      <c r="E24" s="311"/>
      <c r="F24" s="311"/>
      <c r="G24" s="311"/>
      <c r="H24" s="312"/>
    </row>
    <row r="25" s="238" customFormat="1" ht="17.1" customHeight="1" spans="1:10">
      <c r="A25" s="313" t="s">
        <v>611</v>
      </c>
      <c r="B25" s="314"/>
      <c r="C25" s="314"/>
      <c r="D25" s="314"/>
      <c r="E25" s="314"/>
      <c r="F25" s="314"/>
      <c r="G25" s="314"/>
      <c r="H25" s="315"/>
    </row>
    <row r="26" s="238" customFormat="1" ht="17.1" customHeight="1" spans="1:10">
      <c r="A26" s="313" t="s">
        <v>612</v>
      </c>
      <c r="B26" s="314"/>
      <c r="C26" s="314"/>
      <c r="D26" s="314"/>
      <c r="E26" s="314"/>
      <c r="F26" s="314"/>
      <c r="G26" s="314"/>
      <c r="H26" s="315"/>
    </row>
    <row r="27" s="238" customFormat="1" ht="17.1" customHeight="1" spans="1:10">
      <c r="A27" s="313" t="s">
        <v>613</v>
      </c>
      <c r="B27" s="314"/>
      <c r="C27" s="314"/>
      <c r="D27" s="314"/>
      <c r="E27" s="314"/>
      <c r="F27" s="314"/>
      <c r="G27" s="314"/>
      <c r="H27" s="315"/>
    </row>
    <row r="28" s="238" customFormat="1" ht="17.1" customHeight="1" spans="1:10">
      <c r="A28" s="313" t="s">
        <v>614</v>
      </c>
      <c r="B28" s="314"/>
      <c r="C28" s="314"/>
      <c r="D28" s="314"/>
      <c r="E28" s="314"/>
      <c r="F28" s="314"/>
      <c r="G28" s="314"/>
      <c r="H28" s="315"/>
    </row>
    <row r="29" s="238" customFormat="1" ht="17.1" customHeight="1" spans="1:10">
      <c r="A29" s="313" t="s">
        <v>615</v>
      </c>
      <c r="B29" s="314"/>
      <c r="C29" s="314"/>
      <c r="D29" s="314"/>
      <c r="E29" s="314"/>
      <c r="F29" s="314"/>
      <c r="G29" s="314"/>
      <c r="H29" s="315"/>
    </row>
    <row r="30" s="238" customFormat="1" ht="18.75" customHeight="1" spans="1:10">
      <c r="A30" s="316" t="s">
        <v>616</v>
      </c>
      <c r="B30" s="317"/>
      <c r="C30" s="317"/>
      <c r="D30" s="317"/>
      <c r="E30" s="317"/>
      <c r="F30" s="317"/>
      <c r="G30" s="317"/>
      <c r="H30" s="318"/>
    </row>
    <row r="31" s="238" customFormat="1" spans="1:10">
      <c r="A31" s="319" t="s">
        <v>617</v>
      </c>
      <c r="B31" s="320"/>
      <c r="C31" s="320"/>
      <c r="D31" s="320"/>
      <c r="E31" s="320"/>
      <c r="F31" s="320"/>
      <c r="G31" s="320"/>
      <c r="H31" s="321"/>
    </row>
    <row r="32" s="238" customFormat="1" spans="1:10">
      <c r="A32" s="319" t="s">
        <v>618</v>
      </c>
      <c r="B32" s="320"/>
      <c r="C32" s="320"/>
      <c r="D32" s="320"/>
      <c r="E32" s="320"/>
      <c r="F32" s="320"/>
      <c r="G32" s="320"/>
      <c r="H32" s="321"/>
    </row>
    <row r="33" s="238" customFormat="1" ht="26.1" customHeight="1" spans="1:8">
      <c r="A33" s="319" t="s">
        <v>619</v>
      </c>
      <c r="B33" s="320"/>
      <c r="C33" s="320"/>
      <c r="D33" s="320"/>
      <c r="E33" s="320"/>
      <c r="F33" s="320"/>
      <c r="G33" s="320"/>
      <c r="H33" s="321"/>
    </row>
    <row r="34" s="238" customFormat="1" ht="18.75" customHeight="1" spans="1:8">
      <c r="A34" s="319" t="s">
        <v>620</v>
      </c>
      <c r="B34" s="320"/>
      <c r="C34" s="320"/>
      <c r="D34" s="320"/>
      <c r="E34" s="320"/>
      <c r="F34" s="320"/>
      <c r="G34" s="320"/>
      <c r="H34" s="321"/>
    </row>
    <row r="35" s="238" customFormat="1" ht="17.25" spans="1:8">
      <c r="A35" s="322" t="s">
        <v>621</v>
      </c>
      <c r="B35" s="323"/>
      <c r="C35" s="323"/>
      <c r="D35" s="323"/>
      <c r="E35" s="323"/>
      <c r="F35" s="323"/>
      <c r="G35" s="323"/>
      <c r="H35" s="324"/>
    </row>
    <row r="36" s="238" customFormat="1" ht="18.75" customHeight="1" spans="1:8">
      <c r="A36" s="301" t="s">
        <v>622</v>
      </c>
      <c r="B36" s="302"/>
      <c r="C36" s="302"/>
      <c r="D36" s="302"/>
      <c r="E36" s="302"/>
      <c r="F36" s="302"/>
      <c r="G36" s="302"/>
      <c r="H36" s="303"/>
    </row>
    <row r="37" s="238" customFormat="1" spans="1:8">
      <c r="A37" s="319" t="s">
        <v>153</v>
      </c>
      <c r="B37" s="320"/>
      <c r="C37" s="320"/>
      <c r="D37" s="320"/>
      <c r="E37" s="320"/>
      <c r="F37" s="320"/>
      <c r="G37" s="320"/>
      <c r="H37" s="321"/>
    </row>
    <row r="38" s="238" customFormat="1" ht="29.1" customHeight="1" spans="1:8">
      <c r="A38" s="319" t="s">
        <v>572</v>
      </c>
      <c r="B38" s="320"/>
      <c r="C38" s="320"/>
      <c r="D38" s="320"/>
      <c r="E38" s="320"/>
      <c r="F38" s="320"/>
      <c r="G38" s="320"/>
      <c r="H38" s="321"/>
    </row>
    <row r="39" s="238" customFormat="1" ht="15.75" customHeight="1" spans="1:8">
      <c r="A39" s="319" t="s">
        <v>573</v>
      </c>
      <c r="B39" s="320"/>
      <c r="C39" s="320"/>
      <c r="D39" s="320"/>
      <c r="E39" s="320"/>
      <c r="F39" s="320"/>
      <c r="G39" s="320"/>
      <c r="H39" s="321"/>
    </row>
    <row r="40" s="238" customFormat="1" ht="15.75" customHeight="1" spans="1:8">
      <c r="A40" s="313" t="s">
        <v>574</v>
      </c>
      <c r="B40" s="314"/>
      <c r="C40" s="314"/>
      <c r="D40" s="314"/>
      <c r="E40" s="314"/>
      <c r="F40" s="314"/>
      <c r="G40" s="314"/>
      <c r="H40" s="315"/>
    </row>
    <row r="41" s="238" customFormat="1" ht="15.75" customHeight="1" spans="1:8">
      <c r="A41" s="325" t="s">
        <v>575</v>
      </c>
      <c r="B41" s="326"/>
      <c r="C41" s="326"/>
      <c r="D41" s="326"/>
      <c r="E41" s="326"/>
      <c r="F41" s="326"/>
      <c r="G41" s="326"/>
      <c r="H41" s="327"/>
    </row>
    <row r="42" s="238" customFormat="1" ht="18.75" customHeight="1" spans="1:8">
      <c r="A42" s="316" t="s">
        <v>623</v>
      </c>
      <c r="B42" s="317"/>
      <c r="C42" s="317"/>
      <c r="D42" s="317"/>
      <c r="E42" s="317"/>
      <c r="F42" s="317"/>
      <c r="G42" s="317"/>
      <c r="H42" s="318"/>
    </row>
    <row r="43" s="238" customFormat="1" ht="30.75" customHeight="1" spans="1:8">
      <c r="A43" s="328" t="s">
        <v>624</v>
      </c>
      <c r="B43" s="329"/>
      <c r="C43" s="329"/>
      <c r="D43" s="329"/>
      <c r="E43" s="329"/>
      <c r="F43" s="329"/>
      <c r="G43" s="329"/>
      <c r="H43" s="330"/>
    </row>
    <row r="44" s="238" customFormat="1" ht="144.95" customHeight="1" spans="1:8">
      <c r="A44" s="331" t="s">
        <v>625</v>
      </c>
      <c r="B44" s="332"/>
      <c r="C44" s="332"/>
      <c r="D44" s="332"/>
      <c r="E44" s="332"/>
      <c r="F44" s="332"/>
      <c r="G44" s="332"/>
      <c r="H44" s="333"/>
    </row>
    <row r="45" s="238" customFormat="1" ht="18.75" customHeight="1" spans="1:8">
      <c r="A45" s="301" t="s">
        <v>626</v>
      </c>
      <c r="B45" s="302"/>
      <c r="C45" s="302"/>
      <c r="D45" s="302"/>
      <c r="E45" s="302"/>
      <c r="F45" s="302"/>
      <c r="G45" s="302"/>
      <c r="H45" s="303"/>
    </row>
    <row r="46" s="238" customFormat="1" ht="32.1" customHeight="1" spans="1:8">
      <c r="A46" s="334" t="s">
        <v>627</v>
      </c>
      <c r="B46" s="335"/>
      <c r="C46" s="335"/>
      <c r="D46" s="335"/>
      <c r="E46" s="335"/>
      <c r="F46" s="335"/>
      <c r="G46" s="335"/>
      <c r="H46" s="336"/>
    </row>
    <row r="47" s="238" customFormat="1" ht="54" customHeight="1" spans="1:8">
      <c r="A47" s="337" t="s">
        <v>628</v>
      </c>
      <c r="B47" s="338"/>
      <c r="C47" s="338"/>
      <c r="D47" s="338"/>
      <c r="E47" s="338"/>
      <c r="F47" s="338"/>
      <c r="G47" s="338"/>
      <c r="H47" s="339"/>
    </row>
    <row r="48" s="238" customFormat="1" ht="30" customHeight="1" spans="1:8">
      <c r="A48" s="340" t="s">
        <v>629</v>
      </c>
      <c r="B48" s="341"/>
      <c r="C48" s="341"/>
      <c r="D48" s="341"/>
      <c r="E48" s="341"/>
      <c r="F48" s="341"/>
      <c r="G48" s="341"/>
      <c r="H48" s="342"/>
    </row>
  </sheetData>
  <sheetProtection formatCells="0" insertHyperlinks="0" autoFilter="0"/>
  <mergeCells count="40">
    <mergeCell ref="A1:H1"/>
    <mergeCell ref="A2:H2"/>
    <mergeCell ref="A3:H3"/>
    <mergeCell ref="A4:H4"/>
    <mergeCell ref="B5:E5"/>
    <mergeCell ref="F5:G5"/>
    <mergeCell ref="B19:H19"/>
    <mergeCell ref="A20:H20"/>
    <mergeCell ref="A21:H21"/>
    <mergeCell ref="A22:H22"/>
    <mergeCell ref="A23:H23"/>
    <mergeCell ref="A24:H24"/>
    <mergeCell ref="A25:H25"/>
    <mergeCell ref="A26:H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5:A6"/>
    <mergeCell ref="E7:E18"/>
    <mergeCell ref="G7:G18"/>
    <mergeCell ref="H5:H6"/>
  </mergeCells>
  <hyperlinks>
    <hyperlink ref="A41:H41" location="反倾销列表!A1" display="5、反倾销产品"/>
  </hyperlinks>
  <pageMargins left="0.75" right="0.75" top="1" bottom="1" header="0.509027777777778" footer="0.509027777777778"/>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XEZ36"/>
  <sheetViews>
    <sheetView workbookViewId="0">
      <selection activeCell="C8" sqref="C8"/>
    </sheetView>
  </sheetViews>
  <sheetFormatPr defaultColWidth="26.3916666666667" defaultRowHeight="30" customHeight="1"/>
  <cols>
    <col min="1" max="16356" width="26.3916666666667" style="190" customWidth="1"/>
    <col min="16357" max="16374" width="26.3916666666667" style="192" customWidth="1"/>
    <col min="16375" max="16384" width="26.3916666666667" style="193" customWidth="1"/>
  </cols>
  <sheetData>
    <row r="1" s="189" customFormat="1" customHeight="1" spans="1:1024 1025:16376">
      <c r="A1" s="194" t="s">
        <v>282</v>
      </c>
      <c r="B1" s="195"/>
      <c r="C1" s="195"/>
      <c r="D1" s="195"/>
      <c r="E1" s="196"/>
    </row>
    <row r="2" s="189" customFormat="1" customHeight="1" spans="1:1024 1025:16376">
      <c r="A2" s="197" t="s">
        <v>283</v>
      </c>
      <c r="B2" s="198"/>
      <c r="C2" s="198"/>
      <c r="D2" s="198"/>
      <c r="E2" s="199"/>
    </row>
    <row r="3" s="189" customFormat="1" customHeight="1" spans="1:1024 1025:16376">
      <c r="A3" s="200" t="s">
        <v>646</v>
      </c>
      <c r="B3" s="201"/>
      <c r="C3" s="201"/>
      <c r="D3" s="201"/>
      <c r="E3" s="202"/>
    </row>
    <row r="4" s="190" customFormat="1" customHeight="1" spans="1:1024 1025:16376">
      <c r="A4" s="203" t="s">
        <v>287</v>
      </c>
      <c r="B4" s="117" t="s">
        <v>184</v>
      </c>
      <c r="C4" s="117" t="s">
        <v>260</v>
      </c>
      <c r="D4" s="204" t="s">
        <v>288</v>
      </c>
      <c r="E4" s="205" t="s">
        <v>647</v>
      </c>
      <c r="F4" s="206"/>
      <c r="G4" s="189"/>
      <c r="I4" s="189"/>
    </row>
    <row r="5" s="191" customFormat="1" customHeight="1" spans="1:1024 1025:16376">
      <c r="A5" s="207" t="s">
        <v>648</v>
      </c>
      <c r="B5" s="204" t="s">
        <v>649</v>
      </c>
      <c r="C5" s="204" t="s">
        <v>649</v>
      </c>
      <c r="D5" s="204"/>
      <c r="E5" s="205"/>
      <c r="F5" s="206"/>
      <c r="G5" s="189"/>
      <c r="H5" s="190"/>
      <c r="I5" s="189"/>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90"/>
      <c r="AK5" s="190"/>
      <c r="AL5" s="190"/>
      <c r="AM5" s="190"/>
      <c r="AN5" s="190"/>
      <c r="AO5" s="190"/>
      <c r="AP5" s="190"/>
      <c r="AQ5" s="190"/>
      <c r="AR5" s="190"/>
      <c r="AS5" s="190"/>
      <c r="AT5" s="190"/>
      <c r="AU5" s="190"/>
      <c r="AV5" s="190"/>
      <c r="AW5" s="190"/>
      <c r="AX5" s="190"/>
      <c r="AY5" s="190"/>
      <c r="AZ5" s="190"/>
      <c r="BA5" s="190"/>
      <c r="BB5" s="190"/>
      <c r="BC5" s="190"/>
      <c r="BD5" s="190"/>
      <c r="BE5" s="190"/>
      <c r="BF5" s="190"/>
      <c r="BG5" s="190"/>
      <c r="BH5" s="190"/>
      <c r="BI5" s="190"/>
      <c r="BJ5" s="190"/>
      <c r="BK5" s="190"/>
      <c r="BL5" s="190"/>
      <c r="BM5" s="190"/>
      <c r="BN5" s="190"/>
      <c r="BO5" s="190"/>
      <c r="BP5" s="190"/>
      <c r="BQ5" s="190"/>
      <c r="BR5" s="190"/>
      <c r="BS5" s="190"/>
      <c r="BT5" s="190"/>
      <c r="BU5" s="190"/>
      <c r="BV5" s="190"/>
      <c r="BW5" s="190"/>
      <c r="BX5" s="190"/>
      <c r="BY5" s="190"/>
      <c r="BZ5" s="190"/>
      <c r="CA5" s="190"/>
      <c r="CB5" s="190"/>
      <c r="CC5" s="190"/>
      <c r="CD5" s="190"/>
      <c r="CE5" s="190"/>
      <c r="CF5" s="190"/>
      <c r="CG5" s="190"/>
      <c r="CH5" s="190"/>
      <c r="CI5" s="190"/>
      <c r="CJ5" s="190"/>
      <c r="CK5" s="190"/>
      <c r="CL5" s="190"/>
      <c r="CM5" s="190"/>
      <c r="CN5" s="190"/>
      <c r="CO5" s="190"/>
      <c r="CP5" s="190"/>
      <c r="CQ5" s="190"/>
      <c r="CR5" s="190"/>
      <c r="CS5" s="190"/>
      <c r="CT5" s="190"/>
      <c r="CU5" s="190"/>
      <c r="CV5" s="190"/>
      <c r="CW5" s="190"/>
      <c r="CX5" s="190"/>
      <c r="CY5" s="190"/>
      <c r="CZ5" s="190"/>
      <c r="DA5" s="190"/>
      <c r="DB5" s="190"/>
      <c r="DC5" s="190"/>
      <c r="DD5" s="190"/>
      <c r="DE5" s="190"/>
      <c r="DF5" s="190"/>
      <c r="DG5" s="190"/>
      <c r="DH5" s="190"/>
      <c r="DI5" s="190"/>
      <c r="DJ5" s="190"/>
      <c r="DK5" s="190"/>
      <c r="DL5" s="190"/>
      <c r="DM5" s="190"/>
      <c r="DN5" s="190"/>
      <c r="DO5" s="190"/>
      <c r="DP5" s="190"/>
      <c r="DQ5" s="190"/>
      <c r="DR5" s="190"/>
      <c r="DS5" s="190"/>
      <c r="DT5" s="190"/>
      <c r="DU5" s="190"/>
      <c r="DV5" s="190"/>
      <c r="DW5" s="190"/>
      <c r="DX5" s="190"/>
      <c r="DY5" s="190"/>
      <c r="DZ5" s="190"/>
      <c r="EA5" s="190"/>
      <c r="EB5" s="190"/>
      <c r="EC5" s="190"/>
      <c r="ED5" s="190"/>
      <c r="EE5" s="190"/>
      <c r="EF5" s="190"/>
      <c r="EG5" s="190"/>
      <c r="EH5" s="190"/>
      <c r="EI5" s="190"/>
      <c r="EJ5" s="190"/>
      <c r="EK5" s="190"/>
      <c r="EL5" s="190"/>
      <c r="EM5" s="190"/>
      <c r="EN5" s="190"/>
      <c r="EO5" s="190"/>
      <c r="EP5" s="190"/>
      <c r="EQ5" s="190"/>
      <c r="ER5" s="190"/>
      <c r="ES5" s="190"/>
      <c r="ET5" s="190"/>
      <c r="EU5" s="190"/>
      <c r="EV5" s="190"/>
      <c r="EW5" s="190"/>
      <c r="EX5" s="190"/>
      <c r="EY5" s="190"/>
      <c r="EZ5" s="190"/>
      <c r="FA5" s="190"/>
      <c r="FB5" s="190"/>
      <c r="FC5" s="190"/>
      <c r="FD5" s="190"/>
      <c r="FE5" s="190"/>
      <c r="FF5" s="190"/>
      <c r="FG5" s="190"/>
      <c r="FH5" s="190"/>
      <c r="FI5" s="190"/>
      <c r="FJ5" s="190"/>
      <c r="FK5" s="190"/>
      <c r="FL5" s="190"/>
      <c r="FM5" s="190"/>
      <c r="FN5" s="190"/>
      <c r="FO5" s="190"/>
      <c r="FP5" s="190"/>
      <c r="FQ5" s="190"/>
      <c r="FR5" s="190"/>
      <c r="FS5" s="190"/>
      <c r="FT5" s="190"/>
      <c r="FU5" s="190"/>
      <c r="FV5" s="190"/>
      <c r="FW5" s="190"/>
      <c r="FX5" s="190"/>
      <c r="FY5" s="190"/>
      <c r="FZ5" s="190"/>
      <c r="GA5" s="190"/>
      <c r="GB5" s="190"/>
      <c r="GC5" s="190"/>
      <c r="GD5" s="190"/>
      <c r="GE5" s="190"/>
      <c r="GF5" s="190"/>
      <c r="GG5" s="190"/>
      <c r="GH5" s="190"/>
      <c r="GI5" s="190"/>
      <c r="GJ5" s="190"/>
      <c r="GK5" s="190"/>
      <c r="GL5" s="190"/>
      <c r="GM5" s="190"/>
      <c r="GN5" s="190"/>
      <c r="GO5" s="190"/>
      <c r="GP5" s="190"/>
      <c r="GQ5" s="190"/>
      <c r="GR5" s="190"/>
      <c r="GS5" s="190"/>
      <c r="GT5" s="190"/>
      <c r="GU5" s="190"/>
      <c r="GV5" s="190"/>
      <c r="GW5" s="190"/>
      <c r="GX5" s="190"/>
      <c r="GY5" s="190"/>
      <c r="GZ5" s="190"/>
      <c r="HA5" s="190"/>
      <c r="HB5" s="190"/>
      <c r="HC5" s="190"/>
      <c r="HD5" s="190"/>
      <c r="HE5" s="190"/>
      <c r="HF5" s="190"/>
      <c r="HG5" s="190"/>
      <c r="HH5" s="190"/>
      <c r="HI5" s="190"/>
      <c r="HJ5" s="190"/>
      <c r="HK5" s="190"/>
      <c r="HL5" s="190"/>
      <c r="HM5" s="190"/>
      <c r="HN5" s="190"/>
      <c r="HO5" s="190"/>
      <c r="HP5" s="190"/>
      <c r="HQ5" s="190"/>
      <c r="HR5" s="190"/>
      <c r="HS5" s="190"/>
      <c r="HT5" s="190"/>
      <c r="HU5" s="190"/>
      <c r="HV5" s="190"/>
      <c r="HW5" s="190"/>
      <c r="HX5" s="190"/>
      <c r="HY5" s="190"/>
      <c r="HZ5" s="190"/>
      <c r="IA5" s="190"/>
      <c r="IB5" s="190"/>
      <c r="IC5" s="190"/>
      <c r="ID5" s="190"/>
      <c r="IE5" s="190"/>
      <c r="IF5" s="190"/>
      <c r="IG5" s="190"/>
      <c r="IH5" s="190"/>
      <c r="II5" s="190"/>
      <c r="IJ5" s="190"/>
      <c r="IK5" s="190"/>
      <c r="IL5" s="190"/>
      <c r="IM5" s="190"/>
      <c r="IN5" s="190"/>
      <c r="IO5" s="190"/>
      <c r="IP5" s="190"/>
      <c r="IQ5" s="190"/>
      <c r="IR5" s="190"/>
      <c r="IS5" s="190"/>
      <c r="IT5" s="190"/>
      <c r="IU5" s="190"/>
      <c r="IV5" s="190"/>
      <c r="IW5" s="190"/>
      <c r="IX5" s="190"/>
      <c r="IY5" s="190"/>
      <c r="IZ5" s="190"/>
      <c r="JA5" s="190"/>
      <c r="JB5" s="190"/>
      <c r="JC5" s="190"/>
      <c r="JD5" s="190"/>
      <c r="JE5" s="190"/>
      <c r="JF5" s="190"/>
      <c r="JG5" s="190"/>
      <c r="JH5" s="190"/>
      <c r="JI5" s="190"/>
      <c r="JJ5" s="190"/>
      <c r="JK5" s="190"/>
      <c r="JL5" s="190"/>
      <c r="JM5" s="190"/>
      <c r="JN5" s="190"/>
      <c r="JO5" s="190"/>
      <c r="JP5" s="190"/>
      <c r="JQ5" s="190"/>
      <c r="JR5" s="190"/>
      <c r="JS5" s="190"/>
      <c r="JT5" s="190"/>
      <c r="JU5" s="190"/>
      <c r="JV5" s="190"/>
      <c r="JW5" s="190"/>
      <c r="JX5" s="190"/>
      <c r="JY5" s="190"/>
      <c r="JZ5" s="190"/>
      <c r="KA5" s="190"/>
      <c r="KB5" s="190"/>
      <c r="KC5" s="190"/>
      <c r="KD5" s="190"/>
      <c r="KE5" s="190"/>
      <c r="KF5" s="190"/>
      <c r="KG5" s="190"/>
      <c r="KH5" s="190"/>
      <c r="KI5" s="190"/>
      <c r="KJ5" s="190"/>
      <c r="KK5" s="190"/>
      <c r="KL5" s="190"/>
      <c r="KM5" s="190"/>
      <c r="KN5" s="190"/>
      <c r="KO5" s="190"/>
      <c r="KP5" s="190"/>
      <c r="KQ5" s="190"/>
      <c r="KR5" s="190"/>
      <c r="KS5" s="190"/>
      <c r="KT5" s="190"/>
      <c r="KU5" s="190"/>
      <c r="KV5" s="190"/>
      <c r="KW5" s="190"/>
      <c r="KX5" s="190"/>
      <c r="KY5" s="190"/>
      <c r="KZ5" s="190"/>
      <c r="LA5" s="190"/>
      <c r="LB5" s="190"/>
      <c r="LC5" s="190"/>
      <c r="LD5" s="190"/>
      <c r="LE5" s="190"/>
      <c r="LF5" s="190"/>
      <c r="LG5" s="190"/>
      <c r="LH5" s="190"/>
      <c r="LI5" s="190"/>
      <c r="LJ5" s="190"/>
      <c r="LK5" s="190"/>
      <c r="LL5" s="190"/>
      <c r="LM5" s="190"/>
      <c r="LN5" s="190"/>
      <c r="LO5" s="190"/>
      <c r="LP5" s="190"/>
      <c r="LQ5" s="190"/>
      <c r="LR5" s="190"/>
      <c r="LS5" s="190"/>
      <c r="LT5" s="190"/>
      <c r="LU5" s="190"/>
      <c r="LV5" s="190"/>
      <c r="LW5" s="190"/>
      <c r="LX5" s="190"/>
      <c r="LY5" s="190"/>
      <c r="LZ5" s="190"/>
      <c r="MA5" s="190"/>
      <c r="MB5" s="190"/>
      <c r="MC5" s="190"/>
      <c r="MD5" s="190"/>
      <c r="ME5" s="190"/>
      <c r="MF5" s="190"/>
      <c r="MG5" s="190"/>
      <c r="MH5" s="190"/>
      <c r="MI5" s="190"/>
      <c r="MJ5" s="190"/>
      <c r="MK5" s="190"/>
      <c r="ML5" s="190"/>
      <c r="MM5" s="190"/>
      <c r="MN5" s="190"/>
      <c r="MO5" s="190"/>
      <c r="MP5" s="190"/>
      <c r="MQ5" s="190"/>
      <c r="MR5" s="190"/>
      <c r="MS5" s="190"/>
      <c r="MT5" s="190"/>
      <c r="MU5" s="190"/>
      <c r="MV5" s="190"/>
      <c r="MW5" s="190"/>
      <c r="MX5" s="190"/>
      <c r="MY5" s="190"/>
      <c r="MZ5" s="190"/>
      <c r="NA5" s="190"/>
      <c r="NB5" s="190"/>
      <c r="NC5" s="190"/>
      <c r="ND5" s="190"/>
      <c r="NE5" s="190"/>
      <c r="NF5" s="190"/>
      <c r="NG5" s="190"/>
      <c r="NH5" s="190"/>
      <c r="NI5" s="190"/>
      <c r="NJ5" s="190"/>
      <c r="NK5" s="190"/>
      <c r="NL5" s="190"/>
      <c r="NM5" s="190"/>
      <c r="NN5" s="190"/>
      <c r="NO5" s="190"/>
      <c r="NP5" s="190"/>
      <c r="NQ5" s="190"/>
      <c r="NR5" s="190"/>
      <c r="NS5" s="190"/>
      <c r="NT5" s="190"/>
      <c r="NU5" s="190"/>
      <c r="NV5" s="190"/>
      <c r="NW5" s="190"/>
      <c r="NX5" s="190"/>
      <c r="NY5" s="190"/>
      <c r="NZ5" s="190"/>
      <c r="OA5" s="190"/>
      <c r="OB5" s="190"/>
      <c r="OC5" s="190"/>
      <c r="OD5" s="190"/>
      <c r="OE5" s="190"/>
      <c r="OF5" s="190"/>
      <c r="OG5" s="190"/>
      <c r="OH5" s="190"/>
      <c r="OI5" s="190"/>
      <c r="OJ5" s="190"/>
      <c r="OK5" s="190"/>
      <c r="OL5" s="190"/>
      <c r="OM5" s="190"/>
      <c r="ON5" s="190"/>
      <c r="OO5" s="190"/>
      <c r="OP5" s="190"/>
      <c r="OQ5" s="190"/>
      <c r="OR5" s="190"/>
      <c r="OS5" s="190"/>
      <c r="OT5" s="190"/>
      <c r="OU5" s="190"/>
      <c r="OV5" s="190"/>
      <c r="OW5" s="190"/>
      <c r="OX5" s="190"/>
      <c r="OY5" s="190"/>
      <c r="OZ5" s="190"/>
      <c r="PA5" s="190"/>
      <c r="PB5" s="190"/>
      <c r="PC5" s="190"/>
      <c r="PD5" s="190"/>
      <c r="PE5" s="190"/>
      <c r="PF5" s="190"/>
      <c r="PG5" s="190"/>
      <c r="PH5" s="190"/>
      <c r="PI5" s="190"/>
      <c r="PJ5" s="190"/>
      <c r="PK5" s="190"/>
      <c r="PL5" s="190"/>
      <c r="PM5" s="190"/>
      <c r="PN5" s="190"/>
      <c r="PO5" s="190"/>
      <c r="PP5" s="190"/>
      <c r="PQ5" s="190"/>
      <c r="PR5" s="190"/>
      <c r="PS5" s="190"/>
      <c r="PT5" s="190"/>
      <c r="PU5" s="190"/>
      <c r="PV5" s="190"/>
      <c r="PW5" s="190"/>
      <c r="PX5" s="190"/>
      <c r="PY5" s="190"/>
      <c r="PZ5" s="190"/>
      <c r="QA5" s="190"/>
      <c r="QB5" s="190"/>
      <c r="QC5" s="190"/>
      <c r="QD5" s="190"/>
      <c r="QE5" s="190"/>
      <c r="QF5" s="190"/>
      <c r="QG5" s="190"/>
      <c r="QH5" s="190"/>
      <c r="QI5" s="190"/>
      <c r="QJ5" s="190"/>
      <c r="QK5" s="190"/>
      <c r="QL5" s="190"/>
      <c r="QM5" s="190"/>
      <c r="QN5" s="190"/>
      <c r="QO5" s="190"/>
      <c r="QP5" s="190"/>
      <c r="QQ5" s="190"/>
      <c r="QR5" s="190"/>
      <c r="QS5" s="190"/>
      <c r="QT5" s="190"/>
      <c r="QU5" s="190"/>
      <c r="QV5" s="190"/>
      <c r="QW5" s="190"/>
      <c r="QX5" s="190"/>
      <c r="QY5" s="190"/>
      <c r="QZ5" s="190"/>
      <c r="RA5" s="190"/>
      <c r="RB5" s="190"/>
      <c r="RC5" s="190"/>
      <c r="RD5" s="190"/>
      <c r="RE5" s="190"/>
      <c r="RF5" s="190"/>
      <c r="RG5" s="190"/>
      <c r="RH5" s="190"/>
      <c r="RI5" s="190"/>
      <c r="RJ5" s="190"/>
      <c r="RK5" s="190"/>
      <c r="RL5" s="190"/>
      <c r="RM5" s="190"/>
      <c r="RN5" s="190"/>
      <c r="RO5" s="190"/>
      <c r="RP5" s="190"/>
      <c r="RQ5" s="190"/>
      <c r="RR5" s="190"/>
      <c r="RS5" s="190"/>
      <c r="RT5" s="190"/>
      <c r="RU5" s="190"/>
      <c r="RV5" s="190"/>
      <c r="RW5" s="190"/>
      <c r="RX5" s="190"/>
      <c r="RY5" s="190"/>
      <c r="RZ5" s="190"/>
      <c r="SA5" s="190"/>
      <c r="SB5" s="190"/>
      <c r="SC5" s="190"/>
      <c r="SD5" s="190"/>
      <c r="SE5" s="190"/>
      <c r="SF5" s="190"/>
      <c r="SG5" s="190"/>
      <c r="SH5" s="190"/>
      <c r="SI5" s="190"/>
      <c r="SJ5" s="190"/>
      <c r="SK5" s="190"/>
      <c r="SL5" s="190"/>
      <c r="SM5" s="190"/>
      <c r="SN5" s="190"/>
      <c r="SO5" s="190"/>
      <c r="SP5" s="190"/>
      <c r="SQ5" s="190"/>
      <c r="SR5" s="190"/>
      <c r="SS5" s="190"/>
      <c r="ST5" s="190"/>
      <c r="SU5" s="190"/>
      <c r="SV5" s="190"/>
      <c r="SW5" s="190"/>
      <c r="SX5" s="190"/>
      <c r="SY5" s="190"/>
      <c r="SZ5" s="190"/>
      <c r="TA5" s="190"/>
      <c r="TB5" s="190"/>
      <c r="TC5" s="190"/>
      <c r="TD5" s="190"/>
      <c r="TE5" s="190"/>
      <c r="TF5" s="190"/>
      <c r="TG5" s="190"/>
      <c r="TH5" s="190"/>
      <c r="TI5" s="190"/>
      <c r="TJ5" s="190"/>
      <c r="TK5" s="190"/>
      <c r="TL5" s="190"/>
      <c r="TM5" s="190"/>
      <c r="TN5" s="190"/>
      <c r="TO5" s="190"/>
      <c r="TP5" s="190"/>
      <c r="TQ5" s="190"/>
      <c r="TR5" s="190"/>
      <c r="TS5" s="190"/>
      <c r="TT5" s="190"/>
      <c r="TU5" s="190"/>
      <c r="TV5" s="190"/>
      <c r="TW5" s="190"/>
      <c r="TX5" s="190"/>
      <c r="TY5" s="190"/>
      <c r="TZ5" s="190"/>
      <c r="UA5" s="190"/>
      <c r="UB5" s="190"/>
      <c r="UC5" s="190"/>
      <c r="UD5" s="190"/>
      <c r="UE5" s="190"/>
      <c r="UF5" s="190"/>
      <c r="UG5" s="190"/>
      <c r="UH5" s="190"/>
      <c r="UI5" s="190"/>
      <c r="UJ5" s="190"/>
      <c r="UK5" s="190"/>
      <c r="UL5" s="190"/>
      <c r="UM5" s="190"/>
      <c r="UN5" s="190"/>
      <c r="UO5" s="190"/>
      <c r="UP5" s="190"/>
      <c r="UQ5" s="190"/>
      <c r="UR5" s="190"/>
      <c r="US5" s="190"/>
      <c r="UT5" s="190"/>
      <c r="UU5" s="190"/>
      <c r="UV5" s="190"/>
      <c r="UW5" s="190"/>
      <c r="UX5" s="190"/>
      <c r="UY5" s="190"/>
      <c r="UZ5" s="190"/>
      <c r="VA5" s="190"/>
      <c r="VB5" s="190"/>
      <c r="VC5" s="190"/>
      <c r="VD5" s="190"/>
      <c r="VE5" s="190"/>
      <c r="VF5" s="190"/>
      <c r="VG5" s="190"/>
      <c r="VH5" s="190"/>
      <c r="VI5" s="190"/>
      <c r="VJ5" s="190"/>
      <c r="VK5" s="190"/>
      <c r="VL5" s="190"/>
      <c r="VM5" s="190"/>
      <c r="VN5" s="190"/>
      <c r="VO5" s="190"/>
      <c r="VP5" s="190"/>
      <c r="VQ5" s="190"/>
      <c r="VR5" s="190"/>
      <c r="VS5" s="190"/>
      <c r="VT5" s="190"/>
      <c r="VU5" s="190"/>
      <c r="VV5" s="190"/>
      <c r="VW5" s="190"/>
      <c r="VX5" s="190"/>
      <c r="VY5" s="190"/>
      <c r="VZ5" s="190"/>
      <c r="WA5" s="190"/>
      <c r="WB5" s="190"/>
      <c r="WC5" s="190"/>
      <c r="WD5" s="190"/>
      <c r="WE5" s="190"/>
      <c r="WF5" s="190"/>
      <c r="WG5" s="190"/>
      <c r="WH5" s="190"/>
      <c r="WI5" s="190"/>
      <c r="WJ5" s="190"/>
      <c r="WK5" s="190"/>
      <c r="WL5" s="190"/>
      <c r="WM5" s="190"/>
      <c r="WN5" s="190"/>
      <c r="WO5" s="190"/>
      <c r="WP5" s="190"/>
      <c r="WQ5" s="190"/>
      <c r="WR5" s="190"/>
      <c r="WS5" s="190"/>
      <c r="WT5" s="190"/>
      <c r="WU5" s="190"/>
      <c r="WV5" s="190"/>
      <c r="WW5" s="190"/>
      <c r="WX5" s="190"/>
      <c r="WY5" s="190"/>
      <c r="WZ5" s="190"/>
      <c r="XA5" s="190"/>
      <c r="XB5" s="190"/>
      <c r="XC5" s="190"/>
      <c r="XD5" s="190"/>
      <c r="XE5" s="190"/>
      <c r="XF5" s="190"/>
      <c r="XG5" s="190"/>
      <c r="XH5" s="190"/>
      <c r="XI5" s="190"/>
      <c r="XJ5" s="190"/>
      <c r="XK5" s="190"/>
      <c r="XL5" s="190"/>
      <c r="XM5" s="190"/>
      <c r="XN5" s="190"/>
      <c r="XO5" s="190"/>
      <c r="XP5" s="190"/>
      <c r="XQ5" s="190"/>
      <c r="XR5" s="190"/>
      <c r="XS5" s="190"/>
      <c r="XT5" s="190"/>
      <c r="XU5" s="190"/>
      <c r="XV5" s="190"/>
      <c r="XW5" s="190"/>
      <c r="XX5" s="190"/>
      <c r="XY5" s="190"/>
      <c r="XZ5" s="190"/>
      <c r="YA5" s="190"/>
      <c r="YB5" s="190"/>
      <c r="YC5" s="190"/>
      <c r="YD5" s="190"/>
      <c r="YE5" s="190"/>
      <c r="YF5" s="190"/>
      <c r="YG5" s="190"/>
      <c r="YH5" s="190"/>
      <c r="YI5" s="190"/>
      <c r="YJ5" s="190"/>
      <c r="YK5" s="190"/>
      <c r="YL5" s="190"/>
      <c r="YM5" s="190"/>
      <c r="YN5" s="190"/>
      <c r="YO5" s="190"/>
      <c r="YP5" s="190"/>
      <c r="YQ5" s="190"/>
      <c r="YR5" s="190"/>
      <c r="YS5" s="190"/>
      <c r="YT5" s="190"/>
      <c r="YU5" s="190"/>
      <c r="YV5" s="190"/>
      <c r="YW5" s="190"/>
      <c r="YX5" s="190"/>
      <c r="YY5" s="190"/>
      <c r="YZ5" s="190"/>
      <c r="ZA5" s="190"/>
      <c r="ZB5" s="190"/>
      <c r="ZC5" s="190"/>
      <c r="ZD5" s="190"/>
      <c r="ZE5" s="190"/>
      <c r="ZF5" s="190"/>
      <c r="ZG5" s="190"/>
      <c r="ZH5" s="190"/>
      <c r="ZI5" s="190"/>
      <c r="ZJ5" s="190"/>
      <c r="ZK5" s="190"/>
      <c r="ZL5" s="190"/>
      <c r="ZM5" s="190"/>
      <c r="ZN5" s="190"/>
      <c r="ZO5" s="190"/>
      <c r="ZP5" s="190"/>
      <c r="ZQ5" s="190"/>
      <c r="ZR5" s="190"/>
      <c r="ZS5" s="190"/>
      <c r="ZT5" s="190"/>
      <c r="ZU5" s="190"/>
      <c r="ZV5" s="190"/>
      <c r="ZW5" s="190"/>
      <c r="ZX5" s="190"/>
      <c r="ZY5" s="190"/>
      <c r="ZZ5" s="190"/>
      <c r="AAA5" s="190"/>
      <c r="AAB5" s="190"/>
      <c r="AAC5" s="190"/>
      <c r="AAD5" s="190"/>
      <c r="AAE5" s="190"/>
      <c r="AAF5" s="190"/>
      <c r="AAG5" s="190"/>
      <c r="AAH5" s="190"/>
      <c r="AAI5" s="190"/>
      <c r="AAJ5" s="190"/>
      <c r="AAK5" s="190"/>
      <c r="AAL5" s="190"/>
      <c r="AAM5" s="190"/>
      <c r="AAN5" s="190"/>
      <c r="AAO5" s="190"/>
      <c r="AAP5" s="190"/>
      <c r="AAQ5" s="190"/>
      <c r="AAR5" s="190"/>
      <c r="AAS5" s="190"/>
      <c r="AAT5" s="190"/>
      <c r="AAU5" s="190"/>
      <c r="AAV5" s="190"/>
      <c r="AAW5" s="190"/>
      <c r="AAX5" s="190"/>
      <c r="AAY5" s="190"/>
      <c r="AAZ5" s="190"/>
      <c r="ABA5" s="190"/>
      <c r="ABB5" s="190"/>
      <c r="ABC5" s="190"/>
      <c r="ABD5" s="190"/>
      <c r="ABE5" s="190"/>
      <c r="ABF5" s="190"/>
      <c r="ABG5" s="190"/>
      <c r="ABH5" s="190"/>
      <c r="ABI5" s="190"/>
      <c r="ABJ5" s="190"/>
      <c r="ABK5" s="190"/>
      <c r="ABL5" s="190"/>
      <c r="ABM5" s="190"/>
      <c r="ABN5" s="190"/>
      <c r="ABO5" s="190"/>
      <c r="ABP5" s="190"/>
      <c r="ABQ5" s="190"/>
      <c r="ABR5" s="190"/>
      <c r="ABS5" s="190"/>
      <c r="ABT5" s="190"/>
      <c r="ABU5" s="190"/>
      <c r="ABV5" s="190"/>
      <c r="ABW5" s="190"/>
      <c r="ABX5" s="190"/>
      <c r="ABY5" s="190"/>
      <c r="ABZ5" s="190"/>
      <c r="ACA5" s="190"/>
      <c r="ACB5" s="190"/>
      <c r="ACC5" s="190"/>
      <c r="ACD5" s="190"/>
      <c r="ACE5" s="190"/>
      <c r="ACF5" s="190"/>
      <c r="ACG5" s="190"/>
      <c r="ACH5" s="190"/>
      <c r="ACI5" s="190"/>
      <c r="ACJ5" s="190"/>
      <c r="ACK5" s="190"/>
      <c r="ACL5" s="190"/>
      <c r="ACM5" s="190"/>
      <c r="ACN5" s="190"/>
      <c r="ACO5" s="190"/>
      <c r="ACP5" s="190"/>
      <c r="ACQ5" s="190"/>
      <c r="ACR5" s="190"/>
      <c r="ACS5" s="190"/>
      <c r="ACT5" s="190"/>
      <c r="ACU5" s="190"/>
      <c r="ACV5" s="190"/>
      <c r="ACW5" s="190"/>
      <c r="ACX5" s="190"/>
      <c r="ACY5" s="190"/>
      <c r="ACZ5" s="190"/>
      <c r="ADA5" s="190"/>
      <c r="ADB5" s="190"/>
      <c r="ADC5" s="190"/>
      <c r="ADD5" s="190"/>
      <c r="ADE5" s="190"/>
      <c r="ADF5" s="190"/>
      <c r="ADG5" s="190"/>
      <c r="ADH5" s="190"/>
      <c r="ADI5" s="190"/>
      <c r="ADJ5" s="190"/>
      <c r="ADK5" s="190"/>
      <c r="ADL5" s="190"/>
      <c r="ADM5" s="190"/>
      <c r="ADN5" s="190"/>
      <c r="ADO5" s="190"/>
      <c r="ADP5" s="190"/>
      <c r="ADQ5" s="190"/>
      <c r="ADR5" s="190"/>
      <c r="ADS5" s="190"/>
      <c r="ADT5" s="190"/>
      <c r="ADU5" s="190"/>
      <c r="ADV5" s="190"/>
      <c r="ADW5" s="190"/>
      <c r="ADX5" s="190"/>
      <c r="ADY5" s="190"/>
      <c r="ADZ5" s="190"/>
      <c r="AEA5" s="190"/>
      <c r="AEB5" s="190"/>
      <c r="AEC5" s="190"/>
      <c r="AED5" s="190"/>
      <c r="AEE5" s="190"/>
      <c r="AEF5" s="190"/>
      <c r="AEG5" s="190"/>
      <c r="AEH5" s="190"/>
      <c r="AEI5" s="190"/>
      <c r="AEJ5" s="190"/>
      <c r="AEK5" s="190"/>
      <c r="AEL5" s="190"/>
      <c r="AEM5" s="190"/>
      <c r="AEN5" s="190"/>
      <c r="AEO5" s="190"/>
      <c r="AEP5" s="190"/>
      <c r="AEQ5" s="190"/>
      <c r="AER5" s="190"/>
      <c r="AES5" s="190"/>
      <c r="AET5" s="190"/>
      <c r="AEU5" s="190"/>
      <c r="AEV5" s="190"/>
      <c r="AEW5" s="190"/>
      <c r="AEX5" s="190"/>
      <c r="AEY5" s="190"/>
      <c r="AEZ5" s="190"/>
      <c r="AFA5" s="190"/>
      <c r="AFB5" s="190"/>
      <c r="AFC5" s="190"/>
      <c r="AFD5" s="190"/>
      <c r="AFE5" s="190"/>
      <c r="AFF5" s="190"/>
      <c r="AFG5" s="190"/>
      <c r="AFH5" s="190"/>
      <c r="AFI5" s="190"/>
      <c r="AFJ5" s="190"/>
      <c r="AFK5" s="190"/>
      <c r="AFL5" s="190"/>
      <c r="AFM5" s="190"/>
      <c r="AFN5" s="190"/>
      <c r="AFO5" s="190"/>
      <c r="AFP5" s="190"/>
      <c r="AFQ5" s="190"/>
      <c r="AFR5" s="190"/>
      <c r="AFS5" s="190"/>
      <c r="AFT5" s="190"/>
      <c r="AFU5" s="190"/>
      <c r="AFV5" s="190"/>
      <c r="AFW5" s="190"/>
      <c r="AFX5" s="190"/>
      <c r="AFY5" s="190"/>
      <c r="AFZ5" s="190"/>
      <c r="AGA5" s="190"/>
      <c r="AGB5" s="190"/>
      <c r="AGC5" s="190"/>
      <c r="AGD5" s="190"/>
      <c r="AGE5" s="190"/>
      <c r="AGF5" s="190"/>
      <c r="AGG5" s="190"/>
      <c r="AGH5" s="190"/>
      <c r="AGI5" s="190"/>
      <c r="AGJ5" s="190"/>
      <c r="AGK5" s="190"/>
      <c r="AGL5" s="190"/>
      <c r="AGM5" s="190"/>
      <c r="AGN5" s="190"/>
      <c r="AGO5" s="190"/>
      <c r="AGP5" s="190"/>
      <c r="AGQ5" s="190"/>
      <c r="AGR5" s="190"/>
      <c r="AGS5" s="190"/>
      <c r="AGT5" s="190"/>
      <c r="AGU5" s="190"/>
      <c r="AGV5" s="190"/>
      <c r="AGW5" s="190"/>
      <c r="AGX5" s="190"/>
      <c r="AGY5" s="190"/>
      <c r="AGZ5" s="190"/>
      <c r="AHA5" s="190"/>
      <c r="AHB5" s="190"/>
      <c r="AHC5" s="190"/>
      <c r="AHD5" s="190"/>
      <c r="AHE5" s="190"/>
      <c r="AHF5" s="190"/>
      <c r="AHG5" s="190"/>
      <c r="AHH5" s="190"/>
      <c r="AHI5" s="190"/>
      <c r="AHJ5" s="190"/>
      <c r="AHK5" s="190"/>
      <c r="AHL5" s="190"/>
      <c r="AHM5" s="190"/>
      <c r="AHN5" s="190"/>
      <c r="AHO5" s="190"/>
      <c r="AHP5" s="190"/>
      <c r="AHQ5" s="190"/>
      <c r="AHR5" s="190"/>
      <c r="AHS5" s="190"/>
      <c r="AHT5" s="190"/>
      <c r="AHU5" s="190"/>
      <c r="AHV5" s="190"/>
      <c r="AHW5" s="190"/>
      <c r="AHX5" s="190"/>
      <c r="AHY5" s="190"/>
      <c r="AHZ5" s="190"/>
      <c r="AIA5" s="190"/>
      <c r="AIB5" s="190"/>
      <c r="AIC5" s="190"/>
      <c r="AID5" s="190"/>
      <c r="AIE5" s="190"/>
      <c r="AIF5" s="190"/>
      <c r="AIG5" s="190"/>
      <c r="AIH5" s="190"/>
      <c r="AII5" s="190"/>
      <c r="AIJ5" s="190"/>
      <c r="AIK5" s="190"/>
      <c r="AIL5" s="190"/>
      <c r="AIM5" s="190"/>
      <c r="AIN5" s="190"/>
      <c r="AIO5" s="190"/>
      <c r="AIP5" s="190"/>
      <c r="AIQ5" s="190"/>
      <c r="AIR5" s="190"/>
      <c r="AIS5" s="190"/>
      <c r="AIT5" s="190"/>
      <c r="AIU5" s="190"/>
      <c r="AIV5" s="190"/>
      <c r="AIW5" s="190"/>
      <c r="AIX5" s="190"/>
      <c r="AIY5" s="190"/>
      <c r="AIZ5" s="190"/>
      <c r="AJA5" s="190"/>
      <c r="AJB5" s="190"/>
      <c r="AJC5" s="190"/>
      <c r="AJD5" s="190"/>
      <c r="AJE5" s="190"/>
      <c r="AJF5" s="190"/>
      <c r="AJG5" s="190"/>
      <c r="AJH5" s="190"/>
      <c r="AJI5" s="190"/>
      <c r="AJJ5" s="190"/>
      <c r="AJK5" s="190"/>
      <c r="AJL5" s="190"/>
      <c r="AJM5" s="190"/>
      <c r="AJN5" s="190"/>
      <c r="AJO5" s="190"/>
      <c r="AJP5" s="190"/>
      <c r="AJQ5" s="190"/>
      <c r="AJR5" s="190"/>
      <c r="AJS5" s="190"/>
      <c r="AJT5" s="190"/>
      <c r="AJU5" s="190"/>
      <c r="AJV5" s="190"/>
      <c r="AJW5" s="190"/>
      <c r="AJX5" s="190"/>
      <c r="AJY5" s="190"/>
      <c r="AJZ5" s="190"/>
      <c r="AKA5" s="190"/>
      <c r="AKB5" s="190"/>
      <c r="AKC5" s="190"/>
      <c r="AKD5" s="190"/>
      <c r="AKE5" s="190"/>
      <c r="AKF5" s="190"/>
      <c r="AKG5" s="190"/>
      <c r="AKH5" s="190"/>
      <c r="AKI5" s="190"/>
      <c r="AKJ5" s="190"/>
      <c r="AKK5" s="190"/>
      <c r="AKL5" s="190"/>
      <c r="AKM5" s="190"/>
      <c r="AKN5" s="190"/>
      <c r="AKO5" s="190"/>
      <c r="AKP5" s="190"/>
      <c r="AKQ5" s="190"/>
      <c r="AKR5" s="190"/>
      <c r="AKS5" s="190"/>
      <c r="AKT5" s="190"/>
      <c r="AKU5" s="190"/>
      <c r="AKV5" s="190"/>
      <c r="AKW5" s="190"/>
      <c r="AKX5" s="190"/>
      <c r="AKY5" s="190"/>
      <c r="AKZ5" s="190"/>
      <c r="ALA5" s="190"/>
      <c r="ALB5" s="190"/>
      <c r="ALC5" s="190"/>
      <c r="ALD5" s="190"/>
      <c r="ALE5" s="190"/>
      <c r="ALF5" s="190"/>
      <c r="ALG5" s="190"/>
      <c r="ALH5" s="190"/>
      <c r="ALI5" s="190"/>
      <c r="ALJ5" s="190"/>
      <c r="ALK5" s="190"/>
      <c r="ALL5" s="190"/>
      <c r="ALM5" s="190"/>
      <c r="ALN5" s="190"/>
      <c r="ALO5" s="190"/>
      <c r="ALP5" s="190"/>
      <c r="ALQ5" s="190"/>
      <c r="ALR5" s="190"/>
      <c r="ALS5" s="190"/>
      <c r="ALT5" s="190"/>
      <c r="ALU5" s="190"/>
      <c r="ALV5" s="190"/>
      <c r="ALW5" s="190"/>
      <c r="ALX5" s="190"/>
      <c r="ALY5" s="190"/>
      <c r="ALZ5" s="190"/>
      <c r="AMA5" s="190"/>
      <c r="AMB5" s="190"/>
      <c r="AMC5" s="190"/>
      <c r="AMD5" s="190"/>
      <c r="AME5" s="190"/>
      <c r="AMF5" s="190"/>
      <c r="AMG5" s="190"/>
      <c r="AMH5" s="190"/>
      <c r="AMI5" s="190"/>
      <c r="AMJ5" s="190"/>
      <c r="AMK5" s="190"/>
      <c r="AML5" s="190"/>
      <c r="AMM5" s="190"/>
      <c r="AMN5" s="190"/>
      <c r="AMO5" s="190"/>
      <c r="AMP5" s="190"/>
      <c r="AMQ5" s="190"/>
      <c r="AMR5" s="190"/>
      <c r="AMS5" s="190"/>
      <c r="AMT5" s="190"/>
      <c r="AMU5" s="190"/>
      <c r="AMV5" s="190"/>
      <c r="AMW5" s="190"/>
      <c r="AMX5" s="190"/>
      <c r="AMY5" s="190"/>
      <c r="AMZ5" s="190"/>
      <c r="ANA5" s="190"/>
      <c r="ANB5" s="190"/>
      <c r="ANC5" s="190"/>
      <c r="AND5" s="190"/>
      <c r="ANE5" s="190"/>
      <c r="ANF5" s="190"/>
      <c r="ANG5" s="190"/>
      <c r="ANH5" s="190"/>
      <c r="ANI5" s="190"/>
      <c r="ANJ5" s="190"/>
      <c r="ANK5" s="190"/>
      <c r="ANL5" s="190"/>
      <c r="ANM5" s="190"/>
      <c r="ANN5" s="190"/>
      <c r="ANO5" s="190"/>
      <c r="ANP5" s="190"/>
      <c r="ANQ5" s="190"/>
      <c r="ANR5" s="190"/>
      <c r="ANS5" s="190"/>
      <c r="ANT5" s="190"/>
      <c r="ANU5" s="190"/>
      <c r="ANV5" s="190"/>
      <c r="ANW5" s="190"/>
      <c r="ANX5" s="190"/>
      <c r="ANY5" s="190"/>
      <c r="ANZ5" s="190"/>
      <c r="AOA5" s="190"/>
      <c r="AOB5" s="190"/>
      <c r="AOC5" s="190"/>
      <c r="AOD5" s="190"/>
      <c r="AOE5" s="190"/>
      <c r="AOF5" s="190"/>
      <c r="AOG5" s="190"/>
      <c r="AOH5" s="190"/>
      <c r="AOI5" s="190"/>
      <c r="AOJ5" s="190"/>
      <c r="AOK5" s="190"/>
      <c r="AOL5" s="190"/>
      <c r="AOM5" s="190"/>
      <c r="AON5" s="190"/>
      <c r="AOO5" s="190"/>
      <c r="AOP5" s="190"/>
      <c r="AOQ5" s="190"/>
      <c r="AOR5" s="190"/>
      <c r="AOS5" s="190"/>
      <c r="AOT5" s="190"/>
      <c r="AOU5" s="190"/>
      <c r="AOV5" s="190"/>
      <c r="AOW5" s="190"/>
      <c r="AOX5" s="190"/>
      <c r="AOY5" s="190"/>
      <c r="AOZ5" s="190"/>
      <c r="APA5" s="190"/>
      <c r="APB5" s="190"/>
      <c r="APC5" s="190"/>
      <c r="APD5" s="190"/>
      <c r="APE5" s="190"/>
      <c r="APF5" s="190"/>
      <c r="APG5" s="190"/>
      <c r="APH5" s="190"/>
      <c r="API5" s="190"/>
      <c r="APJ5" s="190"/>
      <c r="APK5" s="190"/>
      <c r="APL5" s="190"/>
      <c r="APM5" s="190"/>
      <c r="APN5" s="190"/>
      <c r="APO5" s="190"/>
      <c r="APP5" s="190"/>
      <c r="APQ5" s="190"/>
      <c r="APR5" s="190"/>
      <c r="APS5" s="190"/>
      <c r="APT5" s="190"/>
      <c r="APU5" s="190"/>
      <c r="APV5" s="190"/>
      <c r="APW5" s="190"/>
      <c r="APX5" s="190"/>
      <c r="APY5" s="190"/>
      <c r="APZ5" s="190"/>
      <c r="AQA5" s="190"/>
      <c r="AQB5" s="190"/>
      <c r="AQC5" s="190"/>
      <c r="AQD5" s="190"/>
      <c r="AQE5" s="190"/>
      <c r="AQF5" s="190"/>
      <c r="AQG5" s="190"/>
      <c r="AQH5" s="190"/>
      <c r="AQI5" s="190"/>
      <c r="AQJ5" s="190"/>
      <c r="AQK5" s="190"/>
      <c r="AQL5" s="190"/>
      <c r="AQM5" s="190"/>
      <c r="AQN5" s="190"/>
      <c r="AQO5" s="190"/>
      <c r="AQP5" s="190"/>
      <c r="AQQ5" s="190"/>
      <c r="AQR5" s="190"/>
      <c r="AQS5" s="190"/>
      <c r="AQT5" s="190"/>
      <c r="AQU5" s="190"/>
      <c r="AQV5" s="190"/>
      <c r="AQW5" s="190"/>
      <c r="AQX5" s="190"/>
      <c r="AQY5" s="190"/>
      <c r="AQZ5" s="190"/>
      <c r="ARA5" s="190"/>
      <c r="ARB5" s="190"/>
      <c r="ARC5" s="190"/>
      <c r="ARD5" s="190"/>
      <c r="ARE5" s="190"/>
      <c r="ARF5" s="190"/>
      <c r="ARG5" s="190"/>
      <c r="ARH5" s="190"/>
      <c r="ARI5" s="190"/>
      <c r="ARJ5" s="190"/>
      <c r="ARK5" s="190"/>
      <c r="ARL5" s="190"/>
      <c r="ARM5" s="190"/>
      <c r="ARN5" s="190"/>
      <c r="ARO5" s="190"/>
      <c r="ARP5" s="190"/>
      <c r="ARQ5" s="190"/>
      <c r="ARR5" s="190"/>
      <c r="ARS5" s="190"/>
      <c r="ART5" s="190"/>
      <c r="ARU5" s="190"/>
      <c r="ARV5" s="190"/>
      <c r="ARW5" s="190"/>
      <c r="ARX5" s="190"/>
      <c r="ARY5" s="190"/>
      <c r="ARZ5" s="190"/>
      <c r="ASA5" s="190"/>
      <c r="ASB5" s="190"/>
      <c r="ASC5" s="190"/>
      <c r="ASD5" s="190"/>
      <c r="ASE5" s="190"/>
      <c r="ASF5" s="190"/>
      <c r="ASG5" s="190"/>
      <c r="ASH5" s="190"/>
      <c r="ASI5" s="190"/>
      <c r="ASJ5" s="190"/>
      <c r="ASK5" s="190"/>
      <c r="ASL5" s="190"/>
      <c r="ASM5" s="190"/>
      <c r="ASN5" s="190"/>
      <c r="ASO5" s="190"/>
      <c r="ASP5" s="190"/>
      <c r="ASQ5" s="190"/>
      <c r="ASR5" s="190"/>
      <c r="ASS5" s="190"/>
      <c r="AST5" s="190"/>
      <c r="ASU5" s="190"/>
      <c r="ASV5" s="190"/>
      <c r="ASW5" s="190"/>
      <c r="ASX5" s="190"/>
      <c r="ASY5" s="190"/>
      <c r="ASZ5" s="190"/>
      <c r="ATA5" s="190"/>
      <c r="ATB5" s="190"/>
      <c r="ATC5" s="190"/>
      <c r="ATD5" s="190"/>
      <c r="ATE5" s="190"/>
      <c r="ATF5" s="190"/>
      <c r="ATG5" s="190"/>
      <c r="ATH5" s="190"/>
      <c r="ATI5" s="190"/>
      <c r="ATJ5" s="190"/>
      <c r="ATK5" s="190"/>
      <c r="ATL5" s="190"/>
      <c r="ATM5" s="190"/>
      <c r="ATN5" s="190"/>
      <c r="ATO5" s="190"/>
      <c r="ATP5" s="190"/>
      <c r="ATQ5" s="190"/>
      <c r="ATR5" s="190"/>
      <c r="ATS5" s="190"/>
      <c r="ATT5" s="190"/>
      <c r="ATU5" s="190"/>
      <c r="ATV5" s="190"/>
      <c r="ATW5" s="190"/>
      <c r="ATX5" s="190"/>
      <c r="ATY5" s="190"/>
      <c r="ATZ5" s="190"/>
      <c r="AUA5" s="190"/>
      <c r="AUB5" s="190"/>
      <c r="AUC5" s="190"/>
      <c r="AUD5" s="190"/>
      <c r="AUE5" s="190"/>
      <c r="AUF5" s="190"/>
      <c r="AUG5" s="190"/>
      <c r="AUH5" s="190"/>
      <c r="AUI5" s="190"/>
      <c r="AUJ5" s="190"/>
      <c r="AUK5" s="190"/>
      <c r="AUL5" s="190"/>
      <c r="AUM5" s="190"/>
      <c r="AUN5" s="190"/>
      <c r="AUO5" s="190"/>
      <c r="AUP5" s="190"/>
      <c r="AUQ5" s="190"/>
      <c r="AUR5" s="190"/>
      <c r="AUS5" s="190"/>
      <c r="AUT5" s="190"/>
      <c r="AUU5" s="190"/>
      <c r="AUV5" s="190"/>
      <c r="AUW5" s="190"/>
      <c r="AUX5" s="190"/>
      <c r="AUY5" s="190"/>
      <c r="AUZ5" s="190"/>
      <c r="AVA5" s="190"/>
      <c r="AVB5" s="190"/>
      <c r="AVC5" s="190"/>
      <c r="AVD5" s="190"/>
      <c r="AVE5" s="190"/>
      <c r="AVF5" s="190"/>
      <c r="AVG5" s="190"/>
      <c r="AVH5" s="190"/>
      <c r="AVI5" s="190"/>
      <c r="AVJ5" s="190"/>
      <c r="AVK5" s="190"/>
      <c r="AVL5" s="190"/>
      <c r="AVM5" s="190"/>
      <c r="AVN5" s="190"/>
      <c r="AVO5" s="190"/>
      <c r="AVP5" s="190"/>
      <c r="AVQ5" s="190"/>
      <c r="AVR5" s="190"/>
      <c r="AVS5" s="190"/>
      <c r="AVT5" s="190"/>
      <c r="AVU5" s="190"/>
      <c r="AVV5" s="190"/>
      <c r="AVW5" s="190"/>
      <c r="AVX5" s="190"/>
      <c r="AVY5" s="190"/>
      <c r="AVZ5" s="190"/>
      <c r="AWA5" s="190"/>
      <c r="AWB5" s="190"/>
      <c r="AWC5" s="190"/>
      <c r="AWD5" s="190"/>
      <c r="AWE5" s="190"/>
      <c r="AWF5" s="190"/>
      <c r="AWG5" s="190"/>
      <c r="AWH5" s="190"/>
      <c r="AWI5" s="190"/>
      <c r="AWJ5" s="190"/>
      <c r="AWK5" s="190"/>
      <c r="AWL5" s="190"/>
      <c r="AWM5" s="190"/>
      <c r="AWN5" s="190"/>
      <c r="AWO5" s="190"/>
      <c r="AWP5" s="190"/>
      <c r="AWQ5" s="190"/>
      <c r="AWR5" s="190"/>
      <c r="AWS5" s="190"/>
      <c r="AWT5" s="190"/>
      <c r="AWU5" s="190"/>
      <c r="AWV5" s="190"/>
      <c r="AWW5" s="190"/>
      <c r="AWX5" s="190"/>
      <c r="AWY5" s="190"/>
      <c r="AWZ5" s="190"/>
      <c r="AXA5" s="190"/>
      <c r="AXB5" s="190"/>
      <c r="AXC5" s="190"/>
      <c r="AXD5" s="190"/>
      <c r="AXE5" s="190"/>
      <c r="AXF5" s="190"/>
      <c r="AXG5" s="190"/>
      <c r="AXH5" s="190"/>
      <c r="AXI5" s="190"/>
      <c r="AXJ5" s="190"/>
      <c r="AXK5" s="190"/>
      <c r="AXL5" s="190"/>
      <c r="AXM5" s="190"/>
      <c r="AXN5" s="190"/>
      <c r="AXO5" s="190"/>
      <c r="AXP5" s="190"/>
      <c r="AXQ5" s="190"/>
      <c r="AXR5" s="190"/>
      <c r="AXS5" s="190"/>
      <c r="AXT5" s="190"/>
      <c r="AXU5" s="190"/>
      <c r="AXV5" s="190"/>
      <c r="AXW5" s="190"/>
      <c r="AXX5" s="190"/>
      <c r="AXY5" s="190"/>
      <c r="AXZ5" s="190"/>
      <c r="AYA5" s="190"/>
      <c r="AYB5" s="190"/>
      <c r="AYC5" s="190"/>
      <c r="AYD5" s="190"/>
      <c r="AYE5" s="190"/>
      <c r="AYF5" s="190"/>
      <c r="AYG5" s="190"/>
      <c r="AYH5" s="190"/>
      <c r="AYI5" s="190"/>
      <c r="AYJ5" s="190"/>
      <c r="AYK5" s="190"/>
      <c r="AYL5" s="190"/>
      <c r="AYM5" s="190"/>
      <c r="AYN5" s="190"/>
      <c r="AYO5" s="190"/>
      <c r="AYP5" s="190"/>
      <c r="AYQ5" s="190"/>
      <c r="AYR5" s="190"/>
      <c r="AYS5" s="190"/>
      <c r="AYT5" s="190"/>
      <c r="AYU5" s="190"/>
      <c r="AYV5" s="190"/>
      <c r="AYW5" s="190"/>
      <c r="AYX5" s="190"/>
      <c r="AYY5" s="190"/>
      <c r="AYZ5" s="190"/>
      <c r="AZA5" s="190"/>
      <c r="AZB5" s="190"/>
      <c r="AZC5" s="190"/>
      <c r="AZD5" s="190"/>
      <c r="AZE5" s="190"/>
      <c r="AZF5" s="190"/>
      <c r="AZG5" s="190"/>
      <c r="AZH5" s="190"/>
      <c r="AZI5" s="190"/>
      <c r="AZJ5" s="190"/>
      <c r="AZK5" s="190"/>
      <c r="AZL5" s="190"/>
      <c r="AZM5" s="190"/>
      <c r="AZN5" s="190"/>
      <c r="AZO5" s="190"/>
      <c r="AZP5" s="190"/>
      <c r="AZQ5" s="190"/>
      <c r="AZR5" s="190"/>
      <c r="AZS5" s="190"/>
      <c r="AZT5" s="190"/>
      <c r="AZU5" s="190"/>
      <c r="AZV5" s="190"/>
      <c r="AZW5" s="190"/>
      <c r="AZX5" s="190"/>
      <c r="AZY5" s="190"/>
      <c r="AZZ5" s="190"/>
      <c r="BAA5" s="190"/>
      <c r="BAB5" s="190"/>
      <c r="BAC5" s="190"/>
      <c r="BAD5" s="190"/>
      <c r="BAE5" s="190"/>
      <c r="BAF5" s="190"/>
      <c r="BAG5" s="190"/>
      <c r="BAH5" s="190"/>
      <c r="BAI5" s="190"/>
      <c r="BAJ5" s="190"/>
      <c r="BAK5" s="190"/>
      <c r="BAL5" s="190"/>
      <c r="BAM5" s="190"/>
      <c r="BAN5" s="190"/>
      <c r="BAO5" s="190"/>
      <c r="BAP5" s="190"/>
      <c r="BAQ5" s="190"/>
      <c r="BAR5" s="190"/>
      <c r="BAS5" s="190"/>
      <c r="BAT5" s="190"/>
      <c r="BAU5" s="190"/>
      <c r="BAV5" s="190"/>
      <c r="BAW5" s="190"/>
      <c r="BAX5" s="190"/>
      <c r="BAY5" s="190"/>
      <c r="BAZ5" s="190"/>
      <c r="BBA5" s="190"/>
      <c r="BBB5" s="190"/>
      <c r="BBC5" s="190"/>
      <c r="BBD5" s="190"/>
      <c r="BBE5" s="190"/>
      <c r="BBF5" s="190"/>
      <c r="BBG5" s="190"/>
      <c r="BBH5" s="190"/>
      <c r="BBI5" s="190"/>
      <c r="BBJ5" s="190"/>
      <c r="BBK5" s="190"/>
      <c r="BBL5" s="190"/>
      <c r="BBM5" s="190"/>
      <c r="BBN5" s="190"/>
      <c r="BBO5" s="190"/>
      <c r="BBP5" s="190"/>
      <c r="BBQ5" s="190"/>
      <c r="BBR5" s="190"/>
      <c r="BBS5" s="190"/>
      <c r="BBT5" s="190"/>
      <c r="BBU5" s="190"/>
      <c r="BBV5" s="190"/>
      <c r="BBW5" s="190"/>
      <c r="BBX5" s="190"/>
      <c r="BBY5" s="190"/>
      <c r="BBZ5" s="190"/>
      <c r="BCA5" s="190"/>
      <c r="BCB5" s="190"/>
      <c r="BCC5" s="190"/>
      <c r="BCD5" s="190"/>
      <c r="BCE5" s="190"/>
      <c r="BCF5" s="190"/>
      <c r="BCG5" s="190"/>
      <c r="BCH5" s="190"/>
      <c r="BCI5" s="190"/>
      <c r="BCJ5" s="190"/>
      <c r="BCK5" s="190"/>
      <c r="BCL5" s="190"/>
      <c r="BCM5" s="190"/>
      <c r="BCN5" s="190"/>
      <c r="BCO5" s="190"/>
      <c r="BCP5" s="190"/>
      <c r="BCQ5" s="190"/>
      <c r="BCR5" s="190"/>
      <c r="BCS5" s="190"/>
      <c r="BCT5" s="190"/>
      <c r="BCU5" s="190"/>
      <c r="BCV5" s="190"/>
      <c r="BCW5" s="190"/>
      <c r="BCX5" s="190"/>
      <c r="BCY5" s="190"/>
      <c r="BCZ5" s="190"/>
      <c r="BDA5" s="190"/>
      <c r="BDB5" s="190"/>
      <c r="BDC5" s="190"/>
      <c r="BDD5" s="190"/>
      <c r="BDE5" s="190"/>
      <c r="BDF5" s="190"/>
      <c r="BDG5" s="190"/>
      <c r="BDH5" s="190"/>
      <c r="BDI5" s="190"/>
      <c r="BDJ5" s="190"/>
      <c r="BDK5" s="190"/>
      <c r="BDL5" s="190"/>
      <c r="BDM5" s="190"/>
      <c r="BDN5" s="190"/>
      <c r="BDO5" s="190"/>
      <c r="BDP5" s="190"/>
      <c r="BDQ5" s="190"/>
      <c r="BDR5" s="190"/>
      <c r="BDS5" s="190"/>
      <c r="BDT5" s="190"/>
      <c r="BDU5" s="190"/>
      <c r="BDV5" s="190"/>
      <c r="BDW5" s="190"/>
      <c r="BDX5" s="190"/>
      <c r="BDY5" s="190"/>
      <c r="BDZ5" s="190"/>
      <c r="BEA5" s="190"/>
      <c r="BEB5" s="190"/>
      <c r="BEC5" s="190"/>
      <c r="BED5" s="190"/>
      <c r="BEE5" s="190"/>
      <c r="BEF5" s="190"/>
      <c r="BEG5" s="190"/>
      <c r="BEH5" s="190"/>
      <c r="BEI5" s="190"/>
      <c r="BEJ5" s="190"/>
      <c r="BEK5" s="190"/>
      <c r="BEL5" s="190"/>
      <c r="BEM5" s="190"/>
      <c r="BEN5" s="190"/>
      <c r="BEO5" s="190"/>
      <c r="BEP5" s="190"/>
      <c r="BEQ5" s="190"/>
      <c r="BER5" s="190"/>
      <c r="BES5" s="190"/>
      <c r="BET5" s="190"/>
      <c r="BEU5" s="190"/>
      <c r="BEV5" s="190"/>
      <c r="BEW5" s="190"/>
      <c r="BEX5" s="190"/>
      <c r="BEY5" s="190"/>
      <c r="BEZ5" s="190"/>
      <c r="BFA5" s="190"/>
      <c r="BFB5" s="190"/>
      <c r="BFC5" s="190"/>
      <c r="BFD5" s="190"/>
      <c r="BFE5" s="190"/>
      <c r="BFF5" s="190"/>
      <c r="BFG5" s="190"/>
      <c r="BFH5" s="190"/>
      <c r="BFI5" s="190"/>
      <c r="BFJ5" s="190"/>
      <c r="BFK5" s="190"/>
      <c r="BFL5" s="190"/>
      <c r="BFM5" s="190"/>
      <c r="BFN5" s="190"/>
      <c r="BFO5" s="190"/>
      <c r="BFP5" s="190"/>
      <c r="BFQ5" s="190"/>
      <c r="BFR5" s="190"/>
      <c r="BFS5" s="190"/>
      <c r="BFT5" s="190"/>
      <c r="BFU5" s="190"/>
      <c r="BFV5" s="190"/>
      <c r="BFW5" s="190"/>
      <c r="BFX5" s="190"/>
      <c r="BFY5" s="190"/>
      <c r="BFZ5" s="190"/>
      <c r="BGA5" s="190"/>
      <c r="BGB5" s="190"/>
      <c r="BGC5" s="190"/>
      <c r="BGD5" s="190"/>
      <c r="BGE5" s="190"/>
      <c r="BGF5" s="190"/>
      <c r="BGG5" s="190"/>
      <c r="BGH5" s="190"/>
      <c r="BGI5" s="190"/>
      <c r="BGJ5" s="190"/>
      <c r="BGK5" s="190"/>
      <c r="BGL5" s="190"/>
      <c r="BGM5" s="190"/>
      <c r="BGN5" s="190"/>
      <c r="BGO5" s="190"/>
      <c r="BGP5" s="190"/>
      <c r="BGQ5" s="190"/>
      <c r="BGR5" s="190"/>
      <c r="BGS5" s="190"/>
      <c r="BGT5" s="190"/>
      <c r="BGU5" s="190"/>
      <c r="BGV5" s="190"/>
      <c r="BGW5" s="190"/>
      <c r="BGX5" s="190"/>
      <c r="BGY5" s="190"/>
      <c r="BGZ5" s="190"/>
      <c r="BHA5" s="190"/>
      <c r="BHB5" s="190"/>
      <c r="BHC5" s="190"/>
      <c r="BHD5" s="190"/>
      <c r="BHE5" s="190"/>
      <c r="BHF5" s="190"/>
      <c r="BHG5" s="190"/>
      <c r="BHH5" s="190"/>
      <c r="BHI5" s="190"/>
      <c r="BHJ5" s="190"/>
      <c r="BHK5" s="190"/>
      <c r="BHL5" s="190"/>
      <c r="BHM5" s="190"/>
      <c r="BHN5" s="190"/>
      <c r="BHO5" s="190"/>
      <c r="BHP5" s="190"/>
      <c r="BHQ5" s="190"/>
      <c r="BHR5" s="190"/>
      <c r="BHS5" s="190"/>
      <c r="BHT5" s="190"/>
      <c r="BHU5" s="190"/>
      <c r="BHV5" s="190"/>
      <c r="BHW5" s="190"/>
      <c r="BHX5" s="190"/>
      <c r="BHY5" s="190"/>
      <c r="BHZ5" s="190"/>
      <c r="BIA5" s="190"/>
      <c r="BIB5" s="190"/>
      <c r="BIC5" s="190"/>
      <c r="BID5" s="190"/>
      <c r="BIE5" s="190"/>
      <c r="BIF5" s="190"/>
      <c r="BIG5" s="190"/>
      <c r="BIH5" s="190"/>
      <c r="BII5" s="190"/>
      <c r="BIJ5" s="190"/>
      <c r="BIK5" s="190"/>
      <c r="BIL5" s="190"/>
      <c r="BIM5" s="190"/>
      <c r="BIN5" s="190"/>
      <c r="BIO5" s="190"/>
      <c r="BIP5" s="190"/>
      <c r="BIQ5" s="190"/>
      <c r="BIR5" s="190"/>
      <c r="BIS5" s="190"/>
      <c r="BIT5" s="190"/>
      <c r="BIU5" s="190"/>
      <c r="BIV5" s="190"/>
      <c r="BIW5" s="190"/>
      <c r="BIX5" s="190"/>
      <c r="BIY5" s="190"/>
      <c r="BIZ5" s="190"/>
      <c r="BJA5" s="190"/>
      <c r="BJB5" s="190"/>
      <c r="BJC5" s="190"/>
      <c r="BJD5" s="190"/>
      <c r="BJE5" s="190"/>
      <c r="BJF5" s="190"/>
      <c r="BJG5" s="190"/>
      <c r="BJH5" s="190"/>
      <c r="BJI5" s="190"/>
      <c r="BJJ5" s="190"/>
      <c r="BJK5" s="190"/>
      <c r="BJL5" s="190"/>
      <c r="BJM5" s="190"/>
      <c r="BJN5" s="190"/>
      <c r="BJO5" s="190"/>
      <c r="BJP5" s="190"/>
      <c r="BJQ5" s="190"/>
      <c r="BJR5" s="190"/>
      <c r="BJS5" s="190"/>
      <c r="BJT5" s="190"/>
      <c r="BJU5" s="190"/>
      <c r="BJV5" s="190"/>
      <c r="BJW5" s="190"/>
      <c r="BJX5" s="190"/>
      <c r="BJY5" s="190"/>
      <c r="BJZ5" s="190"/>
      <c r="BKA5" s="190"/>
      <c r="BKB5" s="190"/>
      <c r="BKC5" s="190"/>
      <c r="BKD5" s="190"/>
      <c r="BKE5" s="190"/>
      <c r="BKF5" s="190"/>
      <c r="BKG5" s="190"/>
      <c r="BKH5" s="190"/>
      <c r="BKI5" s="190"/>
      <c r="BKJ5" s="190"/>
      <c r="BKK5" s="190"/>
      <c r="BKL5" s="190"/>
      <c r="BKM5" s="190"/>
      <c r="BKN5" s="190"/>
      <c r="BKO5" s="190"/>
      <c r="BKP5" s="190"/>
      <c r="BKQ5" s="190"/>
      <c r="BKR5" s="190"/>
      <c r="BKS5" s="190"/>
      <c r="BKT5" s="190"/>
      <c r="BKU5" s="190"/>
      <c r="BKV5" s="190"/>
      <c r="BKW5" s="190"/>
      <c r="BKX5" s="190"/>
      <c r="BKY5" s="190"/>
      <c r="BKZ5" s="190"/>
      <c r="BLA5" s="190"/>
      <c r="BLB5" s="190"/>
      <c r="BLC5" s="190"/>
      <c r="BLD5" s="190"/>
      <c r="BLE5" s="190"/>
      <c r="BLF5" s="190"/>
      <c r="BLG5" s="190"/>
      <c r="BLH5" s="190"/>
      <c r="BLI5" s="190"/>
      <c r="BLJ5" s="190"/>
      <c r="BLK5" s="190"/>
      <c r="BLL5" s="190"/>
      <c r="BLM5" s="190"/>
      <c r="BLN5" s="190"/>
      <c r="BLO5" s="190"/>
      <c r="BLP5" s="190"/>
      <c r="BLQ5" s="190"/>
      <c r="BLR5" s="190"/>
      <c r="BLS5" s="190"/>
      <c r="BLT5" s="190"/>
      <c r="BLU5" s="190"/>
      <c r="BLV5" s="190"/>
      <c r="BLW5" s="190"/>
      <c r="BLX5" s="190"/>
      <c r="BLY5" s="190"/>
      <c r="BLZ5" s="190"/>
      <c r="BMA5" s="190"/>
      <c r="BMB5" s="190"/>
      <c r="BMC5" s="190"/>
      <c r="BMD5" s="190"/>
      <c r="BME5" s="190"/>
      <c r="BMF5" s="190"/>
      <c r="BMG5" s="190"/>
      <c r="BMH5" s="190"/>
      <c r="BMI5" s="190"/>
      <c r="BMJ5" s="190"/>
      <c r="BMK5" s="190"/>
      <c r="BML5" s="190"/>
      <c r="BMM5" s="190"/>
      <c r="BMN5" s="190"/>
      <c r="BMO5" s="190"/>
      <c r="BMP5" s="190"/>
      <c r="BMQ5" s="190"/>
      <c r="BMR5" s="190"/>
      <c r="BMS5" s="190"/>
      <c r="BMT5" s="190"/>
      <c r="BMU5" s="190"/>
      <c r="BMV5" s="190"/>
      <c r="BMW5" s="190"/>
      <c r="BMX5" s="190"/>
      <c r="BMY5" s="190"/>
      <c r="BMZ5" s="190"/>
      <c r="BNA5" s="190"/>
      <c r="BNB5" s="190"/>
      <c r="BNC5" s="190"/>
      <c r="BND5" s="190"/>
      <c r="BNE5" s="190"/>
      <c r="BNF5" s="190"/>
      <c r="BNG5" s="190"/>
      <c r="BNH5" s="190"/>
      <c r="BNI5" s="190"/>
      <c r="BNJ5" s="190"/>
      <c r="BNK5" s="190"/>
      <c r="BNL5" s="190"/>
      <c r="BNM5" s="190"/>
      <c r="BNN5" s="190"/>
      <c r="BNO5" s="190"/>
      <c r="BNP5" s="190"/>
      <c r="BNQ5" s="190"/>
      <c r="BNR5" s="190"/>
      <c r="BNS5" s="190"/>
      <c r="BNT5" s="190"/>
      <c r="BNU5" s="190"/>
      <c r="BNV5" s="190"/>
      <c r="BNW5" s="190"/>
      <c r="BNX5" s="190"/>
      <c r="BNY5" s="190"/>
      <c r="BNZ5" s="190"/>
      <c r="BOA5" s="190"/>
      <c r="BOB5" s="190"/>
      <c r="BOC5" s="190"/>
      <c r="BOD5" s="190"/>
      <c r="BOE5" s="190"/>
      <c r="BOF5" s="190"/>
      <c r="BOG5" s="190"/>
      <c r="BOH5" s="190"/>
      <c r="BOI5" s="190"/>
      <c r="BOJ5" s="190"/>
      <c r="BOK5" s="190"/>
      <c r="BOL5" s="190"/>
      <c r="BOM5" s="190"/>
      <c r="BON5" s="190"/>
      <c r="BOO5" s="190"/>
      <c r="BOP5" s="190"/>
      <c r="BOQ5" s="190"/>
      <c r="BOR5" s="190"/>
      <c r="BOS5" s="190"/>
      <c r="BOT5" s="190"/>
      <c r="BOU5" s="190"/>
      <c r="BOV5" s="190"/>
      <c r="BOW5" s="190"/>
      <c r="BOX5" s="190"/>
      <c r="BOY5" s="190"/>
      <c r="BOZ5" s="190"/>
      <c r="BPA5" s="190"/>
      <c r="BPB5" s="190"/>
      <c r="BPC5" s="190"/>
      <c r="BPD5" s="190"/>
      <c r="BPE5" s="190"/>
      <c r="BPF5" s="190"/>
      <c r="BPG5" s="190"/>
      <c r="BPH5" s="190"/>
      <c r="BPI5" s="190"/>
      <c r="BPJ5" s="190"/>
      <c r="BPK5" s="190"/>
      <c r="BPL5" s="190"/>
      <c r="BPM5" s="190"/>
      <c r="BPN5" s="190"/>
      <c r="BPO5" s="190"/>
      <c r="BPP5" s="190"/>
      <c r="BPQ5" s="190"/>
      <c r="BPR5" s="190"/>
      <c r="BPS5" s="190"/>
      <c r="BPT5" s="190"/>
      <c r="BPU5" s="190"/>
      <c r="BPV5" s="190"/>
      <c r="BPW5" s="190"/>
      <c r="BPX5" s="190"/>
      <c r="BPY5" s="190"/>
      <c r="BPZ5" s="190"/>
      <c r="BQA5" s="190"/>
      <c r="BQB5" s="190"/>
      <c r="BQC5" s="190"/>
      <c r="BQD5" s="190"/>
      <c r="BQE5" s="190"/>
      <c r="BQF5" s="190"/>
      <c r="BQG5" s="190"/>
      <c r="BQH5" s="190"/>
      <c r="BQI5" s="190"/>
      <c r="BQJ5" s="190"/>
      <c r="BQK5" s="190"/>
      <c r="BQL5" s="190"/>
      <c r="BQM5" s="190"/>
      <c r="BQN5" s="190"/>
      <c r="BQO5" s="190"/>
      <c r="BQP5" s="190"/>
      <c r="BQQ5" s="190"/>
      <c r="BQR5" s="190"/>
      <c r="BQS5" s="190"/>
      <c r="BQT5" s="190"/>
      <c r="BQU5" s="190"/>
      <c r="BQV5" s="190"/>
      <c r="BQW5" s="190"/>
      <c r="BQX5" s="190"/>
      <c r="BQY5" s="190"/>
      <c r="BQZ5" s="190"/>
      <c r="BRA5" s="190"/>
      <c r="BRB5" s="190"/>
      <c r="BRC5" s="190"/>
      <c r="BRD5" s="190"/>
      <c r="BRE5" s="190"/>
      <c r="BRF5" s="190"/>
      <c r="BRG5" s="190"/>
      <c r="BRH5" s="190"/>
      <c r="BRI5" s="190"/>
      <c r="BRJ5" s="190"/>
      <c r="BRK5" s="190"/>
      <c r="BRL5" s="190"/>
      <c r="BRM5" s="190"/>
      <c r="BRN5" s="190"/>
      <c r="BRO5" s="190"/>
      <c r="BRP5" s="190"/>
      <c r="BRQ5" s="190"/>
      <c r="BRR5" s="190"/>
      <c r="BRS5" s="190"/>
      <c r="BRT5" s="190"/>
      <c r="BRU5" s="190"/>
      <c r="BRV5" s="190"/>
      <c r="BRW5" s="190"/>
      <c r="BRX5" s="190"/>
      <c r="BRY5" s="190"/>
      <c r="BRZ5" s="190"/>
      <c r="BSA5" s="190"/>
      <c r="BSB5" s="190"/>
      <c r="BSC5" s="190"/>
      <c r="BSD5" s="190"/>
      <c r="BSE5" s="190"/>
      <c r="BSF5" s="190"/>
      <c r="BSG5" s="190"/>
      <c r="BSH5" s="190"/>
      <c r="BSI5" s="190"/>
      <c r="BSJ5" s="190"/>
      <c r="BSK5" s="190"/>
      <c r="BSL5" s="190"/>
      <c r="BSM5" s="190"/>
      <c r="BSN5" s="190"/>
      <c r="BSO5" s="190"/>
      <c r="BSP5" s="190"/>
      <c r="BSQ5" s="190"/>
      <c r="BSR5" s="190"/>
      <c r="BSS5" s="190"/>
      <c r="BST5" s="190"/>
      <c r="BSU5" s="190"/>
      <c r="BSV5" s="190"/>
      <c r="BSW5" s="190"/>
      <c r="BSX5" s="190"/>
      <c r="BSY5" s="190"/>
      <c r="BSZ5" s="190"/>
      <c r="BTA5" s="190"/>
      <c r="BTB5" s="190"/>
      <c r="BTC5" s="190"/>
      <c r="BTD5" s="190"/>
      <c r="BTE5" s="190"/>
      <c r="BTF5" s="190"/>
      <c r="BTG5" s="190"/>
      <c r="BTH5" s="190"/>
      <c r="BTI5" s="190"/>
      <c r="BTJ5" s="190"/>
      <c r="BTK5" s="190"/>
      <c r="BTL5" s="190"/>
      <c r="BTM5" s="190"/>
      <c r="BTN5" s="190"/>
      <c r="BTO5" s="190"/>
      <c r="BTP5" s="190"/>
      <c r="BTQ5" s="190"/>
      <c r="BTR5" s="190"/>
      <c r="BTS5" s="190"/>
      <c r="BTT5" s="190"/>
      <c r="BTU5" s="190"/>
      <c r="BTV5" s="190"/>
      <c r="BTW5" s="190"/>
      <c r="BTX5" s="190"/>
      <c r="BTY5" s="190"/>
      <c r="BTZ5" s="190"/>
      <c r="BUA5" s="190"/>
      <c r="BUB5" s="190"/>
      <c r="BUC5" s="190"/>
      <c r="BUD5" s="190"/>
      <c r="BUE5" s="190"/>
      <c r="BUF5" s="190"/>
      <c r="BUG5" s="190"/>
      <c r="BUH5" s="190"/>
      <c r="BUI5" s="190"/>
      <c r="BUJ5" s="190"/>
      <c r="BUK5" s="190"/>
      <c r="BUL5" s="190"/>
      <c r="BUM5" s="190"/>
      <c r="BUN5" s="190"/>
      <c r="BUO5" s="190"/>
      <c r="BUP5" s="190"/>
      <c r="BUQ5" s="190"/>
      <c r="BUR5" s="190"/>
      <c r="BUS5" s="190"/>
      <c r="BUT5" s="190"/>
      <c r="BUU5" s="190"/>
      <c r="BUV5" s="190"/>
      <c r="BUW5" s="190"/>
      <c r="BUX5" s="190"/>
      <c r="BUY5" s="190"/>
      <c r="BUZ5" s="190"/>
      <c r="BVA5" s="190"/>
      <c r="BVB5" s="190"/>
      <c r="BVC5" s="190"/>
      <c r="BVD5" s="190"/>
      <c r="BVE5" s="190"/>
      <c r="BVF5" s="190"/>
      <c r="BVG5" s="190"/>
      <c r="BVH5" s="190"/>
      <c r="BVI5" s="190"/>
      <c r="BVJ5" s="190"/>
      <c r="BVK5" s="190"/>
      <c r="BVL5" s="190"/>
      <c r="BVM5" s="190"/>
      <c r="BVN5" s="190"/>
      <c r="BVO5" s="190"/>
      <c r="BVP5" s="190"/>
      <c r="BVQ5" s="190"/>
      <c r="BVR5" s="190"/>
      <c r="BVS5" s="190"/>
      <c r="BVT5" s="190"/>
      <c r="BVU5" s="190"/>
      <c r="BVV5" s="190"/>
      <c r="BVW5" s="190"/>
      <c r="BVX5" s="190"/>
      <c r="BVY5" s="190"/>
      <c r="BVZ5" s="190"/>
      <c r="BWA5" s="190"/>
      <c r="BWB5" s="190"/>
      <c r="BWC5" s="190"/>
      <c r="BWD5" s="190"/>
      <c r="BWE5" s="190"/>
      <c r="BWF5" s="190"/>
      <c r="BWG5" s="190"/>
      <c r="BWH5" s="190"/>
      <c r="BWI5" s="190"/>
      <c r="BWJ5" s="190"/>
      <c r="BWK5" s="190"/>
      <c r="BWL5" s="190"/>
      <c r="BWM5" s="190"/>
      <c r="BWN5" s="190"/>
      <c r="BWO5" s="190"/>
      <c r="BWP5" s="190"/>
      <c r="BWQ5" s="190"/>
      <c r="BWR5" s="190"/>
      <c r="BWS5" s="190"/>
      <c r="BWT5" s="190"/>
      <c r="BWU5" s="190"/>
      <c r="BWV5" s="190"/>
      <c r="BWW5" s="190"/>
      <c r="BWX5" s="190"/>
      <c r="BWY5" s="190"/>
      <c r="BWZ5" s="190"/>
      <c r="BXA5" s="190"/>
      <c r="BXB5" s="190"/>
      <c r="BXC5" s="190"/>
      <c r="BXD5" s="190"/>
      <c r="BXE5" s="190"/>
      <c r="BXF5" s="190"/>
      <c r="BXG5" s="190"/>
      <c r="BXH5" s="190"/>
      <c r="BXI5" s="190"/>
      <c r="BXJ5" s="190"/>
      <c r="BXK5" s="190"/>
      <c r="BXL5" s="190"/>
      <c r="BXM5" s="190"/>
      <c r="BXN5" s="190"/>
      <c r="BXO5" s="190"/>
      <c r="BXP5" s="190"/>
      <c r="BXQ5" s="190"/>
      <c r="BXR5" s="190"/>
      <c r="BXS5" s="190"/>
      <c r="BXT5" s="190"/>
      <c r="BXU5" s="190"/>
      <c r="BXV5" s="190"/>
      <c r="BXW5" s="190"/>
      <c r="BXX5" s="190"/>
      <c r="BXY5" s="190"/>
      <c r="BXZ5" s="190"/>
      <c r="BYA5" s="190"/>
      <c r="BYB5" s="190"/>
      <c r="BYC5" s="190"/>
      <c r="BYD5" s="190"/>
      <c r="BYE5" s="190"/>
      <c r="BYF5" s="190"/>
      <c r="BYG5" s="190"/>
      <c r="BYH5" s="190"/>
      <c r="BYI5" s="190"/>
      <c r="BYJ5" s="190"/>
      <c r="BYK5" s="190"/>
      <c r="BYL5" s="190"/>
      <c r="BYM5" s="190"/>
      <c r="BYN5" s="190"/>
      <c r="BYO5" s="190"/>
      <c r="BYP5" s="190"/>
      <c r="BYQ5" s="190"/>
      <c r="BYR5" s="190"/>
      <c r="BYS5" s="190"/>
      <c r="BYT5" s="190"/>
      <c r="BYU5" s="190"/>
      <c r="BYV5" s="190"/>
      <c r="BYW5" s="190"/>
      <c r="BYX5" s="190"/>
      <c r="BYY5" s="190"/>
      <c r="BYZ5" s="190"/>
      <c r="BZA5" s="190"/>
      <c r="BZB5" s="190"/>
      <c r="BZC5" s="190"/>
      <c r="BZD5" s="190"/>
      <c r="BZE5" s="190"/>
      <c r="BZF5" s="190"/>
      <c r="BZG5" s="190"/>
      <c r="BZH5" s="190"/>
      <c r="BZI5" s="190"/>
      <c r="BZJ5" s="190"/>
      <c r="BZK5" s="190"/>
      <c r="BZL5" s="190"/>
      <c r="BZM5" s="190"/>
      <c r="BZN5" s="190"/>
      <c r="BZO5" s="190"/>
      <c r="BZP5" s="190"/>
      <c r="BZQ5" s="190"/>
      <c r="BZR5" s="190"/>
      <c r="BZS5" s="190"/>
      <c r="BZT5" s="190"/>
      <c r="BZU5" s="190"/>
      <c r="BZV5" s="190"/>
      <c r="BZW5" s="190"/>
      <c r="BZX5" s="190"/>
      <c r="BZY5" s="190"/>
      <c r="BZZ5" s="190"/>
      <c r="CAA5" s="190"/>
      <c r="CAB5" s="190"/>
      <c r="CAC5" s="190"/>
      <c r="CAD5" s="190"/>
      <c r="CAE5" s="190"/>
      <c r="CAF5" s="190"/>
      <c r="CAG5" s="190"/>
      <c r="CAH5" s="190"/>
      <c r="CAI5" s="190"/>
      <c r="CAJ5" s="190"/>
      <c r="CAK5" s="190"/>
      <c r="CAL5" s="190"/>
      <c r="CAM5" s="190"/>
      <c r="CAN5" s="190"/>
      <c r="CAO5" s="190"/>
      <c r="CAP5" s="190"/>
      <c r="CAQ5" s="190"/>
      <c r="CAR5" s="190"/>
      <c r="CAS5" s="190"/>
      <c r="CAT5" s="190"/>
      <c r="CAU5" s="190"/>
      <c r="CAV5" s="190"/>
      <c r="CAW5" s="190"/>
      <c r="CAX5" s="190"/>
      <c r="CAY5" s="190"/>
      <c r="CAZ5" s="190"/>
      <c r="CBA5" s="190"/>
      <c r="CBB5" s="190"/>
      <c r="CBC5" s="190"/>
      <c r="CBD5" s="190"/>
      <c r="CBE5" s="190"/>
      <c r="CBF5" s="190"/>
      <c r="CBG5" s="190"/>
      <c r="CBH5" s="190"/>
      <c r="CBI5" s="190"/>
      <c r="CBJ5" s="190"/>
      <c r="CBK5" s="190"/>
      <c r="CBL5" s="190"/>
      <c r="CBM5" s="190"/>
      <c r="CBN5" s="190"/>
      <c r="CBO5" s="190"/>
      <c r="CBP5" s="190"/>
      <c r="CBQ5" s="190"/>
      <c r="CBR5" s="190"/>
      <c r="CBS5" s="190"/>
      <c r="CBT5" s="190"/>
      <c r="CBU5" s="190"/>
      <c r="CBV5" s="190"/>
      <c r="CBW5" s="190"/>
      <c r="CBX5" s="190"/>
      <c r="CBY5" s="190"/>
      <c r="CBZ5" s="190"/>
      <c r="CCA5" s="190"/>
      <c r="CCB5" s="190"/>
      <c r="CCC5" s="190"/>
      <c r="CCD5" s="190"/>
      <c r="CCE5" s="190"/>
      <c r="CCF5" s="190"/>
      <c r="CCG5" s="190"/>
      <c r="CCH5" s="190"/>
      <c r="CCI5" s="190"/>
      <c r="CCJ5" s="190"/>
      <c r="CCK5" s="190"/>
      <c r="CCL5" s="190"/>
      <c r="CCM5" s="190"/>
      <c r="CCN5" s="190"/>
      <c r="CCO5" s="190"/>
      <c r="CCP5" s="190"/>
      <c r="CCQ5" s="190"/>
      <c r="CCR5" s="190"/>
      <c r="CCS5" s="190"/>
      <c r="CCT5" s="190"/>
      <c r="CCU5" s="190"/>
      <c r="CCV5" s="190"/>
      <c r="CCW5" s="190"/>
      <c r="CCX5" s="190"/>
      <c r="CCY5" s="190"/>
      <c r="CCZ5" s="190"/>
      <c r="CDA5" s="190"/>
      <c r="CDB5" s="190"/>
      <c r="CDC5" s="190"/>
      <c r="CDD5" s="190"/>
      <c r="CDE5" s="190"/>
      <c r="CDF5" s="190"/>
      <c r="CDG5" s="190"/>
      <c r="CDH5" s="190"/>
      <c r="CDI5" s="190"/>
      <c r="CDJ5" s="190"/>
      <c r="CDK5" s="190"/>
      <c r="CDL5" s="190"/>
      <c r="CDM5" s="190"/>
      <c r="CDN5" s="190"/>
      <c r="CDO5" s="190"/>
      <c r="CDP5" s="190"/>
      <c r="CDQ5" s="190"/>
      <c r="CDR5" s="190"/>
      <c r="CDS5" s="190"/>
      <c r="CDT5" s="190"/>
      <c r="CDU5" s="190"/>
      <c r="CDV5" s="190"/>
      <c r="CDW5" s="190"/>
      <c r="CDX5" s="190"/>
      <c r="CDY5" s="190"/>
      <c r="CDZ5" s="190"/>
      <c r="CEA5" s="190"/>
      <c r="CEB5" s="190"/>
      <c r="CEC5" s="190"/>
      <c r="CED5" s="190"/>
      <c r="CEE5" s="190"/>
      <c r="CEF5" s="190"/>
      <c r="CEG5" s="190"/>
      <c r="CEH5" s="190"/>
      <c r="CEI5" s="190"/>
      <c r="CEJ5" s="190"/>
      <c r="CEK5" s="190"/>
      <c r="CEL5" s="190"/>
      <c r="CEM5" s="190"/>
      <c r="CEN5" s="190"/>
      <c r="CEO5" s="190"/>
      <c r="CEP5" s="190"/>
      <c r="CEQ5" s="190"/>
      <c r="CER5" s="190"/>
      <c r="CES5" s="190"/>
      <c r="CET5" s="190"/>
      <c r="CEU5" s="190"/>
      <c r="CEV5" s="190"/>
      <c r="CEW5" s="190"/>
      <c r="CEX5" s="190"/>
      <c r="CEY5" s="190"/>
      <c r="CEZ5" s="190"/>
      <c r="CFA5" s="190"/>
      <c r="CFB5" s="190"/>
      <c r="CFC5" s="190"/>
      <c r="CFD5" s="190"/>
      <c r="CFE5" s="190"/>
      <c r="CFF5" s="190"/>
      <c r="CFG5" s="190"/>
      <c r="CFH5" s="190"/>
      <c r="CFI5" s="190"/>
      <c r="CFJ5" s="190"/>
      <c r="CFK5" s="190"/>
      <c r="CFL5" s="190"/>
      <c r="CFM5" s="190"/>
      <c r="CFN5" s="190"/>
      <c r="CFO5" s="190"/>
      <c r="CFP5" s="190"/>
      <c r="CFQ5" s="190"/>
      <c r="CFR5" s="190"/>
      <c r="CFS5" s="190"/>
      <c r="CFT5" s="190"/>
      <c r="CFU5" s="190"/>
      <c r="CFV5" s="190"/>
      <c r="CFW5" s="190"/>
      <c r="CFX5" s="190"/>
      <c r="CFY5" s="190"/>
      <c r="CFZ5" s="190"/>
      <c r="CGA5" s="190"/>
      <c r="CGB5" s="190"/>
      <c r="CGC5" s="190"/>
      <c r="CGD5" s="190"/>
      <c r="CGE5" s="190"/>
      <c r="CGF5" s="190"/>
      <c r="CGG5" s="190"/>
      <c r="CGH5" s="190"/>
      <c r="CGI5" s="190"/>
      <c r="CGJ5" s="190"/>
      <c r="CGK5" s="190"/>
      <c r="CGL5" s="190"/>
      <c r="CGM5" s="190"/>
      <c r="CGN5" s="190"/>
      <c r="CGO5" s="190"/>
      <c r="CGP5" s="190"/>
      <c r="CGQ5" s="190"/>
      <c r="CGR5" s="190"/>
      <c r="CGS5" s="190"/>
      <c r="CGT5" s="190"/>
      <c r="CGU5" s="190"/>
      <c r="CGV5" s="190"/>
      <c r="CGW5" s="190"/>
      <c r="CGX5" s="190"/>
      <c r="CGY5" s="190"/>
      <c r="CGZ5" s="190"/>
      <c r="CHA5" s="190"/>
      <c r="CHB5" s="190"/>
      <c r="CHC5" s="190"/>
      <c r="CHD5" s="190"/>
      <c r="CHE5" s="190"/>
      <c r="CHF5" s="190"/>
      <c r="CHG5" s="190"/>
      <c r="CHH5" s="190"/>
      <c r="CHI5" s="190"/>
      <c r="CHJ5" s="190"/>
      <c r="CHK5" s="190"/>
      <c r="CHL5" s="190"/>
      <c r="CHM5" s="190"/>
      <c r="CHN5" s="190"/>
      <c r="CHO5" s="190"/>
      <c r="CHP5" s="190"/>
      <c r="CHQ5" s="190"/>
      <c r="CHR5" s="190"/>
      <c r="CHS5" s="190"/>
      <c r="CHT5" s="190"/>
      <c r="CHU5" s="190"/>
      <c r="CHV5" s="190"/>
      <c r="CHW5" s="190"/>
      <c r="CHX5" s="190"/>
      <c r="CHY5" s="190"/>
      <c r="CHZ5" s="190"/>
      <c r="CIA5" s="190"/>
      <c r="CIB5" s="190"/>
      <c r="CIC5" s="190"/>
      <c r="CID5" s="190"/>
      <c r="CIE5" s="190"/>
      <c r="CIF5" s="190"/>
      <c r="CIG5" s="190"/>
      <c r="CIH5" s="190"/>
      <c r="CII5" s="190"/>
      <c r="CIJ5" s="190"/>
      <c r="CIK5" s="190"/>
      <c r="CIL5" s="190"/>
      <c r="CIM5" s="190"/>
      <c r="CIN5" s="190"/>
      <c r="CIO5" s="190"/>
      <c r="CIP5" s="190"/>
      <c r="CIQ5" s="190"/>
      <c r="CIR5" s="190"/>
      <c r="CIS5" s="190"/>
      <c r="CIT5" s="190"/>
      <c r="CIU5" s="190"/>
      <c r="CIV5" s="190"/>
      <c r="CIW5" s="190"/>
      <c r="CIX5" s="190"/>
      <c r="CIY5" s="190"/>
      <c r="CIZ5" s="190"/>
      <c r="CJA5" s="190"/>
      <c r="CJB5" s="190"/>
      <c r="CJC5" s="190"/>
      <c r="CJD5" s="190"/>
      <c r="CJE5" s="190"/>
      <c r="CJF5" s="190"/>
      <c r="CJG5" s="190"/>
      <c r="CJH5" s="190"/>
      <c r="CJI5" s="190"/>
      <c r="CJJ5" s="190"/>
      <c r="CJK5" s="190"/>
      <c r="CJL5" s="190"/>
      <c r="CJM5" s="190"/>
      <c r="CJN5" s="190"/>
      <c r="CJO5" s="190"/>
      <c r="CJP5" s="190"/>
      <c r="CJQ5" s="190"/>
      <c r="CJR5" s="190"/>
      <c r="CJS5" s="190"/>
      <c r="CJT5" s="190"/>
      <c r="CJU5" s="190"/>
      <c r="CJV5" s="190"/>
      <c r="CJW5" s="190"/>
      <c r="CJX5" s="190"/>
      <c r="CJY5" s="190"/>
      <c r="CJZ5" s="190"/>
      <c r="CKA5" s="190"/>
      <c r="CKB5" s="190"/>
      <c r="CKC5" s="190"/>
      <c r="CKD5" s="190"/>
      <c r="CKE5" s="190"/>
      <c r="CKF5" s="190"/>
      <c r="CKG5" s="190"/>
      <c r="CKH5" s="190"/>
      <c r="CKI5" s="190"/>
      <c r="CKJ5" s="190"/>
      <c r="CKK5" s="190"/>
      <c r="CKL5" s="190"/>
      <c r="CKM5" s="190"/>
      <c r="CKN5" s="190"/>
      <c r="CKO5" s="190"/>
      <c r="CKP5" s="190"/>
      <c r="CKQ5" s="190"/>
      <c r="CKR5" s="190"/>
      <c r="CKS5" s="190"/>
      <c r="CKT5" s="190"/>
      <c r="CKU5" s="190"/>
      <c r="CKV5" s="190"/>
      <c r="CKW5" s="190"/>
      <c r="CKX5" s="190"/>
      <c r="CKY5" s="190"/>
      <c r="CKZ5" s="190"/>
      <c r="CLA5" s="190"/>
      <c r="CLB5" s="190"/>
      <c r="CLC5" s="190"/>
      <c r="CLD5" s="190"/>
      <c r="CLE5" s="190"/>
      <c r="CLF5" s="190"/>
      <c r="CLG5" s="190"/>
      <c r="CLH5" s="190"/>
      <c r="CLI5" s="190"/>
      <c r="CLJ5" s="190"/>
      <c r="CLK5" s="190"/>
      <c r="CLL5" s="190"/>
      <c r="CLM5" s="190"/>
      <c r="CLN5" s="190"/>
      <c r="CLO5" s="190"/>
      <c r="CLP5" s="190"/>
      <c r="CLQ5" s="190"/>
      <c r="CLR5" s="190"/>
      <c r="CLS5" s="190"/>
      <c r="CLT5" s="190"/>
      <c r="CLU5" s="190"/>
      <c r="CLV5" s="190"/>
      <c r="CLW5" s="190"/>
      <c r="CLX5" s="190"/>
      <c r="CLY5" s="190"/>
      <c r="CLZ5" s="190"/>
      <c r="CMA5" s="190"/>
      <c r="CMB5" s="190"/>
      <c r="CMC5" s="190"/>
      <c r="CMD5" s="190"/>
      <c r="CME5" s="190"/>
      <c r="CMF5" s="190"/>
      <c r="CMG5" s="190"/>
      <c r="CMH5" s="190"/>
      <c r="CMI5" s="190"/>
      <c r="CMJ5" s="190"/>
      <c r="CMK5" s="190"/>
      <c r="CML5" s="190"/>
      <c r="CMM5" s="190"/>
      <c r="CMN5" s="190"/>
      <c r="CMO5" s="190"/>
      <c r="CMP5" s="190"/>
      <c r="CMQ5" s="190"/>
      <c r="CMR5" s="190"/>
      <c r="CMS5" s="190"/>
      <c r="CMT5" s="190"/>
      <c r="CMU5" s="190"/>
      <c r="CMV5" s="190"/>
      <c r="CMW5" s="190"/>
      <c r="CMX5" s="190"/>
      <c r="CMY5" s="190"/>
      <c r="CMZ5" s="190"/>
      <c r="CNA5" s="190"/>
      <c r="CNB5" s="190"/>
      <c r="CNC5" s="190"/>
      <c r="CND5" s="190"/>
      <c r="CNE5" s="190"/>
      <c r="CNF5" s="190"/>
      <c r="CNG5" s="190"/>
      <c r="CNH5" s="190"/>
      <c r="CNI5" s="190"/>
      <c r="CNJ5" s="190"/>
      <c r="CNK5" s="190"/>
      <c r="CNL5" s="190"/>
      <c r="CNM5" s="190"/>
      <c r="CNN5" s="190"/>
      <c r="CNO5" s="190"/>
      <c r="CNP5" s="190"/>
      <c r="CNQ5" s="190"/>
      <c r="CNR5" s="190"/>
      <c r="CNS5" s="190"/>
      <c r="CNT5" s="190"/>
      <c r="CNU5" s="190"/>
      <c r="CNV5" s="190"/>
      <c r="CNW5" s="190"/>
      <c r="CNX5" s="190"/>
      <c r="CNY5" s="190"/>
      <c r="CNZ5" s="190"/>
      <c r="COA5" s="190"/>
      <c r="COB5" s="190"/>
      <c r="COC5" s="190"/>
      <c r="COD5" s="190"/>
      <c r="COE5" s="190"/>
      <c r="COF5" s="190"/>
      <c r="COG5" s="190"/>
      <c r="COH5" s="190"/>
      <c r="COI5" s="190"/>
      <c r="COJ5" s="190"/>
      <c r="COK5" s="190"/>
      <c r="COL5" s="190"/>
      <c r="COM5" s="190"/>
      <c r="CON5" s="190"/>
      <c r="COO5" s="190"/>
      <c r="COP5" s="190"/>
      <c r="COQ5" s="190"/>
      <c r="COR5" s="190"/>
      <c r="COS5" s="190"/>
      <c r="COT5" s="190"/>
      <c r="COU5" s="190"/>
      <c r="COV5" s="190"/>
      <c r="COW5" s="190"/>
      <c r="COX5" s="190"/>
      <c r="COY5" s="190"/>
      <c r="COZ5" s="190"/>
      <c r="CPA5" s="190"/>
      <c r="CPB5" s="190"/>
      <c r="CPC5" s="190"/>
      <c r="CPD5" s="190"/>
      <c r="CPE5" s="190"/>
      <c r="CPF5" s="190"/>
      <c r="CPG5" s="190"/>
      <c r="CPH5" s="190"/>
      <c r="CPI5" s="190"/>
      <c r="CPJ5" s="190"/>
      <c r="CPK5" s="190"/>
      <c r="CPL5" s="190"/>
      <c r="CPM5" s="190"/>
      <c r="CPN5" s="190"/>
      <c r="CPO5" s="190"/>
      <c r="CPP5" s="190"/>
      <c r="CPQ5" s="190"/>
      <c r="CPR5" s="190"/>
      <c r="CPS5" s="190"/>
      <c r="CPT5" s="190"/>
      <c r="CPU5" s="190"/>
      <c r="CPV5" s="190"/>
      <c r="CPW5" s="190"/>
      <c r="CPX5" s="190"/>
      <c r="CPY5" s="190"/>
      <c r="CPZ5" s="190"/>
      <c r="CQA5" s="190"/>
      <c r="CQB5" s="190"/>
      <c r="CQC5" s="190"/>
      <c r="CQD5" s="190"/>
      <c r="CQE5" s="190"/>
      <c r="CQF5" s="190"/>
      <c r="CQG5" s="190"/>
      <c r="CQH5" s="190"/>
      <c r="CQI5" s="190"/>
      <c r="CQJ5" s="190"/>
      <c r="CQK5" s="190"/>
      <c r="CQL5" s="190"/>
      <c r="CQM5" s="190"/>
      <c r="CQN5" s="190"/>
      <c r="CQO5" s="190"/>
      <c r="CQP5" s="190"/>
      <c r="CQQ5" s="190"/>
      <c r="CQR5" s="190"/>
      <c r="CQS5" s="190"/>
      <c r="CQT5" s="190"/>
      <c r="CQU5" s="190"/>
      <c r="CQV5" s="190"/>
      <c r="CQW5" s="190"/>
      <c r="CQX5" s="190"/>
      <c r="CQY5" s="190"/>
      <c r="CQZ5" s="190"/>
      <c r="CRA5" s="190"/>
      <c r="CRB5" s="190"/>
      <c r="CRC5" s="190"/>
      <c r="CRD5" s="190"/>
      <c r="CRE5" s="190"/>
      <c r="CRF5" s="190"/>
      <c r="CRG5" s="190"/>
      <c r="CRH5" s="190"/>
      <c r="CRI5" s="190"/>
      <c r="CRJ5" s="190"/>
      <c r="CRK5" s="190"/>
      <c r="CRL5" s="190"/>
      <c r="CRM5" s="190"/>
      <c r="CRN5" s="190"/>
      <c r="CRO5" s="190"/>
      <c r="CRP5" s="190"/>
      <c r="CRQ5" s="190"/>
      <c r="CRR5" s="190"/>
      <c r="CRS5" s="190"/>
      <c r="CRT5" s="190"/>
      <c r="CRU5" s="190"/>
      <c r="CRV5" s="190"/>
      <c r="CRW5" s="190"/>
      <c r="CRX5" s="190"/>
      <c r="CRY5" s="190"/>
      <c r="CRZ5" s="190"/>
      <c r="CSA5" s="190"/>
      <c r="CSB5" s="190"/>
      <c r="CSC5" s="190"/>
      <c r="CSD5" s="190"/>
      <c r="CSE5" s="190"/>
      <c r="CSF5" s="190"/>
      <c r="CSG5" s="190"/>
      <c r="CSH5" s="190"/>
      <c r="CSI5" s="190"/>
      <c r="CSJ5" s="190"/>
      <c r="CSK5" s="190"/>
      <c r="CSL5" s="190"/>
      <c r="CSM5" s="190"/>
      <c r="CSN5" s="190"/>
      <c r="CSO5" s="190"/>
      <c r="CSP5" s="190"/>
      <c r="CSQ5" s="190"/>
      <c r="CSR5" s="190"/>
      <c r="CSS5" s="190"/>
      <c r="CST5" s="190"/>
      <c r="CSU5" s="190"/>
      <c r="CSV5" s="190"/>
      <c r="CSW5" s="190"/>
      <c r="CSX5" s="190"/>
      <c r="CSY5" s="190"/>
      <c r="CSZ5" s="190"/>
      <c r="CTA5" s="190"/>
      <c r="CTB5" s="190"/>
      <c r="CTC5" s="190"/>
      <c r="CTD5" s="190"/>
      <c r="CTE5" s="190"/>
      <c r="CTF5" s="190"/>
      <c r="CTG5" s="190"/>
      <c r="CTH5" s="190"/>
      <c r="CTI5" s="190"/>
      <c r="CTJ5" s="190"/>
      <c r="CTK5" s="190"/>
      <c r="CTL5" s="190"/>
      <c r="CTM5" s="190"/>
      <c r="CTN5" s="190"/>
      <c r="CTO5" s="190"/>
      <c r="CTP5" s="190"/>
      <c r="CTQ5" s="190"/>
      <c r="CTR5" s="190"/>
      <c r="CTS5" s="190"/>
      <c r="CTT5" s="190"/>
      <c r="CTU5" s="190"/>
      <c r="CTV5" s="190"/>
      <c r="CTW5" s="190"/>
      <c r="CTX5" s="190"/>
      <c r="CTY5" s="190"/>
      <c r="CTZ5" s="190"/>
      <c r="CUA5" s="190"/>
      <c r="CUB5" s="190"/>
      <c r="CUC5" s="190"/>
      <c r="CUD5" s="190"/>
      <c r="CUE5" s="190"/>
      <c r="CUF5" s="190"/>
      <c r="CUG5" s="190"/>
      <c r="CUH5" s="190"/>
      <c r="CUI5" s="190"/>
      <c r="CUJ5" s="190"/>
      <c r="CUK5" s="190"/>
      <c r="CUL5" s="190"/>
      <c r="CUM5" s="190"/>
      <c r="CUN5" s="190"/>
      <c r="CUO5" s="190"/>
      <c r="CUP5" s="190"/>
      <c r="CUQ5" s="190"/>
      <c r="CUR5" s="190"/>
      <c r="CUS5" s="190"/>
      <c r="CUT5" s="190"/>
      <c r="CUU5" s="190"/>
      <c r="CUV5" s="190"/>
      <c r="CUW5" s="190"/>
      <c r="CUX5" s="190"/>
      <c r="CUY5" s="190"/>
      <c r="CUZ5" s="190"/>
      <c r="CVA5" s="190"/>
      <c r="CVB5" s="190"/>
      <c r="CVC5" s="190"/>
      <c r="CVD5" s="190"/>
      <c r="CVE5" s="190"/>
      <c r="CVF5" s="190"/>
      <c r="CVG5" s="190"/>
      <c r="CVH5" s="190"/>
      <c r="CVI5" s="190"/>
      <c r="CVJ5" s="190"/>
      <c r="CVK5" s="190"/>
      <c r="CVL5" s="190"/>
      <c r="CVM5" s="190"/>
      <c r="CVN5" s="190"/>
      <c r="CVO5" s="190"/>
      <c r="CVP5" s="190"/>
      <c r="CVQ5" s="190"/>
      <c r="CVR5" s="190"/>
      <c r="CVS5" s="190"/>
      <c r="CVT5" s="190"/>
      <c r="CVU5" s="190"/>
      <c r="CVV5" s="190"/>
      <c r="CVW5" s="190"/>
      <c r="CVX5" s="190"/>
      <c r="CVY5" s="190"/>
      <c r="CVZ5" s="190"/>
      <c r="CWA5" s="190"/>
      <c r="CWB5" s="190"/>
      <c r="CWC5" s="190"/>
      <c r="CWD5" s="190"/>
      <c r="CWE5" s="190"/>
      <c r="CWF5" s="190"/>
      <c r="CWG5" s="190"/>
      <c r="CWH5" s="190"/>
      <c r="CWI5" s="190"/>
      <c r="CWJ5" s="190"/>
      <c r="CWK5" s="190"/>
      <c r="CWL5" s="190"/>
      <c r="CWM5" s="190"/>
      <c r="CWN5" s="190"/>
      <c r="CWO5" s="190"/>
      <c r="CWP5" s="190"/>
      <c r="CWQ5" s="190"/>
      <c r="CWR5" s="190"/>
      <c r="CWS5" s="190"/>
      <c r="CWT5" s="190"/>
      <c r="CWU5" s="190"/>
      <c r="CWV5" s="190"/>
      <c r="CWW5" s="190"/>
      <c r="CWX5" s="190"/>
      <c r="CWY5" s="190"/>
      <c r="CWZ5" s="190"/>
      <c r="CXA5" s="190"/>
      <c r="CXB5" s="190"/>
      <c r="CXC5" s="190"/>
      <c r="CXD5" s="190"/>
      <c r="CXE5" s="190"/>
      <c r="CXF5" s="190"/>
      <c r="CXG5" s="190"/>
      <c r="CXH5" s="190"/>
      <c r="CXI5" s="190"/>
      <c r="CXJ5" s="190"/>
      <c r="CXK5" s="190"/>
      <c r="CXL5" s="190"/>
      <c r="CXM5" s="190"/>
      <c r="CXN5" s="190"/>
      <c r="CXO5" s="190"/>
      <c r="CXP5" s="190"/>
      <c r="CXQ5" s="190"/>
      <c r="CXR5" s="190"/>
      <c r="CXS5" s="190"/>
      <c r="CXT5" s="190"/>
      <c r="CXU5" s="190"/>
      <c r="CXV5" s="190"/>
      <c r="CXW5" s="190"/>
      <c r="CXX5" s="190"/>
      <c r="CXY5" s="190"/>
      <c r="CXZ5" s="190"/>
      <c r="CYA5" s="190"/>
      <c r="CYB5" s="190"/>
      <c r="CYC5" s="190"/>
      <c r="CYD5" s="190"/>
      <c r="CYE5" s="190"/>
      <c r="CYF5" s="190"/>
      <c r="CYG5" s="190"/>
      <c r="CYH5" s="190"/>
      <c r="CYI5" s="190"/>
      <c r="CYJ5" s="190"/>
      <c r="CYK5" s="190"/>
      <c r="CYL5" s="190"/>
      <c r="CYM5" s="190"/>
      <c r="CYN5" s="190"/>
      <c r="CYO5" s="190"/>
      <c r="CYP5" s="190"/>
      <c r="CYQ5" s="190"/>
      <c r="CYR5" s="190"/>
      <c r="CYS5" s="190"/>
      <c r="CYT5" s="190"/>
      <c r="CYU5" s="190"/>
      <c r="CYV5" s="190"/>
      <c r="CYW5" s="190"/>
      <c r="CYX5" s="190"/>
      <c r="CYY5" s="190"/>
      <c r="CYZ5" s="190"/>
      <c r="CZA5" s="190"/>
      <c r="CZB5" s="190"/>
      <c r="CZC5" s="190"/>
      <c r="CZD5" s="190"/>
      <c r="CZE5" s="190"/>
      <c r="CZF5" s="190"/>
      <c r="CZG5" s="190"/>
      <c r="CZH5" s="190"/>
      <c r="CZI5" s="190"/>
      <c r="CZJ5" s="190"/>
      <c r="CZK5" s="190"/>
      <c r="CZL5" s="190"/>
      <c r="CZM5" s="190"/>
      <c r="CZN5" s="190"/>
      <c r="CZO5" s="190"/>
      <c r="CZP5" s="190"/>
      <c r="CZQ5" s="190"/>
      <c r="CZR5" s="190"/>
      <c r="CZS5" s="190"/>
      <c r="CZT5" s="190"/>
      <c r="CZU5" s="190"/>
      <c r="CZV5" s="190"/>
      <c r="CZW5" s="190"/>
      <c r="CZX5" s="190"/>
      <c r="CZY5" s="190"/>
      <c r="CZZ5" s="190"/>
      <c r="DAA5" s="190"/>
      <c r="DAB5" s="190"/>
      <c r="DAC5" s="190"/>
      <c r="DAD5" s="190"/>
      <c r="DAE5" s="190"/>
      <c r="DAF5" s="190"/>
      <c r="DAG5" s="190"/>
      <c r="DAH5" s="190"/>
      <c r="DAI5" s="190"/>
      <c r="DAJ5" s="190"/>
      <c r="DAK5" s="190"/>
      <c r="DAL5" s="190"/>
      <c r="DAM5" s="190"/>
      <c r="DAN5" s="190"/>
      <c r="DAO5" s="190"/>
      <c r="DAP5" s="190"/>
      <c r="DAQ5" s="190"/>
      <c r="DAR5" s="190"/>
      <c r="DAS5" s="190"/>
      <c r="DAT5" s="190"/>
      <c r="DAU5" s="190"/>
      <c r="DAV5" s="190"/>
      <c r="DAW5" s="190"/>
      <c r="DAX5" s="190"/>
      <c r="DAY5" s="190"/>
      <c r="DAZ5" s="190"/>
      <c r="DBA5" s="190"/>
      <c r="DBB5" s="190"/>
      <c r="DBC5" s="190"/>
      <c r="DBD5" s="190"/>
      <c r="DBE5" s="190"/>
      <c r="DBF5" s="190"/>
      <c r="DBG5" s="190"/>
      <c r="DBH5" s="190"/>
      <c r="DBI5" s="190"/>
      <c r="DBJ5" s="190"/>
      <c r="DBK5" s="190"/>
      <c r="DBL5" s="190"/>
      <c r="DBM5" s="190"/>
      <c r="DBN5" s="190"/>
      <c r="DBO5" s="190"/>
      <c r="DBP5" s="190"/>
      <c r="DBQ5" s="190"/>
      <c r="DBR5" s="190"/>
      <c r="DBS5" s="190"/>
      <c r="DBT5" s="190"/>
      <c r="DBU5" s="190"/>
      <c r="DBV5" s="190"/>
      <c r="DBW5" s="190"/>
      <c r="DBX5" s="190"/>
      <c r="DBY5" s="190"/>
      <c r="DBZ5" s="190"/>
      <c r="DCA5" s="190"/>
      <c r="DCB5" s="190"/>
      <c r="DCC5" s="190"/>
      <c r="DCD5" s="190"/>
      <c r="DCE5" s="190"/>
      <c r="DCF5" s="190"/>
      <c r="DCG5" s="190"/>
      <c r="DCH5" s="190"/>
      <c r="DCI5" s="190"/>
      <c r="DCJ5" s="190"/>
      <c r="DCK5" s="190"/>
      <c r="DCL5" s="190"/>
      <c r="DCM5" s="190"/>
      <c r="DCN5" s="190"/>
      <c r="DCO5" s="190"/>
      <c r="DCP5" s="190"/>
      <c r="DCQ5" s="190"/>
      <c r="DCR5" s="190"/>
      <c r="DCS5" s="190"/>
      <c r="DCT5" s="190"/>
      <c r="DCU5" s="190"/>
      <c r="DCV5" s="190"/>
      <c r="DCW5" s="190"/>
      <c r="DCX5" s="190"/>
      <c r="DCY5" s="190"/>
      <c r="DCZ5" s="190"/>
      <c r="DDA5" s="190"/>
      <c r="DDB5" s="190"/>
      <c r="DDC5" s="190"/>
      <c r="DDD5" s="190"/>
      <c r="DDE5" s="190"/>
      <c r="DDF5" s="190"/>
      <c r="DDG5" s="190"/>
      <c r="DDH5" s="190"/>
      <c r="DDI5" s="190"/>
      <c r="DDJ5" s="190"/>
      <c r="DDK5" s="190"/>
      <c r="DDL5" s="190"/>
      <c r="DDM5" s="190"/>
      <c r="DDN5" s="190"/>
      <c r="DDO5" s="190"/>
      <c r="DDP5" s="190"/>
      <c r="DDQ5" s="190"/>
      <c r="DDR5" s="190"/>
      <c r="DDS5" s="190"/>
      <c r="DDT5" s="190"/>
      <c r="DDU5" s="190"/>
      <c r="DDV5" s="190"/>
      <c r="DDW5" s="190"/>
      <c r="DDX5" s="190"/>
      <c r="DDY5" s="190"/>
      <c r="DDZ5" s="190"/>
      <c r="DEA5" s="190"/>
      <c r="DEB5" s="190"/>
      <c r="DEC5" s="190"/>
      <c r="DED5" s="190"/>
      <c r="DEE5" s="190"/>
      <c r="DEF5" s="190"/>
      <c r="DEG5" s="190"/>
      <c r="DEH5" s="190"/>
      <c r="DEI5" s="190"/>
      <c r="DEJ5" s="190"/>
      <c r="DEK5" s="190"/>
      <c r="DEL5" s="190"/>
      <c r="DEM5" s="190"/>
      <c r="DEN5" s="190"/>
      <c r="DEO5" s="190"/>
      <c r="DEP5" s="190"/>
      <c r="DEQ5" s="190"/>
      <c r="DER5" s="190"/>
      <c r="DES5" s="190"/>
      <c r="DET5" s="190"/>
      <c r="DEU5" s="190"/>
      <c r="DEV5" s="190"/>
      <c r="DEW5" s="190"/>
      <c r="DEX5" s="190"/>
      <c r="DEY5" s="190"/>
      <c r="DEZ5" s="190"/>
      <c r="DFA5" s="190"/>
      <c r="DFB5" s="190"/>
      <c r="DFC5" s="190"/>
      <c r="DFD5" s="190"/>
      <c r="DFE5" s="190"/>
      <c r="DFF5" s="190"/>
      <c r="DFG5" s="190"/>
      <c r="DFH5" s="190"/>
      <c r="DFI5" s="190"/>
      <c r="DFJ5" s="190"/>
      <c r="DFK5" s="190"/>
      <c r="DFL5" s="190"/>
      <c r="DFM5" s="190"/>
      <c r="DFN5" s="190"/>
      <c r="DFO5" s="190"/>
      <c r="DFP5" s="190"/>
      <c r="DFQ5" s="190"/>
      <c r="DFR5" s="190"/>
      <c r="DFS5" s="190"/>
      <c r="DFT5" s="190"/>
      <c r="DFU5" s="190"/>
      <c r="DFV5" s="190"/>
      <c r="DFW5" s="190"/>
      <c r="DFX5" s="190"/>
      <c r="DFY5" s="190"/>
      <c r="DFZ5" s="190"/>
      <c r="DGA5" s="190"/>
      <c r="DGB5" s="190"/>
      <c r="DGC5" s="190"/>
      <c r="DGD5" s="190"/>
      <c r="DGE5" s="190"/>
      <c r="DGF5" s="190"/>
      <c r="DGG5" s="190"/>
      <c r="DGH5" s="190"/>
      <c r="DGI5" s="190"/>
      <c r="DGJ5" s="190"/>
      <c r="DGK5" s="190"/>
      <c r="DGL5" s="190"/>
      <c r="DGM5" s="190"/>
      <c r="DGN5" s="190"/>
      <c r="DGO5" s="190"/>
      <c r="DGP5" s="190"/>
      <c r="DGQ5" s="190"/>
      <c r="DGR5" s="190"/>
      <c r="DGS5" s="190"/>
      <c r="DGT5" s="190"/>
      <c r="DGU5" s="190"/>
      <c r="DGV5" s="190"/>
      <c r="DGW5" s="190"/>
      <c r="DGX5" s="190"/>
      <c r="DGY5" s="190"/>
      <c r="DGZ5" s="190"/>
      <c r="DHA5" s="190"/>
      <c r="DHB5" s="190"/>
      <c r="DHC5" s="190"/>
      <c r="DHD5" s="190"/>
      <c r="DHE5" s="190"/>
      <c r="DHF5" s="190"/>
      <c r="DHG5" s="190"/>
      <c r="DHH5" s="190"/>
      <c r="DHI5" s="190"/>
      <c r="DHJ5" s="190"/>
      <c r="DHK5" s="190"/>
      <c r="DHL5" s="190"/>
      <c r="DHM5" s="190"/>
      <c r="DHN5" s="190"/>
      <c r="DHO5" s="190"/>
      <c r="DHP5" s="190"/>
      <c r="DHQ5" s="190"/>
      <c r="DHR5" s="190"/>
      <c r="DHS5" s="190"/>
      <c r="DHT5" s="190"/>
      <c r="DHU5" s="190"/>
      <c r="DHV5" s="190"/>
      <c r="DHW5" s="190"/>
      <c r="DHX5" s="190"/>
      <c r="DHY5" s="190"/>
      <c r="DHZ5" s="190"/>
      <c r="DIA5" s="190"/>
      <c r="DIB5" s="190"/>
      <c r="DIC5" s="190"/>
      <c r="DID5" s="190"/>
      <c r="DIE5" s="190"/>
      <c r="DIF5" s="190"/>
      <c r="DIG5" s="190"/>
      <c r="DIH5" s="190"/>
      <c r="DII5" s="190"/>
      <c r="DIJ5" s="190"/>
      <c r="DIK5" s="190"/>
      <c r="DIL5" s="190"/>
      <c r="DIM5" s="190"/>
      <c r="DIN5" s="190"/>
      <c r="DIO5" s="190"/>
      <c r="DIP5" s="190"/>
      <c r="DIQ5" s="190"/>
      <c r="DIR5" s="190"/>
      <c r="DIS5" s="190"/>
      <c r="DIT5" s="190"/>
      <c r="DIU5" s="190"/>
      <c r="DIV5" s="190"/>
      <c r="DIW5" s="190"/>
      <c r="DIX5" s="190"/>
      <c r="DIY5" s="190"/>
      <c r="DIZ5" s="190"/>
      <c r="DJA5" s="190"/>
      <c r="DJB5" s="190"/>
      <c r="DJC5" s="190"/>
      <c r="DJD5" s="190"/>
      <c r="DJE5" s="190"/>
      <c r="DJF5" s="190"/>
      <c r="DJG5" s="190"/>
      <c r="DJH5" s="190"/>
      <c r="DJI5" s="190"/>
      <c r="DJJ5" s="190"/>
      <c r="DJK5" s="190"/>
      <c r="DJL5" s="190"/>
      <c r="DJM5" s="190"/>
      <c r="DJN5" s="190"/>
      <c r="DJO5" s="190"/>
      <c r="DJP5" s="190"/>
      <c r="DJQ5" s="190"/>
      <c r="DJR5" s="190"/>
      <c r="DJS5" s="190"/>
      <c r="DJT5" s="190"/>
      <c r="DJU5" s="190"/>
      <c r="DJV5" s="190"/>
      <c r="DJW5" s="190"/>
      <c r="DJX5" s="190"/>
      <c r="DJY5" s="190"/>
      <c r="DJZ5" s="190"/>
      <c r="DKA5" s="190"/>
      <c r="DKB5" s="190"/>
      <c r="DKC5" s="190"/>
      <c r="DKD5" s="190"/>
      <c r="DKE5" s="190"/>
      <c r="DKF5" s="190"/>
      <c r="DKG5" s="190"/>
      <c r="DKH5" s="190"/>
      <c r="DKI5" s="190"/>
      <c r="DKJ5" s="190"/>
      <c r="DKK5" s="190"/>
      <c r="DKL5" s="190"/>
      <c r="DKM5" s="190"/>
      <c r="DKN5" s="190"/>
      <c r="DKO5" s="190"/>
      <c r="DKP5" s="190"/>
      <c r="DKQ5" s="190"/>
      <c r="DKR5" s="190"/>
      <c r="DKS5" s="190"/>
      <c r="DKT5" s="190"/>
      <c r="DKU5" s="190"/>
      <c r="DKV5" s="190"/>
      <c r="DKW5" s="190"/>
      <c r="DKX5" s="190"/>
      <c r="DKY5" s="190"/>
      <c r="DKZ5" s="190"/>
      <c r="DLA5" s="190"/>
      <c r="DLB5" s="190"/>
      <c r="DLC5" s="190"/>
      <c r="DLD5" s="190"/>
      <c r="DLE5" s="190"/>
      <c r="DLF5" s="190"/>
      <c r="DLG5" s="190"/>
      <c r="DLH5" s="190"/>
      <c r="DLI5" s="190"/>
      <c r="DLJ5" s="190"/>
      <c r="DLK5" s="190"/>
      <c r="DLL5" s="190"/>
      <c r="DLM5" s="190"/>
      <c r="DLN5" s="190"/>
      <c r="DLO5" s="190"/>
      <c r="DLP5" s="190"/>
      <c r="DLQ5" s="190"/>
      <c r="DLR5" s="190"/>
      <c r="DLS5" s="190"/>
      <c r="DLT5" s="190"/>
      <c r="DLU5" s="190"/>
      <c r="DLV5" s="190"/>
      <c r="DLW5" s="190"/>
      <c r="DLX5" s="190"/>
      <c r="DLY5" s="190"/>
      <c r="DLZ5" s="190"/>
      <c r="DMA5" s="190"/>
      <c r="DMB5" s="190"/>
      <c r="DMC5" s="190"/>
      <c r="DMD5" s="190"/>
      <c r="DME5" s="190"/>
      <c r="DMF5" s="190"/>
      <c r="DMG5" s="190"/>
      <c r="DMH5" s="190"/>
      <c r="DMI5" s="190"/>
      <c r="DMJ5" s="190"/>
      <c r="DMK5" s="190"/>
      <c r="DML5" s="190"/>
      <c r="DMM5" s="190"/>
      <c r="DMN5" s="190"/>
      <c r="DMO5" s="190"/>
      <c r="DMP5" s="190"/>
      <c r="DMQ5" s="190"/>
      <c r="DMR5" s="190"/>
      <c r="DMS5" s="190"/>
      <c r="DMT5" s="190"/>
      <c r="DMU5" s="190"/>
      <c r="DMV5" s="190"/>
      <c r="DMW5" s="190"/>
      <c r="DMX5" s="190"/>
      <c r="DMY5" s="190"/>
      <c r="DMZ5" s="190"/>
      <c r="DNA5" s="190"/>
      <c r="DNB5" s="190"/>
      <c r="DNC5" s="190"/>
      <c r="DND5" s="190"/>
      <c r="DNE5" s="190"/>
      <c r="DNF5" s="190"/>
      <c r="DNG5" s="190"/>
      <c r="DNH5" s="190"/>
      <c r="DNI5" s="190"/>
      <c r="DNJ5" s="190"/>
      <c r="DNK5" s="190"/>
      <c r="DNL5" s="190"/>
      <c r="DNM5" s="190"/>
      <c r="DNN5" s="190"/>
      <c r="DNO5" s="190"/>
      <c r="DNP5" s="190"/>
      <c r="DNQ5" s="190"/>
      <c r="DNR5" s="190"/>
      <c r="DNS5" s="190"/>
      <c r="DNT5" s="190"/>
      <c r="DNU5" s="190"/>
      <c r="DNV5" s="190"/>
      <c r="DNW5" s="190"/>
      <c r="DNX5" s="190"/>
      <c r="DNY5" s="190"/>
      <c r="DNZ5" s="190"/>
      <c r="DOA5" s="190"/>
      <c r="DOB5" s="190"/>
      <c r="DOC5" s="190"/>
      <c r="DOD5" s="190"/>
      <c r="DOE5" s="190"/>
      <c r="DOF5" s="190"/>
      <c r="DOG5" s="190"/>
      <c r="DOH5" s="190"/>
      <c r="DOI5" s="190"/>
      <c r="DOJ5" s="190"/>
      <c r="DOK5" s="190"/>
      <c r="DOL5" s="190"/>
      <c r="DOM5" s="190"/>
      <c r="DON5" s="190"/>
      <c r="DOO5" s="190"/>
      <c r="DOP5" s="190"/>
      <c r="DOQ5" s="190"/>
      <c r="DOR5" s="190"/>
      <c r="DOS5" s="190"/>
      <c r="DOT5" s="190"/>
      <c r="DOU5" s="190"/>
      <c r="DOV5" s="190"/>
      <c r="DOW5" s="190"/>
      <c r="DOX5" s="190"/>
      <c r="DOY5" s="190"/>
      <c r="DOZ5" s="190"/>
      <c r="DPA5" s="190"/>
      <c r="DPB5" s="190"/>
      <c r="DPC5" s="190"/>
      <c r="DPD5" s="190"/>
      <c r="DPE5" s="190"/>
      <c r="DPF5" s="190"/>
      <c r="DPG5" s="190"/>
      <c r="DPH5" s="190"/>
      <c r="DPI5" s="190"/>
      <c r="DPJ5" s="190"/>
      <c r="DPK5" s="190"/>
      <c r="DPL5" s="190"/>
      <c r="DPM5" s="190"/>
      <c r="DPN5" s="190"/>
      <c r="DPO5" s="190"/>
      <c r="DPP5" s="190"/>
      <c r="DPQ5" s="190"/>
      <c r="DPR5" s="190"/>
      <c r="DPS5" s="190"/>
      <c r="DPT5" s="190"/>
      <c r="DPU5" s="190"/>
      <c r="DPV5" s="190"/>
      <c r="DPW5" s="190"/>
      <c r="DPX5" s="190"/>
      <c r="DPY5" s="190"/>
      <c r="DPZ5" s="190"/>
      <c r="DQA5" s="190"/>
      <c r="DQB5" s="190"/>
      <c r="DQC5" s="190"/>
      <c r="DQD5" s="190"/>
      <c r="DQE5" s="190"/>
      <c r="DQF5" s="190"/>
      <c r="DQG5" s="190"/>
      <c r="DQH5" s="190"/>
      <c r="DQI5" s="190"/>
      <c r="DQJ5" s="190"/>
      <c r="DQK5" s="190"/>
      <c r="DQL5" s="190"/>
      <c r="DQM5" s="190"/>
      <c r="DQN5" s="190"/>
      <c r="DQO5" s="190"/>
      <c r="DQP5" s="190"/>
      <c r="DQQ5" s="190"/>
      <c r="DQR5" s="190"/>
      <c r="DQS5" s="190"/>
      <c r="DQT5" s="190"/>
      <c r="DQU5" s="190"/>
      <c r="DQV5" s="190"/>
      <c r="DQW5" s="190"/>
      <c r="DQX5" s="190"/>
      <c r="DQY5" s="190"/>
      <c r="DQZ5" s="190"/>
      <c r="DRA5" s="190"/>
      <c r="DRB5" s="190"/>
      <c r="DRC5" s="190"/>
      <c r="DRD5" s="190"/>
      <c r="DRE5" s="190"/>
      <c r="DRF5" s="190"/>
      <c r="DRG5" s="190"/>
      <c r="DRH5" s="190"/>
      <c r="DRI5" s="190"/>
      <c r="DRJ5" s="190"/>
      <c r="DRK5" s="190"/>
      <c r="DRL5" s="190"/>
      <c r="DRM5" s="190"/>
      <c r="DRN5" s="190"/>
      <c r="DRO5" s="190"/>
      <c r="DRP5" s="190"/>
      <c r="DRQ5" s="190"/>
      <c r="DRR5" s="190"/>
      <c r="DRS5" s="190"/>
      <c r="DRT5" s="190"/>
      <c r="DRU5" s="190"/>
      <c r="DRV5" s="190"/>
      <c r="DRW5" s="190"/>
      <c r="DRX5" s="190"/>
      <c r="DRY5" s="190"/>
      <c r="DRZ5" s="190"/>
      <c r="DSA5" s="190"/>
      <c r="DSB5" s="190"/>
      <c r="DSC5" s="190"/>
      <c r="DSD5" s="190"/>
      <c r="DSE5" s="190"/>
      <c r="DSF5" s="190"/>
      <c r="DSG5" s="190"/>
      <c r="DSH5" s="190"/>
      <c r="DSI5" s="190"/>
      <c r="DSJ5" s="190"/>
      <c r="DSK5" s="190"/>
      <c r="DSL5" s="190"/>
      <c r="DSM5" s="190"/>
      <c r="DSN5" s="190"/>
      <c r="DSO5" s="190"/>
      <c r="DSP5" s="190"/>
      <c r="DSQ5" s="190"/>
      <c r="DSR5" s="190"/>
      <c r="DSS5" s="190"/>
      <c r="DST5" s="190"/>
      <c r="DSU5" s="190"/>
      <c r="DSV5" s="190"/>
      <c r="DSW5" s="190"/>
      <c r="DSX5" s="190"/>
      <c r="DSY5" s="190"/>
      <c r="DSZ5" s="190"/>
      <c r="DTA5" s="190"/>
      <c r="DTB5" s="190"/>
      <c r="DTC5" s="190"/>
      <c r="DTD5" s="190"/>
      <c r="DTE5" s="190"/>
      <c r="DTF5" s="190"/>
      <c r="DTG5" s="190"/>
      <c r="DTH5" s="190"/>
      <c r="DTI5" s="190"/>
      <c r="DTJ5" s="190"/>
      <c r="DTK5" s="190"/>
      <c r="DTL5" s="190"/>
      <c r="DTM5" s="190"/>
      <c r="DTN5" s="190"/>
      <c r="DTO5" s="190"/>
      <c r="DTP5" s="190"/>
      <c r="DTQ5" s="190"/>
      <c r="DTR5" s="190"/>
      <c r="DTS5" s="190"/>
      <c r="DTT5" s="190"/>
      <c r="DTU5" s="190"/>
      <c r="DTV5" s="190"/>
      <c r="DTW5" s="190"/>
      <c r="DTX5" s="190"/>
      <c r="DTY5" s="190"/>
      <c r="DTZ5" s="190"/>
      <c r="DUA5" s="190"/>
      <c r="DUB5" s="190"/>
      <c r="DUC5" s="190"/>
      <c r="DUD5" s="190"/>
      <c r="DUE5" s="190"/>
      <c r="DUF5" s="190"/>
      <c r="DUG5" s="190"/>
      <c r="DUH5" s="190"/>
      <c r="DUI5" s="190"/>
      <c r="DUJ5" s="190"/>
      <c r="DUK5" s="190"/>
      <c r="DUL5" s="190"/>
      <c r="DUM5" s="190"/>
      <c r="DUN5" s="190"/>
      <c r="DUO5" s="190"/>
      <c r="DUP5" s="190"/>
      <c r="DUQ5" s="190"/>
      <c r="DUR5" s="190"/>
      <c r="DUS5" s="190"/>
      <c r="DUT5" s="190"/>
      <c r="DUU5" s="190"/>
      <c r="DUV5" s="190"/>
      <c r="DUW5" s="190"/>
      <c r="DUX5" s="190"/>
      <c r="DUY5" s="190"/>
      <c r="DUZ5" s="190"/>
      <c r="DVA5" s="190"/>
      <c r="DVB5" s="190"/>
      <c r="DVC5" s="190"/>
      <c r="DVD5" s="190"/>
      <c r="DVE5" s="190"/>
      <c r="DVF5" s="190"/>
      <c r="DVG5" s="190"/>
      <c r="DVH5" s="190"/>
      <c r="DVI5" s="190"/>
      <c r="DVJ5" s="190"/>
      <c r="DVK5" s="190"/>
      <c r="DVL5" s="190"/>
      <c r="DVM5" s="190"/>
      <c r="DVN5" s="190"/>
      <c r="DVO5" s="190"/>
      <c r="DVP5" s="190"/>
      <c r="DVQ5" s="190"/>
      <c r="DVR5" s="190"/>
      <c r="DVS5" s="190"/>
      <c r="DVT5" s="190"/>
      <c r="DVU5" s="190"/>
      <c r="DVV5" s="190"/>
      <c r="DVW5" s="190"/>
      <c r="DVX5" s="190"/>
      <c r="DVY5" s="190"/>
      <c r="DVZ5" s="190"/>
      <c r="DWA5" s="190"/>
      <c r="DWB5" s="190"/>
      <c r="DWC5" s="190"/>
      <c r="DWD5" s="190"/>
      <c r="DWE5" s="190"/>
      <c r="DWF5" s="190"/>
      <c r="DWG5" s="190"/>
      <c r="DWH5" s="190"/>
      <c r="DWI5" s="190"/>
      <c r="DWJ5" s="190"/>
      <c r="DWK5" s="190"/>
      <c r="DWL5" s="190"/>
      <c r="DWM5" s="190"/>
      <c r="DWN5" s="190"/>
      <c r="DWO5" s="190"/>
      <c r="DWP5" s="190"/>
      <c r="DWQ5" s="190"/>
      <c r="DWR5" s="190"/>
      <c r="DWS5" s="190"/>
      <c r="DWT5" s="190"/>
      <c r="DWU5" s="190"/>
      <c r="DWV5" s="190"/>
      <c r="DWW5" s="190"/>
      <c r="DWX5" s="190"/>
      <c r="DWY5" s="190"/>
      <c r="DWZ5" s="190"/>
      <c r="DXA5" s="190"/>
      <c r="DXB5" s="190"/>
      <c r="DXC5" s="190"/>
      <c r="DXD5" s="190"/>
      <c r="DXE5" s="190"/>
      <c r="DXF5" s="190"/>
      <c r="DXG5" s="190"/>
      <c r="DXH5" s="190"/>
      <c r="DXI5" s="190"/>
      <c r="DXJ5" s="190"/>
      <c r="DXK5" s="190"/>
      <c r="DXL5" s="190"/>
      <c r="DXM5" s="190"/>
      <c r="DXN5" s="190"/>
      <c r="DXO5" s="190"/>
      <c r="DXP5" s="190"/>
      <c r="DXQ5" s="190"/>
      <c r="DXR5" s="190"/>
      <c r="DXS5" s="190"/>
      <c r="DXT5" s="190"/>
      <c r="DXU5" s="190"/>
      <c r="DXV5" s="190"/>
      <c r="DXW5" s="190"/>
      <c r="DXX5" s="190"/>
      <c r="DXY5" s="190"/>
      <c r="DXZ5" s="190"/>
      <c r="DYA5" s="190"/>
      <c r="DYB5" s="190"/>
      <c r="DYC5" s="190"/>
      <c r="DYD5" s="190"/>
      <c r="DYE5" s="190"/>
      <c r="DYF5" s="190"/>
      <c r="DYG5" s="190"/>
      <c r="DYH5" s="190"/>
      <c r="DYI5" s="190"/>
      <c r="DYJ5" s="190"/>
      <c r="DYK5" s="190"/>
      <c r="DYL5" s="190"/>
      <c r="DYM5" s="190"/>
      <c r="DYN5" s="190"/>
      <c r="DYO5" s="190"/>
      <c r="DYP5" s="190"/>
      <c r="DYQ5" s="190"/>
      <c r="DYR5" s="190"/>
      <c r="DYS5" s="190"/>
      <c r="DYT5" s="190"/>
      <c r="DYU5" s="190"/>
      <c r="DYV5" s="190"/>
      <c r="DYW5" s="190"/>
      <c r="DYX5" s="190"/>
      <c r="DYY5" s="190"/>
      <c r="DYZ5" s="190"/>
      <c r="DZA5" s="190"/>
      <c r="DZB5" s="190"/>
      <c r="DZC5" s="190"/>
      <c r="DZD5" s="190"/>
      <c r="DZE5" s="190"/>
      <c r="DZF5" s="190"/>
      <c r="DZG5" s="190"/>
      <c r="DZH5" s="190"/>
      <c r="DZI5" s="190"/>
      <c r="DZJ5" s="190"/>
      <c r="DZK5" s="190"/>
      <c r="DZL5" s="190"/>
      <c r="DZM5" s="190"/>
      <c r="DZN5" s="190"/>
      <c r="DZO5" s="190"/>
      <c r="DZP5" s="190"/>
      <c r="DZQ5" s="190"/>
      <c r="DZR5" s="190"/>
      <c r="DZS5" s="190"/>
      <c r="DZT5" s="190"/>
      <c r="DZU5" s="190"/>
      <c r="DZV5" s="190"/>
      <c r="DZW5" s="190"/>
      <c r="DZX5" s="190"/>
      <c r="DZY5" s="190"/>
      <c r="DZZ5" s="190"/>
      <c r="EAA5" s="190"/>
      <c r="EAB5" s="190"/>
      <c r="EAC5" s="190"/>
      <c r="EAD5" s="190"/>
      <c r="EAE5" s="190"/>
      <c r="EAF5" s="190"/>
      <c r="EAG5" s="190"/>
      <c r="EAH5" s="190"/>
      <c r="EAI5" s="190"/>
      <c r="EAJ5" s="190"/>
      <c r="EAK5" s="190"/>
      <c r="EAL5" s="190"/>
      <c r="EAM5" s="190"/>
      <c r="EAN5" s="190"/>
      <c r="EAO5" s="190"/>
      <c r="EAP5" s="190"/>
      <c r="EAQ5" s="190"/>
      <c r="EAR5" s="190"/>
      <c r="EAS5" s="190"/>
      <c r="EAT5" s="190"/>
      <c r="EAU5" s="190"/>
      <c r="EAV5" s="190"/>
      <c r="EAW5" s="190"/>
      <c r="EAX5" s="190"/>
      <c r="EAY5" s="190"/>
      <c r="EAZ5" s="190"/>
      <c r="EBA5" s="190"/>
      <c r="EBB5" s="190"/>
      <c r="EBC5" s="190"/>
      <c r="EBD5" s="190"/>
      <c r="EBE5" s="190"/>
      <c r="EBF5" s="190"/>
      <c r="EBG5" s="190"/>
      <c r="EBH5" s="190"/>
      <c r="EBI5" s="190"/>
      <c r="EBJ5" s="190"/>
      <c r="EBK5" s="190"/>
      <c r="EBL5" s="190"/>
      <c r="EBM5" s="190"/>
      <c r="EBN5" s="190"/>
      <c r="EBO5" s="190"/>
      <c r="EBP5" s="190"/>
      <c r="EBQ5" s="190"/>
      <c r="EBR5" s="190"/>
      <c r="EBS5" s="190"/>
      <c r="EBT5" s="190"/>
      <c r="EBU5" s="190"/>
      <c r="EBV5" s="190"/>
      <c r="EBW5" s="190"/>
      <c r="EBX5" s="190"/>
      <c r="EBY5" s="190"/>
      <c r="EBZ5" s="190"/>
      <c r="ECA5" s="190"/>
      <c r="ECB5" s="190"/>
      <c r="ECC5" s="190"/>
      <c r="ECD5" s="190"/>
      <c r="ECE5" s="190"/>
      <c r="ECF5" s="190"/>
      <c r="ECG5" s="190"/>
      <c r="ECH5" s="190"/>
      <c r="ECI5" s="190"/>
      <c r="ECJ5" s="190"/>
      <c r="ECK5" s="190"/>
      <c r="ECL5" s="190"/>
      <c r="ECM5" s="190"/>
      <c r="ECN5" s="190"/>
      <c r="ECO5" s="190"/>
      <c r="ECP5" s="190"/>
      <c r="ECQ5" s="190"/>
      <c r="ECR5" s="190"/>
      <c r="ECS5" s="190"/>
      <c r="ECT5" s="190"/>
      <c r="ECU5" s="190"/>
      <c r="ECV5" s="190"/>
      <c r="ECW5" s="190"/>
      <c r="ECX5" s="190"/>
      <c r="ECY5" s="190"/>
      <c r="ECZ5" s="190"/>
      <c r="EDA5" s="190"/>
      <c r="EDB5" s="190"/>
      <c r="EDC5" s="190"/>
      <c r="EDD5" s="190"/>
      <c r="EDE5" s="190"/>
      <c r="EDF5" s="190"/>
      <c r="EDG5" s="190"/>
      <c r="EDH5" s="190"/>
      <c r="EDI5" s="190"/>
      <c r="EDJ5" s="190"/>
      <c r="EDK5" s="190"/>
      <c r="EDL5" s="190"/>
      <c r="EDM5" s="190"/>
      <c r="EDN5" s="190"/>
      <c r="EDO5" s="190"/>
      <c r="EDP5" s="190"/>
      <c r="EDQ5" s="190"/>
      <c r="EDR5" s="190"/>
      <c r="EDS5" s="190"/>
      <c r="EDT5" s="190"/>
      <c r="EDU5" s="190"/>
      <c r="EDV5" s="190"/>
      <c r="EDW5" s="190"/>
      <c r="EDX5" s="190"/>
      <c r="EDY5" s="190"/>
      <c r="EDZ5" s="190"/>
      <c r="EEA5" s="190"/>
      <c r="EEB5" s="190"/>
      <c r="EEC5" s="190"/>
      <c r="EED5" s="190"/>
      <c r="EEE5" s="190"/>
      <c r="EEF5" s="190"/>
      <c r="EEG5" s="190"/>
      <c r="EEH5" s="190"/>
      <c r="EEI5" s="190"/>
      <c r="EEJ5" s="190"/>
      <c r="EEK5" s="190"/>
      <c r="EEL5" s="190"/>
      <c r="EEM5" s="190"/>
      <c r="EEN5" s="190"/>
      <c r="EEO5" s="190"/>
      <c r="EEP5" s="190"/>
      <c r="EEQ5" s="190"/>
      <c r="EER5" s="190"/>
      <c r="EES5" s="190"/>
      <c r="EET5" s="190"/>
      <c r="EEU5" s="190"/>
      <c r="EEV5" s="190"/>
      <c r="EEW5" s="190"/>
      <c r="EEX5" s="190"/>
      <c r="EEY5" s="190"/>
      <c r="EEZ5" s="190"/>
      <c r="EFA5" s="190"/>
      <c r="EFB5" s="190"/>
      <c r="EFC5" s="190"/>
      <c r="EFD5" s="190"/>
      <c r="EFE5" s="190"/>
      <c r="EFF5" s="190"/>
      <c r="EFG5" s="190"/>
      <c r="EFH5" s="190"/>
      <c r="EFI5" s="190"/>
      <c r="EFJ5" s="190"/>
      <c r="EFK5" s="190"/>
      <c r="EFL5" s="190"/>
      <c r="EFM5" s="190"/>
      <c r="EFN5" s="190"/>
      <c r="EFO5" s="190"/>
      <c r="EFP5" s="190"/>
      <c r="EFQ5" s="190"/>
      <c r="EFR5" s="190"/>
      <c r="EFS5" s="190"/>
      <c r="EFT5" s="190"/>
      <c r="EFU5" s="190"/>
      <c r="EFV5" s="190"/>
      <c r="EFW5" s="190"/>
      <c r="EFX5" s="190"/>
      <c r="EFY5" s="190"/>
      <c r="EFZ5" s="190"/>
      <c r="EGA5" s="190"/>
      <c r="EGB5" s="190"/>
      <c r="EGC5" s="190"/>
      <c r="EGD5" s="190"/>
      <c r="EGE5" s="190"/>
      <c r="EGF5" s="190"/>
      <c r="EGG5" s="190"/>
      <c r="EGH5" s="190"/>
      <c r="EGI5" s="190"/>
      <c r="EGJ5" s="190"/>
      <c r="EGK5" s="190"/>
      <c r="EGL5" s="190"/>
      <c r="EGM5" s="190"/>
      <c r="EGN5" s="190"/>
      <c r="EGO5" s="190"/>
      <c r="EGP5" s="190"/>
      <c r="EGQ5" s="190"/>
      <c r="EGR5" s="190"/>
      <c r="EGS5" s="190"/>
      <c r="EGT5" s="190"/>
      <c r="EGU5" s="190"/>
      <c r="EGV5" s="190"/>
      <c r="EGW5" s="190"/>
      <c r="EGX5" s="190"/>
      <c r="EGY5" s="190"/>
      <c r="EGZ5" s="190"/>
      <c r="EHA5" s="190"/>
      <c r="EHB5" s="190"/>
      <c r="EHC5" s="190"/>
      <c r="EHD5" s="190"/>
      <c r="EHE5" s="190"/>
      <c r="EHF5" s="190"/>
      <c r="EHG5" s="190"/>
      <c r="EHH5" s="190"/>
      <c r="EHI5" s="190"/>
      <c r="EHJ5" s="190"/>
      <c r="EHK5" s="190"/>
      <c r="EHL5" s="190"/>
      <c r="EHM5" s="190"/>
      <c r="EHN5" s="190"/>
      <c r="EHO5" s="190"/>
      <c r="EHP5" s="190"/>
      <c r="EHQ5" s="190"/>
      <c r="EHR5" s="190"/>
      <c r="EHS5" s="190"/>
      <c r="EHT5" s="190"/>
      <c r="EHU5" s="190"/>
      <c r="EHV5" s="190"/>
      <c r="EHW5" s="190"/>
      <c r="EHX5" s="190"/>
      <c r="EHY5" s="190"/>
      <c r="EHZ5" s="190"/>
      <c r="EIA5" s="190"/>
      <c r="EIB5" s="190"/>
      <c r="EIC5" s="190"/>
      <c r="EID5" s="190"/>
      <c r="EIE5" s="190"/>
      <c r="EIF5" s="190"/>
      <c r="EIG5" s="190"/>
      <c r="EIH5" s="190"/>
      <c r="EII5" s="190"/>
      <c r="EIJ5" s="190"/>
      <c r="EIK5" s="190"/>
      <c r="EIL5" s="190"/>
      <c r="EIM5" s="190"/>
      <c r="EIN5" s="190"/>
      <c r="EIO5" s="190"/>
      <c r="EIP5" s="190"/>
      <c r="EIQ5" s="190"/>
      <c r="EIR5" s="190"/>
      <c r="EIS5" s="190"/>
      <c r="EIT5" s="190"/>
      <c r="EIU5" s="190"/>
      <c r="EIV5" s="190"/>
      <c r="EIW5" s="190"/>
      <c r="EIX5" s="190"/>
      <c r="EIY5" s="190"/>
      <c r="EIZ5" s="190"/>
      <c r="EJA5" s="190"/>
      <c r="EJB5" s="190"/>
      <c r="EJC5" s="190"/>
      <c r="EJD5" s="190"/>
      <c r="EJE5" s="190"/>
      <c r="EJF5" s="190"/>
      <c r="EJG5" s="190"/>
      <c r="EJH5" s="190"/>
      <c r="EJI5" s="190"/>
      <c r="EJJ5" s="190"/>
      <c r="EJK5" s="190"/>
      <c r="EJL5" s="190"/>
      <c r="EJM5" s="190"/>
      <c r="EJN5" s="190"/>
      <c r="EJO5" s="190"/>
      <c r="EJP5" s="190"/>
      <c r="EJQ5" s="190"/>
      <c r="EJR5" s="190"/>
      <c r="EJS5" s="190"/>
      <c r="EJT5" s="190"/>
      <c r="EJU5" s="190"/>
      <c r="EJV5" s="190"/>
      <c r="EJW5" s="190"/>
      <c r="EJX5" s="190"/>
      <c r="EJY5" s="190"/>
      <c r="EJZ5" s="190"/>
      <c r="EKA5" s="190"/>
      <c r="EKB5" s="190"/>
      <c r="EKC5" s="190"/>
      <c r="EKD5" s="190"/>
      <c r="EKE5" s="190"/>
      <c r="EKF5" s="190"/>
      <c r="EKG5" s="190"/>
      <c r="EKH5" s="190"/>
      <c r="EKI5" s="190"/>
      <c r="EKJ5" s="190"/>
      <c r="EKK5" s="190"/>
      <c r="EKL5" s="190"/>
      <c r="EKM5" s="190"/>
      <c r="EKN5" s="190"/>
      <c r="EKO5" s="190"/>
      <c r="EKP5" s="190"/>
      <c r="EKQ5" s="190"/>
      <c r="EKR5" s="190"/>
      <c r="EKS5" s="190"/>
      <c r="EKT5" s="190"/>
      <c r="EKU5" s="190"/>
      <c r="EKV5" s="190"/>
      <c r="EKW5" s="190"/>
      <c r="EKX5" s="190"/>
      <c r="EKY5" s="190"/>
      <c r="EKZ5" s="190"/>
      <c r="ELA5" s="190"/>
      <c r="ELB5" s="190"/>
      <c r="ELC5" s="190"/>
      <c r="ELD5" s="190"/>
      <c r="ELE5" s="190"/>
      <c r="ELF5" s="190"/>
      <c r="ELG5" s="190"/>
      <c r="ELH5" s="190"/>
      <c r="ELI5" s="190"/>
      <c r="ELJ5" s="190"/>
      <c r="ELK5" s="190"/>
      <c r="ELL5" s="190"/>
      <c r="ELM5" s="190"/>
      <c r="ELN5" s="190"/>
      <c r="ELO5" s="190"/>
      <c r="ELP5" s="190"/>
      <c r="ELQ5" s="190"/>
      <c r="ELR5" s="190"/>
      <c r="ELS5" s="190"/>
      <c r="ELT5" s="190"/>
      <c r="ELU5" s="190"/>
      <c r="ELV5" s="190"/>
      <c r="ELW5" s="190"/>
      <c r="ELX5" s="190"/>
      <c r="ELY5" s="190"/>
      <c r="ELZ5" s="190"/>
      <c r="EMA5" s="190"/>
      <c r="EMB5" s="190"/>
      <c r="EMC5" s="190"/>
      <c r="EMD5" s="190"/>
      <c r="EME5" s="190"/>
      <c r="EMF5" s="190"/>
      <c r="EMG5" s="190"/>
      <c r="EMH5" s="190"/>
      <c r="EMI5" s="190"/>
      <c r="EMJ5" s="190"/>
      <c r="EMK5" s="190"/>
      <c r="EML5" s="190"/>
      <c r="EMM5" s="190"/>
      <c r="EMN5" s="190"/>
      <c r="EMO5" s="190"/>
      <c r="EMP5" s="190"/>
      <c r="EMQ5" s="190"/>
      <c r="EMR5" s="190"/>
      <c r="EMS5" s="190"/>
      <c r="EMT5" s="190"/>
      <c r="EMU5" s="190"/>
      <c r="EMV5" s="190"/>
      <c r="EMW5" s="190"/>
      <c r="EMX5" s="190"/>
      <c r="EMY5" s="190"/>
      <c r="EMZ5" s="190"/>
      <c r="ENA5" s="190"/>
      <c r="ENB5" s="190"/>
      <c r="ENC5" s="190"/>
      <c r="END5" s="190"/>
      <c r="ENE5" s="190"/>
      <c r="ENF5" s="190"/>
      <c r="ENG5" s="190"/>
      <c r="ENH5" s="190"/>
      <c r="ENI5" s="190"/>
      <c r="ENJ5" s="190"/>
      <c r="ENK5" s="190"/>
      <c r="ENL5" s="190"/>
      <c r="ENM5" s="190"/>
      <c r="ENN5" s="190"/>
      <c r="ENO5" s="190"/>
      <c r="ENP5" s="190"/>
      <c r="ENQ5" s="190"/>
      <c r="ENR5" s="190"/>
      <c r="ENS5" s="190"/>
      <c r="ENT5" s="190"/>
      <c r="ENU5" s="190"/>
      <c r="ENV5" s="190"/>
      <c r="ENW5" s="190"/>
      <c r="ENX5" s="190"/>
      <c r="ENY5" s="190"/>
      <c r="ENZ5" s="190"/>
      <c r="EOA5" s="190"/>
      <c r="EOB5" s="190"/>
      <c r="EOC5" s="190"/>
      <c r="EOD5" s="190"/>
      <c r="EOE5" s="190"/>
      <c r="EOF5" s="190"/>
      <c r="EOG5" s="190"/>
      <c r="EOH5" s="190"/>
      <c r="EOI5" s="190"/>
      <c r="EOJ5" s="190"/>
      <c r="EOK5" s="190"/>
      <c r="EOL5" s="190"/>
      <c r="EOM5" s="190"/>
      <c r="EON5" s="190"/>
      <c r="EOO5" s="190"/>
      <c r="EOP5" s="190"/>
      <c r="EOQ5" s="190"/>
      <c r="EOR5" s="190"/>
      <c r="EOS5" s="190"/>
      <c r="EOT5" s="190"/>
      <c r="EOU5" s="190"/>
      <c r="EOV5" s="190"/>
      <c r="EOW5" s="190"/>
      <c r="EOX5" s="190"/>
      <c r="EOY5" s="190"/>
      <c r="EOZ5" s="190"/>
      <c r="EPA5" s="190"/>
      <c r="EPB5" s="190"/>
      <c r="EPC5" s="190"/>
      <c r="EPD5" s="190"/>
      <c r="EPE5" s="190"/>
      <c r="EPF5" s="190"/>
      <c r="EPG5" s="190"/>
      <c r="EPH5" s="190"/>
      <c r="EPI5" s="190"/>
      <c r="EPJ5" s="190"/>
      <c r="EPK5" s="190"/>
      <c r="EPL5" s="190"/>
      <c r="EPM5" s="190"/>
      <c r="EPN5" s="190"/>
      <c r="EPO5" s="190"/>
      <c r="EPP5" s="190"/>
      <c r="EPQ5" s="190"/>
      <c r="EPR5" s="190"/>
      <c r="EPS5" s="190"/>
      <c r="EPT5" s="190"/>
      <c r="EPU5" s="190"/>
      <c r="EPV5" s="190"/>
      <c r="EPW5" s="190"/>
      <c r="EPX5" s="190"/>
      <c r="EPY5" s="190"/>
      <c r="EPZ5" s="190"/>
      <c r="EQA5" s="190"/>
      <c r="EQB5" s="190"/>
      <c r="EQC5" s="190"/>
      <c r="EQD5" s="190"/>
      <c r="EQE5" s="190"/>
      <c r="EQF5" s="190"/>
      <c r="EQG5" s="190"/>
      <c r="EQH5" s="190"/>
      <c r="EQI5" s="190"/>
      <c r="EQJ5" s="190"/>
      <c r="EQK5" s="190"/>
      <c r="EQL5" s="190"/>
      <c r="EQM5" s="190"/>
      <c r="EQN5" s="190"/>
      <c r="EQO5" s="190"/>
      <c r="EQP5" s="190"/>
      <c r="EQQ5" s="190"/>
      <c r="EQR5" s="190"/>
      <c r="EQS5" s="190"/>
      <c r="EQT5" s="190"/>
      <c r="EQU5" s="190"/>
      <c r="EQV5" s="190"/>
      <c r="EQW5" s="190"/>
      <c r="EQX5" s="190"/>
      <c r="EQY5" s="190"/>
      <c r="EQZ5" s="190"/>
      <c r="ERA5" s="190"/>
      <c r="ERB5" s="190"/>
      <c r="ERC5" s="190"/>
      <c r="ERD5" s="190"/>
      <c r="ERE5" s="190"/>
      <c r="ERF5" s="190"/>
      <c r="ERG5" s="190"/>
      <c r="ERH5" s="190"/>
      <c r="ERI5" s="190"/>
      <c r="ERJ5" s="190"/>
      <c r="ERK5" s="190"/>
      <c r="ERL5" s="190"/>
      <c r="ERM5" s="190"/>
      <c r="ERN5" s="190"/>
      <c r="ERO5" s="190"/>
      <c r="ERP5" s="190"/>
      <c r="ERQ5" s="190"/>
      <c r="ERR5" s="190"/>
      <c r="ERS5" s="190"/>
      <c r="ERT5" s="190"/>
      <c r="ERU5" s="190"/>
      <c r="ERV5" s="190"/>
      <c r="ERW5" s="190"/>
      <c r="ERX5" s="190"/>
      <c r="ERY5" s="190"/>
      <c r="ERZ5" s="190"/>
      <c r="ESA5" s="190"/>
      <c r="ESB5" s="190"/>
      <c r="ESC5" s="190"/>
      <c r="ESD5" s="190"/>
      <c r="ESE5" s="190"/>
      <c r="ESF5" s="190"/>
      <c r="ESG5" s="190"/>
      <c r="ESH5" s="190"/>
      <c r="ESI5" s="190"/>
      <c r="ESJ5" s="190"/>
      <c r="ESK5" s="190"/>
      <c r="ESL5" s="190"/>
      <c r="ESM5" s="190"/>
      <c r="ESN5" s="190"/>
      <c r="ESO5" s="190"/>
      <c r="ESP5" s="190"/>
      <c r="ESQ5" s="190"/>
      <c r="ESR5" s="190"/>
      <c r="ESS5" s="190"/>
      <c r="EST5" s="190"/>
      <c r="ESU5" s="190"/>
      <c r="ESV5" s="190"/>
      <c r="ESW5" s="190"/>
      <c r="ESX5" s="190"/>
      <c r="ESY5" s="190"/>
      <c r="ESZ5" s="190"/>
      <c r="ETA5" s="190"/>
      <c r="ETB5" s="190"/>
      <c r="ETC5" s="190"/>
      <c r="ETD5" s="190"/>
      <c r="ETE5" s="190"/>
      <c r="ETF5" s="190"/>
      <c r="ETG5" s="190"/>
      <c r="ETH5" s="190"/>
      <c r="ETI5" s="190"/>
      <c r="ETJ5" s="190"/>
      <c r="ETK5" s="190"/>
      <c r="ETL5" s="190"/>
      <c r="ETM5" s="190"/>
      <c r="ETN5" s="190"/>
      <c r="ETO5" s="190"/>
      <c r="ETP5" s="190"/>
      <c r="ETQ5" s="190"/>
      <c r="ETR5" s="190"/>
      <c r="ETS5" s="190"/>
      <c r="ETT5" s="190"/>
      <c r="ETU5" s="190"/>
      <c r="ETV5" s="190"/>
      <c r="ETW5" s="190"/>
      <c r="ETX5" s="190"/>
      <c r="ETY5" s="190"/>
      <c r="ETZ5" s="190"/>
      <c r="EUA5" s="190"/>
      <c r="EUB5" s="190"/>
      <c r="EUC5" s="190"/>
      <c r="EUD5" s="190"/>
      <c r="EUE5" s="190"/>
      <c r="EUF5" s="190"/>
      <c r="EUG5" s="190"/>
      <c r="EUH5" s="190"/>
      <c r="EUI5" s="190"/>
      <c r="EUJ5" s="190"/>
      <c r="EUK5" s="190"/>
      <c r="EUL5" s="190"/>
      <c r="EUM5" s="190"/>
      <c r="EUN5" s="190"/>
      <c r="EUO5" s="190"/>
      <c r="EUP5" s="190"/>
      <c r="EUQ5" s="190"/>
      <c r="EUR5" s="190"/>
      <c r="EUS5" s="190"/>
      <c r="EUT5" s="190"/>
      <c r="EUU5" s="190"/>
      <c r="EUV5" s="190"/>
      <c r="EUW5" s="190"/>
      <c r="EUX5" s="190"/>
      <c r="EUY5" s="190"/>
      <c r="EUZ5" s="190"/>
      <c r="EVA5" s="190"/>
      <c r="EVB5" s="190"/>
      <c r="EVC5" s="190"/>
      <c r="EVD5" s="190"/>
      <c r="EVE5" s="190"/>
      <c r="EVF5" s="190"/>
      <c r="EVG5" s="190"/>
      <c r="EVH5" s="190"/>
      <c r="EVI5" s="190"/>
      <c r="EVJ5" s="190"/>
      <c r="EVK5" s="190"/>
      <c r="EVL5" s="190"/>
      <c r="EVM5" s="190"/>
      <c r="EVN5" s="190"/>
      <c r="EVO5" s="190"/>
      <c r="EVP5" s="190"/>
      <c r="EVQ5" s="190"/>
      <c r="EVR5" s="190"/>
      <c r="EVS5" s="190"/>
      <c r="EVT5" s="190"/>
      <c r="EVU5" s="190"/>
      <c r="EVV5" s="190"/>
      <c r="EVW5" s="190"/>
      <c r="EVX5" s="190"/>
      <c r="EVY5" s="190"/>
      <c r="EVZ5" s="190"/>
      <c r="EWA5" s="190"/>
      <c r="EWB5" s="190"/>
      <c r="EWC5" s="190"/>
      <c r="EWD5" s="190"/>
      <c r="EWE5" s="190"/>
      <c r="EWF5" s="190"/>
      <c r="EWG5" s="190"/>
      <c r="EWH5" s="190"/>
      <c r="EWI5" s="190"/>
      <c r="EWJ5" s="190"/>
      <c r="EWK5" s="190"/>
      <c r="EWL5" s="190"/>
      <c r="EWM5" s="190"/>
      <c r="EWN5" s="190"/>
      <c r="EWO5" s="190"/>
      <c r="EWP5" s="190"/>
      <c r="EWQ5" s="190"/>
      <c r="EWR5" s="190"/>
      <c r="EWS5" s="190"/>
      <c r="EWT5" s="190"/>
      <c r="EWU5" s="190"/>
      <c r="EWV5" s="190"/>
      <c r="EWW5" s="190"/>
      <c r="EWX5" s="190"/>
      <c r="EWY5" s="190"/>
      <c r="EWZ5" s="190"/>
      <c r="EXA5" s="190"/>
      <c r="EXB5" s="190"/>
      <c r="EXC5" s="190"/>
      <c r="EXD5" s="190"/>
      <c r="EXE5" s="190"/>
      <c r="EXF5" s="190"/>
      <c r="EXG5" s="190"/>
      <c r="EXH5" s="190"/>
      <c r="EXI5" s="190"/>
      <c r="EXJ5" s="190"/>
      <c r="EXK5" s="190"/>
      <c r="EXL5" s="190"/>
      <c r="EXM5" s="190"/>
      <c r="EXN5" s="190"/>
      <c r="EXO5" s="190"/>
      <c r="EXP5" s="190"/>
      <c r="EXQ5" s="190"/>
      <c r="EXR5" s="190"/>
      <c r="EXS5" s="190"/>
      <c r="EXT5" s="190"/>
      <c r="EXU5" s="190"/>
      <c r="EXV5" s="190"/>
      <c r="EXW5" s="190"/>
      <c r="EXX5" s="190"/>
      <c r="EXY5" s="190"/>
      <c r="EXZ5" s="190"/>
      <c r="EYA5" s="190"/>
      <c r="EYB5" s="190"/>
      <c r="EYC5" s="190"/>
      <c r="EYD5" s="190"/>
      <c r="EYE5" s="190"/>
      <c r="EYF5" s="190"/>
      <c r="EYG5" s="190"/>
      <c r="EYH5" s="190"/>
      <c r="EYI5" s="190"/>
      <c r="EYJ5" s="190"/>
      <c r="EYK5" s="190"/>
      <c r="EYL5" s="190"/>
      <c r="EYM5" s="190"/>
      <c r="EYN5" s="190"/>
      <c r="EYO5" s="190"/>
      <c r="EYP5" s="190"/>
      <c r="EYQ5" s="190"/>
      <c r="EYR5" s="190"/>
      <c r="EYS5" s="190"/>
      <c r="EYT5" s="190"/>
      <c r="EYU5" s="190"/>
      <c r="EYV5" s="190"/>
      <c r="EYW5" s="190"/>
      <c r="EYX5" s="190"/>
      <c r="EYY5" s="190"/>
      <c r="EYZ5" s="190"/>
      <c r="EZA5" s="190"/>
      <c r="EZB5" s="190"/>
      <c r="EZC5" s="190"/>
      <c r="EZD5" s="190"/>
      <c r="EZE5" s="190"/>
      <c r="EZF5" s="190"/>
      <c r="EZG5" s="190"/>
      <c r="EZH5" s="190"/>
      <c r="EZI5" s="190"/>
      <c r="EZJ5" s="190"/>
      <c r="EZK5" s="190"/>
      <c r="EZL5" s="190"/>
      <c r="EZM5" s="190"/>
      <c r="EZN5" s="190"/>
      <c r="EZO5" s="190"/>
      <c r="EZP5" s="190"/>
      <c r="EZQ5" s="190"/>
      <c r="EZR5" s="190"/>
      <c r="EZS5" s="190"/>
      <c r="EZT5" s="190"/>
      <c r="EZU5" s="190"/>
      <c r="EZV5" s="190"/>
      <c r="EZW5" s="190"/>
      <c r="EZX5" s="190"/>
      <c r="EZY5" s="190"/>
      <c r="EZZ5" s="190"/>
      <c r="FAA5" s="190"/>
      <c r="FAB5" s="190"/>
      <c r="FAC5" s="190"/>
      <c r="FAD5" s="190"/>
      <c r="FAE5" s="190"/>
      <c r="FAF5" s="190"/>
      <c r="FAG5" s="190"/>
      <c r="FAH5" s="190"/>
      <c r="FAI5" s="190"/>
      <c r="FAJ5" s="190"/>
      <c r="FAK5" s="190"/>
      <c r="FAL5" s="190"/>
      <c r="FAM5" s="190"/>
      <c r="FAN5" s="190"/>
      <c r="FAO5" s="190"/>
      <c r="FAP5" s="190"/>
      <c r="FAQ5" s="190"/>
      <c r="FAR5" s="190"/>
      <c r="FAS5" s="190"/>
      <c r="FAT5" s="190"/>
      <c r="FAU5" s="190"/>
      <c r="FAV5" s="190"/>
      <c r="FAW5" s="190"/>
      <c r="FAX5" s="190"/>
      <c r="FAY5" s="190"/>
      <c r="FAZ5" s="190"/>
      <c r="FBA5" s="190"/>
      <c r="FBB5" s="190"/>
      <c r="FBC5" s="190"/>
      <c r="FBD5" s="190"/>
      <c r="FBE5" s="190"/>
      <c r="FBF5" s="190"/>
      <c r="FBG5" s="190"/>
      <c r="FBH5" s="190"/>
      <c r="FBI5" s="190"/>
      <c r="FBJ5" s="190"/>
      <c r="FBK5" s="190"/>
      <c r="FBL5" s="190"/>
      <c r="FBM5" s="190"/>
      <c r="FBN5" s="190"/>
      <c r="FBO5" s="190"/>
      <c r="FBP5" s="190"/>
      <c r="FBQ5" s="190"/>
      <c r="FBR5" s="190"/>
      <c r="FBS5" s="190"/>
      <c r="FBT5" s="190"/>
      <c r="FBU5" s="190"/>
      <c r="FBV5" s="190"/>
      <c r="FBW5" s="190"/>
      <c r="FBX5" s="190"/>
      <c r="FBY5" s="190"/>
      <c r="FBZ5" s="190"/>
      <c r="FCA5" s="190"/>
      <c r="FCB5" s="190"/>
      <c r="FCC5" s="190"/>
      <c r="FCD5" s="190"/>
      <c r="FCE5" s="190"/>
      <c r="FCF5" s="190"/>
      <c r="FCG5" s="190"/>
      <c r="FCH5" s="190"/>
      <c r="FCI5" s="190"/>
      <c r="FCJ5" s="190"/>
      <c r="FCK5" s="190"/>
      <c r="FCL5" s="190"/>
      <c r="FCM5" s="190"/>
      <c r="FCN5" s="190"/>
      <c r="FCO5" s="190"/>
      <c r="FCP5" s="190"/>
      <c r="FCQ5" s="190"/>
      <c r="FCR5" s="190"/>
      <c r="FCS5" s="190"/>
      <c r="FCT5" s="190"/>
      <c r="FCU5" s="190"/>
      <c r="FCV5" s="190"/>
      <c r="FCW5" s="190"/>
      <c r="FCX5" s="190"/>
      <c r="FCY5" s="190"/>
      <c r="FCZ5" s="190"/>
      <c r="FDA5" s="190"/>
      <c r="FDB5" s="190"/>
      <c r="FDC5" s="190"/>
      <c r="FDD5" s="190"/>
      <c r="FDE5" s="190"/>
      <c r="FDF5" s="190"/>
      <c r="FDG5" s="190"/>
      <c r="FDH5" s="190"/>
      <c r="FDI5" s="190"/>
      <c r="FDJ5" s="190"/>
      <c r="FDK5" s="190"/>
      <c r="FDL5" s="190"/>
      <c r="FDM5" s="190"/>
      <c r="FDN5" s="190"/>
      <c r="FDO5" s="190"/>
      <c r="FDP5" s="190"/>
      <c r="FDQ5" s="190"/>
      <c r="FDR5" s="190"/>
      <c r="FDS5" s="190"/>
      <c r="FDT5" s="190"/>
      <c r="FDU5" s="190"/>
      <c r="FDV5" s="190"/>
      <c r="FDW5" s="190"/>
      <c r="FDX5" s="190"/>
      <c r="FDY5" s="190"/>
      <c r="FDZ5" s="190"/>
      <c r="FEA5" s="190"/>
      <c r="FEB5" s="190"/>
      <c r="FEC5" s="190"/>
      <c r="FED5" s="190"/>
      <c r="FEE5" s="190"/>
      <c r="FEF5" s="190"/>
      <c r="FEG5" s="190"/>
      <c r="FEH5" s="190"/>
      <c r="FEI5" s="190"/>
      <c r="FEJ5" s="190"/>
      <c r="FEK5" s="190"/>
      <c r="FEL5" s="190"/>
      <c r="FEM5" s="190"/>
      <c r="FEN5" s="190"/>
      <c r="FEO5" s="190"/>
      <c r="FEP5" s="190"/>
      <c r="FEQ5" s="190"/>
      <c r="FER5" s="190"/>
      <c r="FES5" s="190"/>
      <c r="FET5" s="190"/>
      <c r="FEU5" s="190"/>
      <c r="FEV5" s="190"/>
      <c r="FEW5" s="190"/>
      <c r="FEX5" s="190"/>
      <c r="FEY5" s="190"/>
      <c r="FEZ5" s="190"/>
      <c r="FFA5" s="190"/>
      <c r="FFB5" s="190"/>
      <c r="FFC5" s="190"/>
      <c r="FFD5" s="190"/>
      <c r="FFE5" s="190"/>
      <c r="FFF5" s="190"/>
      <c r="FFG5" s="190"/>
      <c r="FFH5" s="190"/>
      <c r="FFI5" s="190"/>
      <c r="FFJ5" s="190"/>
      <c r="FFK5" s="190"/>
      <c r="FFL5" s="190"/>
      <c r="FFM5" s="190"/>
      <c r="FFN5" s="190"/>
      <c r="FFO5" s="190"/>
      <c r="FFP5" s="190"/>
      <c r="FFQ5" s="190"/>
      <c r="FFR5" s="190"/>
      <c r="FFS5" s="190"/>
      <c r="FFT5" s="190"/>
      <c r="FFU5" s="190"/>
      <c r="FFV5" s="190"/>
      <c r="FFW5" s="190"/>
      <c r="FFX5" s="190"/>
      <c r="FFY5" s="190"/>
      <c r="FFZ5" s="190"/>
      <c r="FGA5" s="190"/>
      <c r="FGB5" s="190"/>
      <c r="FGC5" s="190"/>
      <c r="FGD5" s="190"/>
      <c r="FGE5" s="190"/>
      <c r="FGF5" s="190"/>
      <c r="FGG5" s="190"/>
      <c r="FGH5" s="190"/>
      <c r="FGI5" s="190"/>
      <c r="FGJ5" s="190"/>
      <c r="FGK5" s="190"/>
      <c r="FGL5" s="190"/>
      <c r="FGM5" s="190"/>
      <c r="FGN5" s="190"/>
      <c r="FGO5" s="190"/>
      <c r="FGP5" s="190"/>
      <c r="FGQ5" s="190"/>
      <c r="FGR5" s="190"/>
      <c r="FGS5" s="190"/>
      <c r="FGT5" s="190"/>
      <c r="FGU5" s="190"/>
      <c r="FGV5" s="190"/>
      <c r="FGW5" s="190"/>
      <c r="FGX5" s="190"/>
      <c r="FGY5" s="190"/>
      <c r="FGZ5" s="190"/>
      <c r="FHA5" s="190"/>
      <c r="FHB5" s="190"/>
      <c r="FHC5" s="190"/>
      <c r="FHD5" s="190"/>
      <c r="FHE5" s="190"/>
      <c r="FHF5" s="190"/>
      <c r="FHG5" s="190"/>
      <c r="FHH5" s="190"/>
      <c r="FHI5" s="190"/>
      <c r="FHJ5" s="190"/>
      <c r="FHK5" s="190"/>
      <c r="FHL5" s="190"/>
      <c r="FHM5" s="190"/>
      <c r="FHN5" s="190"/>
      <c r="FHO5" s="190"/>
      <c r="FHP5" s="190"/>
      <c r="FHQ5" s="190"/>
      <c r="FHR5" s="190"/>
      <c r="FHS5" s="190"/>
      <c r="FHT5" s="190"/>
      <c r="FHU5" s="190"/>
      <c r="FHV5" s="190"/>
      <c r="FHW5" s="190"/>
      <c r="FHX5" s="190"/>
      <c r="FHY5" s="190"/>
      <c r="FHZ5" s="190"/>
      <c r="FIA5" s="190"/>
      <c r="FIB5" s="190"/>
      <c r="FIC5" s="190"/>
      <c r="FID5" s="190"/>
      <c r="FIE5" s="190"/>
      <c r="FIF5" s="190"/>
      <c r="FIG5" s="190"/>
      <c r="FIH5" s="190"/>
      <c r="FII5" s="190"/>
      <c r="FIJ5" s="190"/>
      <c r="FIK5" s="190"/>
      <c r="FIL5" s="190"/>
      <c r="FIM5" s="190"/>
      <c r="FIN5" s="190"/>
      <c r="FIO5" s="190"/>
      <c r="FIP5" s="190"/>
      <c r="FIQ5" s="190"/>
      <c r="FIR5" s="190"/>
      <c r="FIS5" s="190"/>
      <c r="FIT5" s="190"/>
      <c r="FIU5" s="190"/>
      <c r="FIV5" s="190"/>
      <c r="FIW5" s="190"/>
      <c r="FIX5" s="190"/>
      <c r="FIY5" s="190"/>
      <c r="FIZ5" s="190"/>
      <c r="FJA5" s="190"/>
      <c r="FJB5" s="190"/>
      <c r="FJC5" s="190"/>
      <c r="FJD5" s="190"/>
      <c r="FJE5" s="190"/>
      <c r="FJF5" s="190"/>
      <c r="FJG5" s="190"/>
      <c r="FJH5" s="190"/>
      <c r="FJI5" s="190"/>
      <c r="FJJ5" s="190"/>
      <c r="FJK5" s="190"/>
      <c r="FJL5" s="190"/>
      <c r="FJM5" s="190"/>
      <c r="FJN5" s="190"/>
      <c r="FJO5" s="190"/>
      <c r="FJP5" s="190"/>
      <c r="FJQ5" s="190"/>
      <c r="FJR5" s="190"/>
      <c r="FJS5" s="190"/>
      <c r="FJT5" s="190"/>
      <c r="FJU5" s="190"/>
      <c r="FJV5" s="190"/>
      <c r="FJW5" s="190"/>
      <c r="FJX5" s="190"/>
      <c r="FJY5" s="190"/>
      <c r="FJZ5" s="190"/>
      <c r="FKA5" s="190"/>
      <c r="FKB5" s="190"/>
      <c r="FKC5" s="190"/>
      <c r="FKD5" s="190"/>
      <c r="FKE5" s="190"/>
      <c r="FKF5" s="190"/>
      <c r="FKG5" s="190"/>
      <c r="FKH5" s="190"/>
      <c r="FKI5" s="190"/>
      <c r="FKJ5" s="190"/>
      <c r="FKK5" s="190"/>
      <c r="FKL5" s="190"/>
      <c r="FKM5" s="190"/>
      <c r="FKN5" s="190"/>
      <c r="FKO5" s="190"/>
      <c r="FKP5" s="190"/>
      <c r="FKQ5" s="190"/>
      <c r="FKR5" s="190"/>
      <c r="FKS5" s="190"/>
      <c r="FKT5" s="190"/>
      <c r="FKU5" s="190"/>
      <c r="FKV5" s="190"/>
      <c r="FKW5" s="190"/>
      <c r="FKX5" s="190"/>
      <c r="FKY5" s="190"/>
      <c r="FKZ5" s="190"/>
      <c r="FLA5" s="190"/>
      <c r="FLB5" s="190"/>
      <c r="FLC5" s="190"/>
      <c r="FLD5" s="190"/>
      <c r="FLE5" s="190"/>
      <c r="FLF5" s="190"/>
      <c r="FLG5" s="190"/>
      <c r="FLH5" s="190"/>
      <c r="FLI5" s="190"/>
      <c r="FLJ5" s="190"/>
      <c r="FLK5" s="190"/>
      <c r="FLL5" s="190"/>
      <c r="FLM5" s="190"/>
      <c r="FLN5" s="190"/>
      <c r="FLO5" s="190"/>
      <c r="FLP5" s="190"/>
      <c r="FLQ5" s="190"/>
      <c r="FLR5" s="190"/>
      <c r="FLS5" s="190"/>
      <c r="FLT5" s="190"/>
      <c r="FLU5" s="190"/>
      <c r="FLV5" s="190"/>
      <c r="FLW5" s="190"/>
      <c r="FLX5" s="190"/>
      <c r="FLY5" s="190"/>
      <c r="FLZ5" s="190"/>
      <c r="FMA5" s="190"/>
      <c r="FMB5" s="190"/>
      <c r="FMC5" s="190"/>
      <c r="FMD5" s="190"/>
      <c r="FME5" s="190"/>
      <c r="FMF5" s="190"/>
      <c r="FMG5" s="190"/>
      <c r="FMH5" s="190"/>
      <c r="FMI5" s="190"/>
      <c r="FMJ5" s="190"/>
      <c r="FMK5" s="190"/>
      <c r="FML5" s="190"/>
      <c r="FMM5" s="190"/>
      <c r="FMN5" s="190"/>
      <c r="FMO5" s="190"/>
      <c r="FMP5" s="190"/>
      <c r="FMQ5" s="190"/>
      <c r="FMR5" s="190"/>
      <c r="FMS5" s="190"/>
      <c r="FMT5" s="190"/>
      <c r="FMU5" s="190"/>
      <c r="FMV5" s="190"/>
      <c r="FMW5" s="190"/>
      <c r="FMX5" s="190"/>
      <c r="FMY5" s="190"/>
      <c r="FMZ5" s="190"/>
      <c r="FNA5" s="190"/>
      <c r="FNB5" s="190"/>
      <c r="FNC5" s="190"/>
      <c r="FND5" s="190"/>
      <c r="FNE5" s="190"/>
      <c r="FNF5" s="190"/>
      <c r="FNG5" s="190"/>
      <c r="FNH5" s="190"/>
      <c r="FNI5" s="190"/>
      <c r="FNJ5" s="190"/>
      <c r="FNK5" s="190"/>
      <c r="FNL5" s="190"/>
      <c r="FNM5" s="190"/>
      <c r="FNN5" s="190"/>
      <c r="FNO5" s="190"/>
      <c r="FNP5" s="190"/>
      <c r="FNQ5" s="190"/>
      <c r="FNR5" s="190"/>
      <c r="FNS5" s="190"/>
      <c r="FNT5" s="190"/>
      <c r="FNU5" s="190"/>
      <c r="FNV5" s="190"/>
      <c r="FNW5" s="190"/>
      <c r="FNX5" s="190"/>
      <c r="FNY5" s="190"/>
      <c r="FNZ5" s="190"/>
      <c r="FOA5" s="190"/>
      <c r="FOB5" s="190"/>
      <c r="FOC5" s="190"/>
      <c r="FOD5" s="190"/>
      <c r="FOE5" s="190"/>
      <c r="FOF5" s="190"/>
      <c r="FOG5" s="190"/>
      <c r="FOH5" s="190"/>
      <c r="FOI5" s="190"/>
      <c r="FOJ5" s="190"/>
      <c r="FOK5" s="190"/>
      <c r="FOL5" s="190"/>
      <c r="FOM5" s="190"/>
      <c r="FON5" s="190"/>
      <c r="FOO5" s="190"/>
      <c r="FOP5" s="190"/>
      <c r="FOQ5" s="190"/>
      <c r="FOR5" s="190"/>
      <c r="FOS5" s="190"/>
      <c r="FOT5" s="190"/>
      <c r="FOU5" s="190"/>
      <c r="FOV5" s="190"/>
      <c r="FOW5" s="190"/>
      <c r="FOX5" s="190"/>
      <c r="FOY5" s="190"/>
      <c r="FOZ5" s="190"/>
      <c r="FPA5" s="190"/>
      <c r="FPB5" s="190"/>
      <c r="FPC5" s="190"/>
      <c r="FPD5" s="190"/>
      <c r="FPE5" s="190"/>
      <c r="FPF5" s="190"/>
      <c r="FPG5" s="190"/>
      <c r="FPH5" s="190"/>
      <c r="FPI5" s="190"/>
      <c r="FPJ5" s="190"/>
      <c r="FPK5" s="190"/>
      <c r="FPL5" s="190"/>
      <c r="FPM5" s="190"/>
      <c r="FPN5" s="190"/>
      <c r="FPO5" s="190"/>
      <c r="FPP5" s="190"/>
      <c r="FPQ5" s="190"/>
      <c r="FPR5" s="190"/>
      <c r="FPS5" s="190"/>
      <c r="FPT5" s="190"/>
      <c r="FPU5" s="190"/>
      <c r="FPV5" s="190"/>
      <c r="FPW5" s="190"/>
      <c r="FPX5" s="190"/>
      <c r="FPY5" s="190"/>
      <c r="FPZ5" s="190"/>
      <c r="FQA5" s="190"/>
      <c r="FQB5" s="190"/>
      <c r="FQC5" s="190"/>
      <c r="FQD5" s="190"/>
      <c r="FQE5" s="190"/>
      <c r="FQF5" s="190"/>
      <c r="FQG5" s="190"/>
      <c r="FQH5" s="190"/>
      <c r="FQI5" s="190"/>
      <c r="FQJ5" s="190"/>
      <c r="FQK5" s="190"/>
      <c r="FQL5" s="190"/>
      <c r="FQM5" s="190"/>
      <c r="FQN5" s="190"/>
      <c r="FQO5" s="190"/>
      <c r="FQP5" s="190"/>
      <c r="FQQ5" s="190"/>
      <c r="FQR5" s="190"/>
      <c r="FQS5" s="190"/>
      <c r="FQT5" s="190"/>
      <c r="FQU5" s="190"/>
      <c r="FQV5" s="190"/>
      <c r="FQW5" s="190"/>
      <c r="FQX5" s="190"/>
      <c r="FQY5" s="190"/>
      <c r="FQZ5" s="190"/>
      <c r="FRA5" s="190"/>
      <c r="FRB5" s="190"/>
      <c r="FRC5" s="190"/>
      <c r="FRD5" s="190"/>
      <c r="FRE5" s="190"/>
      <c r="FRF5" s="190"/>
      <c r="FRG5" s="190"/>
      <c r="FRH5" s="190"/>
      <c r="FRI5" s="190"/>
      <c r="FRJ5" s="190"/>
      <c r="FRK5" s="190"/>
      <c r="FRL5" s="190"/>
      <c r="FRM5" s="190"/>
      <c r="FRN5" s="190"/>
      <c r="FRO5" s="190"/>
      <c r="FRP5" s="190"/>
      <c r="FRQ5" s="190"/>
      <c r="FRR5" s="190"/>
      <c r="FRS5" s="190"/>
      <c r="FRT5" s="190"/>
      <c r="FRU5" s="190"/>
      <c r="FRV5" s="190"/>
      <c r="FRW5" s="190"/>
      <c r="FRX5" s="190"/>
      <c r="FRY5" s="190"/>
      <c r="FRZ5" s="190"/>
      <c r="FSA5" s="190"/>
      <c r="FSB5" s="190"/>
      <c r="FSC5" s="190"/>
      <c r="FSD5" s="190"/>
      <c r="FSE5" s="190"/>
      <c r="FSF5" s="190"/>
      <c r="FSG5" s="190"/>
      <c r="FSH5" s="190"/>
      <c r="FSI5" s="190"/>
      <c r="FSJ5" s="190"/>
      <c r="FSK5" s="190"/>
      <c r="FSL5" s="190"/>
      <c r="FSM5" s="190"/>
      <c r="FSN5" s="190"/>
      <c r="FSO5" s="190"/>
      <c r="FSP5" s="190"/>
      <c r="FSQ5" s="190"/>
      <c r="FSR5" s="190"/>
      <c r="FSS5" s="190"/>
      <c r="FST5" s="190"/>
      <c r="FSU5" s="190"/>
      <c r="FSV5" s="190"/>
      <c r="FSW5" s="190"/>
      <c r="FSX5" s="190"/>
      <c r="FSY5" s="190"/>
      <c r="FSZ5" s="190"/>
      <c r="FTA5" s="190"/>
      <c r="FTB5" s="190"/>
      <c r="FTC5" s="190"/>
      <c r="FTD5" s="190"/>
      <c r="FTE5" s="190"/>
      <c r="FTF5" s="190"/>
      <c r="FTG5" s="190"/>
      <c r="FTH5" s="190"/>
      <c r="FTI5" s="190"/>
      <c r="FTJ5" s="190"/>
      <c r="FTK5" s="190"/>
      <c r="FTL5" s="190"/>
      <c r="FTM5" s="190"/>
      <c r="FTN5" s="190"/>
      <c r="FTO5" s="190"/>
      <c r="FTP5" s="190"/>
      <c r="FTQ5" s="190"/>
      <c r="FTR5" s="190"/>
      <c r="FTS5" s="190"/>
      <c r="FTT5" s="190"/>
      <c r="FTU5" s="190"/>
      <c r="FTV5" s="190"/>
      <c r="FTW5" s="190"/>
      <c r="FTX5" s="190"/>
      <c r="FTY5" s="190"/>
      <c r="FTZ5" s="190"/>
      <c r="FUA5" s="190"/>
      <c r="FUB5" s="190"/>
      <c r="FUC5" s="190"/>
      <c r="FUD5" s="190"/>
      <c r="FUE5" s="190"/>
      <c r="FUF5" s="190"/>
      <c r="FUG5" s="190"/>
      <c r="FUH5" s="190"/>
      <c r="FUI5" s="190"/>
      <c r="FUJ5" s="190"/>
      <c r="FUK5" s="190"/>
      <c r="FUL5" s="190"/>
      <c r="FUM5" s="190"/>
      <c r="FUN5" s="190"/>
      <c r="FUO5" s="190"/>
      <c r="FUP5" s="190"/>
      <c r="FUQ5" s="190"/>
      <c r="FUR5" s="190"/>
      <c r="FUS5" s="190"/>
      <c r="FUT5" s="190"/>
      <c r="FUU5" s="190"/>
      <c r="FUV5" s="190"/>
      <c r="FUW5" s="190"/>
      <c r="FUX5" s="190"/>
      <c r="FUY5" s="190"/>
      <c r="FUZ5" s="190"/>
      <c r="FVA5" s="190"/>
      <c r="FVB5" s="190"/>
      <c r="FVC5" s="190"/>
      <c r="FVD5" s="190"/>
      <c r="FVE5" s="190"/>
      <c r="FVF5" s="190"/>
      <c r="FVG5" s="190"/>
      <c r="FVH5" s="190"/>
      <c r="FVI5" s="190"/>
      <c r="FVJ5" s="190"/>
      <c r="FVK5" s="190"/>
      <c r="FVL5" s="190"/>
      <c r="FVM5" s="190"/>
      <c r="FVN5" s="190"/>
      <c r="FVO5" s="190"/>
      <c r="FVP5" s="190"/>
      <c r="FVQ5" s="190"/>
      <c r="FVR5" s="190"/>
      <c r="FVS5" s="190"/>
      <c r="FVT5" s="190"/>
      <c r="FVU5" s="190"/>
      <c r="FVV5" s="190"/>
      <c r="FVW5" s="190"/>
      <c r="FVX5" s="190"/>
      <c r="FVY5" s="190"/>
      <c r="FVZ5" s="190"/>
      <c r="FWA5" s="190"/>
      <c r="FWB5" s="190"/>
      <c r="FWC5" s="190"/>
      <c r="FWD5" s="190"/>
      <c r="FWE5" s="190"/>
      <c r="FWF5" s="190"/>
      <c r="FWG5" s="190"/>
      <c r="FWH5" s="190"/>
      <c r="FWI5" s="190"/>
      <c r="FWJ5" s="190"/>
      <c r="FWK5" s="190"/>
      <c r="FWL5" s="190"/>
      <c r="FWM5" s="190"/>
      <c r="FWN5" s="190"/>
      <c r="FWO5" s="190"/>
      <c r="FWP5" s="190"/>
      <c r="FWQ5" s="190"/>
      <c r="FWR5" s="190"/>
      <c r="FWS5" s="190"/>
      <c r="FWT5" s="190"/>
      <c r="FWU5" s="190"/>
      <c r="FWV5" s="190"/>
      <c r="FWW5" s="190"/>
      <c r="FWX5" s="190"/>
      <c r="FWY5" s="190"/>
      <c r="FWZ5" s="190"/>
      <c r="FXA5" s="190"/>
      <c r="FXB5" s="190"/>
      <c r="FXC5" s="190"/>
      <c r="FXD5" s="190"/>
      <c r="FXE5" s="190"/>
      <c r="FXF5" s="190"/>
      <c r="FXG5" s="190"/>
      <c r="FXH5" s="190"/>
      <c r="FXI5" s="190"/>
      <c r="FXJ5" s="190"/>
      <c r="FXK5" s="190"/>
      <c r="FXL5" s="190"/>
      <c r="FXM5" s="190"/>
      <c r="FXN5" s="190"/>
      <c r="FXO5" s="190"/>
      <c r="FXP5" s="190"/>
      <c r="FXQ5" s="190"/>
      <c r="FXR5" s="190"/>
      <c r="FXS5" s="190"/>
      <c r="FXT5" s="190"/>
      <c r="FXU5" s="190"/>
      <c r="FXV5" s="190"/>
      <c r="FXW5" s="190"/>
      <c r="FXX5" s="190"/>
      <c r="FXY5" s="190"/>
      <c r="FXZ5" s="190"/>
      <c r="FYA5" s="190"/>
      <c r="FYB5" s="190"/>
      <c r="FYC5" s="190"/>
      <c r="FYD5" s="190"/>
      <c r="FYE5" s="190"/>
      <c r="FYF5" s="190"/>
      <c r="FYG5" s="190"/>
      <c r="FYH5" s="190"/>
      <c r="FYI5" s="190"/>
      <c r="FYJ5" s="190"/>
      <c r="FYK5" s="190"/>
      <c r="FYL5" s="190"/>
      <c r="FYM5" s="190"/>
      <c r="FYN5" s="190"/>
      <c r="FYO5" s="190"/>
      <c r="FYP5" s="190"/>
      <c r="FYQ5" s="190"/>
      <c r="FYR5" s="190"/>
      <c r="FYS5" s="190"/>
      <c r="FYT5" s="190"/>
      <c r="FYU5" s="190"/>
      <c r="FYV5" s="190"/>
      <c r="FYW5" s="190"/>
      <c r="FYX5" s="190"/>
      <c r="FYY5" s="190"/>
      <c r="FYZ5" s="190"/>
      <c r="FZA5" s="190"/>
      <c r="FZB5" s="190"/>
      <c r="FZC5" s="190"/>
      <c r="FZD5" s="190"/>
      <c r="FZE5" s="190"/>
      <c r="FZF5" s="190"/>
      <c r="FZG5" s="190"/>
      <c r="FZH5" s="190"/>
      <c r="FZI5" s="190"/>
      <c r="FZJ5" s="190"/>
      <c r="FZK5" s="190"/>
      <c r="FZL5" s="190"/>
      <c r="FZM5" s="190"/>
      <c r="FZN5" s="190"/>
      <c r="FZO5" s="190"/>
      <c r="FZP5" s="190"/>
      <c r="FZQ5" s="190"/>
      <c r="FZR5" s="190"/>
      <c r="FZS5" s="190"/>
      <c r="FZT5" s="190"/>
      <c r="FZU5" s="190"/>
      <c r="FZV5" s="190"/>
      <c r="FZW5" s="190"/>
      <c r="FZX5" s="190"/>
      <c r="FZY5" s="190"/>
      <c r="FZZ5" s="190"/>
      <c r="GAA5" s="190"/>
      <c r="GAB5" s="190"/>
      <c r="GAC5" s="190"/>
      <c r="GAD5" s="190"/>
      <c r="GAE5" s="190"/>
      <c r="GAF5" s="190"/>
      <c r="GAG5" s="190"/>
      <c r="GAH5" s="190"/>
      <c r="GAI5" s="190"/>
      <c r="GAJ5" s="190"/>
      <c r="GAK5" s="190"/>
      <c r="GAL5" s="190"/>
      <c r="GAM5" s="190"/>
      <c r="GAN5" s="190"/>
      <c r="GAO5" s="190"/>
      <c r="GAP5" s="190"/>
      <c r="GAQ5" s="190"/>
      <c r="GAR5" s="190"/>
      <c r="GAS5" s="190"/>
      <c r="GAT5" s="190"/>
      <c r="GAU5" s="190"/>
      <c r="GAV5" s="190"/>
      <c r="GAW5" s="190"/>
      <c r="GAX5" s="190"/>
      <c r="GAY5" s="190"/>
      <c r="GAZ5" s="190"/>
      <c r="GBA5" s="190"/>
      <c r="GBB5" s="190"/>
      <c r="GBC5" s="190"/>
      <c r="GBD5" s="190"/>
      <c r="GBE5" s="190"/>
      <c r="GBF5" s="190"/>
      <c r="GBG5" s="190"/>
      <c r="GBH5" s="190"/>
      <c r="GBI5" s="190"/>
      <c r="GBJ5" s="190"/>
      <c r="GBK5" s="190"/>
      <c r="GBL5" s="190"/>
      <c r="GBM5" s="190"/>
      <c r="GBN5" s="190"/>
      <c r="GBO5" s="190"/>
      <c r="GBP5" s="190"/>
      <c r="GBQ5" s="190"/>
      <c r="GBR5" s="190"/>
      <c r="GBS5" s="190"/>
      <c r="GBT5" s="190"/>
      <c r="GBU5" s="190"/>
      <c r="GBV5" s="190"/>
      <c r="GBW5" s="190"/>
      <c r="GBX5" s="190"/>
      <c r="GBY5" s="190"/>
      <c r="GBZ5" s="190"/>
      <c r="GCA5" s="190"/>
      <c r="GCB5" s="190"/>
      <c r="GCC5" s="190"/>
      <c r="GCD5" s="190"/>
      <c r="GCE5" s="190"/>
      <c r="GCF5" s="190"/>
      <c r="GCG5" s="190"/>
      <c r="GCH5" s="190"/>
      <c r="GCI5" s="190"/>
      <c r="GCJ5" s="190"/>
      <c r="GCK5" s="190"/>
      <c r="GCL5" s="190"/>
      <c r="GCM5" s="190"/>
      <c r="GCN5" s="190"/>
      <c r="GCO5" s="190"/>
      <c r="GCP5" s="190"/>
      <c r="GCQ5" s="190"/>
      <c r="GCR5" s="190"/>
      <c r="GCS5" s="190"/>
      <c r="GCT5" s="190"/>
      <c r="GCU5" s="190"/>
      <c r="GCV5" s="190"/>
      <c r="GCW5" s="190"/>
      <c r="GCX5" s="190"/>
      <c r="GCY5" s="190"/>
      <c r="GCZ5" s="190"/>
      <c r="GDA5" s="190"/>
      <c r="GDB5" s="190"/>
      <c r="GDC5" s="190"/>
      <c r="GDD5" s="190"/>
      <c r="GDE5" s="190"/>
      <c r="GDF5" s="190"/>
      <c r="GDG5" s="190"/>
      <c r="GDH5" s="190"/>
      <c r="GDI5" s="190"/>
      <c r="GDJ5" s="190"/>
      <c r="GDK5" s="190"/>
      <c r="GDL5" s="190"/>
      <c r="GDM5" s="190"/>
      <c r="GDN5" s="190"/>
      <c r="GDO5" s="190"/>
      <c r="GDP5" s="190"/>
      <c r="GDQ5" s="190"/>
      <c r="GDR5" s="190"/>
      <c r="GDS5" s="190"/>
      <c r="GDT5" s="190"/>
      <c r="GDU5" s="190"/>
      <c r="GDV5" s="190"/>
      <c r="GDW5" s="190"/>
      <c r="GDX5" s="190"/>
      <c r="GDY5" s="190"/>
      <c r="GDZ5" s="190"/>
      <c r="GEA5" s="190"/>
      <c r="GEB5" s="190"/>
      <c r="GEC5" s="190"/>
      <c r="GED5" s="190"/>
      <c r="GEE5" s="190"/>
      <c r="GEF5" s="190"/>
      <c r="GEG5" s="190"/>
      <c r="GEH5" s="190"/>
      <c r="GEI5" s="190"/>
      <c r="GEJ5" s="190"/>
      <c r="GEK5" s="190"/>
      <c r="GEL5" s="190"/>
      <c r="GEM5" s="190"/>
      <c r="GEN5" s="190"/>
      <c r="GEO5" s="190"/>
      <c r="GEP5" s="190"/>
      <c r="GEQ5" s="190"/>
      <c r="GER5" s="190"/>
      <c r="GES5" s="190"/>
      <c r="GET5" s="190"/>
      <c r="GEU5" s="190"/>
      <c r="GEV5" s="190"/>
      <c r="GEW5" s="190"/>
      <c r="GEX5" s="190"/>
      <c r="GEY5" s="190"/>
      <c r="GEZ5" s="190"/>
      <c r="GFA5" s="190"/>
      <c r="GFB5" s="190"/>
      <c r="GFC5" s="190"/>
      <c r="GFD5" s="190"/>
      <c r="GFE5" s="190"/>
      <c r="GFF5" s="190"/>
      <c r="GFG5" s="190"/>
      <c r="GFH5" s="190"/>
      <c r="GFI5" s="190"/>
      <c r="GFJ5" s="190"/>
      <c r="GFK5" s="190"/>
      <c r="GFL5" s="190"/>
      <c r="GFM5" s="190"/>
      <c r="GFN5" s="190"/>
      <c r="GFO5" s="190"/>
      <c r="GFP5" s="190"/>
      <c r="GFQ5" s="190"/>
      <c r="GFR5" s="190"/>
      <c r="GFS5" s="190"/>
      <c r="GFT5" s="190"/>
      <c r="GFU5" s="190"/>
      <c r="GFV5" s="190"/>
      <c r="GFW5" s="190"/>
      <c r="GFX5" s="190"/>
      <c r="GFY5" s="190"/>
      <c r="GFZ5" s="190"/>
      <c r="GGA5" s="190"/>
      <c r="GGB5" s="190"/>
      <c r="GGC5" s="190"/>
      <c r="GGD5" s="190"/>
      <c r="GGE5" s="190"/>
      <c r="GGF5" s="190"/>
      <c r="GGG5" s="190"/>
      <c r="GGH5" s="190"/>
      <c r="GGI5" s="190"/>
      <c r="GGJ5" s="190"/>
      <c r="GGK5" s="190"/>
      <c r="GGL5" s="190"/>
      <c r="GGM5" s="190"/>
      <c r="GGN5" s="190"/>
      <c r="GGO5" s="190"/>
      <c r="GGP5" s="190"/>
      <c r="GGQ5" s="190"/>
      <c r="GGR5" s="190"/>
      <c r="GGS5" s="190"/>
      <c r="GGT5" s="190"/>
      <c r="GGU5" s="190"/>
      <c r="GGV5" s="190"/>
      <c r="GGW5" s="190"/>
      <c r="GGX5" s="190"/>
      <c r="GGY5" s="190"/>
      <c r="GGZ5" s="190"/>
      <c r="GHA5" s="190"/>
      <c r="GHB5" s="190"/>
      <c r="GHC5" s="190"/>
      <c r="GHD5" s="190"/>
      <c r="GHE5" s="190"/>
      <c r="GHF5" s="190"/>
      <c r="GHG5" s="190"/>
      <c r="GHH5" s="190"/>
      <c r="GHI5" s="190"/>
      <c r="GHJ5" s="190"/>
      <c r="GHK5" s="190"/>
      <c r="GHL5" s="190"/>
      <c r="GHM5" s="190"/>
      <c r="GHN5" s="190"/>
      <c r="GHO5" s="190"/>
      <c r="GHP5" s="190"/>
      <c r="GHQ5" s="190"/>
      <c r="GHR5" s="190"/>
      <c r="GHS5" s="190"/>
      <c r="GHT5" s="190"/>
      <c r="GHU5" s="190"/>
      <c r="GHV5" s="190"/>
      <c r="GHW5" s="190"/>
      <c r="GHX5" s="190"/>
      <c r="GHY5" s="190"/>
      <c r="GHZ5" s="190"/>
      <c r="GIA5" s="190"/>
      <c r="GIB5" s="190"/>
      <c r="GIC5" s="190"/>
      <c r="GID5" s="190"/>
      <c r="GIE5" s="190"/>
      <c r="GIF5" s="190"/>
      <c r="GIG5" s="190"/>
      <c r="GIH5" s="190"/>
      <c r="GII5" s="190"/>
      <c r="GIJ5" s="190"/>
      <c r="GIK5" s="190"/>
      <c r="GIL5" s="190"/>
      <c r="GIM5" s="190"/>
      <c r="GIN5" s="190"/>
      <c r="GIO5" s="190"/>
      <c r="GIP5" s="190"/>
      <c r="GIQ5" s="190"/>
      <c r="GIR5" s="190"/>
      <c r="GIS5" s="190"/>
      <c r="GIT5" s="190"/>
      <c r="GIU5" s="190"/>
      <c r="GIV5" s="190"/>
      <c r="GIW5" s="190"/>
      <c r="GIX5" s="190"/>
      <c r="GIY5" s="190"/>
      <c r="GIZ5" s="190"/>
      <c r="GJA5" s="190"/>
      <c r="GJB5" s="190"/>
      <c r="GJC5" s="190"/>
      <c r="GJD5" s="190"/>
      <c r="GJE5" s="190"/>
      <c r="GJF5" s="190"/>
      <c r="GJG5" s="190"/>
      <c r="GJH5" s="190"/>
      <c r="GJI5" s="190"/>
      <c r="GJJ5" s="190"/>
      <c r="GJK5" s="190"/>
      <c r="GJL5" s="190"/>
      <c r="GJM5" s="190"/>
      <c r="GJN5" s="190"/>
      <c r="GJO5" s="190"/>
      <c r="GJP5" s="190"/>
      <c r="GJQ5" s="190"/>
      <c r="GJR5" s="190"/>
      <c r="GJS5" s="190"/>
      <c r="GJT5" s="190"/>
      <c r="GJU5" s="190"/>
      <c r="GJV5" s="190"/>
      <c r="GJW5" s="190"/>
      <c r="GJX5" s="190"/>
      <c r="GJY5" s="190"/>
      <c r="GJZ5" s="190"/>
      <c r="GKA5" s="190"/>
      <c r="GKB5" s="190"/>
      <c r="GKC5" s="190"/>
      <c r="GKD5" s="190"/>
      <c r="GKE5" s="190"/>
      <c r="GKF5" s="190"/>
      <c r="GKG5" s="190"/>
      <c r="GKH5" s="190"/>
      <c r="GKI5" s="190"/>
      <c r="GKJ5" s="190"/>
      <c r="GKK5" s="190"/>
      <c r="GKL5" s="190"/>
      <c r="GKM5" s="190"/>
      <c r="GKN5" s="190"/>
      <c r="GKO5" s="190"/>
      <c r="GKP5" s="190"/>
      <c r="GKQ5" s="190"/>
      <c r="GKR5" s="190"/>
      <c r="GKS5" s="190"/>
      <c r="GKT5" s="190"/>
      <c r="GKU5" s="190"/>
      <c r="GKV5" s="190"/>
      <c r="GKW5" s="190"/>
      <c r="GKX5" s="190"/>
      <c r="GKY5" s="190"/>
      <c r="GKZ5" s="190"/>
      <c r="GLA5" s="190"/>
      <c r="GLB5" s="190"/>
      <c r="GLC5" s="190"/>
      <c r="GLD5" s="190"/>
      <c r="GLE5" s="190"/>
      <c r="GLF5" s="190"/>
      <c r="GLG5" s="190"/>
      <c r="GLH5" s="190"/>
      <c r="GLI5" s="190"/>
      <c r="GLJ5" s="190"/>
      <c r="GLK5" s="190"/>
      <c r="GLL5" s="190"/>
      <c r="GLM5" s="190"/>
      <c r="GLN5" s="190"/>
      <c r="GLO5" s="190"/>
      <c r="GLP5" s="190"/>
      <c r="GLQ5" s="190"/>
      <c r="GLR5" s="190"/>
      <c r="GLS5" s="190"/>
      <c r="GLT5" s="190"/>
      <c r="GLU5" s="190"/>
      <c r="GLV5" s="190"/>
      <c r="GLW5" s="190"/>
      <c r="GLX5" s="190"/>
      <c r="GLY5" s="190"/>
      <c r="GLZ5" s="190"/>
      <c r="GMA5" s="190"/>
      <c r="GMB5" s="190"/>
      <c r="GMC5" s="190"/>
      <c r="GMD5" s="190"/>
      <c r="GME5" s="190"/>
      <c r="GMF5" s="190"/>
      <c r="GMG5" s="190"/>
      <c r="GMH5" s="190"/>
      <c r="GMI5" s="190"/>
      <c r="GMJ5" s="190"/>
      <c r="GMK5" s="190"/>
      <c r="GML5" s="190"/>
      <c r="GMM5" s="190"/>
      <c r="GMN5" s="190"/>
      <c r="GMO5" s="190"/>
      <c r="GMP5" s="190"/>
      <c r="GMQ5" s="190"/>
      <c r="GMR5" s="190"/>
      <c r="GMS5" s="190"/>
      <c r="GMT5" s="190"/>
      <c r="GMU5" s="190"/>
      <c r="GMV5" s="190"/>
      <c r="GMW5" s="190"/>
      <c r="GMX5" s="190"/>
      <c r="GMY5" s="190"/>
      <c r="GMZ5" s="190"/>
      <c r="GNA5" s="190"/>
      <c r="GNB5" s="190"/>
      <c r="GNC5" s="190"/>
      <c r="GND5" s="190"/>
      <c r="GNE5" s="190"/>
      <c r="GNF5" s="190"/>
      <c r="GNG5" s="190"/>
      <c r="GNH5" s="190"/>
      <c r="GNI5" s="190"/>
      <c r="GNJ5" s="190"/>
      <c r="GNK5" s="190"/>
      <c r="GNL5" s="190"/>
      <c r="GNM5" s="190"/>
      <c r="GNN5" s="190"/>
      <c r="GNO5" s="190"/>
      <c r="GNP5" s="190"/>
      <c r="GNQ5" s="190"/>
      <c r="GNR5" s="190"/>
      <c r="GNS5" s="190"/>
      <c r="GNT5" s="190"/>
      <c r="GNU5" s="190"/>
      <c r="GNV5" s="190"/>
      <c r="GNW5" s="190"/>
      <c r="GNX5" s="190"/>
      <c r="GNY5" s="190"/>
      <c r="GNZ5" s="190"/>
      <c r="GOA5" s="190"/>
      <c r="GOB5" s="190"/>
      <c r="GOC5" s="190"/>
      <c r="GOD5" s="190"/>
      <c r="GOE5" s="190"/>
      <c r="GOF5" s="190"/>
      <c r="GOG5" s="190"/>
      <c r="GOH5" s="190"/>
      <c r="GOI5" s="190"/>
      <c r="GOJ5" s="190"/>
      <c r="GOK5" s="190"/>
      <c r="GOL5" s="190"/>
      <c r="GOM5" s="190"/>
      <c r="GON5" s="190"/>
      <c r="GOO5" s="190"/>
      <c r="GOP5" s="190"/>
      <c r="GOQ5" s="190"/>
      <c r="GOR5" s="190"/>
      <c r="GOS5" s="190"/>
      <c r="GOT5" s="190"/>
      <c r="GOU5" s="190"/>
      <c r="GOV5" s="190"/>
      <c r="GOW5" s="190"/>
      <c r="GOX5" s="190"/>
      <c r="GOY5" s="190"/>
      <c r="GOZ5" s="190"/>
      <c r="GPA5" s="190"/>
      <c r="GPB5" s="190"/>
      <c r="GPC5" s="190"/>
      <c r="GPD5" s="190"/>
      <c r="GPE5" s="190"/>
      <c r="GPF5" s="190"/>
      <c r="GPG5" s="190"/>
      <c r="GPH5" s="190"/>
      <c r="GPI5" s="190"/>
      <c r="GPJ5" s="190"/>
      <c r="GPK5" s="190"/>
      <c r="GPL5" s="190"/>
      <c r="GPM5" s="190"/>
      <c r="GPN5" s="190"/>
      <c r="GPO5" s="190"/>
      <c r="GPP5" s="190"/>
      <c r="GPQ5" s="190"/>
      <c r="GPR5" s="190"/>
      <c r="GPS5" s="190"/>
      <c r="GPT5" s="190"/>
      <c r="GPU5" s="190"/>
      <c r="GPV5" s="190"/>
      <c r="GPW5" s="190"/>
      <c r="GPX5" s="190"/>
      <c r="GPY5" s="190"/>
      <c r="GPZ5" s="190"/>
      <c r="GQA5" s="190"/>
      <c r="GQB5" s="190"/>
      <c r="GQC5" s="190"/>
      <c r="GQD5" s="190"/>
      <c r="GQE5" s="190"/>
      <c r="GQF5" s="190"/>
      <c r="GQG5" s="190"/>
      <c r="GQH5" s="190"/>
      <c r="GQI5" s="190"/>
      <c r="GQJ5" s="190"/>
      <c r="GQK5" s="190"/>
      <c r="GQL5" s="190"/>
      <c r="GQM5" s="190"/>
      <c r="GQN5" s="190"/>
      <c r="GQO5" s="190"/>
      <c r="GQP5" s="190"/>
      <c r="GQQ5" s="190"/>
      <c r="GQR5" s="190"/>
      <c r="GQS5" s="190"/>
      <c r="GQT5" s="190"/>
      <c r="GQU5" s="190"/>
      <c r="GQV5" s="190"/>
      <c r="GQW5" s="190"/>
      <c r="GQX5" s="190"/>
      <c r="GQY5" s="190"/>
      <c r="GQZ5" s="190"/>
      <c r="GRA5" s="190"/>
      <c r="GRB5" s="190"/>
      <c r="GRC5" s="190"/>
      <c r="GRD5" s="190"/>
      <c r="GRE5" s="190"/>
      <c r="GRF5" s="190"/>
      <c r="GRG5" s="190"/>
      <c r="GRH5" s="190"/>
      <c r="GRI5" s="190"/>
      <c r="GRJ5" s="190"/>
      <c r="GRK5" s="190"/>
      <c r="GRL5" s="190"/>
      <c r="GRM5" s="190"/>
      <c r="GRN5" s="190"/>
      <c r="GRO5" s="190"/>
      <c r="GRP5" s="190"/>
      <c r="GRQ5" s="190"/>
      <c r="GRR5" s="190"/>
      <c r="GRS5" s="190"/>
      <c r="GRT5" s="190"/>
      <c r="GRU5" s="190"/>
      <c r="GRV5" s="190"/>
      <c r="GRW5" s="190"/>
      <c r="GRX5" s="190"/>
      <c r="GRY5" s="190"/>
      <c r="GRZ5" s="190"/>
      <c r="GSA5" s="190"/>
      <c r="GSB5" s="190"/>
      <c r="GSC5" s="190"/>
      <c r="GSD5" s="190"/>
      <c r="GSE5" s="190"/>
      <c r="GSF5" s="190"/>
      <c r="GSG5" s="190"/>
      <c r="GSH5" s="190"/>
      <c r="GSI5" s="190"/>
      <c r="GSJ5" s="190"/>
      <c r="GSK5" s="190"/>
      <c r="GSL5" s="190"/>
      <c r="GSM5" s="190"/>
      <c r="GSN5" s="190"/>
      <c r="GSO5" s="190"/>
      <c r="GSP5" s="190"/>
      <c r="GSQ5" s="190"/>
      <c r="GSR5" s="190"/>
      <c r="GSS5" s="190"/>
      <c r="GST5" s="190"/>
      <c r="GSU5" s="190"/>
      <c r="GSV5" s="190"/>
      <c r="GSW5" s="190"/>
      <c r="GSX5" s="190"/>
      <c r="GSY5" s="190"/>
      <c r="GSZ5" s="190"/>
      <c r="GTA5" s="190"/>
      <c r="GTB5" s="190"/>
      <c r="GTC5" s="190"/>
      <c r="GTD5" s="190"/>
      <c r="GTE5" s="190"/>
      <c r="GTF5" s="190"/>
      <c r="GTG5" s="190"/>
      <c r="GTH5" s="190"/>
      <c r="GTI5" s="190"/>
      <c r="GTJ5" s="190"/>
      <c r="GTK5" s="190"/>
      <c r="GTL5" s="190"/>
      <c r="GTM5" s="190"/>
      <c r="GTN5" s="190"/>
      <c r="GTO5" s="190"/>
      <c r="GTP5" s="190"/>
      <c r="GTQ5" s="190"/>
      <c r="GTR5" s="190"/>
      <c r="GTS5" s="190"/>
      <c r="GTT5" s="190"/>
      <c r="GTU5" s="190"/>
      <c r="GTV5" s="190"/>
      <c r="GTW5" s="190"/>
      <c r="GTX5" s="190"/>
      <c r="GTY5" s="190"/>
      <c r="GTZ5" s="190"/>
      <c r="GUA5" s="190"/>
      <c r="GUB5" s="190"/>
      <c r="GUC5" s="190"/>
      <c r="GUD5" s="190"/>
      <c r="GUE5" s="190"/>
      <c r="GUF5" s="190"/>
      <c r="GUG5" s="190"/>
      <c r="GUH5" s="190"/>
      <c r="GUI5" s="190"/>
      <c r="GUJ5" s="190"/>
      <c r="GUK5" s="190"/>
      <c r="GUL5" s="190"/>
      <c r="GUM5" s="190"/>
      <c r="GUN5" s="190"/>
      <c r="GUO5" s="190"/>
      <c r="GUP5" s="190"/>
      <c r="GUQ5" s="190"/>
      <c r="GUR5" s="190"/>
      <c r="GUS5" s="190"/>
      <c r="GUT5" s="190"/>
      <c r="GUU5" s="190"/>
      <c r="GUV5" s="190"/>
      <c r="GUW5" s="190"/>
      <c r="GUX5" s="190"/>
      <c r="GUY5" s="190"/>
      <c r="GUZ5" s="190"/>
      <c r="GVA5" s="190"/>
      <c r="GVB5" s="190"/>
      <c r="GVC5" s="190"/>
      <c r="GVD5" s="190"/>
      <c r="GVE5" s="190"/>
      <c r="GVF5" s="190"/>
      <c r="GVG5" s="190"/>
      <c r="GVH5" s="190"/>
      <c r="GVI5" s="190"/>
      <c r="GVJ5" s="190"/>
      <c r="GVK5" s="190"/>
      <c r="GVL5" s="190"/>
      <c r="GVM5" s="190"/>
      <c r="GVN5" s="190"/>
      <c r="GVO5" s="190"/>
      <c r="GVP5" s="190"/>
      <c r="GVQ5" s="190"/>
      <c r="GVR5" s="190"/>
      <c r="GVS5" s="190"/>
      <c r="GVT5" s="190"/>
      <c r="GVU5" s="190"/>
      <c r="GVV5" s="190"/>
      <c r="GVW5" s="190"/>
      <c r="GVX5" s="190"/>
      <c r="GVY5" s="190"/>
      <c r="GVZ5" s="190"/>
      <c r="GWA5" s="190"/>
      <c r="GWB5" s="190"/>
      <c r="GWC5" s="190"/>
      <c r="GWD5" s="190"/>
      <c r="GWE5" s="190"/>
      <c r="GWF5" s="190"/>
      <c r="GWG5" s="190"/>
      <c r="GWH5" s="190"/>
      <c r="GWI5" s="190"/>
      <c r="GWJ5" s="190"/>
      <c r="GWK5" s="190"/>
      <c r="GWL5" s="190"/>
      <c r="GWM5" s="190"/>
      <c r="GWN5" s="190"/>
      <c r="GWO5" s="190"/>
      <c r="GWP5" s="190"/>
      <c r="GWQ5" s="190"/>
      <c r="GWR5" s="190"/>
      <c r="GWS5" s="190"/>
      <c r="GWT5" s="190"/>
      <c r="GWU5" s="190"/>
      <c r="GWV5" s="190"/>
      <c r="GWW5" s="190"/>
      <c r="GWX5" s="190"/>
      <c r="GWY5" s="190"/>
      <c r="GWZ5" s="190"/>
      <c r="GXA5" s="190"/>
      <c r="GXB5" s="190"/>
      <c r="GXC5" s="190"/>
      <c r="GXD5" s="190"/>
      <c r="GXE5" s="190"/>
      <c r="GXF5" s="190"/>
      <c r="GXG5" s="190"/>
      <c r="GXH5" s="190"/>
      <c r="GXI5" s="190"/>
      <c r="GXJ5" s="190"/>
      <c r="GXK5" s="190"/>
      <c r="GXL5" s="190"/>
      <c r="GXM5" s="190"/>
      <c r="GXN5" s="190"/>
      <c r="GXO5" s="190"/>
      <c r="GXP5" s="190"/>
      <c r="GXQ5" s="190"/>
      <c r="GXR5" s="190"/>
      <c r="GXS5" s="190"/>
      <c r="GXT5" s="190"/>
      <c r="GXU5" s="190"/>
      <c r="GXV5" s="190"/>
      <c r="GXW5" s="190"/>
      <c r="GXX5" s="190"/>
      <c r="GXY5" s="190"/>
      <c r="GXZ5" s="190"/>
      <c r="GYA5" s="190"/>
      <c r="GYB5" s="190"/>
      <c r="GYC5" s="190"/>
      <c r="GYD5" s="190"/>
      <c r="GYE5" s="190"/>
      <c r="GYF5" s="190"/>
      <c r="GYG5" s="190"/>
      <c r="GYH5" s="190"/>
      <c r="GYI5" s="190"/>
      <c r="GYJ5" s="190"/>
      <c r="GYK5" s="190"/>
      <c r="GYL5" s="190"/>
      <c r="GYM5" s="190"/>
      <c r="GYN5" s="190"/>
      <c r="GYO5" s="190"/>
      <c r="GYP5" s="190"/>
      <c r="GYQ5" s="190"/>
      <c r="GYR5" s="190"/>
      <c r="GYS5" s="190"/>
      <c r="GYT5" s="190"/>
      <c r="GYU5" s="190"/>
      <c r="GYV5" s="190"/>
      <c r="GYW5" s="190"/>
      <c r="GYX5" s="190"/>
      <c r="GYY5" s="190"/>
      <c r="GYZ5" s="190"/>
      <c r="GZA5" s="190"/>
      <c r="GZB5" s="190"/>
      <c r="GZC5" s="190"/>
      <c r="GZD5" s="190"/>
      <c r="GZE5" s="190"/>
      <c r="GZF5" s="190"/>
      <c r="GZG5" s="190"/>
      <c r="GZH5" s="190"/>
      <c r="GZI5" s="190"/>
      <c r="GZJ5" s="190"/>
      <c r="GZK5" s="190"/>
      <c r="GZL5" s="190"/>
      <c r="GZM5" s="190"/>
      <c r="GZN5" s="190"/>
      <c r="GZO5" s="190"/>
      <c r="GZP5" s="190"/>
      <c r="GZQ5" s="190"/>
      <c r="GZR5" s="190"/>
      <c r="GZS5" s="190"/>
      <c r="GZT5" s="190"/>
      <c r="GZU5" s="190"/>
      <c r="GZV5" s="190"/>
      <c r="GZW5" s="190"/>
      <c r="GZX5" s="190"/>
      <c r="GZY5" s="190"/>
      <c r="GZZ5" s="190"/>
      <c r="HAA5" s="190"/>
      <c r="HAB5" s="190"/>
      <c r="HAC5" s="190"/>
      <c r="HAD5" s="190"/>
      <c r="HAE5" s="190"/>
      <c r="HAF5" s="190"/>
      <c r="HAG5" s="190"/>
      <c r="HAH5" s="190"/>
      <c r="HAI5" s="190"/>
      <c r="HAJ5" s="190"/>
      <c r="HAK5" s="190"/>
      <c r="HAL5" s="190"/>
      <c r="HAM5" s="190"/>
      <c r="HAN5" s="190"/>
      <c r="HAO5" s="190"/>
      <c r="HAP5" s="190"/>
      <c r="HAQ5" s="190"/>
      <c r="HAR5" s="190"/>
      <c r="HAS5" s="190"/>
      <c r="HAT5" s="190"/>
      <c r="HAU5" s="190"/>
      <c r="HAV5" s="190"/>
      <c r="HAW5" s="190"/>
      <c r="HAX5" s="190"/>
      <c r="HAY5" s="190"/>
      <c r="HAZ5" s="190"/>
      <c r="HBA5" s="190"/>
      <c r="HBB5" s="190"/>
      <c r="HBC5" s="190"/>
      <c r="HBD5" s="190"/>
      <c r="HBE5" s="190"/>
      <c r="HBF5" s="190"/>
      <c r="HBG5" s="190"/>
      <c r="HBH5" s="190"/>
      <c r="HBI5" s="190"/>
      <c r="HBJ5" s="190"/>
      <c r="HBK5" s="190"/>
      <c r="HBL5" s="190"/>
      <c r="HBM5" s="190"/>
      <c r="HBN5" s="190"/>
      <c r="HBO5" s="190"/>
      <c r="HBP5" s="190"/>
      <c r="HBQ5" s="190"/>
      <c r="HBR5" s="190"/>
      <c r="HBS5" s="190"/>
      <c r="HBT5" s="190"/>
      <c r="HBU5" s="190"/>
      <c r="HBV5" s="190"/>
      <c r="HBW5" s="190"/>
      <c r="HBX5" s="190"/>
      <c r="HBY5" s="190"/>
      <c r="HBZ5" s="190"/>
      <c r="HCA5" s="190"/>
      <c r="HCB5" s="190"/>
      <c r="HCC5" s="190"/>
      <c r="HCD5" s="190"/>
      <c r="HCE5" s="190"/>
      <c r="HCF5" s="190"/>
      <c r="HCG5" s="190"/>
      <c r="HCH5" s="190"/>
      <c r="HCI5" s="190"/>
      <c r="HCJ5" s="190"/>
      <c r="HCK5" s="190"/>
      <c r="HCL5" s="190"/>
      <c r="HCM5" s="190"/>
      <c r="HCN5" s="190"/>
      <c r="HCO5" s="190"/>
      <c r="HCP5" s="190"/>
      <c r="HCQ5" s="190"/>
      <c r="HCR5" s="190"/>
      <c r="HCS5" s="190"/>
      <c r="HCT5" s="190"/>
      <c r="HCU5" s="190"/>
      <c r="HCV5" s="190"/>
      <c r="HCW5" s="190"/>
      <c r="HCX5" s="190"/>
      <c r="HCY5" s="190"/>
      <c r="HCZ5" s="190"/>
      <c r="HDA5" s="190"/>
      <c r="HDB5" s="190"/>
      <c r="HDC5" s="190"/>
      <c r="HDD5" s="190"/>
      <c r="HDE5" s="190"/>
      <c r="HDF5" s="190"/>
      <c r="HDG5" s="190"/>
      <c r="HDH5" s="190"/>
      <c r="HDI5" s="190"/>
      <c r="HDJ5" s="190"/>
      <c r="HDK5" s="190"/>
      <c r="HDL5" s="190"/>
      <c r="HDM5" s="190"/>
      <c r="HDN5" s="190"/>
      <c r="HDO5" s="190"/>
      <c r="HDP5" s="190"/>
      <c r="HDQ5" s="190"/>
      <c r="HDR5" s="190"/>
      <c r="HDS5" s="190"/>
      <c r="HDT5" s="190"/>
      <c r="HDU5" s="190"/>
      <c r="HDV5" s="190"/>
      <c r="HDW5" s="190"/>
      <c r="HDX5" s="190"/>
      <c r="HDY5" s="190"/>
      <c r="HDZ5" s="190"/>
      <c r="HEA5" s="190"/>
      <c r="HEB5" s="190"/>
      <c r="HEC5" s="190"/>
      <c r="HED5" s="190"/>
      <c r="HEE5" s="190"/>
      <c r="HEF5" s="190"/>
      <c r="HEG5" s="190"/>
      <c r="HEH5" s="190"/>
      <c r="HEI5" s="190"/>
      <c r="HEJ5" s="190"/>
      <c r="HEK5" s="190"/>
      <c r="HEL5" s="190"/>
      <c r="HEM5" s="190"/>
      <c r="HEN5" s="190"/>
      <c r="HEO5" s="190"/>
      <c r="HEP5" s="190"/>
      <c r="HEQ5" s="190"/>
      <c r="HER5" s="190"/>
      <c r="HES5" s="190"/>
      <c r="HET5" s="190"/>
      <c r="HEU5" s="190"/>
      <c r="HEV5" s="190"/>
      <c r="HEW5" s="190"/>
      <c r="HEX5" s="190"/>
      <c r="HEY5" s="190"/>
      <c r="HEZ5" s="190"/>
      <c r="HFA5" s="190"/>
      <c r="HFB5" s="190"/>
      <c r="HFC5" s="190"/>
      <c r="HFD5" s="190"/>
      <c r="HFE5" s="190"/>
      <c r="HFF5" s="190"/>
      <c r="HFG5" s="190"/>
      <c r="HFH5" s="190"/>
      <c r="HFI5" s="190"/>
      <c r="HFJ5" s="190"/>
      <c r="HFK5" s="190"/>
      <c r="HFL5" s="190"/>
      <c r="HFM5" s="190"/>
      <c r="HFN5" s="190"/>
      <c r="HFO5" s="190"/>
      <c r="HFP5" s="190"/>
      <c r="HFQ5" s="190"/>
      <c r="HFR5" s="190"/>
      <c r="HFS5" s="190"/>
      <c r="HFT5" s="190"/>
      <c r="HFU5" s="190"/>
      <c r="HFV5" s="190"/>
      <c r="HFW5" s="190"/>
      <c r="HFX5" s="190"/>
      <c r="HFY5" s="190"/>
      <c r="HFZ5" s="190"/>
      <c r="HGA5" s="190"/>
      <c r="HGB5" s="190"/>
      <c r="HGC5" s="190"/>
      <c r="HGD5" s="190"/>
      <c r="HGE5" s="190"/>
      <c r="HGF5" s="190"/>
      <c r="HGG5" s="190"/>
      <c r="HGH5" s="190"/>
      <c r="HGI5" s="190"/>
      <c r="HGJ5" s="190"/>
      <c r="HGK5" s="190"/>
      <c r="HGL5" s="190"/>
      <c r="HGM5" s="190"/>
      <c r="HGN5" s="190"/>
      <c r="HGO5" s="190"/>
      <c r="HGP5" s="190"/>
      <c r="HGQ5" s="190"/>
      <c r="HGR5" s="190"/>
      <c r="HGS5" s="190"/>
      <c r="HGT5" s="190"/>
      <c r="HGU5" s="190"/>
      <c r="HGV5" s="190"/>
      <c r="HGW5" s="190"/>
      <c r="HGX5" s="190"/>
      <c r="HGY5" s="190"/>
      <c r="HGZ5" s="190"/>
      <c r="HHA5" s="190"/>
      <c r="HHB5" s="190"/>
      <c r="HHC5" s="190"/>
      <c r="HHD5" s="190"/>
      <c r="HHE5" s="190"/>
      <c r="HHF5" s="190"/>
      <c r="HHG5" s="190"/>
      <c r="HHH5" s="190"/>
      <c r="HHI5" s="190"/>
      <c r="HHJ5" s="190"/>
      <c r="HHK5" s="190"/>
      <c r="HHL5" s="190"/>
      <c r="HHM5" s="190"/>
      <c r="HHN5" s="190"/>
      <c r="HHO5" s="190"/>
      <c r="HHP5" s="190"/>
      <c r="HHQ5" s="190"/>
      <c r="HHR5" s="190"/>
      <c r="HHS5" s="190"/>
      <c r="HHT5" s="190"/>
      <c r="HHU5" s="190"/>
      <c r="HHV5" s="190"/>
      <c r="HHW5" s="190"/>
      <c r="HHX5" s="190"/>
      <c r="HHY5" s="190"/>
      <c r="HHZ5" s="190"/>
      <c r="HIA5" s="190"/>
      <c r="HIB5" s="190"/>
      <c r="HIC5" s="190"/>
      <c r="HID5" s="190"/>
      <c r="HIE5" s="190"/>
      <c r="HIF5" s="190"/>
      <c r="HIG5" s="190"/>
      <c r="HIH5" s="190"/>
      <c r="HII5" s="190"/>
      <c r="HIJ5" s="190"/>
      <c r="HIK5" s="190"/>
      <c r="HIL5" s="190"/>
      <c r="HIM5" s="190"/>
      <c r="HIN5" s="190"/>
      <c r="HIO5" s="190"/>
      <c r="HIP5" s="190"/>
      <c r="HIQ5" s="190"/>
      <c r="HIR5" s="190"/>
      <c r="HIS5" s="190"/>
      <c r="HIT5" s="190"/>
      <c r="HIU5" s="190"/>
      <c r="HIV5" s="190"/>
      <c r="HIW5" s="190"/>
      <c r="HIX5" s="190"/>
      <c r="HIY5" s="190"/>
      <c r="HIZ5" s="190"/>
      <c r="HJA5" s="190"/>
      <c r="HJB5" s="190"/>
      <c r="HJC5" s="190"/>
      <c r="HJD5" s="190"/>
      <c r="HJE5" s="190"/>
      <c r="HJF5" s="190"/>
      <c r="HJG5" s="190"/>
      <c r="HJH5" s="190"/>
      <c r="HJI5" s="190"/>
      <c r="HJJ5" s="190"/>
      <c r="HJK5" s="190"/>
      <c r="HJL5" s="190"/>
      <c r="HJM5" s="190"/>
      <c r="HJN5" s="190"/>
      <c r="HJO5" s="190"/>
      <c r="HJP5" s="190"/>
      <c r="HJQ5" s="190"/>
      <c r="HJR5" s="190"/>
      <c r="HJS5" s="190"/>
      <c r="HJT5" s="190"/>
      <c r="HJU5" s="190"/>
      <c r="HJV5" s="190"/>
      <c r="HJW5" s="190"/>
      <c r="HJX5" s="190"/>
      <c r="HJY5" s="190"/>
      <c r="HJZ5" s="190"/>
      <c r="HKA5" s="190"/>
      <c r="HKB5" s="190"/>
      <c r="HKC5" s="190"/>
      <c r="HKD5" s="190"/>
      <c r="HKE5" s="190"/>
      <c r="HKF5" s="190"/>
      <c r="HKG5" s="190"/>
      <c r="HKH5" s="190"/>
      <c r="HKI5" s="190"/>
      <c r="HKJ5" s="190"/>
      <c r="HKK5" s="190"/>
      <c r="HKL5" s="190"/>
      <c r="HKM5" s="190"/>
      <c r="HKN5" s="190"/>
      <c r="HKO5" s="190"/>
      <c r="HKP5" s="190"/>
      <c r="HKQ5" s="190"/>
      <c r="HKR5" s="190"/>
      <c r="HKS5" s="190"/>
      <c r="HKT5" s="190"/>
      <c r="HKU5" s="190"/>
      <c r="HKV5" s="190"/>
      <c r="HKW5" s="190"/>
      <c r="HKX5" s="190"/>
      <c r="HKY5" s="190"/>
      <c r="HKZ5" s="190"/>
      <c r="HLA5" s="190"/>
      <c r="HLB5" s="190"/>
      <c r="HLC5" s="190"/>
      <c r="HLD5" s="190"/>
      <c r="HLE5" s="190"/>
      <c r="HLF5" s="190"/>
      <c r="HLG5" s="190"/>
      <c r="HLH5" s="190"/>
      <c r="HLI5" s="190"/>
      <c r="HLJ5" s="190"/>
      <c r="HLK5" s="190"/>
      <c r="HLL5" s="190"/>
      <c r="HLM5" s="190"/>
      <c r="HLN5" s="190"/>
      <c r="HLO5" s="190"/>
      <c r="HLP5" s="190"/>
      <c r="HLQ5" s="190"/>
      <c r="HLR5" s="190"/>
      <c r="HLS5" s="190"/>
      <c r="HLT5" s="190"/>
      <c r="HLU5" s="190"/>
      <c r="HLV5" s="190"/>
      <c r="HLW5" s="190"/>
      <c r="HLX5" s="190"/>
      <c r="HLY5" s="190"/>
      <c r="HLZ5" s="190"/>
      <c r="HMA5" s="190"/>
      <c r="HMB5" s="190"/>
      <c r="HMC5" s="190"/>
      <c r="HMD5" s="190"/>
      <c r="HME5" s="190"/>
      <c r="HMF5" s="190"/>
      <c r="HMG5" s="190"/>
      <c r="HMH5" s="190"/>
      <c r="HMI5" s="190"/>
      <c r="HMJ5" s="190"/>
      <c r="HMK5" s="190"/>
      <c r="HML5" s="190"/>
      <c r="HMM5" s="190"/>
      <c r="HMN5" s="190"/>
      <c r="HMO5" s="190"/>
      <c r="HMP5" s="190"/>
      <c r="HMQ5" s="190"/>
      <c r="HMR5" s="190"/>
      <c r="HMS5" s="190"/>
      <c r="HMT5" s="190"/>
      <c r="HMU5" s="190"/>
      <c r="HMV5" s="190"/>
      <c r="HMW5" s="190"/>
      <c r="HMX5" s="190"/>
      <c r="HMY5" s="190"/>
      <c r="HMZ5" s="190"/>
      <c r="HNA5" s="190"/>
      <c r="HNB5" s="190"/>
      <c r="HNC5" s="190"/>
      <c r="HND5" s="190"/>
      <c r="HNE5" s="190"/>
      <c r="HNF5" s="190"/>
      <c r="HNG5" s="190"/>
      <c r="HNH5" s="190"/>
      <c r="HNI5" s="190"/>
      <c r="HNJ5" s="190"/>
      <c r="HNK5" s="190"/>
      <c r="HNL5" s="190"/>
      <c r="HNM5" s="190"/>
      <c r="HNN5" s="190"/>
      <c r="HNO5" s="190"/>
      <c r="HNP5" s="190"/>
      <c r="HNQ5" s="190"/>
      <c r="HNR5" s="190"/>
      <c r="HNS5" s="190"/>
      <c r="HNT5" s="190"/>
      <c r="HNU5" s="190"/>
      <c r="HNV5" s="190"/>
      <c r="HNW5" s="190"/>
      <c r="HNX5" s="190"/>
      <c r="HNY5" s="190"/>
      <c r="HNZ5" s="190"/>
      <c r="HOA5" s="190"/>
      <c r="HOB5" s="190"/>
      <c r="HOC5" s="190"/>
      <c r="HOD5" s="190"/>
      <c r="HOE5" s="190"/>
      <c r="HOF5" s="190"/>
      <c r="HOG5" s="190"/>
      <c r="HOH5" s="190"/>
      <c r="HOI5" s="190"/>
      <c r="HOJ5" s="190"/>
      <c r="HOK5" s="190"/>
      <c r="HOL5" s="190"/>
      <c r="HOM5" s="190"/>
      <c r="HON5" s="190"/>
      <c r="HOO5" s="190"/>
      <c r="HOP5" s="190"/>
      <c r="HOQ5" s="190"/>
      <c r="HOR5" s="190"/>
      <c r="HOS5" s="190"/>
      <c r="HOT5" s="190"/>
      <c r="HOU5" s="190"/>
      <c r="HOV5" s="190"/>
      <c r="HOW5" s="190"/>
      <c r="HOX5" s="190"/>
      <c r="HOY5" s="190"/>
      <c r="HOZ5" s="190"/>
      <c r="HPA5" s="190"/>
      <c r="HPB5" s="190"/>
      <c r="HPC5" s="190"/>
      <c r="HPD5" s="190"/>
      <c r="HPE5" s="190"/>
      <c r="HPF5" s="190"/>
      <c r="HPG5" s="190"/>
      <c r="HPH5" s="190"/>
      <c r="HPI5" s="190"/>
      <c r="HPJ5" s="190"/>
      <c r="HPK5" s="190"/>
      <c r="HPL5" s="190"/>
      <c r="HPM5" s="190"/>
      <c r="HPN5" s="190"/>
      <c r="HPO5" s="190"/>
      <c r="HPP5" s="190"/>
      <c r="HPQ5" s="190"/>
      <c r="HPR5" s="190"/>
      <c r="HPS5" s="190"/>
      <c r="HPT5" s="190"/>
      <c r="HPU5" s="190"/>
      <c r="HPV5" s="190"/>
      <c r="HPW5" s="190"/>
      <c r="HPX5" s="190"/>
      <c r="HPY5" s="190"/>
      <c r="HPZ5" s="190"/>
      <c r="HQA5" s="190"/>
      <c r="HQB5" s="190"/>
      <c r="HQC5" s="190"/>
      <c r="HQD5" s="190"/>
      <c r="HQE5" s="190"/>
      <c r="HQF5" s="190"/>
      <c r="HQG5" s="190"/>
      <c r="HQH5" s="190"/>
      <c r="HQI5" s="190"/>
      <c r="HQJ5" s="190"/>
      <c r="HQK5" s="190"/>
      <c r="HQL5" s="190"/>
      <c r="HQM5" s="190"/>
      <c r="HQN5" s="190"/>
      <c r="HQO5" s="190"/>
      <c r="HQP5" s="190"/>
      <c r="HQQ5" s="190"/>
      <c r="HQR5" s="190"/>
      <c r="HQS5" s="190"/>
      <c r="HQT5" s="190"/>
      <c r="HQU5" s="190"/>
      <c r="HQV5" s="190"/>
      <c r="HQW5" s="190"/>
      <c r="HQX5" s="190"/>
      <c r="HQY5" s="190"/>
      <c r="HQZ5" s="190"/>
      <c r="HRA5" s="190"/>
      <c r="HRB5" s="190"/>
      <c r="HRC5" s="190"/>
      <c r="HRD5" s="190"/>
      <c r="HRE5" s="190"/>
      <c r="HRF5" s="190"/>
      <c r="HRG5" s="190"/>
      <c r="HRH5" s="190"/>
      <c r="HRI5" s="190"/>
      <c r="HRJ5" s="190"/>
      <c r="HRK5" s="190"/>
      <c r="HRL5" s="190"/>
      <c r="HRM5" s="190"/>
      <c r="HRN5" s="190"/>
      <c r="HRO5" s="190"/>
      <c r="HRP5" s="190"/>
      <c r="HRQ5" s="190"/>
      <c r="HRR5" s="190"/>
      <c r="HRS5" s="190"/>
      <c r="HRT5" s="190"/>
      <c r="HRU5" s="190"/>
      <c r="HRV5" s="190"/>
      <c r="HRW5" s="190"/>
      <c r="HRX5" s="190"/>
      <c r="HRY5" s="190"/>
      <c r="HRZ5" s="190"/>
      <c r="HSA5" s="190"/>
      <c r="HSB5" s="190"/>
      <c r="HSC5" s="190"/>
      <c r="HSD5" s="190"/>
      <c r="HSE5" s="190"/>
      <c r="HSF5" s="190"/>
      <c r="HSG5" s="190"/>
      <c r="HSH5" s="190"/>
      <c r="HSI5" s="190"/>
      <c r="HSJ5" s="190"/>
      <c r="HSK5" s="190"/>
      <c r="HSL5" s="190"/>
      <c r="HSM5" s="190"/>
      <c r="HSN5" s="190"/>
      <c r="HSO5" s="190"/>
      <c r="HSP5" s="190"/>
      <c r="HSQ5" s="190"/>
      <c r="HSR5" s="190"/>
      <c r="HSS5" s="190"/>
      <c r="HST5" s="190"/>
      <c r="HSU5" s="190"/>
      <c r="HSV5" s="190"/>
      <c r="HSW5" s="190"/>
      <c r="HSX5" s="190"/>
      <c r="HSY5" s="190"/>
      <c r="HSZ5" s="190"/>
      <c r="HTA5" s="190"/>
      <c r="HTB5" s="190"/>
      <c r="HTC5" s="190"/>
      <c r="HTD5" s="190"/>
      <c r="HTE5" s="190"/>
      <c r="HTF5" s="190"/>
      <c r="HTG5" s="190"/>
      <c r="HTH5" s="190"/>
      <c r="HTI5" s="190"/>
      <c r="HTJ5" s="190"/>
      <c r="HTK5" s="190"/>
      <c r="HTL5" s="190"/>
      <c r="HTM5" s="190"/>
      <c r="HTN5" s="190"/>
      <c r="HTO5" s="190"/>
      <c r="HTP5" s="190"/>
      <c r="HTQ5" s="190"/>
      <c r="HTR5" s="190"/>
      <c r="HTS5" s="190"/>
      <c r="HTT5" s="190"/>
      <c r="HTU5" s="190"/>
      <c r="HTV5" s="190"/>
      <c r="HTW5" s="190"/>
      <c r="HTX5" s="190"/>
      <c r="HTY5" s="190"/>
      <c r="HTZ5" s="190"/>
      <c r="HUA5" s="190"/>
      <c r="HUB5" s="190"/>
      <c r="HUC5" s="190"/>
      <c r="HUD5" s="190"/>
      <c r="HUE5" s="190"/>
      <c r="HUF5" s="190"/>
      <c r="HUG5" s="190"/>
      <c r="HUH5" s="190"/>
      <c r="HUI5" s="190"/>
      <c r="HUJ5" s="190"/>
      <c r="HUK5" s="190"/>
      <c r="HUL5" s="190"/>
      <c r="HUM5" s="190"/>
      <c r="HUN5" s="190"/>
      <c r="HUO5" s="190"/>
      <c r="HUP5" s="190"/>
      <c r="HUQ5" s="190"/>
      <c r="HUR5" s="190"/>
      <c r="HUS5" s="190"/>
      <c r="HUT5" s="190"/>
      <c r="HUU5" s="190"/>
      <c r="HUV5" s="190"/>
      <c r="HUW5" s="190"/>
      <c r="HUX5" s="190"/>
      <c r="HUY5" s="190"/>
      <c r="HUZ5" s="190"/>
      <c r="HVA5" s="190"/>
      <c r="HVB5" s="190"/>
      <c r="HVC5" s="190"/>
      <c r="HVD5" s="190"/>
      <c r="HVE5" s="190"/>
      <c r="HVF5" s="190"/>
      <c r="HVG5" s="190"/>
      <c r="HVH5" s="190"/>
      <c r="HVI5" s="190"/>
      <c r="HVJ5" s="190"/>
      <c r="HVK5" s="190"/>
      <c r="HVL5" s="190"/>
      <c r="HVM5" s="190"/>
      <c r="HVN5" s="190"/>
      <c r="HVO5" s="190"/>
      <c r="HVP5" s="190"/>
      <c r="HVQ5" s="190"/>
      <c r="HVR5" s="190"/>
      <c r="HVS5" s="190"/>
      <c r="HVT5" s="190"/>
      <c r="HVU5" s="190"/>
      <c r="HVV5" s="190"/>
      <c r="HVW5" s="190"/>
      <c r="HVX5" s="190"/>
      <c r="HVY5" s="190"/>
      <c r="HVZ5" s="190"/>
      <c r="HWA5" s="190"/>
      <c r="HWB5" s="190"/>
      <c r="HWC5" s="190"/>
      <c r="HWD5" s="190"/>
      <c r="HWE5" s="190"/>
      <c r="HWF5" s="190"/>
      <c r="HWG5" s="190"/>
      <c r="HWH5" s="190"/>
      <c r="HWI5" s="190"/>
      <c r="HWJ5" s="190"/>
      <c r="HWK5" s="190"/>
      <c r="HWL5" s="190"/>
      <c r="HWM5" s="190"/>
      <c r="HWN5" s="190"/>
      <c r="HWO5" s="190"/>
      <c r="HWP5" s="190"/>
      <c r="HWQ5" s="190"/>
      <c r="HWR5" s="190"/>
      <c r="HWS5" s="190"/>
      <c r="HWT5" s="190"/>
      <c r="HWU5" s="190"/>
      <c r="HWV5" s="190"/>
      <c r="HWW5" s="190"/>
      <c r="HWX5" s="190"/>
      <c r="HWY5" s="190"/>
      <c r="HWZ5" s="190"/>
      <c r="HXA5" s="190"/>
      <c r="HXB5" s="190"/>
      <c r="HXC5" s="190"/>
      <c r="HXD5" s="190"/>
      <c r="HXE5" s="190"/>
      <c r="HXF5" s="190"/>
      <c r="HXG5" s="190"/>
      <c r="HXH5" s="190"/>
      <c r="HXI5" s="190"/>
      <c r="HXJ5" s="190"/>
      <c r="HXK5" s="190"/>
      <c r="HXL5" s="190"/>
      <c r="HXM5" s="190"/>
      <c r="HXN5" s="190"/>
      <c r="HXO5" s="190"/>
      <c r="HXP5" s="190"/>
      <c r="HXQ5" s="190"/>
      <c r="HXR5" s="190"/>
      <c r="HXS5" s="190"/>
      <c r="HXT5" s="190"/>
      <c r="HXU5" s="190"/>
      <c r="HXV5" s="190"/>
      <c r="HXW5" s="190"/>
      <c r="HXX5" s="190"/>
      <c r="HXY5" s="190"/>
      <c r="HXZ5" s="190"/>
      <c r="HYA5" s="190"/>
      <c r="HYB5" s="190"/>
      <c r="HYC5" s="190"/>
      <c r="HYD5" s="190"/>
      <c r="HYE5" s="190"/>
      <c r="HYF5" s="190"/>
      <c r="HYG5" s="190"/>
      <c r="HYH5" s="190"/>
      <c r="HYI5" s="190"/>
      <c r="HYJ5" s="190"/>
      <c r="HYK5" s="190"/>
      <c r="HYL5" s="190"/>
      <c r="HYM5" s="190"/>
      <c r="HYN5" s="190"/>
      <c r="HYO5" s="190"/>
      <c r="HYP5" s="190"/>
      <c r="HYQ5" s="190"/>
      <c r="HYR5" s="190"/>
      <c r="HYS5" s="190"/>
      <c r="HYT5" s="190"/>
      <c r="HYU5" s="190"/>
      <c r="HYV5" s="190"/>
      <c r="HYW5" s="190"/>
      <c r="HYX5" s="190"/>
      <c r="HYY5" s="190"/>
      <c r="HYZ5" s="190"/>
      <c r="HZA5" s="190"/>
      <c r="HZB5" s="190"/>
      <c r="HZC5" s="190"/>
      <c r="HZD5" s="190"/>
      <c r="HZE5" s="190"/>
      <c r="HZF5" s="190"/>
      <c r="HZG5" s="190"/>
      <c r="HZH5" s="190"/>
      <c r="HZI5" s="190"/>
      <c r="HZJ5" s="190"/>
      <c r="HZK5" s="190"/>
      <c r="HZL5" s="190"/>
      <c r="HZM5" s="190"/>
      <c r="HZN5" s="190"/>
      <c r="HZO5" s="190"/>
      <c r="HZP5" s="190"/>
      <c r="HZQ5" s="190"/>
      <c r="HZR5" s="190"/>
      <c r="HZS5" s="190"/>
      <c r="HZT5" s="190"/>
      <c r="HZU5" s="190"/>
      <c r="HZV5" s="190"/>
      <c r="HZW5" s="190"/>
      <c r="HZX5" s="190"/>
      <c r="HZY5" s="190"/>
      <c r="HZZ5" s="190"/>
      <c r="IAA5" s="190"/>
      <c r="IAB5" s="190"/>
      <c r="IAC5" s="190"/>
      <c r="IAD5" s="190"/>
      <c r="IAE5" s="190"/>
      <c r="IAF5" s="190"/>
      <c r="IAG5" s="190"/>
      <c r="IAH5" s="190"/>
      <c r="IAI5" s="190"/>
      <c r="IAJ5" s="190"/>
      <c r="IAK5" s="190"/>
      <c r="IAL5" s="190"/>
      <c r="IAM5" s="190"/>
      <c r="IAN5" s="190"/>
      <c r="IAO5" s="190"/>
      <c r="IAP5" s="190"/>
      <c r="IAQ5" s="190"/>
      <c r="IAR5" s="190"/>
      <c r="IAS5" s="190"/>
      <c r="IAT5" s="190"/>
      <c r="IAU5" s="190"/>
      <c r="IAV5" s="190"/>
      <c r="IAW5" s="190"/>
      <c r="IAX5" s="190"/>
      <c r="IAY5" s="190"/>
      <c r="IAZ5" s="190"/>
      <c r="IBA5" s="190"/>
      <c r="IBB5" s="190"/>
      <c r="IBC5" s="190"/>
      <c r="IBD5" s="190"/>
      <c r="IBE5" s="190"/>
      <c r="IBF5" s="190"/>
      <c r="IBG5" s="190"/>
      <c r="IBH5" s="190"/>
      <c r="IBI5" s="190"/>
      <c r="IBJ5" s="190"/>
      <c r="IBK5" s="190"/>
      <c r="IBL5" s="190"/>
      <c r="IBM5" s="190"/>
      <c r="IBN5" s="190"/>
      <c r="IBO5" s="190"/>
      <c r="IBP5" s="190"/>
      <c r="IBQ5" s="190"/>
      <c r="IBR5" s="190"/>
      <c r="IBS5" s="190"/>
      <c r="IBT5" s="190"/>
      <c r="IBU5" s="190"/>
      <c r="IBV5" s="190"/>
      <c r="IBW5" s="190"/>
      <c r="IBX5" s="190"/>
      <c r="IBY5" s="190"/>
      <c r="IBZ5" s="190"/>
      <c r="ICA5" s="190"/>
      <c r="ICB5" s="190"/>
      <c r="ICC5" s="190"/>
      <c r="ICD5" s="190"/>
      <c r="ICE5" s="190"/>
      <c r="ICF5" s="190"/>
      <c r="ICG5" s="190"/>
      <c r="ICH5" s="190"/>
      <c r="ICI5" s="190"/>
      <c r="ICJ5" s="190"/>
      <c r="ICK5" s="190"/>
      <c r="ICL5" s="190"/>
      <c r="ICM5" s="190"/>
      <c r="ICN5" s="190"/>
      <c r="ICO5" s="190"/>
      <c r="ICP5" s="190"/>
      <c r="ICQ5" s="190"/>
      <c r="ICR5" s="190"/>
      <c r="ICS5" s="190"/>
      <c r="ICT5" s="190"/>
      <c r="ICU5" s="190"/>
      <c r="ICV5" s="190"/>
      <c r="ICW5" s="190"/>
      <c r="ICX5" s="190"/>
      <c r="ICY5" s="190"/>
      <c r="ICZ5" s="190"/>
      <c r="IDA5" s="190"/>
      <c r="IDB5" s="190"/>
      <c r="IDC5" s="190"/>
      <c r="IDD5" s="190"/>
      <c r="IDE5" s="190"/>
      <c r="IDF5" s="190"/>
      <c r="IDG5" s="190"/>
      <c r="IDH5" s="190"/>
      <c r="IDI5" s="190"/>
      <c r="IDJ5" s="190"/>
      <c r="IDK5" s="190"/>
      <c r="IDL5" s="190"/>
      <c r="IDM5" s="190"/>
      <c r="IDN5" s="190"/>
      <c r="IDO5" s="190"/>
      <c r="IDP5" s="190"/>
      <c r="IDQ5" s="190"/>
      <c r="IDR5" s="190"/>
      <c r="IDS5" s="190"/>
      <c r="IDT5" s="190"/>
      <c r="IDU5" s="190"/>
      <c r="IDV5" s="190"/>
      <c r="IDW5" s="190"/>
      <c r="IDX5" s="190"/>
      <c r="IDY5" s="190"/>
      <c r="IDZ5" s="190"/>
      <c r="IEA5" s="190"/>
      <c r="IEB5" s="190"/>
      <c r="IEC5" s="190"/>
      <c r="IED5" s="190"/>
      <c r="IEE5" s="190"/>
      <c r="IEF5" s="190"/>
      <c r="IEG5" s="190"/>
      <c r="IEH5" s="190"/>
      <c r="IEI5" s="190"/>
      <c r="IEJ5" s="190"/>
      <c r="IEK5" s="190"/>
      <c r="IEL5" s="190"/>
      <c r="IEM5" s="190"/>
      <c r="IEN5" s="190"/>
      <c r="IEO5" s="190"/>
      <c r="IEP5" s="190"/>
      <c r="IEQ5" s="190"/>
      <c r="IER5" s="190"/>
      <c r="IES5" s="190"/>
      <c r="IET5" s="190"/>
      <c r="IEU5" s="190"/>
      <c r="IEV5" s="190"/>
      <c r="IEW5" s="190"/>
      <c r="IEX5" s="190"/>
      <c r="IEY5" s="190"/>
      <c r="IEZ5" s="190"/>
      <c r="IFA5" s="190"/>
      <c r="IFB5" s="190"/>
      <c r="IFC5" s="190"/>
      <c r="IFD5" s="190"/>
      <c r="IFE5" s="190"/>
      <c r="IFF5" s="190"/>
      <c r="IFG5" s="190"/>
      <c r="IFH5" s="190"/>
      <c r="IFI5" s="190"/>
      <c r="IFJ5" s="190"/>
      <c r="IFK5" s="190"/>
      <c r="IFL5" s="190"/>
      <c r="IFM5" s="190"/>
      <c r="IFN5" s="190"/>
      <c r="IFO5" s="190"/>
      <c r="IFP5" s="190"/>
      <c r="IFQ5" s="190"/>
      <c r="IFR5" s="190"/>
      <c r="IFS5" s="190"/>
      <c r="IFT5" s="190"/>
      <c r="IFU5" s="190"/>
      <c r="IFV5" s="190"/>
      <c r="IFW5" s="190"/>
      <c r="IFX5" s="190"/>
      <c r="IFY5" s="190"/>
      <c r="IFZ5" s="190"/>
      <c r="IGA5" s="190"/>
      <c r="IGB5" s="190"/>
      <c r="IGC5" s="190"/>
      <c r="IGD5" s="190"/>
      <c r="IGE5" s="190"/>
      <c r="IGF5" s="190"/>
      <c r="IGG5" s="190"/>
      <c r="IGH5" s="190"/>
      <c r="IGI5" s="190"/>
      <c r="IGJ5" s="190"/>
      <c r="IGK5" s="190"/>
      <c r="IGL5" s="190"/>
      <c r="IGM5" s="190"/>
      <c r="IGN5" s="190"/>
      <c r="IGO5" s="190"/>
      <c r="IGP5" s="190"/>
      <c r="IGQ5" s="190"/>
      <c r="IGR5" s="190"/>
      <c r="IGS5" s="190"/>
      <c r="IGT5" s="190"/>
      <c r="IGU5" s="190"/>
      <c r="IGV5" s="190"/>
      <c r="IGW5" s="190"/>
      <c r="IGX5" s="190"/>
      <c r="IGY5" s="190"/>
      <c r="IGZ5" s="190"/>
      <c r="IHA5" s="190"/>
      <c r="IHB5" s="190"/>
      <c r="IHC5" s="190"/>
      <c r="IHD5" s="190"/>
      <c r="IHE5" s="190"/>
      <c r="IHF5" s="190"/>
      <c r="IHG5" s="190"/>
      <c r="IHH5" s="190"/>
      <c r="IHI5" s="190"/>
      <c r="IHJ5" s="190"/>
      <c r="IHK5" s="190"/>
      <c r="IHL5" s="190"/>
      <c r="IHM5" s="190"/>
      <c r="IHN5" s="190"/>
      <c r="IHO5" s="190"/>
      <c r="IHP5" s="190"/>
      <c r="IHQ5" s="190"/>
      <c r="IHR5" s="190"/>
      <c r="IHS5" s="190"/>
      <c r="IHT5" s="190"/>
      <c r="IHU5" s="190"/>
      <c r="IHV5" s="190"/>
      <c r="IHW5" s="190"/>
      <c r="IHX5" s="190"/>
      <c r="IHY5" s="190"/>
      <c r="IHZ5" s="190"/>
      <c r="IIA5" s="190"/>
      <c r="IIB5" s="190"/>
      <c r="IIC5" s="190"/>
      <c r="IID5" s="190"/>
      <c r="IIE5" s="190"/>
      <c r="IIF5" s="190"/>
      <c r="IIG5" s="190"/>
      <c r="IIH5" s="190"/>
      <c r="III5" s="190"/>
      <c r="IIJ5" s="190"/>
      <c r="IIK5" s="190"/>
      <c r="IIL5" s="190"/>
      <c r="IIM5" s="190"/>
      <c r="IIN5" s="190"/>
      <c r="IIO5" s="190"/>
      <c r="IIP5" s="190"/>
      <c r="IIQ5" s="190"/>
      <c r="IIR5" s="190"/>
      <c r="IIS5" s="190"/>
      <c r="IIT5" s="190"/>
      <c r="IIU5" s="190"/>
      <c r="IIV5" s="190"/>
      <c r="IIW5" s="190"/>
      <c r="IIX5" s="190"/>
      <c r="IIY5" s="190"/>
      <c r="IIZ5" s="190"/>
      <c r="IJA5" s="190"/>
      <c r="IJB5" s="190"/>
      <c r="IJC5" s="190"/>
      <c r="IJD5" s="190"/>
      <c r="IJE5" s="190"/>
      <c r="IJF5" s="190"/>
      <c r="IJG5" s="190"/>
      <c r="IJH5" s="190"/>
      <c r="IJI5" s="190"/>
      <c r="IJJ5" s="190"/>
      <c r="IJK5" s="190"/>
      <c r="IJL5" s="190"/>
      <c r="IJM5" s="190"/>
      <c r="IJN5" s="190"/>
      <c r="IJO5" s="190"/>
      <c r="IJP5" s="190"/>
      <c r="IJQ5" s="190"/>
      <c r="IJR5" s="190"/>
      <c r="IJS5" s="190"/>
      <c r="IJT5" s="190"/>
      <c r="IJU5" s="190"/>
      <c r="IJV5" s="190"/>
      <c r="IJW5" s="190"/>
      <c r="IJX5" s="190"/>
      <c r="IJY5" s="190"/>
      <c r="IJZ5" s="190"/>
      <c r="IKA5" s="190"/>
      <c r="IKB5" s="190"/>
      <c r="IKC5" s="190"/>
      <c r="IKD5" s="190"/>
      <c r="IKE5" s="190"/>
      <c r="IKF5" s="190"/>
      <c r="IKG5" s="190"/>
      <c r="IKH5" s="190"/>
      <c r="IKI5" s="190"/>
      <c r="IKJ5" s="190"/>
      <c r="IKK5" s="190"/>
      <c r="IKL5" s="190"/>
      <c r="IKM5" s="190"/>
      <c r="IKN5" s="190"/>
      <c r="IKO5" s="190"/>
      <c r="IKP5" s="190"/>
      <c r="IKQ5" s="190"/>
      <c r="IKR5" s="190"/>
      <c r="IKS5" s="190"/>
      <c r="IKT5" s="190"/>
      <c r="IKU5" s="190"/>
      <c r="IKV5" s="190"/>
      <c r="IKW5" s="190"/>
      <c r="IKX5" s="190"/>
      <c r="IKY5" s="190"/>
      <c r="IKZ5" s="190"/>
      <c r="ILA5" s="190"/>
      <c r="ILB5" s="190"/>
      <c r="ILC5" s="190"/>
      <c r="ILD5" s="190"/>
      <c r="ILE5" s="190"/>
      <c r="ILF5" s="190"/>
      <c r="ILG5" s="190"/>
      <c r="ILH5" s="190"/>
      <c r="ILI5" s="190"/>
      <c r="ILJ5" s="190"/>
      <c r="ILK5" s="190"/>
      <c r="ILL5" s="190"/>
      <c r="ILM5" s="190"/>
      <c r="ILN5" s="190"/>
      <c r="ILO5" s="190"/>
      <c r="ILP5" s="190"/>
      <c r="ILQ5" s="190"/>
      <c r="ILR5" s="190"/>
      <c r="ILS5" s="190"/>
      <c r="ILT5" s="190"/>
      <c r="ILU5" s="190"/>
      <c r="ILV5" s="190"/>
      <c r="ILW5" s="190"/>
      <c r="ILX5" s="190"/>
      <c r="ILY5" s="190"/>
      <c r="ILZ5" s="190"/>
      <c r="IMA5" s="190"/>
      <c r="IMB5" s="190"/>
      <c r="IMC5" s="190"/>
      <c r="IMD5" s="190"/>
      <c r="IME5" s="190"/>
      <c r="IMF5" s="190"/>
      <c r="IMG5" s="190"/>
      <c r="IMH5" s="190"/>
      <c r="IMI5" s="190"/>
      <c r="IMJ5" s="190"/>
      <c r="IMK5" s="190"/>
      <c r="IML5" s="190"/>
      <c r="IMM5" s="190"/>
      <c r="IMN5" s="190"/>
      <c r="IMO5" s="190"/>
      <c r="IMP5" s="190"/>
      <c r="IMQ5" s="190"/>
      <c r="IMR5" s="190"/>
      <c r="IMS5" s="190"/>
      <c r="IMT5" s="190"/>
      <c r="IMU5" s="190"/>
      <c r="IMV5" s="190"/>
      <c r="IMW5" s="190"/>
      <c r="IMX5" s="190"/>
      <c r="IMY5" s="190"/>
      <c r="IMZ5" s="190"/>
      <c r="INA5" s="190"/>
      <c r="INB5" s="190"/>
      <c r="INC5" s="190"/>
      <c r="IND5" s="190"/>
      <c r="INE5" s="190"/>
      <c r="INF5" s="190"/>
      <c r="ING5" s="190"/>
      <c r="INH5" s="190"/>
      <c r="INI5" s="190"/>
      <c r="INJ5" s="190"/>
      <c r="INK5" s="190"/>
      <c r="INL5" s="190"/>
      <c r="INM5" s="190"/>
      <c r="INN5" s="190"/>
      <c r="INO5" s="190"/>
      <c r="INP5" s="190"/>
      <c r="INQ5" s="190"/>
      <c r="INR5" s="190"/>
      <c r="INS5" s="190"/>
      <c r="INT5" s="190"/>
      <c r="INU5" s="190"/>
      <c r="INV5" s="190"/>
      <c r="INW5" s="190"/>
      <c r="INX5" s="190"/>
      <c r="INY5" s="190"/>
      <c r="INZ5" s="190"/>
      <c r="IOA5" s="190"/>
      <c r="IOB5" s="190"/>
      <c r="IOC5" s="190"/>
      <c r="IOD5" s="190"/>
      <c r="IOE5" s="190"/>
      <c r="IOF5" s="190"/>
      <c r="IOG5" s="190"/>
      <c r="IOH5" s="190"/>
      <c r="IOI5" s="190"/>
      <c r="IOJ5" s="190"/>
      <c r="IOK5" s="190"/>
      <c r="IOL5" s="190"/>
      <c r="IOM5" s="190"/>
      <c r="ION5" s="190"/>
      <c r="IOO5" s="190"/>
      <c r="IOP5" s="190"/>
      <c r="IOQ5" s="190"/>
      <c r="IOR5" s="190"/>
      <c r="IOS5" s="190"/>
      <c r="IOT5" s="190"/>
      <c r="IOU5" s="190"/>
      <c r="IOV5" s="190"/>
      <c r="IOW5" s="190"/>
      <c r="IOX5" s="190"/>
      <c r="IOY5" s="190"/>
      <c r="IOZ5" s="190"/>
      <c r="IPA5" s="190"/>
      <c r="IPB5" s="190"/>
      <c r="IPC5" s="190"/>
      <c r="IPD5" s="190"/>
      <c r="IPE5" s="190"/>
      <c r="IPF5" s="190"/>
      <c r="IPG5" s="190"/>
      <c r="IPH5" s="190"/>
      <c r="IPI5" s="190"/>
      <c r="IPJ5" s="190"/>
      <c r="IPK5" s="190"/>
      <c r="IPL5" s="190"/>
      <c r="IPM5" s="190"/>
      <c r="IPN5" s="190"/>
      <c r="IPO5" s="190"/>
      <c r="IPP5" s="190"/>
      <c r="IPQ5" s="190"/>
      <c r="IPR5" s="190"/>
      <c r="IPS5" s="190"/>
      <c r="IPT5" s="190"/>
      <c r="IPU5" s="190"/>
      <c r="IPV5" s="190"/>
      <c r="IPW5" s="190"/>
      <c r="IPX5" s="190"/>
      <c r="IPY5" s="190"/>
      <c r="IPZ5" s="190"/>
      <c r="IQA5" s="190"/>
      <c r="IQB5" s="190"/>
      <c r="IQC5" s="190"/>
      <c r="IQD5" s="190"/>
      <c r="IQE5" s="190"/>
      <c r="IQF5" s="190"/>
      <c r="IQG5" s="190"/>
      <c r="IQH5" s="190"/>
      <c r="IQI5" s="190"/>
      <c r="IQJ5" s="190"/>
      <c r="IQK5" s="190"/>
      <c r="IQL5" s="190"/>
      <c r="IQM5" s="190"/>
      <c r="IQN5" s="190"/>
      <c r="IQO5" s="190"/>
      <c r="IQP5" s="190"/>
      <c r="IQQ5" s="190"/>
      <c r="IQR5" s="190"/>
      <c r="IQS5" s="190"/>
      <c r="IQT5" s="190"/>
      <c r="IQU5" s="190"/>
      <c r="IQV5" s="190"/>
      <c r="IQW5" s="190"/>
      <c r="IQX5" s="190"/>
      <c r="IQY5" s="190"/>
      <c r="IQZ5" s="190"/>
      <c r="IRA5" s="190"/>
      <c r="IRB5" s="190"/>
      <c r="IRC5" s="190"/>
      <c r="IRD5" s="190"/>
      <c r="IRE5" s="190"/>
      <c r="IRF5" s="190"/>
      <c r="IRG5" s="190"/>
      <c r="IRH5" s="190"/>
      <c r="IRI5" s="190"/>
      <c r="IRJ5" s="190"/>
      <c r="IRK5" s="190"/>
      <c r="IRL5" s="190"/>
      <c r="IRM5" s="190"/>
      <c r="IRN5" s="190"/>
      <c r="IRO5" s="190"/>
      <c r="IRP5" s="190"/>
      <c r="IRQ5" s="190"/>
      <c r="IRR5" s="190"/>
      <c r="IRS5" s="190"/>
      <c r="IRT5" s="190"/>
      <c r="IRU5" s="190"/>
      <c r="IRV5" s="190"/>
      <c r="IRW5" s="190"/>
      <c r="IRX5" s="190"/>
      <c r="IRY5" s="190"/>
      <c r="IRZ5" s="190"/>
      <c r="ISA5" s="190"/>
      <c r="ISB5" s="190"/>
      <c r="ISC5" s="190"/>
      <c r="ISD5" s="190"/>
      <c r="ISE5" s="190"/>
      <c r="ISF5" s="190"/>
      <c r="ISG5" s="190"/>
      <c r="ISH5" s="190"/>
      <c r="ISI5" s="190"/>
      <c r="ISJ5" s="190"/>
      <c r="ISK5" s="190"/>
      <c r="ISL5" s="190"/>
      <c r="ISM5" s="190"/>
      <c r="ISN5" s="190"/>
      <c r="ISO5" s="190"/>
      <c r="ISP5" s="190"/>
      <c r="ISQ5" s="190"/>
      <c r="ISR5" s="190"/>
      <c r="ISS5" s="190"/>
      <c r="IST5" s="190"/>
      <c r="ISU5" s="190"/>
      <c r="ISV5" s="190"/>
      <c r="ISW5" s="190"/>
      <c r="ISX5" s="190"/>
      <c r="ISY5" s="190"/>
      <c r="ISZ5" s="190"/>
      <c r="ITA5" s="190"/>
      <c r="ITB5" s="190"/>
      <c r="ITC5" s="190"/>
      <c r="ITD5" s="190"/>
      <c r="ITE5" s="190"/>
      <c r="ITF5" s="190"/>
      <c r="ITG5" s="190"/>
      <c r="ITH5" s="190"/>
      <c r="ITI5" s="190"/>
      <c r="ITJ5" s="190"/>
      <c r="ITK5" s="190"/>
      <c r="ITL5" s="190"/>
      <c r="ITM5" s="190"/>
      <c r="ITN5" s="190"/>
      <c r="ITO5" s="190"/>
      <c r="ITP5" s="190"/>
      <c r="ITQ5" s="190"/>
      <c r="ITR5" s="190"/>
      <c r="ITS5" s="190"/>
      <c r="ITT5" s="190"/>
      <c r="ITU5" s="190"/>
      <c r="ITV5" s="190"/>
      <c r="ITW5" s="190"/>
      <c r="ITX5" s="190"/>
      <c r="ITY5" s="190"/>
      <c r="ITZ5" s="190"/>
      <c r="IUA5" s="190"/>
      <c r="IUB5" s="190"/>
      <c r="IUC5" s="190"/>
      <c r="IUD5" s="190"/>
      <c r="IUE5" s="190"/>
      <c r="IUF5" s="190"/>
      <c r="IUG5" s="190"/>
      <c r="IUH5" s="190"/>
      <c r="IUI5" s="190"/>
      <c r="IUJ5" s="190"/>
      <c r="IUK5" s="190"/>
      <c r="IUL5" s="190"/>
      <c r="IUM5" s="190"/>
      <c r="IUN5" s="190"/>
      <c r="IUO5" s="190"/>
      <c r="IUP5" s="190"/>
      <c r="IUQ5" s="190"/>
      <c r="IUR5" s="190"/>
      <c r="IUS5" s="190"/>
      <c r="IUT5" s="190"/>
      <c r="IUU5" s="190"/>
      <c r="IUV5" s="190"/>
      <c r="IUW5" s="190"/>
      <c r="IUX5" s="190"/>
      <c r="IUY5" s="190"/>
      <c r="IUZ5" s="190"/>
      <c r="IVA5" s="190"/>
      <c r="IVB5" s="190"/>
      <c r="IVC5" s="190"/>
      <c r="IVD5" s="190"/>
      <c r="IVE5" s="190"/>
      <c r="IVF5" s="190"/>
      <c r="IVG5" s="190"/>
      <c r="IVH5" s="190"/>
      <c r="IVI5" s="190"/>
      <c r="IVJ5" s="190"/>
      <c r="IVK5" s="190"/>
      <c r="IVL5" s="190"/>
      <c r="IVM5" s="190"/>
      <c r="IVN5" s="190"/>
      <c r="IVO5" s="190"/>
      <c r="IVP5" s="190"/>
      <c r="IVQ5" s="190"/>
      <c r="IVR5" s="190"/>
      <c r="IVS5" s="190"/>
      <c r="IVT5" s="190"/>
      <c r="IVU5" s="190"/>
      <c r="IVV5" s="190"/>
      <c r="IVW5" s="190"/>
      <c r="IVX5" s="190"/>
      <c r="IVY5" s="190"/>
      <c r="IVZ5" s="190"/>
      <c r="IWA5" s="190"/>
      <c r="IWB5" s="190"/>
      <c r="IWC5" s="190"/>
      <c r="IWD5" s="190"/>
      <c r="IWE5" s="190"/>
      <c r="IWF5" s="190"/>
      <c r="IWG5" s="190"/>
      <c r="IWH5" s="190"/>
      <c r="IWI5" s="190"/>
      <c r="IWJ5" s="190"/>
      <c r="IWK5" s="190"/>
      <c r="IWL5" s="190"/>
      <c r="IWM5" s="190"/>
      <c r="IWN5" s="190"/>
      <c r="IWO5" s="190"/>
      <c r="IWP5" s="190"/>
      <c r="IWQ5" s="190"/>
      <c r="IWR5" s="190"/>
      <c r="IWS5" s="190"/>
      <c r="IWT5" s="190"/>
      <c r="IWU5" s="190"/>
      <c r="IWV5" s="190"/>
      <c r="IWW5" s="190"/>
      <c r="IWX5" s="190"/>
      <c r="IWY5" s="190"/>
      <c r="IWZ5" s="190"/>
      <c r="IXA5" s="190"/>
      <c r="IXB5" s="190"/>
      <c r="IXC5" s="190"/>
      <c r="IXD5" s="190"/>
      <c r="IXE5" s="190"/>
      <c r="IXF5" s="190"/>
      <c r="IXG5" s="190"/>
      <c r="IXH5" s="190"/>
      <c r="IXI5" s="190"/>
      <c r="IXJ5" s="190"/>
      <c r="IXK5" s="190"/>
      <c r="IXL5" s="190"/>
      <c r="IXM5" s="190"/>
      <c r="IXN5" s="190"/>
      <c r="IXO5" s="190"/>
      <c r="IXP5" s="190"/>
      <c r="IXQ5" s="190"/>
      <c r="IXR5" s="190"/>
      <c r="IXS5" s="190"/>
      <c r="IXT5" s="190"/>
      <c r="IXU5" s="190"/>
      <c r="IXV5" s="190"/>
      <c r="IXW5" s="190"/>
      <c r="IXX5" s="190"/>
      <c r="IXY5" s="190"/>
      <c r="IXZ5" s="190"/>
      <c r="IYA5" s="190"/>
      <c r="IYB5" s="190"/>
      <c r="IYC5" s="190"/>
      <c r="IYD5" s="190"/>
      <c r="IYE5" s="190"/>
      <c r="IYF5" s="190"/>
      <c r="IYG5" s="190"/>
      <c r="IYH5" s="190"/>
      <c r="IYI5" s="190"/>
      <c r="IYJ5" s="190"/>
      <c r="IYK5" s="190"/>
      <c r="IYL5" s="190"/>
      <c r="IYM5" s="190"/>
      <c r="IYN5" s="190"/>
      <c r="IYO5" s="190"/>
      <c r="IYP5" s="190"/>
      <c r="IYQ5" s="190"/>
      <c r="IYR5" s="190"/>
      <c r="IYS5" s="190"/>
      <c r="IYT5" s="190"/>
      <c r="IYU5" s="190"/>
      <c r="IYV5" s="190"/>
      <c r="IYW5" s="190"/>
      <c r="IYX5" s="190"/>
      <c r="IYY5" s="190"/>
      <c r="IYZ5" s="190"/>
      <c r="IZA5" s="190"/>
      <c r="IZB5" s="190"/>
      <c r="IZC5" s="190"/>
      <c r="IZD5" s="190"/>
      <c r="IZE5" s="190"/>
      <c r="IZF5" s="190"/>
      <c r="IZG5" s="190"/>
      <c r="IZH5" s="190"/>
      <c r="IZI5" s="190"/>
      <c r="IZJ5" s="190"/>
      <c r="IZK5" s="190"/>
      <c r="IZL5" s="190"/>
      <c r="IZM5" s="190"/>
      <c r="IZN5" s="190"/>
      <c r="IZO5" s="190"/>
      <c r="IZP5" s="190"/>
      <c r="IZQ5" s="190"/>
      <c r="IZR5" s="190"/>
      <c r="IZS5" s="190"/>
      <c r="IZT5" s="190"/>
      <c r="IZU5" s="190"/>
      <c r="IZV5" s="190"/>
      <c r="IZW5" s="190"/>
      <c r="IZX5" s="190"/>
      <c r="IZY5" s="190"/>
      <c r="IZZ5" s="190"/>
      <c r="JAA5" s="190"/>
      <c r="JAB5" s="190"/>
      <c r="JAC5" s="190"/>
      <c r="JAD5" s="190"/>
      <c r="JAE5" s="190"/>
      <c r="JAF5" s="190"/>
      <c r="JAG5" s="190"/>
      <c r="JAH5" s="190"/>
      <c r="JAI5" s="190"/>
      <c r="JAJ5" s="190"/>
      <c r="JAK5" s="190"/>
      <c r="JAL5" s="190"/>
      <c r="JAM5" s="190"/>
      <c r="JAN5" s="190"/>
      <c r="JAO5" s="190"/>
      <c r="JAP5" s="190"/>
      <c r="JAQ5" s="190"/>
      <c r="JAR5" s="190"/>
      <c r="JAS5" s="190"/>
      <c r="JAT5" s="190"/>
      <c r="JAU5" s="190"/>
      <c r="JAV5" s="190"/>
      <c r="JAW5" s="190"/>
      <c r="JAX5" s="190"/>
      <c r="JAY5" s="190"/>
      <c r="JAZ5" s="190"/>
      <c r="JBA5" s="190"/>
      <c r="JBB5" s="190"/>
      <c r="JBC5" s="190"/>
      <c r="JBD5" s="190"/>
      <c r="JBE5" s="190"/>
      <c r="JBF5" s="190"/>
      <c r="JBG5" s="190"/>
      <c r="JBH5" s="190"/>
      <c r="JBI5" s="190"/>
      <c r="JBJ5" s="190"/>
      <c r="JBK5" s="190"/>
      <c r="JBL5" s="190"/>
      <c r="JBM5" s="190"/>
      <c r="JBN5" s="190"/>
      <c r="JBO5" s="190"/>
      <c r="JBP5" s="190"/>
      <c r="JBQ5" s="190"/>
      <c r="JBR5" s="190"/>
      <c r="JBS5" s="190"/>
      <c r="JBT5" s="190"/>
      <c r="JBU5" s="190"/>
      <c r="JBV5" s="190"/>
      <c r="JBW5" s="190"/>
      <c r="JBX5" s="190"/>
      <c r="JBY5" s="190"/>
      <c r="JBZ5" s="190"/>
      <c r="JCA5" s="190"/>
      <c r="JCB5" s="190"/>
      <c r="JCC5" s="190"/>
      <c r="JCD5" s="190"/>
      <c r="JCE5" s="190"/>
      <c r="JCF5" s="190"/>
      <c r="JCG5" s="190"/>
      <c r="JCH5" s="190"/>
      <c r="JCI5" s="190"/>
      <c r="JCJ5" s="190"/>
      <c r="JCK5" s="190"/>
      <c r="JCL5" s="190"/>
      <c r="JCM5" s="190"/>
      <c r="JCN5" s="190"/>
      <c r="JCO5" s="190"/>
      <c r="JCP5" s="190"/>
      <c r="JCQ5" s="190"/>
      <c r="JCR5" s="190"/>
      <c r="JCS5" s="190"/>
      <c r="JCT5" s="190"/>
      <c r="JCU5" s="190"/>
      <c r="JCV5" s="190"/>
      <c r="JCW5" s="190"/>
      <c r="JCX5" s="190"/>
      <c r="JCY5" s="190"/>
      <c r="JCZ5" s="190"/>
      <c r="JDA5" s="190"/>
      <c r="JDB5" s="190"/>
      <c r="JDC5" s="190"/>
      <c r="JDD5" s="190"/>
      <c r="JDE5" s="190"/>
      <c r="JDF5" s="190"/>
      <c r="JDG5" s="190"/>
      <c r="JDH5" s="190"/>
      <c r="JDI5" s="190"/>
      <c r="JDJ5" s="190"/>
      <c r="JDK5" s="190"/>
      <c r="JDL5" s="190"/>
      <c r="JDM5" s="190"/>
      <c r="JDN5" s="190"/>
      <c r="JDO5" s="190"/>
      <c r="JDP5" s="190"/>
      <c r="JDQ5" s="190"/>
      <c r="JDR5" s="190"/>
      <c r="JDS5" s="190"/>
      <c r="JDT5" s="190"/>
      <c r="JDU5" s="190"/>
      <c r="JDV5" s="190"/>
      <c r="JDW5" s="190"/>
      <c r="JDX5" s="190"/>
      <c r="JDY5" s="190"/>
      <c r="JDZ5" s="190"/>
      <c r="JEA5" s="190"/>
      <c r="JEB5" s="190"/>
      <c r="JEC5" s="190"/>
      <c r="JED5" s="190"/>
      <c r="JEE5" s="190"/>
      <c r="JEF5" s="190"/>
      <c r="JEG5" s="190"/>
      <c r="JEH5" s="190"/>
      <c r="JEI5" s="190"/>
      <c r="JEJ5" s="190"/>
      <c r="JEK5" s="190"/>
      <c r="JEL5" s="190"/>
      <c r="JEM5" s="190"/>
      <c r="JEN5" s="190"/>
      <c r="JEO5" s="190"/>
      <c r="JEP5" s="190"/>
      <c r="JEQ5" s="190"/>
      <c r="JER5" s="190"/>
      <c r="JES5" s="190"/>
      <c r="JET5" s="190"/>
      <c r="JEU5" s="190"/>
      <c r="JEV5" s="190"/>
      <c r="JEW5" s="190"/>
      <c r="JEX5" s="190"/>
      <c r="JEY5" s="190"/>
      <c r="JEZ5" s="190"/>
      <c r="JFA5" s="190"/>
      <c r="JFB5" s="190"/>
      <c r="JFC5" s="190"/>
      <c r="JFD5" s="190"/>
      <c r="JFE5" s="190"/>
      <c r="JFF5" s="190"/>
      <c r="JFG5" s="190"/>
      <c r="JFH5" s="190"/>
      <c r="JFI5" s="190"/>
      <c r="JFJ5" s="190"/>
      <c r="JFK5" s="190"/>
      <c r="JFL5" s="190"/>
      <c r="JFM5" s="190"/>
      <c r="JFN5" s="190"/>
      <c r="JFO5" s="190"/>
      <c r="JFP5" s="190"/>
      <c r="JFQ5" s="190"/>
      <c r="JFR5" s="190"/>
      <c r="JFS5" s="190"/>
      <c r="JFT5" s="190"/>
      <c r="JFU5" s="190"/>
      <c r="JFV5" s="190"/>
      <c r="JFW5" s="190"/>
      <c r="JFX5" s="190"/>
      <c r="JFY5" s="190"/>
      <c r="JFZ5" s="190"/>
      <c r="JGA5" s="190"/>
      <c r="JGB5" s="190"/>
      <c r="JGC5" s="190"/>
      <c r="JGD5" s="190"/>
      <c r="JGE5" s="190"/>
      <c r="JGF5" s="190"/>
      <c r="JGG5" s="190"/>
      <c r="JGH5" s="190"/>
      <c r="JGI5" s="190"/>
      <c r="JGJ5" s="190"/>
      <c r="JGK5" s="190"/>
      <c r="JGL5" s="190"/>
      <c r="JGM5" s="190"/>
      <c r="JGN5" s="190"/>
      <c r="JGO5" s="190"/>
      <c r="JGP5" s="190"/>
      <c r="JGQ5" s="190"/>
      <c r="JGR5" s="190"/>
      <c r="JGS5" s="190"/>
      <c r="JGT5" s="190"/>
      <c r="JGU5" s="190"/>
      <c r="JGV5" s="190"/>
      <c r="JGW5" s="190"/>
      <c r="JGX5" s="190"/>
      <c r="JGY5" s="190"/>
      <c r="JGZ5" s="190"/>
      <c r="JHA5" s="190"/>
      <c r="JHB5" s="190"/>
      <c r="JHC5" s="190"/>
      <c r="JHD5" s="190"/>
      <c r="JHE5" s="190"/>
      <c r="JHF5" s="190"/>
      <c r="JHG5" s="190"/>
      <c r="JHH5" s="190"/>
      <c r="JHI5" s="190"/>
      <c r="JHJ5" s="190"/>
      <c r="JHK5" s="190"/>
      <c r="JHL5" s="190"/>
      <c r="JHM5" s="190"/>
      <c r="JHN5" s="190"/>
      <c r="JHO5" s="190"/>
      <c r="JHP5" s="190"/>
      <c r="JHQ5" s="190"/>
      <c r="JHR5" s="190"/>
      <c r="JHS5" s="190"/>
      <c r="JHT5" s="190"/>
      <c r="JHU5" s="190"/>
      <c r="JHV5" s="190"/>
      <c r="JHW5" s="190"/>
      <c r="JHX5" s="190"/>
      <c r="JHY5" s="190"/>
      <c r="JHZ5" s="190"/>
      <c r="JIA5" s="190"/>
      <c r="JIB5" s="190"/>
      <c r="JIC5" s="190"/>
      <c r="JID5" s="190"/>
      <c r="JIE5" s="190"/>
      <c r="JIF5" s="190"/>
      <c r="JIG5" s="190"/>
      <c r="JIH5" s="190"/>
      <c r="JII5" s="190"/>
      <c r="JIJ5" s="190"/>
      <c r="JIK5" s="190"/>
      <c r="JIL5" s="190"/>
      <c r="JIM5" s="190"/>
      <c r="JIN5" s="190"/>
      <c r="JIO5" s="190"/>
      <c r="JIP5" s="190"/>
      <c r="JIQ5" s="190"/>
      <c r="JIR5" s="190"/>
      <c r="JIS5" s="190"/>
      <c r="JIT5" s="190"/>
      <c r="JIU5" s="190"/>
      <c r="JIV5" s="190"/>
      <c r="JIW5" s="190"/>
      <c r="JIX5" s="190"/>
      <c r="JIY5" s="190"/>
      <c r="JIZ5" s="190"/>
      <c r="JJA5" s="190"/>
      <c r="JJB5" s="190"/>
      <c r="JJC5" s="190"/>
      <c r="JJD5" s="190"/>
      <c r="JJE5" s="190"/>
      <c r="JJF5" s="190"/>
      <c r="JJG5" s="190"/>
      <c r="JJH5" s="190"/>
      <c r="JJI5" s="190"/>
      <c r="JJJ5" s="190"/>
      <c r="JJK5" s="190"/>
      <c r="JJL5" s="190"/>
      <c r="JJM5" s="190"/>
      <c r="JJN5" s="190"/>
      <c r="JJO5" s="190"/>
      <c r="JJP5" s="190"/>
      <c r="JJQ5" s="190"/>
      <c r="JJR5" s="190"/>
      <c r="JJS5" s="190"/>
      <c r="JJT5" s="190"/>
      <c r="JJU5" s="190"/>
      <c r="JJV5" s="190"/>
      <c r="JJW5" s="190"/>
      <c r="JJX5" s="190"/>
      <c r="JJY5" s="190"/>
      <c r="JJZ5" s="190"/>
      <c r="JKA5" s="190"/>
      <c r="JKB5" s="190"/>
      <c r="JKC5" s="190"/>
      <c r="JKD5" s="190"/>
      <c r="JKE5" s="190"/>
      <c r="JKF5" s="190"/>
      <c r="JKG5" s="190"/>
      <c r="JKH5" s="190"/>
      <c r="JKI5" s="190"/>
      <c r="JKJ5" s="190"/>
      <c r="JKK5" s="190"/>
      <c r="JKL5" s="190"/>
      <c r="JKM5" s="190"/>
      <c r="JKN5" s="190"/>
      <c r="JKO5" s="190"/>
      <c r="JKP5" s="190"/>
      <c r="JKQ5" s="190"/>
      <c r="JKR5" s="190"/>
      <c r="JKS5" s="190"/>
      <c r="JKT5" s="190"/>
      <c r="JKU5" s="190"/>
      <c r="JKV5" s="190"/>
      <c r="JKW5" s="190"/>
      <c r="JKX5" s="190"/>
      <c r="JKY5" s="190"/>
      <c r="JKZ5" s="190"/>
      <c r="JLA5" s="190"/>
      <c r="JLB5" s="190"/>
      <c r="JLC5" s="190"/>
      <c r="JLD5" s="190"/>
      <c r="JLE5" s="190"/>
      <c r="JLF5" s="190"/>
      <c r="JLG5" s="190"/>
      <c r="JLH5" s="190"/>
      <c r="JLI5" s="190"/>
      <c r="JLJ5" s="190"/>
      <c r="JLK5" s="190"/>
      <c r="JLL5" s="190"/>
      <c r="JLM5" s="190"/>
      <c r="JLN5" s="190"/>
      <c r="JLO5" s="190"/>
      <c r="JLP5" s="190"/>
      <c r="JLQ5" s="190"/>
      <c r="JLR5" s="190"/>
      <c r="JLS5" s="190"/>
      <c r="JLT5" s="190"/>
      <c r="JLU5" s="190"/>
      <c r="JLV5" s="190"/>
      <c r="JLW5" s="190"/>
      <c r="JLX5" s="190"/>
      <c r="JLY5" s="190"/>
      <c r="JLZ5" s="190"/>
      <c r="JMA5" s="190"/>
      <c r="JMB5" s="190"/>
      <c r="JMC5" s="190"/>
      <c r="JMD5" s="190"/>
      <c r="JME5" s="190"/>
      <c r="JMF5" s="190"/>
      <c r="JMG5" s="190"/>
      <c r="JMH5" s="190"/>
      <c r="JMI5" s="190"/>
      <c r="JMJ5" s="190"/>
      <c r="JMK5" s="190"/>
      <c r="JML5" s="190"/>
      <c r="JMM5" s="190"/>
      <c r="JMN5" s="190"/>
      <c r="JMO5" s="190"/>
      <c r="JMP5" s="190"/>
      <c r="JMQ5" s="190"/>
      <c r="JMR5" s="190"/>
      <c r="JMS5" s="190"/>
      <c r="JMT5" s="190"/>
      <c r="JMU5" s="190"/>
      <c r="JMV5" s="190"/>
      <c r="JMW5" s="190"/>
      <c r="JMX5" s="190"/>
      <c r="JMY5" s="190"/>
      <c r="JMZ5" s="190"/>
      <c r="JNA5" s="190"/>
      <c r="JNB5" s="190"/>
      <c r="JNC5" s="190"/>
      <c r="JND5" s="190"/>
      <c r="JNE5" s="190"/>
      <c r="JNF5" s="190"/>
      <c r="JNG5" s="190"/>
      <c r="JNH5" s="190"/>
      <c r="JNI5" s="190"/>
      <c r="JNJ5" s="190"/>
      <c r="JNK5" s="190"/>
      <c r="JNL5" s="190"/>
      <c r="JNM5" s="190"/>
      <c r="JNN5" s="190"/>
      <c r="JNO5" s="190"/>
      <c r="JNP5" s="190"/>
      <c r="JNQ5" s="190"/>
      <c r="JNR5" s="190"/>
      <c r="JNS5" s="190"/>
      <c r="JNT5" s="190"/>
      <c r="JNU5" s="190"/>
      <c r="JNV5" s="190"/>
      <c r="JNW5" s="190"/>
      <c r="JNX5" s="190"/>
      <c r="JNY5" s="190"/>
      <c r="JNZ5" s="190"/>
      <c r="JOA5" s="190"/>
      <c r="JOB5" s="190"/>
      <c r="JOC5" s="190"/>
      <c r="JOD5" s="190"/>
      <c r="JOE5" s="190"/>
      <c r="JOF5" s="190"/>
      <c r="JOG5" s="190"/>
      <c r="JOH5" s="190"/>
      <c r="JOI5" s="190"/>
      <c r="JOJ5" s="190"/>
      <c r="JOK5" s="190"/>
      <c r="JOL5" s="190"/>
      <c r="JOM5" s="190"/>
      <c r="JON5" s="190"/>
      <c r="JOO5" s="190"/>
      <c r="JOP5" s="190"/>
      <c r="JOQ5" s="190"/>
      <c r="JOR5" s="190"/>
      <c r="JOS5" s="190"/>
      <c r="JOT5" s="190"/>
      <c r="JOU5" s="190"/>
      <c r="JOV5" s="190"/>
      <c r="JOW5" s="190"/>
      <c r="JOX5" s="190"/>
      <c r="JOY5" s="190"/>
      <c r="JOZ5" s="190"/>
      <c r="JPA5" s="190"/>
      <c r="JPB5" s="190"/>
      <c r="JPC5" s="190"/>
      <c r="JPD5" s="190"/>
      <c r="JPE5" s="190"/>
      <c r="JPF5" s="190"/>
      <c r="JPG5" s="190"/>
      <c r="JPH5" s="190"/>
      <c r="JPI5" s="190"/>
      <c r="JPJ5" s="190"/>
      <c r="JPK5" s="190"/>
      <c r="JPL5" s="190"/>
      <c r="JPM5" s="190"/>
      <c r="JPN5" s="190"/>
      <c r="JPO5" s="190"/>
      <c r="JPP5" s="190"/>
      <c r="JPQ5" s="190"/>
      <c r="JPR5" s="190"/>
      <c r="JPS5" s="190"/>
      <c r="JPT5" s="190"/>
      <c r="JPU5" s="190"/>
      <c r="JPV5" s="190"/>
      <c r="JPW5" s="190"/>
      <c r="JPX5" s="190"/>
      <c r="JPY5" s="190"/>
      <c r="JPZ5" s="190"/>
      <c r="JQA5" s="190"/>
      <c r="JQB5" s="190"/>
      <c r="JQC5" s="190"/>
      <c r="JQD5" s="190"/>
      <c r="JQE5" s="190"/>
      <c r="JQF5" s="190"/>
      <c r="JQG5" s="190"/>
      <c r="JQH5" s="190"/>
      <c r="JQI5" s="190"/>
      <c r="JQJ5" s="190"/>
      <c r="JQK5" s="190"/>
      <c r="JQL5" s="190"/>
      <c r="JQM5" s="190"/>
      <c r="JQN5" s="190"/>
      <c r="JQO5" s="190"/>
      <c r="JQP5" s="190"/>
      <c r="JQQ5" s="190"/>
      <c r="JQR5" s="190"/>
      <c r="JQS5" s="190"/>
      <c r="JQT5" s="190"/>
      <c r="JQU5" s="190"/>
      <c r="JQV5" s="190"/>
      <c r="JQW5" s="190"/>
      <c r="JQX5" s="190"/>
      <c r="JQY5" s="190"/>
      <c r="JQZ5" s="190"/>
      <c r="JRA5" s="190"/>
      <c r="JRB5" s="190"/>
      <c r="JRC5" s="190"/>
      <c r="JRD5" s="190"/>
      <c r="JRE5" s="190"/>
      <c r="JRF5" s="190"/>
      <c r="JRG5" s="190"/>
      <c r="JRH5" s="190"/>
      <c r="JRI5" s="190"/>
      <c r="JRJ5" s="190"/>
      <c r="JRK5" s="190"/>
      <c r="JRL5" s="190"/>
      <c r="JRM5" s="190"/>
      <c r="JRN5" s="190"/>
      <c r="JRO5" s="190"/>
      <c r="JRP5" s="190"/>
      <c r="JRQ5" s="190"/>
      <c r="JRR5" s="190"/>
      <c r="JRS5" s="190"/>
      <c r="JRT5" s="190"/>
      <c r="JRU5" s="190"/>
      <c r="JRV5" s="190"/>
      <c r="JRW5" s="190"/>
      <c r="JRX5" s="190"/>
      <c r="JRY5" s="190"/>
      <c r="JRZ5" s="190"/>
      <c r="JSA5" s="190"/>
      <c r="JSB5" s="190"/>
      <c r="JSC5" s="190"/>
      <c r="JSD5" s="190"/>
      <c r="JSE5" s="190"/>
      <c r="JSF5" s="190"/>
      <c r="JSG5" s="190"/>
      <c r="JSH5" s="190"/>
      <c r="JSI5" s="190"/>
      <c r="JSJ5" s="190"/>
      <c r="JSK5" s="190"/>
      <c r="JSL5" s="190"/>
      <c r="JSM5" s="190"/>
      <c r="JSN5" s="190"/>
      <c r="JSO5" s="190"/>
      <c r="JSP5" s="190"/>
      <c r="JSQ5" s="190"/>
      <c r="JSR5" s="190"/>
      <c r="JSS5" s="190"/>
      <c r="JST5" s="190"/>
      <c r="JSU5" s="190"/>
      <c r="JSV5" s="190"/>
      <c r="JSW5" s="190"/>
      <c r="JSX5" s="190"/>
      <c r="JSY5" s="190"/>
      <c r="JSZ5" s="190"/>
      <c r="JTA5" s="190"/>
      <c r="JTB5" s="190"/>
      <c r="JTC5" s="190"/>
      <c r="JTD5" s="190"/>
      <c r="JTE5" s="190"/>
      <c r="JTF5" s="190"/>
      <c r="JTG5" s="190"/>
      <c r="JTH5" s="190"/>
      <c r="JTI5" s="190"/>
      <c r="JTJ5" s="190"/>
      <c r="JTK5" s="190"/>
      <c r="JTL5" s="190"/>
      <c r="JTM5" s="190"/>
      <c r="JTN5" s="190"/>
      <c r="JTO5" s="190"/>
      <c r="JTP5" s="190"/>
      <c r="JTQ5" s="190"/>
      <c r="JTR5" s="190"/>
      <c r="JTS5" s="190"/>
      <c r="JTT5" s="190"/>
      <c r="JTU5" s="190"/>
      <c r="JTV5" s="190"/>
      <c r="JTW5" s="190"/>
      <c r="JTX5" s="190"/>
      <c r="JTY5" s="190"/>
      <c r="JTZ5" s="190"/>
      <c r="JUA5" s="190"/>
      <c r="JUB5" s="190"/>
      <c r="JUC5" s="190"/>
      <c r="JUD5" s="190"/>
      <c r="JUE5" s="190"/>
      <c r="JUF5" s="190"/>
      <c r="JUG5" s="190"/>
      <c r="JUH5" s="190"/>
      <c r="JUI5" s="190"/>
      <c r="JUJ5" s="190"/>
      <c r="JUK5" s="190"/>
      <c r="JUL5" s="190"/>
      <c r="JUM5" s="190"/>
      <c r="JUN5" s="190"/>
      <c r="JUO5" s="190"/>
      <c r="JUP5" s="190"/>
      <c r="JUQ5" s="190"/>
      <c r="JUR5" s="190"/>
      <c r="JUS5" s="190"/>
      <c r="JUT5" s="190"/>
      <c r="JUU5" s="190"/>
      <c r="JUV5" s="190"/>
      <c r="JUW5" s="190"/>
      <c r="JUX5" s="190"/>
      <c r="JUY5" s="190"/>
      <c r="JUZ5" s="190"/>
      <c r="JVA5" s="190"/>
      <c r="JVB5" s="190"/>
      <c r="JVC5" s="190"/>
      <c r="JVD5" s="190"/>
      <c r="JVE5" s="190"/>
      <c r="JVF5" s="190"/>
      <c r="JVG5" s="190"/>
      <c r="JVH5" s="190"/>
      <c r="JVI5" s="190"/>
      <c r="JVJ5" s="190"/>
      <c r="JVK5" s="190"/>
      <c r="JVL5" s="190"/>
      <c r="JVM5" s="190"/>
      <c r="JVN5" s="190"/>
      <c r="JVO5" s="190"/>
      <c r="JVP5" s="190"/>
      <c r="JVQ5" s="190"/>
      <c r="JVR5" s="190"/>
      <c r="JVS5" s="190"/>
      <c r="JVT5" s="190"/>
      <c r="JVU5" s="190"/>
      <c r="JVV5" s="190"/>
      <c r="JVW5" s="190"/>
      <c r="JVX5" s="190"/>
      <c r="JVY5" s="190"/>
      <c r="JVZ5" s="190"/>
      <c r="JWA5" s="190"/>
      <c r="JWB5" s="190"/>
      <c r="JWC5" s="190"/>
      <c r="JWD5" s="190"/>
      <c r="JWE5" s="190"/>
      <c r="JWF5" s="190"/>
      <c r="JWG5" s="190"/>
      <c r="JWH5" s="190"/>
      <c r="JWI5" s="190"/>
      <c r="JWJ5" s="190"/>
      <c r="JWK5" s="190"/>
      <c r="JWL5" s="190"/>
      <c r="JWM5" s="190"/>
      <c r="JWN5" s="190"/>
      <c r="JWO5" s="190"/>
      <c r="JWP5" s="190"/>
      <c r="JWQ5" s="190"/>
      <c r="JWR5" s="190"/>
      <c r="JWS5" s="190"/>
      <c r="JWT5" s="190"/>
      <c r="JWU5" s="190"/>
      <c r="JWV5" s="190"/>
      <c r="JWW5" s="190"/>
      <c r="JWX5" s="190"/>
      <c r="JWY5" s="190"/>
      <c r="JWZ5" s="190"/>
      <c r="JXA5" s="190"/>
      <c r="JXB5" s="190"/>
      <c r="JXC5" s="190"/>
      <c r="JXD5" s="190"/>
      <c r="JXE5" s="190"/>
      <c r="JXF5" s="190"/>
      <c r="JXG5" s="190"/>
      <c r="JXH5" s="190"/>
      <c r="JXI5" s="190"/>
      <c r="JXJ5" s="190"/>
      <c r="JXK5" s="190"/>
      <c r="JXL5" s="190"/>
      <c r="JXM5" s="190"/>
      <c r="JXN5" s="190"/>
      <c r="JXO5" s="190"/>
      <c r="JXP5" s="190"/>
      <c r="JXQ5" s="190"/>
      <c r="JXR5" s="190"/>
      <c r="JXS5" s="190"/>
      <c r="JXT5" s="190"/>
      <c r="JXU5" s="190"/>
      <c r="JXV5" s="190"/>
      <c r="JXW5" s="190"/>
      <c r="JXX5" s="190"/>
      <c r="JXY5" s="190"/>
      <c r="JXZ5" s="190"/>
      <c r="JYA5" s="190"/>
      <c r="JYB5" s="190"/>
      <c r="JYC5" s="190"/>
      <c r="JYD5" s="190"/>
      <c r="JYE5" s="190"/>
      <c r="JYF5" s="190"/>
      <c r="JYG5" s="190"/>
      <c r="JYH5" s="190"/>
      <c r="JYI5" s="190"/>
      <c r="JYJ5" s="190"/>
      <c r="JYK5" s="190"/>
      <c r="JYL5" s="190"/>
      <c r="JYM5" s="190"/>
      <c r="JYN5" s="190"/>
      <c r="JYO5" s="190"/>
      <c r="JYP5" s="190"/>
      <c r="JYQ5" s="190"/>
      <c r="JYR5" s="190"/>
      <c r="JYS5" s="190"/>
      <c r="JYT5" s="190"/>
      <c r="JYU5" s="190"/>
      <c r="JYV5" s="190"/>
      <c r="JYW5" s="190"/>
      <c r="JYX5" s="190"/>
      <c r="JYY5" s="190"/>
      <c r="JYZ5" s="190"/>
      <c r="JZA5" s="190"/>
      <c r="JZB5" s="190"/>
      <c r="JZC5" s="190"/>
      <c r="JZD5" s="190"/>
      <c r="JZE5" s="190"/>
      <c r="JZF5" s="190"/>
      <c r="JZG5" s="190"/>
      <c r="JZH5" s="190"/>
      <c r="JZI5" s="190"/>
      <c r="JZJ5" s="190"/>
      <c r="JZK5" s="190"/>
      <c r="JZL5" s="190"/>
      <c r="JZM5" s="190"/>
      <c r="JZN5" s="190"/>
      <c r="JZO5" s="190"/>
      <c r="JZP5" s="190"/>
      <c r="JZQ5" s="190"/>
      <c r="JZR5" s="190"/>
      <c r="JZS5" s="190"/>
      <c r="JZT5" s="190"/>
      <c r="JZU5" s="190"/>
      <c r="JZV5" s="190"/>
      <c r="JZW5" s="190"/>
      <c r="JZX5" s="190"/>
      <c r="JZY5" s="190"/>
      <c r="JZZ5" s="190"/>
      <c r="KAA5" s="190"/>
      <c r="KAB5" s="190"/>
      <c r="KAC5" s="190"/>
      <c r="KAD5" s="190"/>
      <c r="KAE5" s="190"/>
      <c r="KAF5" s="190"/>
      <c r="KAG5" s="190"/>
      <c r="KAH5" s="190"/>
      <c r="KAI5" s="190"/>
      <c r="KAJ5" s="190"/>
      <c r="KAK5" s="190"/>
      <c r="KAL5" s="190"/>
      <c r="KAM5" s="190"/>
      <c r="KAN5" s="190"/>
      <c r="KAO5" s="190"/>
      <c r="KAP5" s="190"/>
      <c r="KAQ5" s="190"/>
      <c r="KAR5" s="190"/>
      <c r="KAS5" s="190"/>
      <c r="KAT5" s="190"/>
      <c r="KAU5" s="190"/>
      <c r="KAV5" s="190"/>
      <c r="KAW5" s="190"/>
      <c r="KAX5" s="190"/>
      <c r="KAY5" s="190"/>
      <c r="KAZ5" s="190"/>
      <c r="KBA5" s="190"/>
      <c r="KBB5" s="190"/>
      <c r="KBC5" s="190"/>
      <c r="KBD5" s="190"/>
      <c r="KBE5" s="190"/>
      <c r="KBF5" s="190"/>
      <c r="KBG5" s="190"/>
      <c r="KBH5" s="190"/>
      <c r="KBI5" s="190"/>
      <c r="KBJ5" s="190"/>
      <c r="KBK5" s="190"/>
      <c r="KBL5" s="190"/>
      <c r="KBM5" s="190"/>
      <c r="KBN5" s="190"/>
      <c r="KBO5" s="190"/>
      <c r="KBP5" s="190"/>
      <c r="KBQ5" s="190"/>
      <c r="KBR5" s="190"/>
      <c r="KBS5" s="190"/>
      <c r="KBT5" s="190"/>
      <c r="KBU5" s="190"/>
      <c r="KBV5" s="190"/>
      <c r="KBW5" s="190"/>
      <c r="KBX5" s="190"/>
      <c r="KBY5" s="190"/>
      <c r="KBZ5" s="190"/>
      <c r="KCA5" s="190"/>
      <c r="KCB5" s="190"/>
      <c r="KCC5" s="190"/>
      <c r="KCD5" s="190"/>
      <c r="KCE5" s="190"/>
      <c r="KCF5" s="190"/>
      <c r="KCG5" s="190"/>
      <c r="KCH5" s="190"/>
      <c r="KCI5" s="190"/>
      <c r="KCJ5" s="190"/>
      <c r="KCK5" s="190"/>
      <c r="KCL5" s="190"/>
      <c r="KCM5" s="190"/>
      <c r="KCN5" s="190"/>
      <c r="KCO5" s="190"/>
      <c r="KCP5" s="190"/>
      <c r="KCQ5" s="190"/>
      <c r="KCR5" s="190"/>
      <c r="KCS5" s="190"/>
      <c r="KCT5" s="190"/>
      <c r="KCU5" s="190"/>
      <c r="KCV5" s="190"/>
      <c r="KCW5" s="190"/>
      <c r="KCX5" s="190"/>
      <c r="KCY5" s="190"/>
      <c r="KCZ5" s="190"/>
      <c r="KDA5" s="190"/>
      <c r="KDB5" s="190"/>
      <c r="KDC5" s="190"/>
      <c r="KDD5" s="190"/>
      <c r="KDE5" s="190"/>
      <c r="KDF5" s="190"/>
      <c r="KDG5" s="190"/>
      <c r="KDH5" s="190"/>
      <c r="KDI5" s="190"/>
      <c r="KDJ5" s="190"/>
      <c r="KDK5" s="190"/>
      <c r="KDL5" s="190"/>
      <c r="KDM5" s="190"/>
      <c r="KDN5" s="190"/>
      <c r="KDO5" s="190"/>
      <c r="KDP5" s="190"/>
      <c r="KDQ5" s="190"/>
      <c r="KDR5" s="190"/>
      <c r="KDS5" s="190"/>
      <c r="KDT5" s="190"/>
      <c r="KDU5" s="190"/>
      <c r="KDV5" s="190"/>
      <c r="KDW5" s="190"/>
      <c r="KDX5" s="190"/>
      <c r="KDY5" s="190"/>
      <c r="KDZ5" s="190"/>
      <c r="KEA5" s="190"/>
      <c r="KEB5" s="190"/>
      <c r="KEC5" s="190"/>
      <c r="KED5" s="190"/>
      <c r="KEE5" s="190"/>
      <c r="KEF5" s="190"/>
      <c r="KEG5" s="190"/>
      <c r="KEH5" s="190"/>
      <c r="KEI5" s="190"/>
      <c r="KEJ5" s="190"/>
      <c r="KEK5" s="190"/>
      <c r="KEL5" s="190"/>
      <c r="KEM5" s="190"/>
      <c r="KEN5" s="190"/>
      <c r="KEO5" s="190"/>
      <c r="KEP5" s="190"/>
      <c r="KEQ5" s="190"/>
      <c r="KER5" s="190"/>
      <c r="KES5" s="190"/>
      <c r="KET5" s="190"/>
      <c r="KEU5" s="190"/>
      <c r="KEV5" s="190"/>
      <c r="KEW5" s="190"/>
      <c r="KEX5" s="190"/>
      <c r="KEY5" s="190"/>
      <c r="KEZ5" s="190"/>
      <c r="KFA5" s="190"/>
      <c r="KFB5" s="190"/>
      <c r="KFC5" s="190"/>
      <c r="KFD5" s="190"/>
      <c r="KFE5" s="190"/>
      <c r="KFF5" s="190"/>
      <c r="KFG5" s="190"/>
      <c r="KFH5" s="190"/>
      <c r="KFI5" s="190"/>
      <c r="KFJ5" s="190"/>
      <c r="KFK5" s="190"/>
      <c r="KFL5" s="190"/>
      <c r="KFM5" s="190"/>
      <c r="KFN5" s="190"/>
      <c r="KFO5" s="190"/>
      <c r="KFP5" s="190"/>
      <c r="KFQ5" s="190"/>
      <c r="KFR5" s="190"/>
      <c r="KFS5" s="190"/>
      <c r="KFT5" s="190"/>
      <c r="KFU5" s="190"/>
      <c r="KFV5" s="190"/>
      <c r="KFW5" s="190"/>
      <c r="KFX5" s="190"/>
      <c r="KFY5" s="190"/>
      <c r="KFZ5" s="190"/>
      <c r="KGA5" s="190"/>
      <c r="KGB5" s="190"/>
      <c r="KGC5" s="190"/>
      <c r="KGD5" s="190"/>
      <c r="KGE5" s="190"/>
      <c r="KGF5" s="190"/>
      <c r="KGG5" s="190"/>
      <c r="KGH5" s="190"/>
      <c r="KGI5" s="190"/>
      <c r="KGJ5" s="190"/>
      <c r="KGK5" s="190"/>
      <c r="KGL5" s="190"/>
      <c r="KGM5" s="190"/>
      <c r="KGN5" s="190"/>
      <c r="KGO5" s="190"/>
      <c r="KGP5" s="190"/>
      <c r="KGQ5" s="190"/>
      <c r="KGR5" s="190"/>
      <c r="KGS5" s="190"/>
      <c r="KGT5" s="190"/>
      <c r="KGU5" s="190"/>
      <c r="KGV5" s="190"/>
      <c r="KGW5" s="190"/>
      <c r="KGX5" s="190"/>
      <c r="KGY5" s="190"/>
      <c r="KGZ5" s="190"/>
      <c r="KHA5" s="190"/>
      <c r="KHB5" s="190"/>
      <c r="KHC5" s="190"/>
      <c r="KHD5" s="190"/>
      <c r="KHE5" s="190"/>
      <c r="KHF5" s="190"/>
      <c r="KHG5" s="190"/>
      <c r="KHH5" s="190"/>
      <c r="KHI5" s="190"/>
      <c r="KHJ5" s="190"/>
      <c r="KHK5" s="190"/>
      <c r="KHL5" s="190"/>
      <c r="KHM5" s="190"/>
      <c r="KHN5" s="190"/>
      <c r="KHO5" s="190"/>
      <c r="KHP5" s="190"/>
      <c r="KHQ5" s="190"/>
      <c r="KHR5" s="190"/>
      <c r="KHS5" s="190"/>
      <c r="KHT5" s="190"/>
      <c r="KHU5" s="190"/>
      <c r="KHV5" s="190"/>
      <c r="KHW5" s="190"/>
      <c r="KHX5" s="190"/>
      <c r="KHY5" s="190"/>
      <c r="KHZ5" s="190"/>
      <c r="KIA5" s="190"/>
      <c r="KIB5" s="190"/>
      <c r="KIC5" s="190"/>
      <c r="KID5" s="190"/>
      <c r="KIE5" s="190"/>
      <c r="KIF5" s="190"/>
      <c r="KIG5" s="190"/>
      <c r="KIH5" s="190"/>
      <c r="KII5" s="190"/>
      <c r="KIJ5" s="190"/>
      <c r="KIK5" s="190"/>
      <c r="KIL5" s="190"/>
      <c r="KIM5" s="190"/>
      <c r="KIN5" s="190"/>
      <c r="KIO5" s="190"/>
      <c r="KIP5" s="190"/>
      <c r="KIQ5" s="190"/>
      <c r="KIR5" s="190"/>
      <c r="KIS5" s="190"/>
      <c r="KIT5" s="190"/>
      <c r="KIU5" s="190"/>
      <c r="KIV5" s="190"/>
      <c r="KIW5" s="190"/>
      <c r="KIX5" s="190"/>
      <c r="KIY5" s="190"/>
      <c r="KIZ5" s="190"/>
      <c r="KJA5" s="190"/>
      <c r="KJB5" s="190"/>
      <c r="KJC5" s="190"/>
      <c r="KJD5" s="190"/>
      <c r="KJE5" s="190"/>
      <c r="KJF5" s="190"/>
      <c r="KJG5" s="190"/>
      <c r="KJH5" s="190"/>
      <c r="KJI5" s="190"/>
      <c r="KJJ5" s="190"/>
      <c r="KJK5" s="190"/>
      <c r="KJL5" s="190"/>
      <c r="KJM5" s="190"/>
      <c r="KJN5" s="190"/>
      <c r="KJO5" s="190"/>
      <c r="KJP5" s="190"/>
      <c r="KJQ5" s="190"/>
      <c r="KJR5" s="190"/>
      <c r="KJS5" s="190"/>
      <c r="KJT5" s="190"/>
      <c r="KJU5" s="190"/>
      <c r="KJV5" s="190"/>
      <c r="KJW5" s="190"/>
      <c r="KJX5" s="190"/>
      <c r="KJY5" s="190"/>
      <c r="KJZ5" s="190"/>
      <c r="KKA5" s="190"/>
      <c r="KKB5" s="190"/>
      <c r="KKC5" s="190"/>
      <c r="KKD5" s="190"/>
      <c r="KKE5" s="190"/>
      <c r="KKF5" s="190"/>
      <c r="KKG5" s="190"/>
      <c r="KKH5" s="190"/>
      <c r="KKI5" s="190"/>
      <c r="KKJ5" s="190"/>
      <c r="KKK5" s="190"/>
      <c r="KKL5" s="190"/>
      <c r="KKM5" s="190"/>
      <c r="KKN5" s="190"/>
      <c r="KKO5" s="190"/>
      <c r="KKP5" s="190"/>
      <c r="KKQ5" s="190"/>
      <c r="KKR5" s="190"/>
      <c r="KKS5" s="190"/>
      <c r="KKT5" s="190"/>
      <c r="KKU5" s="190"/>
      <c r="KKV5" s="190"/>
      <c r="KKW5" s="190"/>
      <c r="KKX5" s="190"/>
      <c r="KKY5" s="190"/>
      <c r="KKZ5" s="190"/>
      <c r="KLA5" s="190"/>
      <c r="KLB5" s="190"/>
      <c r="KLC5" s="190"/>
      <c r="KLD5" s="190"/>
      <c r="KLE5" s="190"/>
      <c r="KLF5" s="190"/>
      <c r="KLG5" s="190"/>
      <c r="KLH5" s="190"/>
      <c r="KLI5" s="190"/>
      <c r="KLJ5" s="190"/>
      <c r="KLK5" s="190"/>
      <c r="KLL5" s="190"/>
      <c r="KLM5" s="190"/>
      <c r="KLN5" s="190"/>
      <c r="KLO5" s="190"/>
      <c r="KLP5" s="190"/>
      <c r="KLQ5" s="190"/>
      <c r="KLR5" s="190"/>
      <c r="KLS5" s="190"/>
      <c r="KLT5" s="190"/>
      <c r="KLU5" s="190"/>
      <c r="KLV5" s="190"/>
      <c r="KLW5" s="190"/>
      <c r="KLX5" s="190"/>
      <c r="KLY5" s="190"/>
      <c r="KLZ5" s="190"/>
      <c r="KMA5" s="190"/>
      <c r="KMB5" s="190"/>
      <c r="KMC5" s="190"/>
      <c r="KMD5" s="190"/>
      <c r="KME5" s="190"/>
      <c r="KMF5" s="190"/>
      <c r="KMG5" s="190"/>
      <c r="KMH5" s="190"/>
      <c r="KMI5" s="190"/>
      <c r="KMJ5" s="190"/>
      <c r="KMK5" s="190"/>
      <c r="KML5" s="190"/>
      <c r="KMM5" s="190"/>
      <c r="KMN5" s="190"/>
      <c r="KMO5" s="190"/>
      <c r="KMP5" s="190"/>
      <c r="KMQ5" s="190"/>
      <c r="KMR5" s="190"/>
      <c r="KMS5" s="190"/>
      <c r="KMT5" s="190"/>
      <c r="KMU5" s="190"/>
      <c r="KMV5" s="190"/>
      <c r="KMW5" s="190"/>
      <c r="KMX5" s="190"/>
      <c r="KMY5" s="190"/>
      <c r="KMZ5" s="190"/>
      <c r="KNA5" s="190"/>
      <c r="KNB5" s="190"/>
      <c r="KNC5" s="190"/>
      <c r="KND5" s="190"/>
      <c r="KNE5" s="190"/>
      <c r="KNF5" s="190"/>
      <c r="KNG5" s="190"/>
      <c r="KNH5" s="190"/>
      <c r="KNI5" s="190"/>
      <c r="KNJ5" s="190"/>
      <c r="KNK5" s="190"/>
      <c r="KNL5" s="190"/>
      <c r="KNM5" s="190"/>
      <c r="KNN5" s="190"/>
      <c r="KNO5" s="190"/>
      <c r="KNP5" s="190"/>
      <c r="KNQ5" s="190"/>
      <c r="KNR5" s="190"/>
      <c r="KNS5" s="190"/>
      <c r="KNT5" s="190"/>
      <c r="KNU5" s="190"/>
      <c r="KNV5" s="190"/>
      <c r="KNW5" s="190"/>
      <c r="KNX5" s="190"/>
      <c r="KNY5" s="190"/>
      <c r="KNZ5" s="190"/>
      <c r="KOA5" s="190"/>
      <c r="KOB5" s="190"/>
      <c r="KOC5" s="190"/>
      <c r="KOD5" s="190"/>
      <c r="KOE5" s="190"/>
      <c r="KOF5" s="190"/>
      <c r="KOG5" s="190"/>
      <c r="KOH5" s="190"/>
      <c r="KOI5" s="190"/>
      <c r="KOJ5" s="190"/>
      <c r="KOK5" s="190"/>
      <c r="KOL5" s="190"/>
      <c r="KOM5" s="190"/>
      <c r="KON5" s="190"/>
      <c r="KOO5" s="190"/>
      <c r="KOP5" s="190"/>
      <c r="KOQ5" s="190"/>
      <c r="KOR5" s="190"/>
      <c r="KOS5" s="190"/>
      <c r="KOT5" s="190"/>
      <c r="KOU5" s="190"/>
      <c r="KOV5" s="190"/>
      <c r="KOW5" s="190"/>
      <c r="KOX5" s="190"/>
      <c r="KOY5" s="190"/>
      <c r="KOZ5" s="190"/>
      <c r="KPA5" s="190"/>
      <c r="KPB5" s="190"/>
      <c r="KPC5" s="190"/>
      <c r="KPD5" s="190"/>
      <c r="KPE5" s="190"/>
      <c r="KPF5" s="190"/>
      <c r="KPG5" s="190"/>
      <c r="KPH5" s="190"/>
      <c r="KPI5" s="190"/>
      <c r="KPJ5" s="190"/>
      <c r="KPK5" s="190"/>
      <c r="KPL5" s="190"/>
      <c r="KPM5" s="190"/>
      <c r="KPN5" s="190"/>
      <c r="KPO5" s="190"/>
      <c r="KPP5" s="190"/>
      <c r="KPQ5" s="190"/>
      <c r="KPR5" s="190"/>
      <c r="KPS5" s="190"/>
      <c r="KPT5" s="190"/>
      <c r="KPU5" s="190"/>
      <c r="KPV5" s="190"/>
      <c r="KPW5" s="190"/>
      <c r="KPX5" s="190"/>
      <c r="KPY5" s="190"/>
      <c r="KPZ5" s="190"/>
      <c r="KQA5" s="190"/>
      <c r="KQB5" s="190"/>
      <c r="KQC5" s="190"/>
      <c r="KQD5" s="190"/>
      <c r="KQE5" s="190"/>
      <c r="KQF5" s="190"/>
      <c r="KQG5" s="190"/>
      <c r="KQH5" s="190"/>
      <c r="KQI5" s="190"/>
      <c r="KQJ5" s="190"/>
      <c r="KQK5" s="190"/>
      <c r="KQL5" s="190"/>
      <c r="KQM5" s="190"/>
      <c r="KQN5" s="190"/>
      <c r="KQO5" s="190"/>
      <c r="KQP5" s="190"/>
      <c r="KQQ5" s="190"/>
      <c r="KQR5" s="190"/>
      <c r="KQS5" s="190"/>
      <c r="KQT5" s="190"/>
      <c r="KQU5" s="190"/>
      <c r="KQV5" s="190"/>
      <c r="KQW5" s="190"/>
      <c r="KQX5" s="190"/>
      <c r="KQY5" s="190"/>
      <c r="KQZ5" s="190"/>
      <c r="KRA5" s="190"/>
      <c r="KRB5" s="190"/>
      <c r="KRC5" s="190"/>
      <c r="KRD5" s="190"/>
      <c r="KRE5" s="190"/>
      <c r="KRF5" s="190"/>
      <c r="KRG5" s="190"/>
      <c r="KRH5" s="190"/>
      <c r="KRI5" s="190"/>
      <c r="KRJ5" s="190"/>
      <c r="KRK5" s="190"/>
      <c r="KRL5" s="190"/>
      <c r="KRM5" s="190"/>
      <c r="KRN5" s="190"/>
      <c r="KRO5" s="190"/>
      <c r="KRP5" s="190"/>
      <c r="KRQ5" s="190"/>
      <c r="KRR5" s="190"/>
      <c r="KRS5" s="190"/>
      <c r="KRT5" s="190"/>
      <c r="KRU5" s="190"/>
      <c r="KRV5" s="190"/>
      <c r="KRW5" s="190"/>
      <c r="KRX5" s="190"/>
      <c r="KRY5" s="190"/>
      <c r="KRZ5" s="190"/>
      <c r="KSA5" s="190"/>
      <c r="KSB5" s="190"/>
      <c r="KSC5" s="190"/>
      <c r="KSD5" s="190"/>
      <c r="KSE5" s="190"/>
      <c r="KSF5" s="190"/>
      <c r="KSG5" s="190"/>
      <c r="KSH5" s="190"/>
      <c r="KSI5" s="190"/>
      <c r="KSJ5" s="190"/>
      <c r="KSK5" s="190"/>
      <c r="KSL5" s="190"/>
      <c r="KSM5" s="190"/>
      <c r="KSN5" s="190"/>
      <c r="KSO5" s="190"/>
      <c r="KSP5" s="190"/>
      <c r="KSQ5" s="190"/>
      <c r="KSR5" s="190"/>
      <c r="KSS5" s="190"/>
      <c r="KST5" s="190"/>
      <c r="KSU5" s="190"/>
      <c r="KSV5" s="190"/>
      <c r="KSW5" s="190"/>
      <c r="KSX5" s="190"/>
      <c r="KSY5" s="190"/>
      <c r="KSZ5" s="190"/>
      <c r="KTA5" s="190"/>
      <c r="KTB5" s="190"/>
      <c r="KTC5" s="190"/>
      <c r="KTD5" s="190"/>
      <c r="KTE5" s="190"/>
      <c r="KTF5" s="190"/>
      <c r="KTG5" s="190"/>
      <c r="KTH5" s="190"/>
      <c r="KTI5" s="190"/>
      <c r="KTJ5" s="190"/>
      <c r="KTK5" s="190"/>
      <c r="KTL5" s="190"/>
      <c r="KTM5" s="190"/>
      <c r="KTN5" s="190"/>
      <c r="KTO5" s="190"/>
      <c r="KTP5" s="190"/>
      <c r="KTQ5" s="190"/>
      <c r="KTR5" s="190"/>
      <c r="KTS5" s="190"/>
      <c r="KTT5" s="190"/>
      <c r="KTU5" s="190"/>
      <c r="KTV5" s="190"/>
      <c r="KTW5" s="190"/>
      <c r="KTX5" s="190"/>
      <c r="KTY5" s="190"/>
      <c r="KTZ5" s="190"/>
      <c r="KUA5" s="190"/>
      <c r="KUB5" s="190"/>
      <c r="KUC5" s="190"/>
      <c r="KUD5" s="190"/>
      <c r="KUE5" s="190"/>
      <c r="KUF5" s="190"/>
      <c r="KUG5" s="190"/>
      <c r="KUH5" s="190"/>
      <c r="KUI5" s="190"/>
      <c r="KUJ5" s="190"/>
      <c r="KUK5" s="190"/>
      <c r="KUL5" s="190"/>
      <c r="KUM5" s="190"/>
      <c r="KUN5" s="190"/>
      <c r="KUO5" s="190"/>
      <c r="KUP5" s="190"/>
      <c r="KUQ5" s="190"/>
      <c r="KUR5" s="190"/>
      <c r="KUS5" s="190"/>
      <c r="KUT5" s="190"/>
      <c r="KUU5" s="190"/>
      <c r="KUV5" s="190"/>
      <c r="KUW5" s="190"/>
      <c r="KUX5" s="190"/>
      <c r="KUY5" s="190"/>
      <c r="KUZ5" s="190"/>
      <c r="KVA5" s="190"/>
      <c r="KVB5" s="190"/>
      <c r="KVC5" s="190"/>
      <c r="KVD5" s="190"/>
      <c r="KVE5" s="190"/>
      <c r="KVF5" s="190"/>
      <c r="KVG5" s="190"/>
      <c r="KVH5" s="190"/>
      <c r="KVI5" s="190"/>
      <c r="KVJ5" s="190"/>
      <c r="KVK5" s="190"/>
      <c r="KVL5" s="190"/>
      <c r="KVM5" s="190"/>
      <c r="KVN5" s="190"/>
      <c r="KVO5" s="190"/>
      <c r="KVP5" s="190"/>
      <c r="KVQ5" s="190"/>
      <c r="KVR5" s="190"/>
      <c r="KVS5" s="190"/>
      <c r="KVT5" s="190"/>
      <c r="KVU5" s="190"/>
      <c r="KVV5" s="190"/>
      <c r="KVW5" s="190"/>
      <c r="KVX5" s="190"/>
      <c r="KVY5" s="190"/>
      <c r="KVZ5" s="190"/>
      <c r="KWA5" s="190"/>
      <c r="KWB5" s="190"/>
      <c r="KWC5" s="190"/>
      <c r="KWD5" s="190"/>
      <c r="KWE5" s="190"/>
      <c r="KWF5" s="190"/>
      <c r="KWG5" s="190"/>
      <c r="KWH5" s="190"/>
      <c r="KWI5" s="190"/>
      <c r="KWJ5" s="190"/>
      <c r="KWK5" s="190"/>
      <c r="KWL5" s="190"/>
      <c r="KWM5" s="190"/>
      <c r="KWN5" s="190"/>
      <c r="KWO5" s="190"/>
      <c r="KWP5" s="190"/>
      <c r="KWQ5" s="190"/>
      <c r="KWR5" s="190"/>
      <c r="KWS5" s="190"/>
      <c r="KWT5" s="190"/>
      <c r="KWU5" s="190"/>
      <c r="KWV5" s="190"/>
      <c r="KWW5" s="190"/>
      <c r="KWX5" s="190"/>
      <c r="KWY5" s="190"/>
      <c r="KWZ5" s="190"/>
      <c r="KXA5" s="190"/>
      <c r="KXB5" s="190"/>
      <c r="KXC5" s="190"/>
      <c r="KXD5" s="190"/>
      <c r="KXE5" s="190"/>
      <c r="KXF5" s="190"/>
      <c r="KXG5" s="190"/>
      <c r="KXH5" s="190"/>
      <c r="KXI5" s="190"/>
      <c r="KXJ5" s="190"/>
      <c r="KXK5" s="190"/>
      <c r="KXL5" s="190"/>
      <c r="KXM5" s="190"/>
      <c r="KXN5" s="190"/>
      <c r="KXO5" s="190"/>
      <c r="KXP5" s="190"/>
      <c r="KXQ5" s="190"/>
      <c r="KXR5" s="190"/>
      <c r="KXS5" s="190"/>
      <c r="KXT5" s="190"/>
      <c r="KXU5" s="190"/>
      <c r="KXV5" s="190"/>
      <c r="KXW5" s="190"/>
      <c r="KXX5" s="190"/>
      <c r="KXY5" s="190"/>
      <c r="KXZ5" s="190"/>
      <c r="KYA5" s="190"/>
      <c r="KYB5" s="190"/>
      <c r="KYC5" s="190"/>
      <c r="KYD5" s="190"/>
      <c r="KYE5" s="190"/>
      <c r="KYF5" s="190"/>
      <c r="KYG5" s="190"/>
      <c r="KYH5" s="190"/>
      <c r="KYI5" s="190"/>
      <c r="KYJ5" s="190"/>
      <c r="KYK5" s="190"/>
      <c r="KYL5" s="190"/>
      <c r="KYM5" s="190"/>
      <c r="KYN5" s="190"/>
      <c r="KYO5" s="190"/>
      <c r="KYP5" s="190"/>
      <c r="KYQ5" s="190"/>
      <c r="KYR5" s="190"/>
      <c r="KYS5" s="190"/>
      <c r="KYT5" s="190"/>
      <c r="KYU5" s="190"/>
      <c r="KYV5" s="190"/>
      <c r="KYW5" s="190"/>
      <c r="KYX5" s="190"/>
      <c r="KYY5" s="190"/>
      <c r="KYZ5" s="190"/>
      <c r="KZA5" s="190"/>
      <c r="KZB5" s="190"/>
      <c r="KZC5" s="190"/>
      <c r="KZD5" s="190"/>
      <c r="KZE5" s="190"/>
      <c r="KZF5" s="190"/>
      <c r="KZG5" s="190"/>
      <c r="KZH5" s="190"/>
      <c r="KZI5" s="190"/>
      <c r="KZJ5" s="190"/>
      <c r="KZK5" s="190"/>
      <c r="KZL5" s="190"/>
      <c r="KZM5" s="190"/>
      <c r="KZN5" s="190"/>
      <c r="KZO5" s="190"/>
      <c r="KZP5" s="190"/>
      <c r="KZQ5" s="190"/>
      <c r="KZR5" s="190"/>
      <c r="KZS5" s="190"/>
      <c r="KZT5" s="190"/>
      <c r="KZU5" s="190"/>
      <c r="KZV5" s="190"/>
      <c r="KZW5" s="190"/>
      <c r="KZX5" s="190"/>
      <c r="KZY5" s="190"/>
      <c r="KZZ5" s="190"/>
      <c r="LAA5" s="190"/>
      <c r="LAB5" s="190"/>
      <c r="LAC5" s="190"/>
      <c r="LAD5" s="190"/>
      <c r="LAE5" s="190"/>
      <c r="LAF5" s="190"/>
      <c r="LAG5" s="190"/>
      <c r="LAH5" s="190"/>
      <c r="LAI5" s="190"/>
      <c r="LAJ5" s="190"/>
      <c r="LAK5" s="190"/>
      <c r="LAL5" s="190"/>
      <c r="LAM5" s="190"/>
      <c r="LAN5" s="190"/>
      <c r="LAO5" s="190"/>
      <c r="LAP5" s="190"/>
      <c r="LAQ5" s="190"/>
      <c r="LAR5" s="190"/>
      <c r="LAS5" s="190"/>
      <c r="LAT5" s="190"/>
      <c r="LAU5" s="190"/>
      <c r="LAV5" s="190"/>
      <c r="LAW5" s="190"/>
      <c r="LAX5" s="190"/>
      <c r="LAY5" s="190"/>
      <c r="LAZ5" s="190"/>
      <c r="LBA5" s="190"/>
      <c r="LBB5" s="190"/>
      <c r="LBC5" s="190"/>
      <c r="LBD5" s="190"/>
      <c r="LBE5" s="190"/>
      <c r="LBF5" s="190"/>
      <c r="LBG5" s="190"/>
      <c r="LBH5" s="190"/>
      <c r="LBI5" s="190"/>
      <c r="LBJ5" s="190"/>
      <c r="LBK5" s="190"/>
      <c r="LBL5" s="190"/>
      <c r="LBM5" s="190"/>
      <c r="LBN5" s="190"/>
      <c r="LBO5" s="190"/>
      <c r="LBP5" s="190"/>
      <c r="LBQ5" s="190"/>
      <c r="LBR5" s="190"/>
      <c r="LBS5" s="190"/>
      <c r="LBT5" s="190"/>
      <c r="LBU5" s="190"/>
      <c r="LBV5" s="190"/>
      <c r="LBW5" s="190"/>
      <c r="LBX5" s="190"/>
      <c r="LBY5" s="190"/>
      <c r="LBZ5" s="190"/>
      <c r="LCA5" s="190"/>
      <c r="LCB5" s="190"/>
      <c r="LCC5" s="190"/>
      <c r="LCD5" s="190"/>
      <c r="LCE5" s="190"/>
      <c r="LCF5" s="190"/>
      <c r="LCG5" s="190"/>
      <c r="LCH5" s="190"/>
      <c r="LCI5" s="190"/>
      <c r="LCJ5" s="190"/>
      <c r="LCK5" s="190"/>
      <c r="LCL5" s="190"/>
      <c r="LCM5" s="190"/>
      <c r="LCN5" s="190"/>
      <c r="LCO5" s="190"/>
      <c r="LCP5" s="190"/>
      <c r="LCQ5" s="190"/>
      <c r="LCR5" s="190"/>
      <c r="LCS5" s="190"/>
      <c r="LCT5" s="190"/>
      <c r="LCU5" s="190"/>
      <c r="LCV5" s="190"/>
      <c r="LCW5" s="190"/>
      <c r="LCX5" s="190"/>
      <c r="LCY5" s="190"/>
      <c r="LCZ5" s="190"/>
      <c r="LDA5" s="190"/>
      <c r="LDB5" s="190"/>
      <c r="LDC5" s="190"/>
      <c r="LDD5" s="190"/>
      <c r="LDE5" s="190"/>
      <c r="LDF5" s="190"/>
      <c r="LDG5" s="190"/>
      <c r="LDH5" s="190"/>
      <c r="LDI5" s="190"/>
      <c r="LDJ5" s="190"/>
      <c r="LDK5" s="190"/>
      <c r="LDL5" s="190"/>
      <c r="LDM5" s="190"/>
      <c r="LDN5" s="190"/>
      <c r="LDO5" s="190"/>
      <c r="LDP5" s="190"/>
      <c r="LDQ5" s="190"/>
      <c r="LDR5" s="190"/>
      <c r="LDS5" s="190"/>
      <c r="LDT5" s="190"/>
      <c r="LDU5" s="190"/>
      <c r="LDV5" s="190"/>
      <c r="LDW5" s="190"/>
      <c r="LDX5" s="190"/>
      <c r="LDY5" s="190"/>
      <c r="LDZ5" s="190"/>
      <c r="LEA5" s="190"/>
      <c r="LEB5" s="190"/>
      <c r="LEC5" s="190"/>
      <c r="LED5" s="190"/>
      <c r="LEE5" s="190"/>
      <c r="LEF5" s="190"/>
      <c r="LEG5" s="190"/>
      <c r="LEH5" s="190"/>
      <c r="LEI5" s="190"/>
      <c r="LEJ5" s="190"/>
      <c r="LEK5" s="190"/>
      <c r="LEL5" s="190"/>
      <c r="LEM5" s="190"/>
      <c r="LEN5" s="190"/>
      <c r="LEO5" s="190"/>
      <c r="LEP5" s="190"/>
      <c r="LEQ5" s="190"/>
      <c r="LER5" s="190"/>
      <c r="LES5" s="190"/>
      <c r="LET5" s="190"/>
      <c r="LEU5" s="190"/>
      <c r="LEV5" s="190"/>
      <c r="LEW5" s="190"/>
      <c r="LEX5" s="190"/>
      <c r="LEY5" s="190"/>
      <c r="LEZ5" s="190"/>
      <c r="LFA5" s="190"/>
      <c r="LFB5" s="190"/>
      <c r="LFC5" s="190"/>
      <c r="LFD5" s="190"/>
      <c r="LFE5" s="190"/>
      <c r="LFF5" s="190"/>
      <c r="LFG5" s="190"/>
      <c r="LFH5" s="190"/>
      <c r="LFI5" s="190"/>
      <c r="LFJ5" s="190"/>
      <c r="LFK5" s="190"/>
      <c r="LFL5" s="190"/>
      <c r="LFM5" s="190"/>
      <c r="LFN5" s="190"/>
      <c r="LFO5" s="190"/>
      <c r="LFP5" s="190"/>
      <c r="LFQ5" s="190"/>
      <c r="LFR5" s="190"/>
      <c r="LFS5" s="190"/>
      <c r="LFT5" s="190"/>
      <c r="LFU5" s="190"/>
      <c r="LFV5" s="190"/>
      <c r="LFW5" s="190"/>
      <c r="LFX5" s="190"/>
      <c r="LFY5" s="190"/>
      <c r="LFZ5" s="190"/>
      <c r="LGA5" s="190"/>
      <c r="LGB5" s="190"/>
      <c r="LGC5" s="190"/>
      <c r="LGD5" s="190"/>
      <c r="LGE5" s="190"/>
      <c r="LGF5" s="190"/>
      <c r="LGG5" s="190"/>
      <c r="LGH5" s="190"/>
      <c r="LGI5" s="190"/>
      <c r="LGJ5" s="190"/>
      <c r="LGK5" s="190"/>
      <c r="LGL5" s="190"/>
      <c r="LGM5" s="190"/>
      <c r="LGN5" s="190"/>
      <c r="LGO5" s="190"/>
      <c r="LGP5" s="190"/>
      <c r="LGQ5" s="190"/>
      <c r="LGR5" s="190"/>
      <c r="LGS5" s="190"/>
      <c r="LGT5" s="190"/>
      <c r="LGU5" s="190"/>
      <c r="LGV5" s="190"/>
      <c r="LGW5" s="190"/>
      <c r="LGX5" s="190"/>
      <c r="LGY5" s="190"/>
      <c r="LGZ5" s="190"/>
      <c r="LHA5" s="190"/>
      <c r="LHB5" s="190"/>
      <c r="LHC5" s="190"/>
      <c r="LHD5" s="190"/>
      <c r="LHE5" s="190"/>
      <c r="LHF5" s="190"/>
      <c r="LHG5" s="190"/>
      <c r="LHH5" s="190"/>
      <c r="LHI5" s="190"/>
      <c r="LHJ5" s="190"/>
      <c r="LHK5" s="190"/>
      <c r="LHL5" s="190"/>
      <c r="LHM5" s="190"/>
      <c r="LHN5" s="190"/>
      <c r="LHO5" s="190"/>
      <c r="LHP5" s="190"/>
      <c r="LHQ5" s="190"/>
      <c r="LHR5" s="190"/>
      <c r="LHS5" s="190"/>
      <c r="LHT5" s="190"/>
      <c r="LHU5" s="190"/>
      <c r="LHV5" s="190"/>
      <c r="LHW5" s="190"/>
      <c r="LHX5" s="190"/>
      <c r="LHY5" s="190"/>
      <c r="LHZ5" s="190"/>
      <c r="LIA5" s="190"/>
      <c r="LIB5" s="190"/>
      <c r="LIC5" s="190"/>
      <c r="LID5" s="190"/>
      <c r="LIE5" s="190"/>
      <c r="LIF5" s="190"/>
      <c r="LIG5" s="190"/>
      <c r="LIH5" s="190"/>
      <c r="LII5" s="190"/>
      <c r="LIJ5" s="190"/>
      <c r="LIK5" s="190"/>
      <c r="LIL5" s="190"/>
      <c r="LIM5" s="190"/>
      <c r="LIN5" s="190"/>
      <c r="LIO5" s="190"/>
      <c r="LIP5" s="190"/>
      <c r="LIQ5" s="190"/>
      <c r="LIR5" s="190"/>
      <c r="LIS5" s="190"/>
      <c r="LIT5" s="190"/>
      <c r="LIU5" s="190"/>
      <c r="LIV5" s="190"/>
      <c r="LIW5" s="190"/>
      <c r="LIX5" s="190"/>
      <c r="LIY5" s="190"/>
      <c r="LIZ5" s="190"/>
      <c r="LJA5" s="190"/>
      <c r="LJB5" s="190"/>
      <c r="LJC5" s="190"/>
      <c r="LJD5" s="190"/>
      <c r="LJE5" s="190"/>
      <c r="LJF5" s="190"/>
      <c r="LJG5" s="190"/>
      <c r="LJH5" s="190"/>
      <c r="LJI5" s="190"/>
      <c r="LJJ5" s="190"/>
      <c r="LJK5" s="190"/>
      <c r="LJL5" s="190"/>
      <c r="LJM5" s="190"/>
      <c r="LJN5" s="190"/>
      <c r="LJO5" s="190"/>
      <c r="LJP5" s="190"/>
      <c r="LJQ5" s="190"/>
      <c r="LJR5" s="190"/>
      <c r="LJS5" s="190"/>
      <c r="LJT5" s="190"/>
      <c r="LJU5" s="190"/>
      <c r="LJV5" s="190"/>
      <c r="LJW5" s="190"/>
      <c r="LJX5" s="190"/>
      <c r="LJY5" s="190"/>
      <c r="LJZ5" s="190"/>
      <c r="LKA5" s="190"/>
      <c r="LKB5" s="190"/>
      <c r="LKC5" s="190"/>
      <c r="LKD5" s="190"/>
      <c r="LKE5" s="190"/>
      <c r="LKF5" s="190"/>
      <c r="LKG5" s="190"/>
      <c r="LKH5" s="190"/>
      <c r="LKI5" s="190"/>
      <c r="LKJ5" s="190"/>
      <c r="LKK5" s="190"/>
      <c r="LKL5" s="190"/>
      <c r="LKM5" s="190"/>
      <c r="LKN5" s="190"/>
      <c r="LKO5" s="190"/>
      <c r="LKP5" s="190"/>
      <c r="LKQ5" s="190"/>
      <c r="LKR5" s="190"/>
      <c r="LKS5" s="190"/>
      <c r="LKT5" s="190"/>
      <c r="LKU5" s="190"/>
      <c r="LKV5" s="190"/>
      <c r="LKW5" s="190"/>
      <c r="LKX5" s="190"/>
      <c r="LKY5" s="190"/>
      <c r="LKZ5" s="190"/>
      <c r="LLA5" s="190"/>
      <c r="LLB5" s="190"/>
      <c r="LLC5" s="190"/>
      <c r="LLD5" s="190"/>
      <c r="LLE5" s="190"/>
      <c r="LLF5" s="190"/>
      <c r="LLG5" s="190"/>
      <c r="LLH5" s="190"/>
      <c r="LLI5" s="190"/>
      <c r="LLJ5" s="190"/>
      <c r="LLK5" s="190"/>
      <c r="LLL5" s="190"/>
      <c r="LLM5" s="190"/>
      <c r="LLN5" s="190"/>
      <c r="LLO5" s="190"/>
      <c r="LLP5" s="190"/>
      <c r="LLQ5" s="190"/>
      <c r="LLR5" s="190"/>
      <c r="LLS5" s="190"/>
      <c r="LLT5" s="190"/>
      <c r="LLU5" s="190"/>
      <c r="LLV5" s="190"/>
      <c r="LLW5" s="190"/>
      <c r="LLX5" s="190"/>
      <c r="LLY5" s="190"/>
      <c r="LLZ5" s="190"/>
      <c r="LMA5" s="190"/>
      <c r="LMB5" s="190"/>
      <c r="LMC5" s="190"/>
      <c r="LMD5" s="190"/>
      <c r="LME5" s="190"/>
      <c r="LMF5" s="190"/>
      <c r="LMG5" s="190"/>
      <c r="LMH5" s="190"/>
      <c r="LMI5" s="190"/>
      <c r="LMJ5" s="190"/>
      <c r="LMK5" s="190"/>
      <c r="LML5" s="190"/>
      <c r="LMM5" s="190"/>
      <c r="LMN5" s="190"/>
      <c r="LMO5" s="190"/>
      <c r="LMP5" s="190"/>
      <c r="LMQ5" s="190"/>
      <c r="LMR5" s="190"/>
      <c r="LMS5" s="190"/>
      <c r="LMT5" s="190"/>
      <c r="LMU5" s="190"/>
      <c r="LMV5" s="190"/>
      <c r="LMW5" s="190"/>
      <c r="LMX5" s="190"/>
      <c r="LMY5" s="190"/>
      <c r="LMZ5" s="190"/>
      <c r="LNA5" s="190"/>
      <c r="LNB5" s="190"/>
      <c r="LNC5" s="190"/>
      <c r="LND5" s="190"/>
      <c r="LNE5" s="190"/>
      <c r="LNF5" s="190"/>
      <c r="LNG5" s="190"/>
      <c r="LNH5" s="190"/>
      <c r="LNI5" s="190"/>
      <c r="LNJ5" s="190"/>
      <c r="LNK5" s="190"/>
      <c r="LNL5" s="190"/>
      <c r="LNM5" s="190"/>
      <c r="LNN5" s="190"/>
      <c r="LNO5" s="190"/>
      <c r="LNP5" s="190"/>
      <c r="LNQ5" s="190"/>
      <c r="LNR5" s="190"/>
      <c r="LNS5" s="190"/>
      <c r="LNT5" s="190"/>
      <c r="LNU5" s="190"/>
      <c r="LNV5" s="190"/>
      <c r="LNW5" s="190"/>
      <c r="LNX5" s="190"/>
      <c r="LNY5" s="190"/>
      <c r="LNZ5" s="190"/>
      <c r="LOA5" s="190"/>
      <c r="LOB5" s="190"/>
      <c r="LOC5" s="190"/>
      <c r="LOD5" s="190"/>
      <c r="LOE5" s="190"/>
      <c r="LOF5" s="190"/>
      <c r="LOG5" s="190"/>
      <c r="LOH5" s="190"/>
      <c r="LOI5" s="190"/>
      <c r="LOJ5" s="190"/>
      <c r="LOK5" s="190"/>
      <c r="LOL5" s="190"/>
      <c r="LOM5" s="190"/>
      <c r="LON5" s="190"/>
      <c r="LOO5" s="190"/>
      <c r="LOP5" s="190"/>
      <c r="LOQ5" s="190"/>
      <c r="LOR5" s="190"/>
      <c r="LOS5" s="190"/>
      <c r="LOT5" s="190"/>
      <c r="LOU5" s="190"/>
      <c r="LOV5" s="190"/>
      <c r="LOW5" s="190"/>
      <c r="LOX5" s="190"/>
      <c r="LOY5" s="190"/>
      <c r="LOZ5" s="190"/>
      <c r="LPA5" s="190"/>
      <c r="LPB5" s="190"/>
      <c r="LPC5" s="190"/>
      <c r="LPD5" s="190"/>
      <c r="LPE5" s="190"/>
      <c r="LPF5" s="190"/>
      <c r="LPG5" s="190"/>
      <c r="LPH5" s="190"/>
      <c r="LPI5" s="190"/>
      <c r="LPJ5" s="190"/>
      <c r="LPK5" s="190"/>
      <c r="LPL5" s="190"/>
      <c r="LPM5" s="190"/>
      <c r="LPN5" s="190"/>
      <c r="LPO5" s="190"/>
      <c r="LPP5" s="190"/>
      <c r="LPQ5" s="190"/>
      <c r="LPR5" s="190"/>
      <c r="LPS5" s="190"/>
      <c r="LPT5" s="190"/>
      <c r="LPU5" s="190"/>
      <c r="LPV5" s="190"/>
      <c r="LPW5" s="190"/>
      <c r="LPX5" s="190"/>
      <c r="LPY5" s="190"/>
      <c r="LPZ5" s="190"/>
      <c r="LQA5" s="190"/>
      <c r="LQB5" s="190"/>
      <c r="LQC5" s="190"/>
      <c r="LQD5" s="190"/>
      <c r="LQE5" s="190"/>
      <c r="LQF5" s="190"/>
      <c r="LQG5" s="190"/>
      <c r="LQH5" s="190"/>
      <c r="LQI5" s="190"/>
      <c r="LQJ5" s="190"/>
      <c r="LQK5" s="190"/>
      <c r="LQL5" s="190"/>
      <c r="LQM5" s="190"/>
      <c r="LQN5" s="190"/>
      <c r="LQO5" s="190"/>
      <c r="LQP5" s="190"/>
      <c r="LQQ5" s="190"/>
      <c r="LQR5" s="190"/>
      <c r="LQS5" s="190"/>
      <c r="LQT5" s="190"/>
      <c r="LQU5" s="190"/>
      <c r="LQV5" s="190"/>
      <c r="LQW5" s="190"/>
      <c r="LQX5" s="190"/>
      <c r="LQY5" s="190"/>
      <c r="LQZ5" s="190"/>
      <c r="LRA5" s="190"/>
      <c r="LRB5" s="190"/>
      <c r="LRC5" s="190"/>
      <c r="LRD5" s="190"/>
      <c r="LRE5" s="190"/>
      <c r="LRF5" s="190"/>
      <c r="LRG5" s="190"/>
      <c r="LRH5" s="190"/>
      <c r="LRI5" s="190"/>
      <c r="LRJ5" s="190"/>
      <c r="LRK5" s="190"/>
      <c r="LRL5" s="190"/>
      <c r="LRM5" s="190"/>
      <c r="LRN5" s="190"/>
      <c r="LRO5" s="190"/>
      <c r="LRP5" s="190"/>
      <c r="LRQ5" s="190"/>
      <c r="LRR5" s="190"/>
      <c r="LRS5" s="190"/>
      <c r="LRT5" s="190"/>
      <c r="LRU5" s="190"/>
      <c r="LRV5" s="190"/>
      <c r="LRW5" s="190"/>
      <c r="LRX5" s="190"/>
      <c r="LRY5" s="190"/>
      <c r="LRZ5" s="190"/>
      <c r="LSA5" s="190"/>
      <c r="LSB5" s="190"/>
      <c r="LSC5" s="190"/>
      <c r="LSD5" s="190"/>
      <c r="LSE5" s="190"/>
      <c r="LSF5" s="190"/>
      <c r="LSG5" s="190"/>
      <c r="LSH5" s="190"/>
      <c r="LSI5" s="190"/>
      <c r="LSJ5" s="190"/>
      <c r="LSK5" s="190"/>
      <c r="LSL5" s="190"/>
      <c r="LSM5" s="190"/>
      <c r="LSN5" s="190"/>
      <c r="LSO5" s="190"/>
      <c r="LSP5" s="190"/>
      <c r="LSQ5" s="190"/>
      <c r="LSR5" s="190"/>
      <c r="LSS5" s="190"/>
      <c r="LST5" s="190"/>
      <c r="LSU5" s="190"/>
      <c r="LSV5" s="190"/>
      <c r="LSW5" s="190"/>
      <c r="LSX5" s="190"/>
      <c r="LSY5" s="190"/>
      <c r="LSZ5" s="190"/>
      <c r="LTA5" s="190"/>
      <c r="LTB5" s="190"/>
      <c r="LTC5" s="190"/>
      <c r="LTD5" s="190"/>
      <c r="LTE5" s="190"/>
      <c r="LTF5" s="190"/>
      <c r="LTG5" s="190"/>
      <c r="LTH5" s="190"/>
      <c r="LTI5" s="190"/>
      <c r="LTJ5" s="190"/>
      <c r="LTK5" s="190"/>
      <c r="LTL5" s="190"/>
      <c r="LTM5" s="190"/>
      <c r="LTN5" s="190"/>
      <c r="LTO5" s="190"/>
      <c r="LTP5" s="190"/>
      <c r="LTQ5" s="190"/>
      <c r="LTR5" s="190"/>
      <c r="LTS5" s="190"/>
      <c r="LTT5" s="190"/>
      <c r="LTU5" s="190"/>
      <c r="LTV5" s="190"/>
      <c r="LTW5" s="190"/>
      <c r="LTX5" s="190"/>
      <c r="LTY5" s="190"/>
      <c r="LTZ5" s="190"/>
      <c r="LUA5" s="190"/>
      <c r="LUB5" s="190"/>
      <c r="LUC5" s="190"/>
      <c r="LUD5" s="190"/>
      <c r="LUE5" s="190"/>
      <c r="LUF5" s="190"/>
      <c r="LUG5" s="190"/>
      <c r="LUH5" s="190"/>
      <c r="LUI5" s="190"/>
      <c r="LUJ5" s="190"/>
      <c r="LUK5" s="190"/>
      <c r="LUL5" s="190"/>
      <c r="LUM5" s="190"/>
      <c r="LUN5" s="190"/>
      <c r="LUO5" s="190"/>
      <c r="LUP5" s="190"/>
      <c r="LUQ5" s="190"/>
      <c r="LUR5" s="190"/>
      <c r="LUS5" s="190"/>
      <c r="LUT5" s="190"/>
      <c r="LUU5" s="190"/>
      <c r="LUV5" s="190"/>
      <c r="LUW5" s="190"/>
      <c r="LUX5" s="190"/>
      <c r="LUY5" s="190"/>
      <c r="LUZ5" s="190"/>
      <c r="LVA5" s="190"/>
      <c r="LVB5" s="190"/>
      <c r="LVC5" s="190"/>
      <c r="LVD5" s="190"/>
      <c r="LVE5" s="190"/>
      <c r="LVF5" s="190"/>
      <c r="LVG5" s="190"/>
      <c r="LVH5" s="190"/>
      <c r="LVI5" s="190"/>
      <c r="LVJ5" s="190"/>
      <c r="LVK5" s="190"/>
      <c r="LVL5" s="190"/>
      <c r="LVM5" s="190"/>
      <c r="LVN5" s="190"/>
      <c r="LVO5" s="190"/>
      <c r="LVP5" s="190"/>
      <c r="LVQ5" s="190"/>
      <c r="LVR5" s="190"/>
      <c r="LVS5" s="190"/>
      <c r="LVT5" s="190"/>
      <c r="LVU5" s="190"/>
      <c r="LVV5" s="190"/>
      <c r="LVW5" s="190"/>
      <c r="LVX5" s="190"/>
      <c r="LVY5" s="190"/>
      <c r="LVZ5" s="190"/>
      <c r="LWA5" s="190"/>
      <c r="LWB5" s="190"/>
      <c r="LWC5" s="190"/>
      <c r="LWD5" s="190"/>
      <c r="LWE5" s="190"/>
      <c r="LWF5" s="190"/>
      <c r="LWG5" s="190"/>
      <c r="LWH5" s="190"/>
      <c r="LWI5" s="190"/>
      <c r="LWJ5" s="190"/>
      <c r="LWK5" s="190"/>
      <c r="LWL5" s="190"/>
      <c r="LWM5" s="190"/>
      <c r="LWN5" s="190"/>
      <c r="LWO5" s="190"/>
      <c r="LWP5" s="190"/>
      <c r="LWQ5" s="190"/>
      <c r="LWR5" s="190"/>
      <c r="LWS5" s="190"/>
      <c r="LWT5" s="190"/>
      <c r="LWU5" s="190"/>
      <c r="LWV5" s="190"/>
      <c r="LWW5" s="190"/>
      <c r="LWX5" s="190"/>
      <c r="LWY5" s="190"/>
      <c r="LWZ5" s="190"/>
      <c r="LXA5" s="190"/>
      <c r="LXB5" s="190"/>
      <c r="LXC5" s="190"/>
      <c r="LXD5" s="190"/>
      <c r="LXE5" s="190"/>
      <c r="LXF5" s="190"/>
      <c r="LXG5" s="190"/>
      <c r="LXH5" s="190"/>
      <c r="LXI5" s="190"/>
      <c r="LXJ5" s="190"/>
      <c r="LXK5" s="190"/>
      <c r="LXL5" s="190"/>
      <c r="LXM5" s="190"/>
      <c r="LXN5" s="190"/>
      <c r="LXO5" s="190"/>
      <c r="LXP5" s="190"/>
      <c r="LXQ5" s="190"/>
      <c r="LXR5" s="190"/>
      <c r="LXS5" s="190"/>
      <c r="LXT5" s="190"/>
      <c r="LXU5" s="190"/>
      <c r="LXV5" s="190"/>
      <c r="LXW5" s="190"/>
      <c r="LXX5" s="190"/>
      <c r="LXY5" s="190"/>
      <c r="LXZ5" s="190"/>
      <c r="LYA5" s="190"/>
      <c r="LYB5" s="190"/>
      <c r="LYC5" s="190"/>
      <c r="LYD5" s="190"/>
      <c r="LYE5" s="190"/>
      <c r="LYF5" s="190"/>
      <c r="LYG5" s="190"/>
      <c r="LYH5" s="190"/>
      <c r="LYI5" s="190"/>
      <c r="LYJ5" s="190"/>
      <c r="LYK5" s="190"/>
      <c r="LYL5" s="190"/>
      <c r="LYM5" s="190"/>
      <c r="LYN5" s="190"/>
      <c r="LYO5" s="190"/>
      <c r="LYP5" s="190"/>
      <c r="LYQ5" s="190"/>
      <c r="LYR5" s="190"/>
      <c r="LYS5" s="190"/>
      <c r="LYT5" s="190"/>
      <c r="LYU5" s="190"/>
      <c r="LYV5" s="190"/>
      <c r="LYW5" s="190"/>
      <c r="LYX5" s="190"/>
      <c r="LYY5" s="190"/>
      <c r="LYZ5" s="190"/>
      <c r="LZA5" s="190"/>
      <c r="LZB5" s="190"/>
      <c r="LZC5" s="190"/>
      <c r="LZD5" s="190"/>
      <c r="LZE5" s="190"/>
      <c r="LZF5" s="190"/>
      <c r="LZG5" s="190"/>
      <c r="LZH5" s="190"/>
      <c r="LZI5" s="190"/>
      <c r="LZJ5" s="190"/>
      <c r="LZK5" s="190"/>
      <c r="LZL5" s="190"/>
      <c r="LZM5" s="190"/>
      <c r="LZN5" s="190"/>
      <c r="LZO5" s="190"/>
      <c r="LZP5" s="190"/>
      <c r="LZQ5" s="190"/>
      <c r="LZR5" s="190"/>
      <c r="LZS5" s="190"/>
      <c r="LZT5" s="190"/>
      <c r="LZU5" s="190"/>
      <c r="LZV5" s="190"/>
      <c r="LZW5" s="190"/>
      <c r="LZX5" s="190"/>
      <c r="LZY5" s="190"/>
      <c r="LZZ5" s="190"/>
      <c r="MAA5" s="190"/>
      <c r="MAB5" s="190"/>
      <c r="MAC5" s="190"/>
      <c r="MAD5" s="190"/>
      <c r="MAE5" s="190"/>
      <c r="MAF5" s="190"/>
      <c r="MAG5" s="190"/>
      <c r="MAH5" s="190"/>
      <c r="MAI5" s="190"/>
      <c r="MAJ5" s="190"/>
      <c r="MAK5" s="190"/>
      <c r="MAL5" s="190"/>
      <c r="MAM5" s="190"/>
      <c r="MAN5" s="190"/>
      <c r="MAO5" s="190"/>
      <c r="MAP5" s="190"/>
      <c r="MAQ5" s="190"/>
      <c r="MAR5" s="190"/>
      <c r="MAS5" s="190"/>
      <c r="MAT5" s="190"/>
      <c r="MAU5" s="190"/>
      <c r="MAV5" s="190"/>
      <c r="MAW5" s="190"/>
      <c r="MAX5" s="190"/>
      <c r="MAY5" s="190"/>
      <c r="MAZ5" s="190"/>
      <c r="MBA5" s="190"/>
      <c r="MBB5" s="190"/>
      <c r="MBC5" s="190"/>
      <c r="MBD5" s="190"/>
      <c r="MBE5" s="190"/>
      <c r="MBF5" s="190"/>
      <c r="MBG5" s="190"/>
      <c r="MBH5" s="190"/>
      <c r="MBI5" s="190"/>
      <c r="MBJ5" s="190"/>
      <c r="MBK5" s="190"/>
      <c r="MBL5" s="190"/>
      <c r="MBM5" s="190"/>
      <c r="MBN5" s="190"/>
      <c r="MBO5" s="190"/>
      <c r="MBP5" s="190"/>
      <c r="MBQ5" s="190"/>
      <c r="MBR5" s="190"/>
      <c r="MBS5" s="190"/>
      <c r="MBT5" s="190"/>
      <c r="MBU5" s="190"/>
      <c r="MBV5" s="190"/>
      <c r="MBW5" s="190"/>
      <c r="MBX5" s="190"/>
      <c r="MBY5" s="190"/>
      <c r="MBZ5" s="190"/>
      <c r="MCA5" s="190"/>
      <c r="MCB5" s="190"/>
      <c r="MCC5" s="190"/>
      <c r="MCD5" s="190"/>
      <c r="MCE5" s="190"/>
      <c r="MCF5" s="190"/>
      <c r="MCG5" s="190"/>
      <c r="MCH5" s="190"/>
      <c r="MCI5" s="190"/>
      <c r="MCJ5" s="190"/>
      <c r="MCK5" s="190"/>
      <c r="MCL5" s="190"/>
      <c r="MCM5" s="190"/>
      <c r="MCN5" s="190"/>
      <c r="MCO5" s="190"/>
      <c r="MCP5" s="190"/>
      <c r="MCQ5" s="190"/>
      <c r="MCR5" s="190"/>
      <c r="MCS5" s="190"/>
      <c r="MCT5" s="190"/>
      <c r="MCU5" s="190"/>
      <c r="MCV5" s="190"/>
      <c r="MCW5" s="190"/>
      <c r="MCX5" s="190"/>
      <c r="MCY5" s="190"/>
      <c r="MCZ5" s="190"/>
      <c r="MDA5" s="190"/>
      <c r="MDB5" s="190"/>
      <c r="MDC5" s="190"/>
      <c r="MDD5" s="190"/>
      <c r="MDE5" s="190"/>
      <c r="MDF5" s="190"/>
      <c r="MDG5" s="190"/>
      <c r="MDH5" s="190"/>
      <c r="MDI5" s="190"/>
      <c r="MDJ5" s="190"/>
      <c r="MDK5" s="190"/>
      <c r="MDL5" s="190"/>
      <c r="MDM5" s="190"/>
      <c r="MDN5" s="190"/>
      <c r="MDO5" s="190"/>
      <c r="MDP5" s="190"/>
      <c r="MDQ5" s="190"/>
      <c r="MDR5" s="190"/>
      <c r="MDS5" s="190"/>
      <c r="MDT5" s="190"/>
      <c r="MDU5" s="190"/>
      <c r="MDV5" s="190"/>
      <c r="MDW5" s="190"/>
      <c r="MDX5" s="190"/>
      <c r="MDY5" s="190"/>
      <c r="MDZ5" s="190"/>
      <c r="MEA5" s="190"/>
      <c r="MEB5" s="190"/>
      <c r="MEC5" s="190"/>
      <c r="MED5" s="190"/>
      <c r="MEE5" s="190"/>
      <c r="MEF5" s="190"/>
      <c r="MEG5" s="190"/>
      <c r="MEH5" s="190"/>
      <c r="MEI5" s="190"/>
      <c r="MEJ5" s="190"/>
      <c r="MEK5" s="190"/>
      <c r="MEL5" s="190"/>
      <c r="MEM5" s="190"/>
      <c r="MEN5" s="190"/>
      <c r="MEO5" s="190"/>
      <c r="MEP5" s="190"/>
      <c r="MEQ5" s="190"/>
      <c r="MER5" s="190"/>
      <c r="MES5" s="190"/>
      <c r="MET5" s="190"/>
      <c r="MEU5" s="190"/>
      <c r="MEV5" s="190"/>
      <c r="MEW5" s="190"/>
      <c r="MEX5" s="190"/>
      <c r="MEY5" s="190"/>
      <c r="MEZ5" s="190"/>
      <c r="MFA5" s="190"/>
      <c r="MFB5" s="190"/>
      <c r="MFC5" s="190"/>
      <c r="MFD5" s="190"/>
      <c r="MFE5" s="190"/>
      <c r="MFF5" s="190"/>
      <c r="MFG5" s="190"/>
      <c r="MFH5" s="190"/>
      <c r="MFI5" s="190"/>
      <c r="MFJ5" s="190"/>
      <c r="MFK5" s="190"/>
      <c r="MFL5" s="190"/>
      <c r="MFM5" s="190"/>
      <c r="MFN5" s="190"/>
      <c r="MFO5" s="190"/>
      <c r="MFP5" s="190"/>
      <c r="MFQ5" s="190"/>
      <c r="MFR5" s="190"/>
      <c r="MFS5" s="190"/>
      <c r="MFT5" s="190"/>
      <c r="MFU5" s="190"/>
      <c r="MFV5" s="190"/>
      <c r="MFW5" s="190"/>
      <c r="MFX5" s="190"/>
      <c r="MFY5" s="190"/>
      <c r="MFZ5" s="190"/>
      <c r="MGA5" s="190"/>
      <c r="MGB5" s="190"/>
      <c r="MGC5" s="190"/>
      <c r="MGD5" s="190"/>
      <c r="MGE5" s="190"/>
      <c r="MGF5" s="190"/>
      <c r="MGG5" s="190"/>
      <c r="MGH5" s="190"/>
      <c r="MGI5" s="190"/>
      <c r="MGJ5" s="190"/>
      <c r="MGK5" s="190"/>
      <c r="MGL5" s="190"/>
      <c r="MGM5" s="190"/>
      <c r="MGN5" s="190"/>
      <c r="MGO5" s="190"/>
      <c r="MGP5" s="190"/>
      <c r="MGQ5" s="190"/>
      <c r="MGR5" s="190"/>
      <c r="MGS5" s="190"/>
      <c r="MGT5" s="190"/>
      <c r="MGU5" s="190"/>
      <c r="MGV5" s="190"/>
      <c r="MGW5" s="190"/>
      <c r="MGX5" s="190"/>
      <c r="MGY5" s="190"/>
      <c r="MGZ5" s="190"/>
      <c r="MHA5" s="190"/>
      <c r="MHB5" s="190"/>
      <c r="MHC5" s="190"/>
      <c r="MHD5" s="190"/>
      <c r="MHE5" s="190"/>
      <c r="MHF5" s="190"/>
      <c r="MHG5" s="190"/>
      <c r="MHH5" s="190"/>
      <c r="MHI5" s="190"/>
      <c r="MHJ5" s="190"/>
      <c r="MHK5" s="190"/>
      <c r="MHL5" s="190"/>
      <c r="MHM5" s="190"/>
      <c r="MHN5" s="190"/>
      <c r="MHO5" s="190"/>
      <c r="MHP5" s="190"/>
      <c r="MHQ5" s="190"/>
      <c r="MHR5" s="190"/>
      <c r="MHS5" s="190"/>
      <c r="MHT5" s="190"/>
      <c r="MHU5" s="190"/>
      <c r="MHV5" s="190"/>
      <c r="MHW5" s="190"/>
      <c r="MHX5" s="190"/>
      <c r="MHY5" s="190"/>
      <c r="MHZ5" s="190"/>
      <c r="MIA5" s="190"/>
      <c r="MIB5" s="190"/>
      <c r="MIC5" s="190"/>
      <c r="MID5" s="190"/>
      <c r="MIE5" s="190"/>
      <c r="MIF5" s="190"/>
      <c r="MIG5" s="190"/>
      <c r="MIH5" s="190"/>
      <c r="MII5" s="190"/>
      <c r="MIJ5" s="190"/>
      <c r="MIK5" s="190"/>
      <c r="MIL5" s="190"/>
      <c r="MIM5" s="190"/>
      <c r="MIN5" s="190"/>
      <c r="MIO5" s="190"/>
      <c r="MIP5" s="190"/>
      <c r="MIQ5" s="190"/>
      <c r="MIR5" s="190"/>
      <c r="MIS5" s="190"/>
      <c r="MIT5" s="190"/>
      <c r="MIU5" s="190"/>
      <c r="MIV5" s="190"/>
      <c r="MIW5" s="190"/>
      <c r="MIX5" s="190"/>
      <c r="MIY5" s="190"/>
      <c r="MIZ5" s="190"/>
      <c r="MJA5" s="190"/>
      <c r="MJB5" s="190"/>
      <c r="MJC5" s="190"/>
      <c r="MJD5" s="190"/>
      <c r="MJE5" s="190"/>
      <c r="MJF5" s="190"/>
      <c r="MJG5" s="190"/>
      <c r="MJH5" s="190"/>
      <c r="MJI5" s="190"/>
      <c r="MJJ5" s="190"/>
      <c r="MJK5" s="190"/>
      <c r="MJL5" s="190"/>
      <c r="MJM5" s="190"/>
      <c r="MJN5" s="190"/>
      <c r="MJO5" s="190"/>
      <c r="MJP5" s="190"/>
      <c r="MJQ5" s="190"/>
      <c r="MJR5" s="190"/>
      <c r="MJS5" s="190"/>
      <c r="MJT5" s="190"/>
      <c r="MJU5" s="190"/>
      <c r="MJV5" s="190"/>
      <c r="MJW5" s="190"/>
      <c r="MJX5" s="190"/>
      <c r="MJY5" s="190"/>
      <c r="MJZ5" s="190"/>
      <c r="MKA5" s="190"/>
      <c r="MKB5" s="190"/>
      <c r="MKC5" s="190"/>
      <c r="MKD5" s="190"/>
      <c r="MKE5" s="190"/>
      <c r="MKF5" s="190"/>
      <c r="MKG5" s="190"/>
      <c r="MKH5" s="190"/>
      <c r="MKI5" s="190"/>
      <c r="MKJ5" s="190"/>
      <c r="MKK5" s="190"/>
      <c r="MKL5" s="190"/>
      <c r="MKM5" s="190"/>
      <c r="MKN5" s="190"/>
      <c r="MKO5" s="190"/>
      <c r="MKP5" s="190"/>
      <c r="MKQ5" s="190"/>
      <c r="MKR5" s="190"/>
      <c r="MKS5" s="190"/>
      <c r="MKT5" s="190"/>
      <c r="MKU5" s="190"/>
      <c r="MKV5" s="190"/>
      <c r="MKW5" s="190"/>
      <c r="MKX5" s="190"/>
      <c r="MKY5" s="190"/>
      <c r="MKZ5" s="190"/>
      <c r="MLA5" s="190"/>
      <c r="MLB5" s="190"/>
      <c r="MLC5" s="190"/>
      <c r="MLD5" s="190"/>
      <c r="MLE5" s="190"/>
      <c r="MLF5" s="190"/>
      <c r="MLG5" s="190"/>
      <c r="MLH5" s="190"/>
      <c r="MLI5" s="190"/>
      <c r="MLJ5" s="190"/>
      <c r="MLK5" s="190"/>
      <c r="MLL5" s="190"/>
      <c r="MLM5" s="190"/>
      <c r="MLN5" s="190"/>
      <c r="MLO5" s="190"/>
      <c r="MLP5" s="190"/>
      <c r="MLQ5" s="190"/>
      <c r="MLR5" s="190"/>
      <c r="MLS5" s="190"/>
      <c r="MLT5" s="190"/>
      <c r="MLU5" s="190"/>
      <c r="MLV5" s="190"/>
      <c r="MLW5" s="190"/>
      <c r="MLX5" s="190"/>
      <c r="MLY5" s="190"/>
      <c r="MLZ5" s="190"/>
      <c r="MMA5" s="190"/>
      <c r="MMB5" s="190"/>
      <c r="MMC5" s="190"/>
      <c r="MMD5" s="190"/>
      <c r="MME5" s="190"/>
      <c r="MMF5" s="190"/>
      <c r="MMG5" s="190"/>
      <c r="MMH5" s="190"/>
      <c r="MMI5" s="190"/>
      <c r="MMJ5" s="190"/>
      <c r="MMK5" s="190"/>
      <c r="MML5" s="190"/>
      <c r="MMM5" s="190"/>
      <c r="MMN5" s="190"/>
      <c r="MMO5" s="190"/>
      <c r="MMP5" s="190"/>
      <c r="MMQ5" s="190"/>
      <c r="MMR5" s="190"/>
      <c r="MMS5" s="190"/>
      <c r="MMT5" s="190"/>
      <c r="MMU5" s="190"/>
      <c r="MMV5" s="190"/>
      <c r="MMW5" s="190"/>
      <c r="MMX5" s="190"/>
      <c r="MMY5" s="190"/>
      <c r="MMZ5" s="190"/>
      <c r="MNA5" s="190"/>
      <c r="MNB5" s="190"/>
      <c r="MNC5" s="190"/>
      <c r="MND5" s="190"/>
      <c r="MNE5" s="190"/>
      <c r="MNF5" s="190"/>
      <c r="MNG5" s="190"/>
      <c r="MNH5" s="190"/>
      <c r="MNI5" s="190"/>
      <c r="MNJ5" s="190"/>
      <c r="MNK5" s="190"/>
      <c r="MNL5" s="190"/>
      <c r="MNM5" s="190"/>
      <c r="MNN5" s="190"/>
      <c r="MNO5" s="190"/>
      <c r="MNP5" s="190"/>
      <c r="MNQ5" s="190"/>
      <c r="MNR5" s="190"/>
      <c r="MNS5" s="190"/>
      <c r="MNT5" s="190"/>
      <c r="MNU5" s="190"/>
      <c r="MNV5" s="190"/>
      <c r="MNW5" s="190"/>
      <c r="MNX5" s="190"/>
      <c r="MNY5" s="190"/>
      <c r="MNZ5" s="190"/>
      <c r="MOA5" s="190"/>
      <c r="MOB5" s="190"/>
      <c r="MOC5" s="190"/>
      <c r="MOD5" s="190"/>
      <c r="MOE5" s="190"/>
      <c r="MOF5" s="190"/>
      <c r="MOG5" s="190"/>
      <c r="MOH5" s="190"/>
      <c r="MOI5" s="190"/>
      <c r="MOJ5" s="190"/>
      <c r="MOK5" s="190"/>
      <c r="MOL5" s="190"/>
      <c r="MOM5" s="190"/>
      <c r="MON5" s="190"/>
      <c r="MOO5" s="190"/>
      <c r="MOP5" s="190"/>
      <c r="MOQ5" s="190"/>
      <c r="MOR5" s="190"/>
      <c r="MOS5" s="190"/>
      <c r="MOT5" s="190"/>
      <c r="MOU5" s="190"/>
      <c r="MOV5" s="190"/>
      <c r="MOW5" s="190"/>
      <c r="MOX5" s="190"/>
      <c r="MOY5" s="190"/>
      <c r="MOZ5" s="190"/>
      <c r="MPA5" s="190"/>
      <c r="MPB5" s="190"/>
      <c r="MPC5" s="190"/>
      <c r="MPD5" s="190"/>
      <c r="MPE5" s="190"/>
      <c r="MPF5" s="190"/>
      <c r="MPG5" s="190"/>
      <c r="MPH5" s="190"/>
      <c r="MPI5" s="190"/>
      <c r="MPJ5" s="190"/>
      <c r="MPK5" s="190"/>
      <c r="MPL5" s="190"/>
      <c r="MPM5" s="190"/>
      <c r="MPN5" s="190"/>
      <c r="MPO5" s="190"/>
      <c r="MPP5" s="190"/>
      <c r="MPQ5" s="190"/>
      <c r="MPR5" s="190"/>
      <c r="MPS5" s="190"/>
      <c r="MPT5" s="190"/>
      <c r="MPU5" s="190"/>
      <c r="MPV5" s="190"/>
      <c r="MPW5" s="190"/>
      <c r="MPX5" s="190"/>
      <c r="MPY5" s="190"/>
      <c r="MPZ5" s="190"/>
      <c r="MQA5" s="190"/>
      <c r="MQB5" s="190"/>
      <c r="MQC5" s="190"/>
      <c r="MQD5" s="190"/>
      <c r="MQE5" s="190"/>
      <c r="MQF5" s="190"/>
      <c r="MQG5" s="190"/>
      <c r="MQH5" s="190"/>
      <c r="MQI5" s="190"/>
      <c r="MQJ5" s="190"/>
      <c r="MQK5" s="190"/>
      <c r="MQL5" s="190"/>
      <c r="MQM5" s="190"/>
      <c r="MQN5" s="190"/>
      <c r="MQO5" s="190"/>
      <c r="MQP5" s="190"/>
      <c r="MQQ5" s="190"/>
      <c r="MQR5" s="190"/>
      <c r="MQS5" s="190"/>
      <c r="MQT5" s="190"/>
      <c r="MQU5" s="190"/>
      <c r="MQV5" s="190"/>
      <c r="MQW5" s="190"/>
      <c r="MQX5" s="190"/>
      <c r="MQY5" s="190"/>
      <c r="MQZ5" s="190"/>
      <c r="MRA5" s="190"/>
      <c r="MRB5" s="190"/>
      <c r="MRC5" s="190"/>
      <c r="MRD5" s="190"/>
      <c r="MRE5" s="190"/>
      <c r="MRF5" s="190"/>
      <c r="MRG5" s="190"/>
      <c r="MRH5" s="190"/>
      <c r="MRI5" s="190"/>
      <c r="MRJ5" s="190"/>
      <c r="MRK5" s="190"/>
      <c r="MRL5" s="190"/>
      <c r="MRM5" s="190"/>
      <c r="MRN5" s="190"/>
      <c r="MRO5" s="190"/>
      <c r="MRP5" s="190"/>
      <c r="MRQ5" s="190"/>
      <c r="MRR5" s="190"/>
      <c r="MRS5" s="190"/>
      <c r="MRT5" s="190"/>
      <c r="MRU5" s="190"/>
      <c r="MRV5" s="190"/>
      <c r="MRW5" s="190"/>
      <c r="MRX5" s="190"/>
      <c r="MRY5" s="190"/>
      <c r="MRZ5" s="190"/>
      <c r="MSA5" s="190"/>
      <c r="MSB5" s="190"/>
      <c r="MSC5" s="190"/>
      <c r="MSD5" s="190"/>
      <c r="MSE5" s="190"/>
      <c r="MSF5" s="190"/>
      <c r="MSG5" s="190"/>
      <c r="MSH5" s="190"/>
      <c r="MSI5" s="190"/>
      <c r="MSJ5" s="190"/>
      <c r="MSK5" s="190"/>
      <c r="MSL5" s="190"/>
      <c r="MSM5" s="190"/>
      <c r="MSN5" s="190"/>
      <c r="MSO5" s="190"/>
      <c r="MSP5" s="190"/>
      <c r="MSQ5" s="190"/>
      <c r="MSR5" s="190"/>
      <c r="MSS5" s="190"/>
      <c r="MST5" s="190"/>
      <c r="MSU5" s="190"/>
      <c r="MSV5" s="190"/>
      <c r="MSW5" s="190"/>
      <c r="MSX5" s="190"/>
      <c r="MSY5" s="190"/>
      <c r="MSZ5" s="190"/>
      <c r="MTA5" s="190"/>
      <c r="MTB5" s="190"/>
      <c r="MTC5" s="190"/>
      <c r="MTD5" s="190"/>
      <c r="MTE5" s="190"/>
      <c r="MTF5" s="190"/>
      <c r="MTG5" s="190"/>
      <c r="MTH5" s="190"/>
      <c r="MTI5" s="190"/>
      <c r="MTJ5" s="190"/>
      <c r="MTK5" s="190"/>
      <c r="MTL5" s="190"/>
      <c r="MTM5" s="190"/>
      <c r="MTN5" s="190"/>
      <c r="MTO5" s="190"/>
      <c r="MTP5" s="190"/>
      <c r="MTQ5" s="190"/>
      <c r="MTR5" s="190"/>
      <c r="MTS5" s="190"/>
      <c r="MTT5" s="190"/>
      <c r="MTU5" s="190"/>
      <c r="MTV5" s="190"/>
      <c r="MTW5" s="190"/>
      <c r="MTX5" s="190"/>
      <c r="MTY5" s="190"/>
      <c r="MTZ5" s="190"/>
      <c r="MUA5" s="190"/>
      <c r="MUB5" s="190"/>
      <c r="MUC5" s="190"/>
      <c r="MUD5" s="190"/>
      <c r="MUE5" s="190"/>
      <c r="MUF5" s="190"/>
      <c r="MUG5" s="190"/>
      <c r="MUH5" s="190"/>
      <c r="MUI5" s="190"/>
      <c r="MUJ5" s="190"/>
      <c r="MUK5" s="190"/>
      <c r="MUL5" s="190"/>
      <c r="MUM5" s="190"/>
      <c r="MUN5" s="190"/>
      <c r="MUO5" s="190"/>
      <c r="MUP5" s="190"/>
      <c r="MUQ5" s="190"/>
      <c r="MUR5" s="190"/>
      <c r="MUS5" s="190"/>
      <c r="MUT5" s="190"/>
      <c r="MUU5" s="190"/>
      <c r="MUV5" s="190"/>
      <c r="MUW5" s="190"/>
      <c r="MUX5" s="190"/>
      <c r="MUY5" s="190"/>
      <c r="MUZ5" s="190"/>
      <c r="MVA5" s="190"/>
      <c r="MVB5" s="190"/>
      <c r="MVC5" s="190"/>
      <c r="MVD5" s="190"/>
      <c r="MVE5" s="190"/>
      <c r="MVF5" s="190"/>
      <c r="MVG5" s="190"/>
      <c r="MVH5" s="190"/>
      <c r="MVI5" s="190"/>
      <c r="MVJ5" s="190"/>
      <c r="MVK5" s="190"/>
      <c r="MVL5" s="190"/>
      <c r="MVM5" s="190"/>
      <c r="MVN5" s="190"/>
      <c r="MVO5" s="190"/>
      <c r="MVP5" s="190"/>
      <c r="MVQ5" s="190"/>
      <c r="MVR5" s="190"/>
      <c r="MVS5" s="190"/>
      <c r="MVT5" s="190"/>
      <c r="MVU5" s="190"/>
      <c r="MVV5" s="190"/>
      <c r="MVW5" s="190"/>
      <c r="MVX5" s="190"/>
      <c r="MVY5" s="190"/>
      <c r="MVZ5" s="190"/>
      <c r="MWA5" s="190"/>
      <c r="MWB5" s="190"/>
      <c r="MWC5" s="190"/>
      <c r="MWD5" s="190"/>
      <c r="MWE5" s="190"/>
      <c r="MWF5" s="190"/>
      <c r="MWG5" s="190"/>
      <c r="MWH5" s="190"/>
      <c r="MWI5" s="190"/>
      <c r="MWJ5" s="190"/>
      <c r="MWK5" s="190"/>
      <c r="MWL5" s="190"/>
      <c r="MWM5" s="190"/>
      <c r="MWN5" s="190"/>
      <c r="MWO5" s="190"/>
      <c r="MWP5" s="190"/>
      <c r="MWQ5" s="190"/>
      <c r="MWR5" s="190"/>
      <c r="MWS5" s="190"/>
      <c r="MWT5" s="190"/>
      <c r="MWU5" s="190"/>
      <c r="MWV5" s="190"/>
      <c r="MWW5" s="190"/>
      <c r="MWX5" s="190"/>
      <c r="MWY5" s="190"/>
      <c r="MWZ5" s="190"/>
      <c r="MXA5" s="190"/>
      <c r="MXB5" s="190"/>
      <c r="MXC5" s="190"/>
      <c r="MXD5" s="190"/>
      <c r="MXE5" s="190"/>
      <c r="MXF5" s="190"/>
      <c r="MXG5" s="190"/>
      <c r="MXH5" s="190"/>
      <c r="MXI5" s="190"/>
      <c r="MXJ5" s="190"/>
      <c r="MXK5" s="190"/>
      <c r="MXL5" s="190"/>
      <c r="MXM5" s="190"/>
      <c r="MXN5" s="190"/>
      <c r="MXO5" s="190"/>
      <c r="MXP5" s="190"/>
      <c r="MXQ5" s="190"/>
      <c r="MXR5" s="190"/>
      <c r="MXS5" s="190"/>
      <c r="MXT5" s="190"/>
      <c r="MXU5" s="190"/>
      <c r="MXV5" s="190"/>
      <c r="MXW5" s="190"/>
      <c r="MXX5" s="190"/>
      <c r="MXY5" s="190"/>
      <c r="MXZ5" s="190"/>
      <c r="MYA5" s="190"/>
      <c r="MYB5" s="190"/>
      <c r="MYC5" s="190"/>
      <c r="MYD5" s="190"/>
      <c r="MYE5" s="190"/>
      <c r="MYF5" s="190"/>
      <c r="MYG5" s="190"/>
      <c r="MYH5" s="190"/>
      <c r="MYI5" s="190"/>
      <c r="MYJ5" s="190"/>
      <c r="MYK5" s="190"/>
      <c r="MYL5" s="190"/>
      <c r="MYM5" s="190"/>
      <c r="MYN5" s="190"/>
      <c r="MYO5" s="190"/>
      <c r="MYP5" s="190"/>
      <c r="MYQ5" s="190"/>
      <c r="MYR5" s="190"/>
      <c r="MYS5" s="190"/>
      <c r="MYT5" s="190"/>
      <c r="MYU5" s="190"/>
      <c r="MYV5" s="190"/>
      <c r="MYW5" s="190"/>
      <c r="MYX5" s="190"/>
      <c r="MYY5" s="190"/>
      <c r="MYZ5" s="190"/>
      <c r="MZA5" s="190"/>
      <c r="MZB5" s="190"/>
      <c r="MZC5" s="190"/>
      <c r="MZD5" s="190"/>
      <c r="MZE5" s="190"/>
      <c r="MZF5" s="190"/>
      <c r="MZG5" s="190"/>
      <c r="MZH5" s="190"/>
      <c r="MZI5" s="190"/>
      <c r="MZJ5" s="190"/>
      <c r="MZK5" s="190"/>
      <c r="MZL5" s="190"/>
      <c r="MZM5" s="190"/>
      <c r="MZN5" s="190"/>
      <c r="MZO5" s="190"/>
      <c r="MZP5" s="190"/>
      <c r="MZQ5" s="190"/>
      <c r="MZR5" s="190"/>
      <c r="MZS5" s="190"/>
      <c r="MZT5" s="190"/>
      <c r="MZU5" s="190"/>
      <c r="MZV5" s="190"/>
      <c r="MZW5" s="190"/>
      <c r="MZX5" s="190"/>
      <c r="MZY5" s="190"/>
      <c r="MZZ5" s="190"/>
      <c r="NAA5" s="190"/>
      <c r="NAB5" s="190"/>
      <c r="NAC5" s="190"/>
      <c r="NAD5" s="190"/>
      <c r="NAE5" s="190"/>
      <c r="NAF5" s="190"/>
      <c r="NAG5" s="190"/>
      <c r="NAH5" s="190"/>
      <c r="NAI5" s="190"/>
      <c r="NAJ5" s="190"/>
      <c r="NAK5" s="190"/>
      <c r="NAL5" s="190"/>
      <c r="NAM5" s="190"/>
      <c r="NAN5" s="190"/>
      <c r="NAO5" s="190"/>
      <c r="NAP5" s="190"/>
      <c r="NAQ5" s="190"/>
      <c r="NAR5" s="190"/>
      <c r="NAS5" s="190"/>
      <c r="NAT5" s="190"/>
      <c r="NAU5" s="190"/>
      <c r="NAV5" s="190"/>
      <c r="NAW5" s="190"/>
      <c r="NAX5" s="190"/>
      <c r="NAY5" s="190"/>
      <c r="NAZ5" s="190"/>
      <c r="NBA5" s="190"/>
      <c r="NBB5" s="190"/>
      <c r="NBC5" s="190"/>
      <c r="NBD5" s="190"/>
      <c r="NBE5" s="190"/>
      <c r="NBF5" s="190"/>
      <c r="NBG5" s="190"/>
      <c r="NBH5" s="190"/>
      <c r="NBI5" s="190"/>
      <c r="NBJ5" s="190"/>
      <c r="NBK5" s="190"/>
      <c r="NBL5" s="190"/>
      <c r="NBM5" s="190"/>
      <c r="NBN5" s="190"/>
      <c r="NBO5" s="190"/>
      <c r="NBP5" s="190"/>
      <c r="NBQ5" s="190"/>
      <c r="NBR5" s="190"/>
      <c r="NBS5" s="190"/>
      <c r="NBT5" s="190"/>
      <c r="NBU5" s="190"/>
      <c r="NBV5" s="190"/>
      <c r="NBW5" s="190"/>
      <c r="NBX5" s="190"/>
      <c r="NBY5" s="190"/>
      <c r="NBZ5" s="190"/>
      <c r="NCA5" s="190"/>
      <c r="NCB5" s="190"/>
      <c r="NCC5" s="190"/>
      <c r="NCD5" s="190"/>
      <c r="NCE5" s="190"/>
      <c r="NCF5" s="190"/>
      <c r="NCG5" s="190"/>
      <c r="NCH5" s="190"/>
      <c r="NCI5" s="190"/>
      <c r="NCJ5" s="190"/>
      <c r="NCK5" s="190"/>
      <c r="NCL5" s="190"/>
      <c r="NCM5" s="190"/>
      <c r="NCN5" s="190"/>
      <c r="NCO5" s="190"/>
      <c r="NCP5" s="190"/>
      <c r="NCQ5" s="190"/>
      <c r="NCR5" s="190"/>
      <c r="NCS5" s="190"/>
      <c r="NCT5" s="190"/>
      <c r="NCU5" s="190"/>
      <c r="NCV5" s="190"/>
      <c r="NCW5" s="190"/>
      <c r="NCX5" s="190"/>
      <c r="NCY5" s="190"/>
      <c r="NCZ5" s="190"/>
      <c r="NDA5" s="190"/>
      <c r="NDB5" s="190"/>
      <c r="NDC5" s="190"/>
      <c r="NDD5" s="190"/>
      <c r="NDE5" s="190"/>
      <c r="NDF5" s="190"/>
      <c r="NDG5" s="190"/>
      <c r="NDH5" s="190"/>
      <c r="NDI5" s="190"/>
      <c r="NDJ5" s="190"/>
      <c r="NDK5" s="190"/>
      <c r="NDL5" s="190"/>
      <c r="NDM5" s="190"/>
      <c r="NDN5" s="190"/>
      <c r="NDO5" s="190"/>
      <c r="NDP5" s="190"/>
      <c r="NDQ5" s="190"/>
      <c r="NDR5" s="190"/>
      <c r="NDS5" s="190"/>
      <c r="NDT5" s="190"/>
      <c r="NDU5" s="190"/>
      <c r="NDV5" s="190"/>
      <c r="NDW5" s="190"/>
      <c r="NDX5" s="190"/>
      <c r="NDY5" s="190"/>
      <c r="NDZ5" s="190"/>
      <c r="NEA5" s="190"/>
      <c r="NEB5" s="190"/>
      <c r="NEC5" s="190"/>
      <c r="NED5" s="190"/>
      <c r="NEE5" s="190"/>
      <c r="NEF5" s="190"/>
      <c r="NEG5" s="190"/>
      <c r="NEH5" s="190"/>
      <c r="NEI5" s="190"/>
      <c r="NEJ5" s="190"/>
      <c r="NEK5" s="190"/>
      <c r="NEL5" s="190"/>
      <c r="NEM5" s="190"/>
      <c r="NEN5" s="190"/>
      <c r="NEO5" s="190"/>
      <c r="NEP5" s="190"/>
      <c r="NEQ5" s="190"/>
      <c r="NER5" s="190"/>
      <c r="NES5" s="190"/>
      <c r="NET5" s="190"/>
      <c r="NEU5" s="190"/>
      <c r="NEV5" s="190"/>
      <c r="NEW5" s="190"/>
      <c r="NEX5" s="190"/>
      <c r="NEY5" s="190"/>
      <c r="NEZ5" s="190"/>
      <c r="NFA5" s="190"/>
      <c r="NFB5" s="190"/>
      <c r="NFC5" s="190"/>
      <c r="NFD5" s="190"/>
      <c r="NFE5" s="190"/>
      <c r="NFF5" s="190"/>
      <c r="NFG5" s="190"/>
      <c r="NFH5" s="190"/>
      <c r="NFI5" s="190"/>
      <c r="NFJ5" s="190"/>
      <c r="NFK5" s="190"/>
      <c r="NFL5" s="190"/>
      <c r="NFM5" s="190"/>
      <c r="NFN5" s="190"/>
      <c r="NFO5" s="190"/>
      <c r="NFP5" s="190"/>
      <c r="NFQ5" s="190"/>
      <c r="NFR5" s="190"/>
      <c r="NFS5" s="190"/>
      <c r="NFT5" s="190"/>
      <c r="NFU5" s="190"/>
      <c r="NFV5" s="190"/>
      <c r="NFW5" s="190"/>
      <c r="NFX5" s="190"/>
      <c r="NFY5" s="190"/>
      <c r="NFZ5" s="190"/>
      <c r="NGA5" s="190"/>
      <c r="NGB5" s="190"/>
      <c r="NGC5" s="190"/>
      <c r="NGD5" s="190"/>
      <c r="NGE5" s="190"/>
      <c r="NGF5" s="190"/>
      <c r="NGG5" s="190"/>
      <c r="NGH5" s="190"/>
      <c r="NGI5" s="190"/>
      <c r="NGJ5" s="190"/>
      <c r="NGK5" s="190"/>
      <c r="NGL5" s="190"/>
      <c r="NGM5" s="190"/>
      <c r="NGN5" s="190"/>
      <c r="NGO5" s="190"/>
      <c r="NGP5" s="190"/>
      <c r="NGQ5" s="190"/>
      <c r="NGR5" s="190"/>
      <c r="NGS5" s="190"/>
      <c r="NGT5" s="190"/>
      <c r="NGU5" s="190"/>
      <c r="NGV5" s="190"/>
      <c r="NGW5" s="190"/>
      <c r="NGX5" s="190"/>
      <c r="NGY5" s="190"/>
      <c r="NGZ5" s="190"/>
      <c r="NHA5" s="190"/>
      <c r="NHB5" s="190"/>
      <c r="NHC5" s="190"/>
      <c r="NHD5" s="190"/>
      <c r="NHE5" s="190"/>
      <c r="NHF5" s="190"/>
      <c r="NHG5" s="190"/>
      <c r="NHH5" s="190"/>
      <c r="NHI5" s="190"/>
      <c r="NHJ5" s="190"/>
      <c r="NHK5" s="190"/>
      <c r="NHL5" s="190"/>
      <c r="NHM5" s="190"/>
      <c r="NHN5" s="190"/>
      <c r="NHO5" s="190"/>
      <c r="NHP5" s="190"/>
      <c r="NHQ5" s="190"/>
      <c r="NHR5" s="190"/>
      <c r="NHS5" s="190"/>
      <c r="NHT5" s="190"/>
      <c r="NHU5" s="190"/>
      <c r="NHV5" s="190"/>
      <c r="NHW5" s="190"/>
      <c r="NHX5" s="190"/>
      <c r="NHY5" s="190"/>
      <c r="NHZ5" s="190"/>
      <c r="NIA5" s="190"/>
      <c r="NIB5" s="190"/>
      <c r="NIC5" s="190"/>
      <c r="NID5" s="190"/>
      <c r="NIE5" s="190"/>
      <c r="NIF5" s="190"/>
      <c r="NIG5" s="190"/>
      <c r="NIH5" s="190"/>
      <c r="NII5" s="190"/>
      <c r="NIJ5" s="190"/>
      <c r="NIK5" s="190"/>
      <c r="NIL5" s="190"/>
      <c r="NIM5" s="190"/>
      <c r="NIN5" s="190"/>
      <c r="NIO5" s="190"/>
      <c r="NIP5" s="190"/>
      <c r="NIQ5" s="190"/>
      <c r="NIR5" s="190"/>
      <c r="NIS5" s="190"/>
      <c r="NIT5" s="190"/>
      <c r="NIU5" s="190"/>
      <c r="NIV5" s="190"/>
      <c r="NIW5" s="190"/>
      <c r="NIX5" s="190"/>
      <c r="NIY5" s="190"/>
      <c r="NIZ5" s="190"/>
      <c r="NJA5" s="190"/>
      <c r="NJB5" s="190"/>
      <c r="NJC5" s="190"/>
      <c r="NJD5" s="190"/>
      <c r="NJE5" s="190"/>
      <c r="NJF5" s="190"/>
      <c r="NJG5" s="190"/>
      <c r="NJH5" s="190"/>
      <c r="NJI5" s="190"/>
      <c r="NJJ5" s="190"/>
      <c r="NJK5" s="190"/>
      <c r="NJL5" s="190"/>
      <c r="NJM5" s="190"/>
      <c r="NJN5" s="190"/>
      <c r="NJO5" s="190"/>
      <c r="NJP5" s="190"/>
      <c r="NJQ5" s="190"/>
      <c r="NJR5" s="190"/>
      <c r="NJS5" s="190"/>
      <c r="NJT5" s="190"/>
      <c r="NJU5" s="190"/>
      <c r="NJV5" s="190"/>
      <c r="NJW5" s="190"/>
      <c r="NJX5" s="190"/>
      <c r="NJY5" s="190"/>
      <c r="NJZ5" s="190"/>
      <c r="NKA5" s="190"/>
      <c r="NKB5" s="190"/>
      <c r="NKC5" s="190"/>
      <c r="NKD5" s="190"/>
      <c r="NKE5" s="190"/>
      <c r="NKF5" s="190"/>
      <c r="NKG5" s="190"/>
      <c r="NKH5" s="190"/>
      <c r="NKI5" s="190"/>
      <c r="NKJ5" s="190"/>
      <c r="NKK5" s="190"/>
      <c r="NKL5" s="190"/>
      <c r="NKM5" s="190"/>
      <c r="NKN5" s="190"/>
      <c r="NKO5" s="190"/>
      <c r="NKP5" s="190"/>
      <c r="NKQ5" s="190"/>
      <c r="NKR5" s="190"/>
      <c r="NKS5" s="190"/>
      <c r="NKT5" s="190"/>
      <c r="NKU5" s="190"/>
      <c r="NKV5" s="190"/>
      <c r="NKW5" s="190"/>
      <c r="NKX5" s="190"/>
      <c r="NKY5" s="190"/>
      <c r="NKZ5" s="190"/>
      <c r="NLA5" s="190"/>
      <c r="NLB5" s="190"/>
      <c r="NLC5" s="190"/>
      <c r="NLD5" s="190"/>
      <c r="NLE5" s="190"/>
      <c r="NLF5" s="190"/>
      <c r="NLG5" s="190"/>
      <c r="NLH5" s="190"/>
      <c r="NLI5" s="190"/>
      <c r="NLJ5" s="190"/>
      <c r="NLK5" s="190"/>
      <c r="NLL5" s="190"/>
      <c r="NLM5" s="190"/>
      <c r="NLN5" s="190"/>
      <c r="NLO5" s="190"/>
      <c r="NLP5" s="190"/>
      <c r="NLQ5" s="190"/>
      <c r="NLR5" s="190"/>
      <c r="NLS5" s="190"/>
      <c r="NLT5" s="190"/>
      <c r="NLU5" s="190"/>
      <c r="NLV5" s="190"/>
      <c r="NLW5" s="190"/>
      <c r="NLX5" s="190"/>
      <c r="NLY5" s="190"/>
      <c r="NLZ5" s="190"/>
      <c r="NMA5" s="190"/>
      <c r="NMB5" s="190"/>
      <c r="NMC5" s="190"/>
      <c r="NMD5" s="190"/>
      <c r="NME5" s="190"/>
      <c r="NMF5" s="190"/>
      <c r="NMG5" s="190"/>
      <c r="NMH5" s="190"/>
      <c r="NMI5" s="190"/>
      <c r="NMJ5" s="190"/>
      <c r="NMK5" s="190"/>
      <c r="NML5" s="190"/>
      <c r="NMM5" s="190"/>
      <c r="NMN5" s="190"/>
      <c r="NMO5" s="190"/>
      <c r="NMP5" s="190"/>
      <c r="NMQ5" s="190"/>
      <c r="NMR5" s="190"/>
      <c r="NMS5" s="190"/>
      <c r="NMT5" s="190"/>
      <c r="NMU5" s="190"/>
      <c r="NMV5" s="190"/>
      <c r="NMW5" s="190"/>
      <c r="NMX5" s="190"/>
      <c r="NMY5" s="190"/>
      <c r="NMZ5" s="190"/>
      <c r="NNA5" s="190"/>
      <c r="NNB5" s="190"/>
      <c r="NNC5" s="190"/>
      <c r="NND5" s="190"/>
      <c r="NNE5" s="190"/>
      <c r="NNF5" s="190"/>
      <c r="NNG5" s="190"/>
      <c r="NNH5" s="190"/>
      <c r="NNI5" s="190"/>
      <c r="NNJ5" s="190"/>
      <c r="NNK5" s="190"/>
      <c r="NNL5" s="190"/>
      <c r="NNM5" s="190"/>
      <c r="NNN5" s="190"/>
      <c r="NNO5" s="190"/>
      <c r="NNP5" s="190"/>
      <c r="NNQ5" s="190"/>
      <c r="NNR5" s="190"/>
      <c r="NNS5" s="190"/>
      <c r="NNT5" s="190"/>
      <c r="NNU5" s="190"/>
      <c r="NNV5" s="190"/>
      <c r="NNW5" s="190"/>
      <c r="NNX5" s="190"/>
      <c r="NNY5" s="190"/>
      <c r="NNZ5" s="190"/>
      <c r="NOA5" s="190"/>
      <c r="NOB5" s="190"/>
      <c r="NOC5" s="190"/>
      <c r="NOD5" s="190"/>
      <c r="NOE5" s="190"/>
      <c r="NOF5" s="190"/>
      <c r="NOG5" s="190"/>
      <c r="NOH5" s="190"/>
      <c r="NOI5" s="190"/>
      <c r="NOJ5" s="190"/>
      <c r="NOK5" s="190"/>
      <c r="NOL5" s="190"/>
      <c r="NOM5" s="190"/>
      <c r="NON5" s="190"/>
      <c r="NOO5" s="190"/>
      <c r="NOP5" s="190"/>
      <c r="NOQ5" s="190"/>
      <c r="NOR5" s="190"/>
      <c r="NOS5" s="190"/>
      <c r="NOT5" s="190"/>
      <c r="NOU5" s="190"/>
      <c r="NOV5" s="190"/>
      <c r="NOW5" s="190"/>
      <c r="NOX5" s="190"/>
      <c r="NOY5" s="190"/>
      <c r="NOZ5" s="190"/>
      <c r="NPA5" s="190"/>
      <c r="NPB5" s="190"/>
      <c r="NPC5" s="190"/>
      <c r="NPD5" s="190"/>
      <c r="NPE5" s="190"/>
      <c r="NPF5" s="190"/>
      <c r="NPG5" s="190"/>
      <c r="NPH5" s="190"/>
      <c r="NPI5" s="190"/>
      <c r="NPJ5" s="190"/>
      <c r="NPK5" s="190"/>
      <c r="NPL5" s="190"/>
      <c r="NPM5" s="190"/>
      <c r="NPN5" s="190"/>
      <c r="NPO5" s="190"/>
      <c r="NPP5" s="190"/>
      <c r="NPQ5" s="190"/>
      <c r="NPR5" s="190"/>
      <c r="NPS5" s="190"/>
      <c r="NPT5" s="190"/>
      <c r="NPU5" s="190"/>
      <c r="NPV5" s="190"/>
      <c r="NPW5" s="190"/>
      <c r="NPX5" s="190"/>
      <c r="NPY5" s="190"/>
      <c r="NPZ5" s="190"/>
      <c r="NQA5" s="190"/>
      <c r="NQB5" s="190"/>
      <c r="NQC5" s="190"/>
      <c r="NQD5" s="190"/>
      <c r="NQE5" s="190"/>
      <c r="NQF5" s="190"/>
      <c r="NQG5" s="190"/>
      <c r="NQH5" s="190"/>
      <c r="NQI5" s="190"/>
      <c r="NQJ5" s="190"/>
      <c r="NQK5" s="190"/>
      <c r="NQL5" s="190"/>
      <c r="NQM5" s="190"/>
      <c r="NQN5" s="190"/>
      <c r="NQO5" s="190"/>
      <c r="NQP5" s="190"/>
      <c r="NQQ5" s="190"/>
      <c r="NQR5" s="190"/>
      <c r="NQS5" s="190"/>
      <c r="NQT5" s="190"/>
      <c r="NQU5" s="190"/>
      <c r="NQV5" s="190"/>
      <c r="NQW5" s="190"/>
      <c r="NQX5" s="190"/>
      <c r="NQY5" s="190"/>
      <c r="NQZ5" s="190"/>
      <c r="NRA5" s="190"/>
      <c r="NRB5" s="190"/>
      <c r="NRC5" s="190"/>
      <c r="NRD5" s="190"/>
      <c r="NRE5" s="190"/>
      <c r="NRF5" s="190"/>
      <c r="NRG5" s="190"/>
      <c r="NRH5" s="190"/>
      <c r="NRI5" s="190"/>
      <c r="NRJ5" s="190"/>
      <c r="NRK5" s="190"/>
      <c r="NRL5" s="190"/>
      <c r="NRM5" s="190"/>
      <c r="NRN5" s="190"/>
      <c r="NRO5" s="190"/>
      <c r="NRP5" s="190"/>
      <c r="NRQ5" s="190"/>
      <c r="NRR5" s="190"/>
      <c r="NRS5" s="190"/>
      <c r="NRT5" s="190"/>
      <c r="NRU5" s="190"/>
      <c r="NRV5" s="190"/>
      <c r="NRW5" s="190"/>
      <c r="NRX5" s="190"/>
      <c r="NRY5" s="190"/>
      <c r="NRZ5" s="190"/>
      <c r="NSA5" s="190"/>
      <c r="NSB5" s="190"/>
      <c r="NSC5" s="190"/>
      <c r="NSD5" s="190"/>
      <c r="NSE5" s="190"/>
      <c r="NSF5" s="190"/>
      <c r="NSG5" s="190"/>
      <c r="NSH5" s="190"/>
      <c r="NSI5" s="190"/>
      <c r="NSJ5" s="190"/>
      <c r="NSK5" s="190"/>
      <c r="NSL5" s="190"/>
      <c r="NSM5" s="190"/>
      <c r="NSN5" s="190"/>
      <c r="NSO5" s="190"/>
      <c r="NSP5" s="190"/>
      <c r="NSQ5" s="190"/>
      <c r="NSR5" s="190"/>
      <c r="NSS5" s="190"/>
      <c r="NST5" s="190"/>
      <c r="NSU5" s="190"/>
      <c r="NSV5" s="190"/>
      <c r="NSW5" s="190"/>
      <c r="NSX5" s="190"/>
      <c r="NSY5" s="190"/>
      <c r="NSZ5" s="190"/>
      <c r="NTA5" s="190"/>
      <c r="NTB5" s="190"/>
      <c r="NTC5" s="190"/>
      <c r="NTD5" s="190"/>
      <c r="NTE5" s="190"/>
      <c r="NTF5" s="190"/>
      <c r="NTG5" s="190"/>
      <c r="NTH5" s="190"/>
      <c r="NTI5" s="190"/>
      <c r="NTJ5" s="190"/>
      <c r="NTK5" s="190"/>
      <c r="NTL5" s="190"/>
      <c r="NTM5" s="190"/>
      <c r="NTN5" s="190"/>
      <c r="NTO5" s="190"/>
      <c r="NTP5" s="190"/>
      <c r="NTQ5" s="190"/>
      <c r="NTR5" s="190"/>
      <c r="NTS5" s="190"/>
      <c r="NTT5" s="190"/>
      <c r="NTU5" s="190"/>
      <c r="NTV5" s="190"/>
      <c r="NTW5" s="190"/>
      <c r="NTX5" s="190"/>
      <c r="NTY5" s="190"/>
      <c r="NTZ5" s="190"/>
      <c r="NUA5" s="190"/>
      <c r="NUB5" s="190"/>
      <c r="NUC5" s="190"/>
      <c r="NUD5" s="190"/>
      <c r="NUE5" s="190"/>
      <c r="NUF5" s="190"/>
      <c r="NUG5" s="190"/>
      <c r="NUH5" s="190"/>
      <c r="NUI5" s="190"/>
      <c r="NUJ5" s="190"/>
      <c r="NUK5" s="190"/>
      <c r="NUL5" s="190"/>
      <c r="NUM5" s="190"/>
      <c r="NUN5" s="190"/>
      <c r="NUO5" s="190"/>
      <c r="NUP5" s="190"/>
      <c r="NUQ5" s="190"/>
      <c r="NUR5" s="190"/>
      <c r="NUS5" s="190"/>
      <c r="NUT5" s="190"/>
      <c r="NUU5" s="190"/>
      <c r="NUV5" s="190"/>
      <c r="NUW5" s="190"/>
      <c r="NUX5" s="190"/>
      <c r="NUY5" s="190"/>
      <c r="NUZ5" s="190"/>
      <c r="NVA5" s="190"/>
      <c r="NVB5" s="190"/>
      <c r="NVC5" s="190"/>
      <c r="NVD5" s="190"/>
      <c r="NVE5" s="190"/>
      <c r="NVF5" s="190"/>
      <c r="NVG5" s="190"/>
      <c r="NVH5" s="190"/>
      <c r="NVI5" s="190"/>
      <c r="NVJ5" s="190"/>
      <c r="NVK5" s="190"/>
      <c r="NVL5" s="190"/>
      <c r="NVM5" s="190"/>
      <c r="NVN5" s="190"/>
      <c r="NVO5" s="190"/>
      <c r="NVP5" s="190"/>
      <c r="NVQ5" s="190"/>
      <c r="NVR5" s="190"/>
      <c r="NVS5" s="190"/>
      <c r="NVT5" s="190"/>
      <c r="NVU5" s="190"/>
      <c r="NVV5" s="190"/>
      <c r="NVW5" s="190"/>
      <c r="NVX5" s="190"/>
      <c r="NVY5" s="190"/>
      <c r="NVZ5" s="190"/>
      <c r="NWA5" s="190"/>
      <c r="NWB5" s="190"/>
      <c r="NWC5" s="190"/>
      <c r="NWD5" s="190"/>
      <c r="NWE5" s="190"/>
      <c r="NWF5" s="190"/>
      <c r="NWG5" s="190"/>
      <c r="NWH5" s="190"/>
      <c r="NWI5" s="190"/>
      <c r="NWJ5" s="190"/>
      <c r="NWK5" s="190"/>
      <c r="NWL5" s="190"/>
      <c r="NWM5" s="190"/>
      <c r="NWN5" s="190"/>
      <c r="NWO5" s="190"/>
      <c r="NWP5" s="190"/>
      <c r="NWQ5" s="190"/>
      <c r="NWR5" s="190"/>
      <c r="NWS5" s="190"/>
      <c r="NWT5" s="190"/>
      <c r="NWU5" s="190"/>
      <c r="NWV5" s="190"/>
      <c r="NWW5" s="190"/>
      <c r="NWX5" s="190"/>
      <c r="NWY5" s="190"/>
      <c r="NWZ5" s="190"/>
      <c r="NXA5" s="190"/>
      <c r="NXB5" s="190"/>
      <c r="NXC5" s="190"/>
      <c r="NXD5" s="190"/>
      <c r="NXE5" s="190"/>
      <c r="NXF5" s="190"/>
      <c r="NXG5" s="190"/>
      <c r="NXH5" s="190"/>
      <c r="NXI5" s="190"/>
      <c r="NXJ5" s="190"/>
      <c r="NXK5" s="190"/>
      <c r="NXL5" s="190"/>
      <c r="NXM5" s="190"/>
      <c r="NXN5" s="190"/>
      <c r="NXO5" s="190"/>
      <c r="NXP5" s="190"/>
      <c r="NXQ5" s="190"/>
      <c r="NXR5" s="190"/>
      <c r="NXS5" s="190"/>
      <c r="NXT5" s="190"/>
      <c r="NXU5" s="190"/>
      <c r="NXV5" s="190"/>
      <c r="NXW5" s="190"/>
      <c r="NXX5" s="190"/>
      <c r="NXY5" s="190"/>
      <c r="NXZ5" s="190"/>
      <c r="NYA5" s="190"/>
      <c r="NYB5" s="190"/>
      <c r="NYC5" s="190"/>
      <c r="NYD5" s="190"/>
      <c r="NYE5" s="190"/>
      <c r="NYF5" s="190"/>
      <c r="NYG5" s="190"/>
      <c r="NYH5" s="190"/>
      <c r="NYI5" s="190"/>
      <c r="NYJ5" s="190"/>
      <c r="NYK5" s="190"/>
      <c r="NYL5" s="190"/>
      <c r="NYM5" s="190"/>
      <c r="NYN5" s="190"/>
      <c r="NYO5" s="190"/>
      <c r="NYP5" s="190"/>
      <c r="NYQ5" s="190"/>
      <c r="NYR5" s="190"/>
      <c r="NYS5" s="190"/>
      <c r="NYT5" s="190"/>
      <c r="NYU5" s="190"/>
      <c r="NYV5" s="190"/>
      <c r="NYW5" s="190"/>
      <c r="NYX5" s="190"/>
      <c r="NYY5" s="190"/>
      <c r="NYZ5" s="190"/>
      <c r="NZA5" s="190"/>
      <c r="NZB5" s="190"/>
      <c r="NZC5" s="190"/>
      <c r="NZD5" s="190"/>
      <c r="NZE5" s="190"/>
      <c r="NZF5" s="190"/>
      <c r="NZG5" s="190"/>
      <c r="NZH5" s="190"/>
      <c r="NZI5" s="190"/>
      <c r="NZJ5" s="190"/>
      <c r="NZK5" s="190"/>
      <c r="NZL5" s="190"/>
      <c r="NZM5" s="190"/>
      <c r="NZN5" s="190"/>
      <c r="NZO5" s="190"/>
      <c r="NZP5" s="190"/>
      <c r="NZQ5" s="190"/>
      <c r="NZR5" s="190"/>
      <c r="NZS5" s="190"/>
      <c r="NZT5" s="190"/>
      <c r="NZU5" s="190"/>
      <c r="NZV5" s="190"/>
      <c r="NZW5" s="190"/>
      <c r="NZX5" s="190"/>
      <c r="NZY5" s="190"/>
      <c r="NZZ5" s="190"/>
      <c r="OAA5" s="190"/>
      <c r="OAB5" s="190"/>
      <c r="OAC5" s="190"/>
      <c r="OAD5" s="190"/>
      <c r="OAE5" s="190"/>
      <c r="OAF5" s="190"/>
      <c r="OAG5" s="190"/>
      <c r="OAH5" s="190"/>
      <c r="OAI5" s="190"/>
      <c r="OAJ5" s="190"/>
      <c r="OAK5" s="190"/>
      <c r="OAL5" s="190"/>
      <c r="OAM5" s="190"/>
      <c r="OAN5" s="190"/>
      <c r="OAO5" s="190"/>
      <c r="OAP5" s="190"/>
      <c r="OAQ5" s="190"/>
      <c r="OAR5" s="190"/>
      <c r="OAS5" s="190"/>
      <c r="OAT5" s="190"/>
      <c r="OAU5" s="190"/>
      <c r="OAV5" s="190"/>
      <c r="OAW5" s="190"/>
      <c r="OAX5" s="190"/>
      <c r="OAY5" s="190"/>
      <c r="OAZ5" s="190"/>
      <c r="OBA5" s="190"/>
      <c r="OBB5" s="190"/>
      <c r="OBC5" s="190"/>
      <c r="OBD5" s="190"/>
      <c r="OBE5" s="190"/>
      <c r="OBF5" s="190"/>
      <c r="OBG5" s="190"/>
      <c r="OBH5" s="190"/>
      <c r="OBI5" s="190"/>
      <c r="OBJ5" s="190"/>
      <c r="OBK5" s="190"/>
      <c r="OBL5" s="190"/>
      <c r="OBM5" s="190"/>
      <c r="OBN5" s="190"/>
      <c r="OBO5" s="190"/>
      <c r="OBP5" s="190"/>
      <c r="OBQ5" s="190"/>
      <c r="OBR5" s="190"/>
      <c r="OBS5" s="190"/>
      <c r="OBT5" s="190"/>
      <c r="OBU5" s="190"/>
      <c r="OBV5" s="190"/>
      <c r="OBW5" s="190"/>
      <c r="OBX5" s="190"/>
      <c r="OBY5" s="190"/>
      <c r="OBZ5" s="190"/>
      <c r="OCA5" s="190"/>
      <c r="OCB5" s="190"/>
      <c r="OCC5" s="190"/>
      <c r="OCD5" s="190"/>
      <c r="OCE5" s="190"/>
      <c r="OCF5" s="190"/>
      <c r="OCG5" s="190"/>
      <c r="OCH5" s="190"/>
      <c r="OCI5" s="190"/>
      <c r="OCJ5" s="190"/>
      <c r="OCK5" s="190"/>
      <c r="OCL5" s="190"/>
      <c r="OCM5" s="190"/>
      <c r="OCN5" s="190"/>
      <c r="OCO5" s="190"/>
      <c r="OCP5" s="190"/>
      <c r="OCQ5" s="190"/>
      <c r="OCR5" s="190"/>
      <c r="OCS5" s="190"/>
      <c r="OCT5" s="190"/>
      <c r="OCU5" s="190"/>
      <c r="OCV5" s="190"/>
      <c r="OCW5" s="190"/>
      <c r="OCX5" s="190"/>
      <c r="OCY5" s="190"/>
      <c r="OCZ5" s="190"/>
      <c r="ODA5" s="190"/>
      <c r="ODB5" s="190"/>
      <c r="ODC5" s="190"/>
      <c r="ODD5" s="190"/>
      <c r="ODE5" s="190"/>
      <c r="ODF5" s="190"/>
      <c r="ODG5" s="190"/>
      <c r="ODH5" s="190"/>
      <c r="ODI5" s="190"/>
      <c r="ODJ5" s="190"/>
      <c r="ODK5" s="190"/>
      <c r="ODL5" s="190"/>
      <c r="ODM5" s="190"/>
      <c r="ODN5" s="190"/>
      <c r="ODO5" s="190"/>
      <c r="ODP5" s="190"/>
      <c r="ODQ5" s="190"/>
      <c r="ODR5" s="190"/>
      <c r="ODS5" s="190"/>
      <c r="ODT5" s="190"/>
      <c r="ODU5" s="190"/>
      <c r="ODV5" s="190"/>
      <c r="ODW5" s="190"/>
      <c r="ODX5" s="190"/>
      <c r="ODY5" s="190"/>
      <c r="ODZ5" s="190"/>
      <c r="OEA5" s="190"/>
      <c r="OEB5" s="190"/>
      <c r="OEC5" s="190"/>
      <c r="OED5" s="190"/>
      <c r="OEE5" s="190"/>
      <c r="OEF5" s="190"/>
      <c r="OEG5" s="190"/>
      <c r="OEH5" s="190"/>
      <c r="OEI5" s="190"/>
      <c r="OEJ5" s="190"/>
      <c r="OEK5" s="190"/>
      <c r="OEL5" s="190"/>
      <c r="OEM5" s="190"/>
      <c r="OEN5" s="190"/>
      <c r="OEO5" s="190"/>
      <c r="OEP5" s="190"/>
      <c r="OEQ5" s="190"/>
      <c r="OER5" s="190"/>
      <c r="OES5" s="190"/>
      <c r="OET5" s="190"/>
      <c r="OEU5" s="190"/>
      <c r="OEV5" s="190"/>
      <c r="OEW5" s="190"/>
      <c r="OEX5" s="190"/>
      <c r="OEY5" s="190"/>
      <c r="OEZ5" s="190"/>
      <c r="OFA5" s="190"/>
      <c r="OFB5" s="190"/>
      <c r="OFC5" s="190"/>
      <c r="OFD5" s="190"/>
      <c r="OFE5" s="190"/>
      <c r="OFF5" s="190"/>
      <c r="OFG5" s="190"/>
      <c r="OFH5" s="190"/>
      <c r="OFI5" s="190"/>
      <c r="OFJ5" s="190"/>
      <c r="OFK5" s="190"/>
      <c r="OFL5" s="190"/>
      <c r="OFM5" s="190"/>
      <c r="OFN5" s="190"/>
      <c r="OFO5" s="190"/>
      <c r="OFP5" s="190"/>
      <c r="OFQ5" s="190"/>
      <c r="OFR5" s="190"/>
      <c r="OFS5" s="190"/>
      <c r="OFT5" s="190"/>
      <c r="OFU5" s="190"/>
      <c r="OFV5" s="190"/>
      <c r="OFW5" s="190"/>
      <c r="OFX5" s="190"/>
      <c r="OFY5" s="190"/>
      <c r="OFZ5" s="190"/>
      <c r="OGA5" s="190"/>
      <c r="OGB5" s="190"/>
      <c r="OGC5" s="190"/>
      <c r="OGD5" s="190"/>
      <c r="OGE5" s="190"/>
      <c r="OGF5" s="190"/>
      <c r="OGG5" s="190"/>
      <c r="OGH5" s="190"/>
      <c r="OGI5" s="190"/>
      <c r="OGJ5" s="190"/>
      <c r="OGK5" s="190"/>
      <c r="OGL5" s="190"/>
      <c r="OGM5" s="190"/>
      <c r="OGN5" s="190"/>
      <c r="OGO5" s="190"/>
      <c r="OGP5" s="190"/>
      <c r="OGQ5" s="190"/>
      <c r="OGR5" s="190"/>
      <c r="OGS5" s="190"/>
      <c r="OGT5" s="190"/>
      <c r="OGU5" s="190"/>
      <c r="OGV5" s="190"/>
      <c r="OGW5" s="190"/>
      <c r="OGX5" s="190"/>
      <c r="OGY5" s="190"/>
      <c r="OGZ5" s="190"/>
      <c r="OHA5" s="190"/>
      <c r="OHB5" s="190"/>
      <c r="OHC5" s="190"/>
      <c r="OHD5" s="190"/>
      <c r="OHE5" s="190"/>
      <c r="OHF5" s="190"/>
      <c r="OHG5" s="190"/>
      <c r="OHH5" s="190"/>
      <c r="OHI5" s="190"/>
      <c r="OHJ5" s="190"/>
      <c r="OHK5" s="190"/>
      <c r="OHL5" s="190"/>
      <c r="OHM5" s="190"/>
      <c r="OHN5" s="190"/>
      <c r="OHO5" s="190"/>
      <c r="OHP5" s="190"/>
      <c r="OHQ5" s="190"/>
      <c r="OHR5" s="190"/>
      <c r="OHS5" s="190"/>
      <c r="OHT5" s="190"/>
      <c r="OHU5" s="190"/>
      <c r="OHV5" s="190"/>
      <c r="OHW5" s="190"/>
      <c r="OHX5" s="190"/>
      <c r="OHY5" s="190"/>
      <c r="OHZ5" s="190"/>
      <c r="OIA5" s="190"/>
      <c r="OIB5" s="190"/>
      <c r="OIC5" s="190"/>
      <c r="OID5" s="190"/>
      <c r="OIE5" s="190"/>
      <c r="OIF5" s="190"/>
      <c r="OIG5" s="190"/>
      <c r="OIH5" s="190"/>
      <c r="OII5" s="190"/>
      <c r="OIJ5" s="190"/>
      <c r="OIK5" s="190"/>
      <c r="OIL5" s="190"/>
      <c r="OIM5" s="190"/>
      <c r="OIN5" s="190"/>
      <c r="OIO5" s="190"/>
      <c r="OIP5" s="190"/>
      <c r="OIQ5" s="190"/>
      <c r="OIR5" s="190"/>
      <c r="OIS5" s="190"/>
      <c r="OIT5" s="190"/>
      <c r="OIU5" s="190"/>
      <c r="OIV5" s="190"/>
      <c r="OIW5" s="190"/>
      <c r="OIX5" s="190"/>
      <c r="OIY5" s="190"/>
      <c r="OIZ5" s="190"/>
      <c r="OJA5" s="190"/>
      <c r="OJB5" s="190"/>
      <c r="OJC5" s="190"/>
      <c r="OJD5" s="190"/>
      <c r="OJE5" s="190"/>
      <c r="OJF5" s="190"/>
      <c r="OJG5" s="190"/>
      <c r="OJH5" s="190"/>
      <c r="OJI5" s="190"/>
      <c r="OJJ5" s="190"/>
      <c r="OJK5" s="190"/>
      <c r="OJL5" s="190"/>
      <c r="OJM5" s="190"/>
      <c r="OJN5" s="190"/>
      <c r="OJO5" s="190"/>
      <c r="OJP5" s="190"/>
      <c r="OJQ5" s="190"/>
      <c r="OJR5" s="190"/>
      <c r="OJS5" s="190"/>
      <c r="OJT5" s="190"/>
      <c r="OJU5" s="190"/>
      <c r="OJV5" s="190"/>
      <c r="OJW5" s="190"/>
      <c r="OJX5" s="190"/>
      <c r="OJY5" s="190"/>
      <c r="OJZ5" s="190"/>
      <c r="OKA5" s="190"/>
      <c r="OKB5" s="190"/>
      <c r="OKC5" s="190"/>
      <c r="OKD5" s="190"/>
      <c r="OKE5" s="190"/>
      <c r="OKF5" s="190"/>
      <c r="OKG5" s="190"/>
      <c r="OKH5" s="190"/>
      <c r="OKI5" s="190"/>
      <c r="OKJ5" s="190"/>
      <c r="OKK5" s="190"/>
      <c r="OKL5" s="190"/>
      <c r="OKM5" s="190"/>
      <c r="OKN5" s="190"/>
      <c r="OKO5" s="190"/>
      <c r="OKP5" s="190"/>
      <c r="OKQ5" s="190"/>
      <c r="OKR5" s="190"/>
      <c r="OKS5" s="190"/>
      <c r="OKT5" s="190"/>
      <c r="OKU5" s="190"/>
      <c r="OKV5" s="190"/>
      <c r="OKW5" s="190"/>
      <c r="OKX5" s="190"/>
      <c r="OKY5" s="190"/>
      <c r="OKZ5" s="190"/>
      <c r="OLA5" s="190"/>
      <c r="OLB5" s="190"/>
      <c r="OLC5" s="190"/>
      <c r="OLD5" s="190"/>
      <c r="OLE5" s="190"/>
      <c r="OLF5" s="190"/>
      <c r="OLG5" s="190"/>
      <c r="OLH5" s="190"/>
      <c r="OLI5" s="190"/>
      <c r="OLJ5" s="190"/>
      <c r="OLK5" s="190"/>
      <c r="OLL5" s="190"/>
      <c r="OLM5" s="190"/>
      <c r="OLN5" s="190"/>
      <c r="OLO5" s="190"/>
      <c r="OLP5" s="190"/>
      <c r="OLQ5" s="190"/>
      <c r="OLR5" s="190"/>
      <c r="OLS5" s="190"/>
      <c r="OLT5" s="190"/>
      <c r="OLU5" s="190"/>
      <c r="OLV5" s="190"/>
      <c r="OLW5" s="190"/>
      <c r="OLX5" s="190"/>
      <c r="OLY5" s="190"/>
      <c r="OLZ5" s="190"/>
      <c r="OMA5" s="190"/>
      <c r="OMB5" s="190"/>
      <c r="OMC5" s="190"/>
      <c r="OMD5" s="190"/>
      <c r="OME5" s="190"/>
      <c r="OMF5" s="190"/>
      <c r="OMG5" s="190"/>
      <c r="OMH5" s="190"/>
      <c r="OMI5" s="190"/>
      <c r="OMJ5" s="190"/>
      <c r="OMK5" s="190"/>
      <c r="OML5" s="190"/>
      <c r="OMM5" s="190"/>
      <c r="OMN5" s="190"/>
      <c r="OMO5" s="190"/>
      <c r="OMP5" s="190"/>
      <c r="OMQ5" s="190"/>
      <c r="OMR5" s="190"/>
      <c r="OMS5" s="190"/>
      <c r="OMT5" s="190"/>
      <c r="OMU5" s="190"/>
      <c r="OMV5" s="190"/>
      <c r="OMW5" s="190"/>
      <c r="OMX5" s="190"/>
      <c r="OMY5" s="190"/>
      <c r="OMZ5" s="190"/>
      <c r="ONA5" s="190"/>
      <c r="ONB5" s="190"/>
      <c r="ONC5" s="190"/>
      <c r="OND5" s="190"/>
      <c r="ONE5" s="190"/>
      <c r="ONF5" s="190"/>
      <c r="ONG5" s="190"/>
      <c r="ONH5" s="190"/>
      <c r="ONI5" s="190"/>
      <c r="ONJ5" s="190"/>
      <c r="ONK5" s="190"/>
      <c r="ONL5" s="190"/>
      <c r="ONM5" s="190"/>
      <c r="ONN5" s="190"/>
      <c r="ONO5" s="190"/>
      <c r="ONP5" s="190"/>
      <c r="ONQ5" s="190"/>
      <c r="ONR5" s="190"/>
      <c r="ONS5" s="190"/>
      <c r="ONT5" s="190"/>
      <c r="ONU5" s="190"/>
      <c r="ONV5" s="190"/>
      <c r="ONW5" s="190"/>
      <c r="ONX5" s="190"/>
      <c r="ONY5" s="190"/>
      <c r="ONZ5" s="190"/>
      <c r="OOA5" s="190"/>
      <c r="OOB5" s="190"/>
      <c r="OOC5" s="190"/>
      <c r="OOD5" s="190"/>
      <c r="OOE5" s="190"/>
      <c r="OOF5" s="190"/>
      <c r="OOG5" s="190"/>
      <c r="OOH5" s="190"/>
      <c r="OOI5" s="190"/>
      <c r="OOJ5" s="190"/>
      <c r="OOK5" s="190"/>
      <c r="OOL5" s="190"/>
      <c r="OOM5" s="190"/>
      <c r="OON5" s="190"/>
      <c r="OOO5" s="190"/>
      <c r="OOP5" s="190"/>
      <c r="OOQ5" s="190"/>
      <c r="OOR5" s="190"/>
      <c r="OOS5" s="190"/>
      <c r="OOT5" s="190"/>
      <c r="OOU5" s="190"/>
      <c r="OOV5" s="190"/>
      <c r="OOW5" s="190"/>
      <c r="OOX5" s="190"/>
      <c r="OOY5" s="190"/>
      <c r="OOZ5" s="190"/>
      <c r="OPA5" s="190"/>
      <c r="OPB5" s="190"/>
      <c r="OPC5" s="190"/>
      <c r="OPD5" s="190"/>
      <c r="OPE5" s="190"/>
      <c r="OPF5" s="190"/>
      <c r="OPG5" s="190"/>
      <c r="OPH5" s="190"/>
      <c r="OPI5" s="190"/>
      <c r="OPJ5" s="190"/>
      <c r="OPK5" s="190"/>
      <c r="OPL5" s="190"/>
      <c r="OPM5" s="190"/>
      <c r="OPN5" s="190"/>
      <c r="OPO5" s="190"/>
      <c r="OPP5" s="190"/>
      <c r="OPQ5" s="190"/>
      <c r="OPR5" s="190"/>
      <c r="OPS5" s="190"/>
      <c r="OPT5" s="190"/>
      <c r="OPU5" s="190"/>
      <c r="OPV5" s="190"/>
      <c r="OPW5" s="190"/>
      <c r="OPX5" s="190"/>
      <c r="OPY5" s="190"/>
      <c r="OPZ5" s="190"/>
      <c r="OQA5" s="190"/>
      <c r="OQB5" s="190"/>
      <c r="OQC5" s="190"/>
      <c r="OQD5" s="190"/>
      <c r="OQE5" s="190"/>
      <c r="OQF5" s="190"/>
      <c r="OQG5" s="190"/>
      <c r="OQH5" s="190"/>
      <c r="OQI5" s="190"/>
      <c r="OQJ5" s="190"/>
      <c r="OQK5" s="190"/>
      <c r="OQL5" s="190"/>
      <c r="OQM5" s="190"/>
      <c r="OQN5" s="190"/>
      <c r="OQO5" s="190"/>
      <c r="OQP5" s="190"/>
      <c r="OQQ5" s="190"/>
      <c r="OQR5" s="190"/>
      <c r="OQS5" s="190"/>
      <c r="OQT5" s="190"/>
      <c r="OQU5" s="190"/>
      <c r="OQV5" s="190"/>
      <c r="OQW5" s="190"/>
      <c r="OQX5" s="190"/>
      <c r="OQY5" s="190"/>
      <c r="OQZ5" s="190"/>
      <c r="ORA5" s="190"/>
      <c r="ORB5" s="190"/>
      <c r="ORC5" s="190"/>
      <c r="ORD5" s="190"/>
      <c r="ORE5" s="190"/>
      <c r="ORF5" s="190"/>
      <c r="ORG5" s="190"/>
      <c r="ORH5" s="190"/>
      <c r="ORI5" s="190"/>
      <c r="ORJ5" s="190"/>
      <c r="ORK5" s="190"/>
      <c r="ORL5" s="190"/>
      <c r="ORM5" s="190"/>
      <c r="ORN5" s="190"/>
      <c r="ORO5" s="190"/>
      <c r="ORP5" s="190"/>
      <c r="ORQ5" s="190"/>
      <c r="ORR5" s="190"/>
      <c r="ORS5" s="190"/>
      <c r="ORT5" s="190"/>
      <c r="ORU5" s="190"/>
      <c r="ORV5" s="190"/>
      <c r="ORW5" s="190"/>
      <c r="ORX5" s="190"/>
      <c r="ORY5" s="190"/>
      <c r="ORZ5" s="190"/>
      <c r="OSA5" s="190"/>
      <c r="OSB5" s="190"/>
      <c r="OSC5" s="190"/>
      <c r="OSD5" s="190"/>
      <c r="OSE5" s="190"/>
      <c r="OSF5" s="190"/>
      <c r="OSG5" s="190"/>
      <c r="OSH5" s="190"/>
      <c r="OSI5" s="190"/>
      <c r="OSJ5" s="190"/>
      <c r="OSK5" s="190"/>
      <c r="OSL5" s="190"/>
      <c r="OSM5" s="190"/>
      <c r="OSN5" s="190"/>
      <c r="OSO5" s="190"/>
      <c r="OSP5" s="190"/>
      <c r="OSQ5" s="190"/>
      <c r="OSR5" s="190"/>
      <c r="OSS5" s="190"/>
      <c r="OST5" s="190"/>
      <c r="OSU5" s="190"/>
      <c r="OSV5" s="190"/>
      <c r="OSW5" s="190"/>
      <c r="OSX5" s="190"/>
      <c r="OSY5" s="190"/>
      <c r="OSZ5" s="190"/>
      <c r="OTA5" s="190"/>
      <c r="OTB5" s="190"/>
      <c r="OTC5" s="190"/>
      <c r="OTD5" s="190"/>
      <c r="OTE5" s="190"/>
      <c r="OTF5" s="190"/>
      <c r="OTG5" s="190"/>
      <c r="OTH5" s="190"/>
      <c r="OTI5" s="190"/>
      <c r="OTJ5" s="190"/>
      <c r="OTK5" s="190"/>
      <c r="OTL5" s="190"/>
      <c r="OTM5" s="190"/>
      <c r="OTN5" s="190"/>
      <c r="OTO5" s="190"/>
      <c r="OTP5" s="190"/>
      <c r="OTQ5" s="190"/>
      <c r="OTR5" s="190"/>
      <c r="OTS5" s="190"/>
      <c r="OTT5" s="190"/>
      <c r="OTU5" s="190"/>
      <c r="OTV5" s="190"/>
      <c r="OTW5" s="190"/>
      <c r="OTX5" s="190"/>
      <c r="OTY5" s="190"/>
      <c r="OTZ5" s="190"/>
      <c r="OUA5" s="190"/>
      <c r="OUB5" s="190"/>
      <c r="OUC5" s="190"/>
      <c r="OUD5" s="190"/>
      <c r="OUE5" s="190"/>
      <c r="OUF5" s="190"/>
      <c r="OUG5" s="190"/>
      <c r="OUH5" s="190"/>
      <c r="OUI5" s="190"/>
      <c r="OUJ5" s="190"/>
      <c r="OUK5" s="190"/>
      <c r="OUL5" s="190"/>
      <c r="OUM5" s="190"/>
      <c r="OUN5" s="190"/>
      <c r="OUO5" s="190"/>
      <c r="OUP5" s="190"/>
      <c r="OUQ5" s="190"/>
      <c r="OUR5" s="190"/>
      <c r="OUS5" s="190"/>
      <c r="OUT5" s="190"/>
      <c r="OUU5" s="190"/>
      <c r="OUV5" s="190"/>
      <c r="OUW5" s="190"/>
      <c r="OUX5" s="190"/>
      <c r="OUY5" s="190"/>
      <c r="OUZ5" s="190"/>
      <c r="OVA5" s="190"/>
      <c r="OVB5" s="190"/>
      <c r="OVC5" s="190"/>
      <c r="OVD5" s="190"/>
      <c r="OVE5" s="190"/>
      <c r="OVF5" s="190"/>
      <c r="OVG5" s="190"/>
      <c r="OVH5" s="190"/>
      <c r="OVI5" s="190"/>
      <c r="OVJ5" s="190"/>
      <c r="OVK5" s="190"/>
      <c r="OVL5" s="190"/>
      <c r="OVM5" s="190"/>
      <c r="OVN5" s="190"/>
      <c r="OVO5" s="190"/>
      <c r="OVP5" s="190"/>
      <c r="OVQ5" s="190"/>
      <c r="OVR5" s="190"/>
      <c r="OVS5" s="190"/>
      <c r="OVT5" s="190"/>
      <c r="OVU5" s="190"/>
      <c r="OVV5" s="190"/>
      <c r="OVW5" s="190"/>
      <c r="OVX5" s="190"/>
      <c r="OVY5" s="190"/>
      <c r="OVZ5" s="190"/>
      <c r="OWA5" s="190"/>
      <c r="OWB5" s="190"/>
      <c r="OWC5" s="190"/>
      <c r="OWD5" s="190"/>
      <c r="OWE5" s="190"/>
      <c r="OWF5" s="190"/>
      <c r="OWG5" s="190"/>
      <c r="OWH5" s="190"/>
      <c r="OWI5" s="190"/>
      <c r="OWJ5" s="190"/>
      <c r="OWK5" s="190"/>
      <c r="OWL5" s="190"/>
      <c r="OWM5" s="190"/>
      <c r="OWN5" s="190"/>
      <c r="OWO5" s="190"/>
      <c r="OWP5" s="190"/>
      <c r="OWQ5" s="190"/>
      <c r="OWR5" s="190"/>
      <c r="OWS5" s="190"/>
      <c r="OWT5" s="190"/>
      <c r="OWU5" s="190"/>
      <c r="OWV5" s="190"/>
      <c r="OWW5" s="190"/>
      <c r="OWX5" s="190"/>
      <c r="OWY5" s="190"/>
      <c r="OWZ5" s="190"/>
      <c r="OXA5" s="190"/>
      <c r="OXB5" s="190"/>
      <c r="OXC5" s="190"/>
      <c r="OXD5" s="190"/>
      <c r="OXE5" s="190"/>
      <c r="OXF5" s="190"/>
      <c r="OXG5" s="190"/>
      <c r="OXH5" s="190"/>
      <c r="OXI5" s="190"/>
      <c r="OXJ5" s="190"/>
      <c r="OXK5" s="190"/>
      <c r="OXL5" s="190"/>
      <c r="OXM5" s="190"/>
      <c r="OXN5" s="190"/>
      <c r="OXO5" s="190"/>
      <c r="OXP5" s="190"/>
      <c r="OXQ5" s="190"/>
      <c r="OXR5" s="190"/>
      <c r="OXS5" s="190"/>
      <c r="OXT5" s="190"/>
      <c r="OXU5" s="190"/>
      <c r="OXV5" s="190"/>
      <c r="OXW5" s="190"/>
      <c r="OXX5" s="190"/>
      <c r="OXY5" s="190"/>
      <c r="OXZ5" s="190"/>
      <c r="OYA5" s="190"/>
      <c r="OYB5" s="190"/>
      <c r="OYC5" s="190"/>
      <c r="OYD5" s="190"/>
      <c r="OYE5" s="190"/>
      <c r="OYF5" s="190"/>
      <c r="OYG5" s="190"/>
      <c r="OYH5" s="190"/>
      <c r="OYI5" s="190"/>
      <c r="OYJ5" s="190"/>
      <c r="OYK5" s="190"/>
      <c r="OYL5" s="190"/>
      <c r="OYM5" s="190"/>
      <c r="OYN5" s="190"/>
      <c r="OYO5" s="190"/>
      <c r="OYP5" s="190"/>
      <c r="OYQ5" s="190"/>
      <c r="OYR5" s="190"/>
      <c r="OYS5" s="190"/>
      <c r="OYT5" s="190"/>
      <c r="OYU5" s="190"/>
      <c r="OYV5" s="190"/>
      <c r="OYW5" s="190"/>
      <c r="OYX5" s="190"/>
      <c r="OYY5" s="190"/>
      <c r="OYZ5" s="190"/>
      <c r="OZA5" s="190"/>
      <c r="OZB5" s="190"/>
      <c r="OZC5" s="190"/>
      <c r="OZD5" s="190"/>
      <c r="OZE5" s="190"/>
      <c r="OZF5" s="190"/>
      <c r="OZG5" s="190"/>
      <c r="OZH5" s="190"/>
      <c r="OZI5" s="190"/>
      <c r="OZJ5" s="190"/>
      <c r="OZK5" s="190"/>
      <c r="OZL5" s="190"/>
      <c r="OZM5" s="190"/>
      <c r="OZN5" s="190"/>
      <c r="OZO5" s="190"/>
      <c r="OZP5" s="190"/>
      <c r="OZQ5" s="190"/>
      <c r="OZR5" s="190"/>
      <c r="OZS5" s="190"/>
      <c r="OZT5" s="190"/>
      <c r="OZU5" s="190"/>
      <c r="OZV5" s="190"/>
      <c r="OZW5" s="190"/>
      <c r="OZX5" s="190"/>
      <c r="OZY5" s="190"/>
      <c r="OZZ5" s="190"/>
      <c r="PAA5" s="190"/>
      <c r="PAB5" s="190"/>
      <c r="PAC5" s="190"/>
      <c r="PAD5" s="190"/>
      <c r="PAE5" s="190"/>
      <c r="PAF5" s="190"/>
      <c r="PAG5" s="190"/>
      <c r="PAH5" s="190"/>
      <c r="PAI5" s="190"/>
      <c r="PAJ5" s="190"/>
      <c r="PAK5" s="190"/>
      <c r="PAL5" s="190"/>
      <c r="PAM5" s="190"/>
      <c r="PAN5" s="190"/>
      <c r="PAO5" s="190"/>
      <c r="PAP5" s="190"/>
      <c r="PAQ5" s="190"/>
      <c r="PAR5" s="190"/>
      <c r="PAS5" s="190"/>
      <c r="PAT5" s="190"/>
      <c r="PAU5" s="190"/>
      <c r="PAV5" s="190"/>
      <c r="PAW5" s="190"/>
      <c r="PAX5" s="190"/>
      <c r="PAY5" s="190"/>
      <c r="PAZ5" s="190"/>
      <c r="PBA5" s="190"/>
      <c r="PBB5" s="190"/>
      <c r="PBC5" s="190"/>
      <c r="PBD5" s="190"/>
      <c r="PBE5" s="190"/>
      <c r="PBF5" s="190"/>
      <c r="PBG5" s="190"/>
      <c r="PBH5" s="190"/>
      <c r="PBI5" s="190"/>
      <c r="PBJ5" s="190"/>
      <c r="PBK5" s="190"/>
      <c r="PBL5" s="190"/>
      <c r="PBM5" s="190"/>
      <c r="PBN5" s="190"/>
      <c r="PBO5" s="190"/>
      <c r="PBP5" s="190"/>
      <c r="PBQ5" s="190"/>
      <c r="PBR5" s="190"/>
      <c r="PBS5" s="190"/>
      <c r="PBT5" s="190"/>
      <c r="PBU5" s="190"/>
      <c r="PBV5" s="190"/>
      <c r="PBW5" s="190"/>
      <c r="PBX5" s="190"/>
      <c r="PBY5" s="190"/>
      <c r="PBZ5" s="190"/>
      <c r="PCA5" s="190"/>
      <c r="PCB5" s="190"/>
      <c r="PCC5" s="190"/>
      <c r="PCD5" s="190"/>
      <c r="PCE5" s="190"/>
      <c r="PCF5" s="190"/>
      <c r="PCG5" s="190"/>
      <c r="PCH5" s="190"/>
      <c r="PCI5" s="190"/>
      <c r="PCJ5" s="190"/>
      <c r="PCK5" s="190"/>
      <c r="PCL5" s="190"/>
      <c r="PCM5" s="190"/>
      <c r="PCN5" s="190"/>
      <c r="PCO5" s="190"/>
      <c r="PCP5" s="190"/>
      <c r="PCQ5" s="190"/>
      <c r="PCR5" s="190"/>
      <c r="PCS5" s="190"/>
      <c r="PCT5" s="190"/>
      <c r="PCU5" s="190"/>
      <c r="PCV5" s="190"/>
      <c r="PCW5" s="190"/>
      <c r="PCX5" s="190"/>
      <c r="PCY5" s="190"/>
      <c r="PCZ5" s="190"/>
      <c r="PDA5" s="190"/>
      <c r="PDB5" s="190"/>
      <c r="PDC5" s="190"/>
      <c r="PDD5" s="190"/>
      <c r="PDE5" s="190"/>
      <c r="PDF5" s="190"/>
      <c r="PDG5" s="190"/>
      <c r="PDH5" s="190"/>
      <c r="PDI5" s="190"/>
      <c r="PDJ5" s="190"/>
      <c r="PDK5" s="190"/>
      <c r="PDL5" s="190"/>
      <c r="PDM5" s="190"/>
      <c r="PDN5" s="190"/>
      <c r="PDO5" s="190"/>
      <c r="PDP5" s="190"/>
      <c r="PDQ5" s="190"/>
      <c r="PDR5" s="190"/>
      <c r="PDS5" s="190"/>
      <c r="PDT5" s="190"/>
      <c r="PDU5" s="190"/>
      <c r="PDV5" s="190"/>
      <c r="PDW5" s="190"/>
      <c r="PDX5" s="190"/>
      <c r="PDY5" s="190"/>
      <c r="PDZ5" s="190"/>
      <c r="PEA5" s="190"/>
      <c r="PEB5" s="190"/>
      <c r="PEC5" s="190"/>
      <c r="PED5" s="190"/>
      <c r="PEE5" s="190"/>
      <c r="PEF5" s="190"/>
      <c r="PEG5" s="190"/>
      <c r="PEH5" s="190"/>
      <c r="PEI5" s="190"/>
      <c r="PEJ5" s="190"/>
      <c r="PEK5" s="190"/>
      <c r="PEL5" s="190"/>
      <c r="PEM5" s="190"/>
      <c r="PEN5" s="190"/>
      <c r="PEO5" s="190"/>
      <c r="PEP5" s="190"/>
      <c r="PEQ5" s="190"/>
      <c r="PER5" s="190"/>
      <c r="PES5" s="190"/>
      <c r="PET5" s="190"/>
      <c r="PEU5" s="190"/>
      <c r="PEV5" s="190"/>
      <c r="PEW5" s="190"/>
      <c r="PEX5" s="190"/>
      <c r="PEY5" s="190"/>
      <c r="PEZ5" s="190"/>
      <c r="PFA5" s="190"/>
      <c r="PFB5" s="190"/>
      <c r="PFC5" s="190"/>
      <c r="PFD5" s="190"/>
      <c r="PFE5" s="190"/>
      <c r="PFF5" s="190"/>
      <c r="PFG5" s="190"/>
      <c r="PFH5" s="190"/>
      <c r="PFI5" s="190"/>
      <c r="PFJ5" s="190"/>
      <c r="PFK5" s="190"/>
      <c r="PFL5" s="190"/>
      <c r="PFM5" s="190"/>
      <c r="PFN5" s="190"/>
      <c r="PFO5" s="190"/>
      <c r="PFP5" s="190"/>
      <c r="PFQ5" s="190"/>
      <c r="PFR5" s="190"/>
      <c r="PFS5" s="190"/>
      <c r="PFT5" s="190"/>
      <c r="PFU5" s="190"/>
      <c r="PFV5" s="190"/>
      <c r="PFW5" s="190"/>
      <c r="PFX5" s="190"/>
      <c r="PFY5" s="190"/>
      <c r="PFZ5" s="190"/>
      <c r="PGA5" s="190"/>
      <c r="PGB5" s="190"/>
      <c r="PGC5" s="190"/>
      <c r="PGD5" s="190"/>
      <c r="PGE5" s="190"/>
      <c r="PGF5" s="190"/>
      <c r="PGG5" s="190"/>
      <c r="PGH5" s="190"/>
      <c r="PGI5" s="190"/>
      <c r="PGJ5" s="190"/>
      <c r="PGK5" s="190"/>
      <c r="PGL5" s="190"/>
      <c r="PGM5" s="190"/>
      <c r="PGN5" s="190"/>
      <c r="PGO5" s="190"/>
      <c r="PGP5" s="190"/>
      <c r="PGQ5" s="190"/>
      <c r="PGR5" s="190"/>
      <c r="PGS5" s="190"/>
      <c r="PGT5" s="190"/>
      <c r="PGU5" s="190"/>
      <c r="PGV5" s="190"/>
      <c r="PGW5" s="190"/>
      <c r="PGX5" s="190"/>
      <c r="PGY5" s="190"/>
      <c r="PGZ5" s="190"/>
      <c r="PHA5" s="190"/>
      <c r="PHB5" s="190"/>
      <c r="PHC5" s="190"/>
      <c r="PHD5" s="190"/>
      <c r="PHE5" s="190"/>
      <c r="PHF5" s="190"/>
      <c r="PHG5" s="190"/>
      <c r="PHH5" s="190"/>
      <c r="PHI5" s="190"/>
      <c r="PHJ5" s="190"/>
      <c r="PHK5" s="190"/>
      <c r="PHL5" s="190"/>
      <c r="PHM5" s="190"/>
      <c r="PHN5" s="190"/>
      <c r="PHO5" s="190"/>
      <c r="PHP5" s="190"/>
      <c r="PHQ5" s="190"/>
      <c r="PHR5" s="190"/>
      <c r="PHS5" s="190"/>
      <c r="PHT5" s="190"/>
      <c r="PHU5" s="190"/>
      <c r="PHV5" s="190"/>
      <c r="PHW5" s="190"/>
      <c r="PHX5" s="190"/>
      <c r="PHY5" s="190"/>
      <c r="PHZ5" s="190"/>
      <c r="PIA5" s="190"/>
      <c r="PIB5" s="190"/>
      <c r="PIC5" s="190"/>
      <c r="PID5" s="190"/>
      <c r="PIE5" s="190"/>
      <c r="PIF5" s="190"/>
      <c r="PIG5" s="190"/>
      <c r="PIH5" s="190"/>
      <c r="PII5" s="190"/>
      <c r="PIJ5" s="190"/>
      <c r="PIK5" s="190"/>
      <c r="PIL5" s="190"/>
      <c r="PIM5" s="190"/>
      <c r="PIN5" s="190"/>
      <c r="PIO5" s="190"/>
      <c r="PIP5" s="190"/>
      <c r="PIQ5" s="190"/>
      <c r="PIR5" s="190"/>
      <c r="PIS5" s="190"/>
      <c r="PIT5" s="190"/>
      <c r="PIU5" s="190"/>
      <c r="PIV5" s="190"/>
      <c r="PIW5" s="190"/>
      <c r="PIX5" s="190"/>
      <c r="PIY5" s="190"/>
      <c r="PIZ5" s="190"/>
      <c r="PJA5" s="190"/>
      <c r="PJB5" s="190"/>
      <c r="PJC5" s="190"/>
      <c r="PJD5" s="190"/>
      <c r="PJE5" s="190"/>
      <c r="PJF5" s="190"/>
      <c r="PJG5" s="190"/>
      <c r="PJH5" s="190"/>
      <c r="PJI5" s="190"/>
      <c r="PJJ5" s="190"/>
      <c r="PJK5" s="190"/>
      <c r="PJL5" s="190"/>
      <c r="PJM5" s="190"/>
      <c r="PJN5" s="190"/>
      <c r="PJO5" s="190"/>
      <c r="PJP5" s="190"/>
      <c r="PJQ5" s="190"/>
      <c r="PJR5" s="190"/>
      <c r="PJS5" s="190"/>
      <c r="PJT5" s="190"/>
      <c r="PJU5" s="190"/>
      <c r="PJV5" s="190"/>
      <c r="PJW5" s="190"/>
      <c r="PJX5" s="190"/>
      <c r="PJY5" s="190"/>
      <c r="PJZ5" s="190"/>
      <c r="PKA5" s="190"/>
      <c r="PKB5" s="190"/>
      <c r="PKC5" s="190"/>
      <c r="PKD5" s="190"/>
      <c r="PKE5" s="190"/>
      <c r="PKF5" s="190"/>
      <c r="PKG5" s="190"/>
      <c r="PKH5" s="190"/>
      <c r="PKI5" s="190"/>
      <c r="PKJ5" s="190"/>
      <c r="PKK5" s="190"/>
      <c r="PKL5" s="190"/>
      <c r="PKM5" s="190"/>
      <c r="PKN5" s="190"/>
      <c r="PKO5" s="190"/>
      <c r="PKP5" s="190"/>
      <c r="PKQ5" s="190"/>
      <c r="PKR5" s="190"/>
      <c r="PKS5" s="190"/>
      <c r="PKT5" s="190"/>
      <c r="PKU5" s="190"/>
      <c r="PKV5" s="190"/>
      <c r="PKW5" s="190"/>
      <c r="PKX5" s="190"/>
      <c r="PKY5" s="190"/>
      <c r="PKZ5" s="190"/>
      <c r="PLA5" s="190"/>
      <c r="PLB5" s="190"/>
      <c r="PLC5" s="190"/>
      <c r="PLD5" s="190"/>
      <c r="PLE5" s="190"/>
      <c r="PLF5" s="190"/>
      <c r="PLG5" s="190"/>
      <c r="PLH5" s="190"/>
      <c r="PLI5" s="190"/>
      <c r="PLJ5" s="190"/>
      <c r="PLK5" s="190"/>
      <c r="PLL5" s="190"/>
      <c r="PLM5" s="190"/>
      <c r="PLN5" s="190"/>
      <c r="PLO5" s="190"/>
      <c r="PLP5" s="190"/>
      <c r="PLQ5" s="190"/>
      <c r="PLR5" s="190"/>
      <c r="PLS5" s="190"/>
      <c r="PLT5" s="190"/>
      <c r="PLU5" s="190"/>
      <c r="PLV5" s="190"/>
      <c r="PLW5" s="190"/>
      <c r="PLX5" s="190"/>
      <c r="PLY5" s="190"/>
      <c r="PLZ5" s="190"/>
      <c r="PMA5" s="190"/>
      <c r="PMB5" s="190"/>
      <c r="PMC5" s="190"/>
      <c r="PMD5" s="190"/>
      <c r="PME5" s="190"/>
      <c r="PMF5" s="190"/>
      <c r="PMG5" s="190"/>
      <c r="PMH5" s="190"/>
      <c r="PMI5" s="190"/>
      <c r="PMJ5" s="190"/>
      <c r="PMK5" s="190"/>
      <c r="PML5" s="190"/>
      <c r="PMM5" s="190"/>
      <c r="PMN5" s="190"/>
      <c r="PMO5" s="190"/>
      <c r="PMP5" s="190"/>
      <c r="PMQ5" s="190"/>
      <c r="PMR5" s="190"/>
      <c r="PMS5" s="190"/>
      <c r="PMT5" s="190"/>
      <c r="PMU5" s="190"/>
      <c r="PMV5" s="190"/>
      <c r="PMW5" s="190"/>
      <c r="PMX5" s="190"/>
      <c r="PMY5" s="190"/>
      <c r="PMZ5" s="190"/>
      <c r="PNA5" s="190"/>
      <c r="PNB5" s="190"/>
      <c r="PNC5" s="190"/>
      <c r="PND5" s="190"/>
      <c r="PNE5" s="190"/>
      <c r="PNF5" s="190"/>
      <c r="PNG5" s="190"/>
      <c r="PNH5" s="190"/>
      <c r="PNI5" s="190"/>
      <c r="PNJ5" s="190"/>
      <c r="PNK5" s="190"/>
      <c r="PNL5" s="190"/>
      <c r="PNM5" s="190"/>
      <c r="PNN5" s="190"/>
      <c r="PNO5" s="190"/>
      <c r="PNP5" s="190"/>
      <c r="PNQ5" s="190"/>
      <c r="PNR5" s="190"/>
      <c r="PNS5" s="190"/>
      <c r="PNT5" s="190"/>
      <c r="PNU5" s="190"/>
      <c r="PNV5" s="190"/>
      <c r="PNW5" s="190"/>
      <c r="PNX5" s="190"/>
      <c r="PNY5" s="190"/>
      <c r="PNZ5" s="190"/>
      <c r="POA5" s="190"/>
      <c r="POB5" s="190"/>
      <c r="POC5" s="190"/>
      <c r="POD5" s="190"/>
      <c r="POE5" s="190"/>
      <c r="POF5" s="190"/>
      <c r="POG5" s="190"/>
      <c r="POH5" s="190"/>
      <c r="POI5" s="190"/>
      <c r="POJ5" s="190"/>
      <c r="POK5" s="190"/>
      <c r="POL5" s="190"/>
      <c r="POM5" s="190"/>
      <c r="PON5" s="190"/>
      <c r="POO5" s="190"/>
      <c r="POP5" s="190"/>
      <c r="POQ5" s="190"/>
      <c r="POR5" s="190"/>
      <c r="POS5" s="190"/>
      <c r="POT5" s="190"/>
      <c r="POU5" s="190"/>
      <c r="POV5" s="190"/>
      <c r="POW5" s="190"/>
      <c r="POX5" s="190"/>
      <c r="POY5" s="190"/>
      <c r="POZ5" s="190"/>
      <c r="PPA5" s="190"/>
      <c r="PPB5" s="190"/>
      <c r="PPC5" s="190"/>
      <c r="PPD5" s="190"/>
      <c r="PPE5" s="190"/>
      <c r="PPF5" s="190"/>
      <c r="PPG5" s="190"/>
      <c r="PPH5" s="190"/>
      <c r="PPI5" s="190"/>
      <c r="PPJ5" s="190"/>
      <c r="PPK5" s="190"/>
      <c r="PPL5" s="190"/>
      <c r="PPM5" s="190"/>
      <c r="PPN5" s="190"/>
      <c r="PPO5" s="190"/>
      <c r="PPP5" s="190"/>
      <c r="PPQ5" s="190"/>
      <c r="PPR5" s="190"/>
      <c r="PPS5" s="190"/>
      <c r="PPT5" s="190"/>
      <c r="PPU5" s="190"/>
      <c r="PPV5" s="190"/>
      <c r="PPW5" s="190"/>
      <c r="PPX5" s="190"/>
      <c r="PPY5" s="190"/>
      <c r="PPZ5" s="190"/>
      <c r="PQA5" s="190"/>
      <c r="PQB5" s="190"/>
      <c r="PQC5" s="190"/>
      <c r="PQD5" s="190"/>
      <c r="PQE5" s="190"/>
      <c r="PQF5" s="190"/>
      <c r="PQG5" s="190"/>
      <c r="PQH5" s="190"/>
      <c r="PQI5" s="190"/>
      <c r="PQJ5" s="190"/>
      <c r="PQK5" s="190"/>
      <c r="PQL5" s="190"/>
      <c r="PQM5" s="190"/>
      <c r="PQN5" s="190"/>
      <c r="PQO5" s="190"/>
      <c r="PQP5" s="190"/>
      <c r="PQQ5" s="190"/>
      <c r="PQR5" s="190"/>
      <c r="PQS5" s="190"/>
      <c r="PQT5" s="190"/>
      <c r="PQU5" s="190"/>
      <c r="PQV5" s="190"/>
      <c r="PQW5" s="190"/>
      <c r="PQX5" s="190"/>
      <c r="PQY5" s="190"/>
      <c r="PQZ5" s="190"/>
      <c r="PRA5" s="190"/>
      <c r="PRB5" s="190"/>
      <c r="PRC5" s="190"/>
      <c r="PRD5" s="190"/>
      <c r="PRE5" s="190"/>
      <c r="PRF5" s="190"/>
      <c r="PRG5" s="190"/>
      <c r="PRH5" s="190"/>
      <c r="PRI5" s="190"/>
      <c r="PRJ5" s="190"/>
      <c r="PRK5" s="190"/>
      <c r="PRL5" s="190"/>
      <c r="PRM5" s="190"/>
      <c r="PRN5" s="190"/>
      <c r="PRO5" s="190"/>
      <c r="PRP5" s="190"/>
      <c r="PRQ5" s="190"/>
      <c r="PRR5" s="190"/>
      <c r="PRS5" s="190"/>
      <c r="PRT5" s="190"/>
      <c r="PRU5" s="190"/>
      <c r="PRV5" s="190"/>
      <c r="PRW5" s="190"/>
      <c r="PRX5" s="190"/>
      <c r="PRY5" s="190"/>
      <c r="PRZ5" s="190"/>
      <c r="PSA5" s="190"/>
      <c r="PSB5" s="190"/>
      <c r="PSC5" s="190"/>
      <c r="PSD5" s="190"/>
      <c r="PSE5" s="190"/>
      <c r="PSF5" s="190"/>
      <c r="PSG5" s="190"/>
      <c r="PSH5" s="190"/>
      <c r="PSI5" s="190"/>
      <c r="PSJ5" s="190"/>
      <c r="PSK5" s="190"/>
      <c r="PSL5" s="190"/>
      <c r="PSM5" s="190"/>
      <c r="PSN5" s="190"/>
      <c r="PSO5" s="190"/>
      <c r="PSP5" s="190"/>
      <c r="PSQ5" s="190"/>
      <c r="PSR5" s="190"/>
      <c r="PSS5" s="190"/>
      <c r="PST5" s="190"/>
      <c r="PSU5" s="190"/>
      <c r="PSV5" s="190"/>
      <c r="PSW5" s="190"/>
      <c r="PSX5" s="190"/>
      <c r="PSY5" s="190"/>
      <c r="PSZ5" s="190"/>
      <c r="PTA5" s="190"/>
      <c r="PTB5" s="190"/>
      <c r="PTC5" s="190"/>
      <c r="PTD5" s="190"/>
      <c r="PTE5" s="190"/>
      <c r="PTF5" s="190"/>
      <c r="PTG5" s="190"/>
      <c r="PTH5" s="190"/>
      <c r="PTI5" s="190"/>
      <c r="PTJ5" s="190"/>
      <c r="PTK5" s="190"/>
      <c r="PTL5" s="190"/>
      <c r="PTM5" s="190"/>
      <c r="PTN5" s="190"/>
      <c r="PTO5" s="190"/>
      <c r="PTP5" s="190"/>
      <c r="PTQ5" s="190"/>
      <c r="PTR5" s="190"/>
      <c r="PTS5" s="190"/>
      <c r="PTT5" s="190"/>
      <c r="PTU5" s="190"/>
      <c r="PTV5" s="190"/>
      <c r="PTW5" s="190"/>
      <c r="PTX5" s="190"/>
      <c r="PTY5" s="190"/>
      <c r="PTZ5" s="190"/>
      <c r="PUA5" s="190"/>
      <c r="PUB5" s="190"/>
      <c r="PUC5" s="190"/>
      <c r="PUD5" s="190"/>
      <c r="PUE5" s="190"/>
      <c r="PUF5" s="190"/>
      <c r="PUG5" s="190"/>
      <c r="PUH5" s="190"/>
      <c r="PUI5" s="190"/>
      <c r="PUJ5" s="190"/>
      <c r="PUK5" s="190"/>
      <c r="PUL5" s="190"/>
      <c r="PUM5" s="190"/>
      <c r="PUN5" s="190"/>
      <c r="PUO5" s="190"/>
      <c r="PUP5" s="190"/>
      <c r="PUQ5" s="190"/>
      <c r="PUR5" s="190"/>
      <c r="PUS5" s="190"/>
      <c r="PUT5" s="190"/>
      <c r="PUU5" s="190"/>
      <c r="PUV5" s="190"/>
      <c r="PUW5" s="190"/>
      <c r="PUX5" s="190"/>
      <c r="PUY5" s="190"/>
      <c r="PUZ5" s="190"/>
      <c r="PVA5" s="190"/>
      <c r="PVB5" s="190"/>
      <c r="PVC5" s="190"/>
      <c r="PVD5" s="190"/>
      <c r="PVE5" s="190"/>
      <c r="PVF5" s="190"/>
      <c r="PVG5" s="190"/>
      <c r="PVH5" s="190"/>
      <c r="PVI5" s="190"/>
      <c r="PVJ5" s="190"/>
      <c r="PVK5" s="190"/>
      <c r="PVL5" s="190"/>
      <c r="PVM5" s="190"/>
      <c r="PVN5" s="190"/>
      <c r="PVO5" s="190"/>
      <c r="PVP5" s="190"/>
      <c r="PVQ5" s="190"/>
      <c r="PVR5" s="190"/>
      <c r="PVS5" s="190"/>
      <c r="PVT5" s="190"/>
      <c r="PVU5" s="190"/>
      <c r="PVV5" s="190"/>
      <c r="PVW5" s="190"/>
      <c r="PVX5" s="190"/>
      <c r="PVY5" s="190"/>
      <c r="PVZ5" s="190"/>
      <c r="PWA5" s="190"/>
      <c r="PWB5" s="190"/>
      <c r="PWC5" s="190"/>
      <c r="PWD5" s="190"/>
      <c r="PWE5" s="190"/>
      <c r="PWF5" s="190"/>
      <c r="PWG5" s="190"/>
      <c r="PWH5" s="190"/>
      <c r="PWI5" s="190"/>
      <c r="PWJ5" s="190"/>
      <c r="PWK5" s="190"/>
      <c r="PWL5" s="190"/>
      <c r="PWM5" s="190"/>
      <c r="PWN5" s="190"/>
      <c r="PWO5" s="190"/>
      <c r="PWP5" s="190"/>
      <c r="PWQ5" s="190"/>
      <c r="PWR5" s="190"/>
      <c r="PWS5" s="190"/>
      <c r="PWT5" s="190"/>
      <c r="PWU5" s="190"/>
      <c r="PWV5" s="190"/>
      <c r="PWW5" s="190"/>
      <c r="PWX5" s="190"/>
      <c r="PWY5" s="190"/>
      <c r="PWZ5" s="190"/>
      <c r="PXA5" s="190"/>
      <c r="PXB5" s="190"/>
      <c r="PXC5" s="190"/>
      <c r="PXD5" s="190"/>
      <c r="PXE5" s="190"/>
      <c r="PXF5" s="190"/>
      <c r="PXG5" s="190"/>
      <c r="PXH5" s="190"/>
      <c r="PXI5" s="190"/>
      <c r="PXJ5" s="190"/>
      <c r="PXK5" s="190"/>
      <c r="PXL5" s="190"/>
      <c r="PXM5" s="190"/>
      <c r="PXN5" s="190"/>
      <c r="PXO5" s="190"/>
      <c r="PXP5" s="190"/>
      <c r="PXQ5" s="190"/>
      <c r="PXR5" s="190"/>
      <c r="PXS5" s="190"/>
      <c r="PXT5" s="190"/>
      <c r="PXU5" s="190"/>
      <c r="PXV5" s="190"/>
      <c r="PXW5" s="190"/>
      <c r="PXX5" s="190"/>
      <c r="PXY5" s="190"/>
      <c r="PXZ5" s="190"/>
      <c r="PYA5" s="190"/>
      <c r="PYB5" s="190"/>
      <c r="PYC5" s="190"/>
      <c r="PYD5" s="190"/>
      <c r="PYE5" s="190"/>
      <c r="PYF5" s="190"/>
      <c r="PYG5" s="190"/>
      <c r="PYH5" s="190"/>
      <c r="PYI5" s="190"/>
      <c r="PYJ5" s="190"/>
      <c r="PYK5" s="190"/>
      <c r="PYL5" s="190"/>
      <c r="PYM5" s="190"/>
      <c r="PYN5" s="190"/>
      <c r="PYO5" s="190"/>
      <c r="PYP5" s="190"/>
      <c r="PYQ5" s="190"/>
      <c r="PYR5" s="190"/>
      <c r="PYS5" s="190"/>
      <c r="PYT5" s="190"/>
      <c r="PYU5" s="190"/>
      <c r="PYV5" s="190"/>
      <c r="PYW5" s="190"/>
      <c r="PYX5" s="190"/>
      <c r="PYY5" s="190"/>
      <c r="PYZ5" s="190"/>
      <c r="PZA5" s="190"/>
      <c r="PZB5" s="190"/>
      <c r="PZC5" s="190"/>
      <c r="PZD5" s="190"/>
      <c r="PZE5" s="190"/>
      <c r="PZF5" s="190"/>
      <c r="PZG5" s="190"/>
      <c r="PZH5" s="190"/>
      <c r="PZI5" s="190"/>
      <c r="PZJ5" s="190"/>
      <c r="PZK5" s="190"/>
      <c r="PZL5" s="190"/>
      <c r="PZM5" s="190"/>
      <c r="PZN5" s="190"/>
      <c r="PZO5" s="190"/>
      <c r="PZP5" s="190"/>
      <c r="PZQ5" s="190"/>
      <c r="PZR5" s="190"/>
      <c r="PZS5" s="190"/>
      <c r="PZT5" s="190"/>
      <c r="PZU5" s="190"/>
      <c r="PZV5" s="190"/>
      <c r="PZW5" s="190"/>
      <c r="PZX5" s="190"/>
      <c r="PZY5" s="190"/>
      <c r="PZZ5" s="190"/>
      <c r="QAA5" s="190"/>
      <c r="QAB5" s="190"/>
      <c r="QAC5" s="190"/>
      <c r="QAD5" s="190"/>
      <c r="QAE5" s="190"/>
      <c r="QAF5" s="190"/>
      <c r="QAG5" s="190"/>
      <c r="QAH5" s="190"/>
      <c r="QAI5" s="190"/>
      <c r="QAJ5" s="190"/>
      <c r="QAK5" s="190"/>
      <c r="QAL5" s="190"/>
      <c r="QAM5" s="190"/>
      <c r="QAN5" s="190"/>
      <c r="QAO5" s="190"/>
      <c r="QAP5" s="190"/>
      <c r="QAQ5" s="190"/>
      <c r="QAR5" s="190"/>
      <c r="QAS5" s="190"/>
      <c r="QAT5" s="190"/>
      <c r="QAU5" s="190"/>
      <c r="QAV5" s="190"/>
      <c r="QAW5" s="190"/>
      <c r="QAX5" s="190"/>
      <c r="QAY5" s="190"/>
      <c r="QAZ5" s="190"/>
      <c r="QBA5" s="190"/>
      <c r="QBB5" s="190"/>
      <c r="QBC5" s="190"/>
      <c r="QBD5" s="190"/>
      <c r="QBE5" s="190"/>
      <c r="QBF5" s="190"/>
      <c r="QBG5" s="190"/>
      <c r="QBH5" s="190"/>
      <c r="QBI5" s="190"/>
      <c r="QBJ5" s="190"/>
      <c r="QBK5" s="190"/>
      <c r="QBL5" s="190"/>
      <c r="QBM5" s="190"/>
      <c r="QBN5" s="190"/>
      <c r="QBO5" s="190"/>
      <c r="QBP5" s="190"/>
      <c r="QBQ5" s="190"/>
      <c r="QBR5" s="190"/>
      <c r="QBS5" s="190"/>
      <c r="QBT5" s="190"/>
      <c r="QBU5" s="190"/>
      <c r="QBV5" s="190"/>
      <c r="QBW5" s="190"/>
      <c r="QBX5" s="190"/>
      <c r="QBY5" s="190"/>
      <c r="QBZ5" s="190"/>
      <c r="QCA5" s="190"/>
      <c r="QCB5" s="190"/>
      <c r="QCC5" s="190"/>
      <c r="QCD5" s="190"/>
      <c r="QCE5" s="190"/>
      <c r="QCF5" s="190"/>
      <c r="QCG5" s="190"/>
      <c r="QCH5" s="190"/>
      <c r="QCI5" s="190"/>
      <c r="QCJ5" s="190"/>
      <c r="QCK5" s="190"/>
      <c r="QCL5" s="190"/>
      <c r="QCM5" s="190"/>
      <c r="QCN5" s="190"/>
      <c r="QCO5" s="190"/>
      <c r="QCP5" s="190"/>
      <c r="QCQ5" s="190"/>
      <c r="QCR5" s="190"/>
      <c r="QCS5" s="190"/>
      <c r="QCT5" s="190"/>
      <c r="QCU5" s="190"/>
      <c r="QCV5" s="190"/>
      <c r="QCW5" s="190"/>
      <c r="QCX5" s="190"/>
      <c r="QCY5" s="190"/>
      <c r="QCZ5" s="190"/>
      <c r="QDA5" s="190"/>
      <c r="QDB5" s="190"/>
      <c r="QDC5" s="190"/>
      <c r="QDD5" s="190"/>
      <c r="QDE5" s="190"/>
      <c r="QDF5" s="190"/>
      <c r="QDG5" s="190"/>
      <c r="QDH5" s="190"/>
      <c r="QDI5" s="190"/>
      <c r="QDJ5" s="190"/>
      <c r="QDK5" s="190"/>
      <c r="QDL5" s="190"/>
      <c r="QDM5" s="190"/>
      <c r="QDN5" s="190"/>
      <c r="QDO5" s="190"/>
      <c r="QDP5" s="190"/>
      <c r="QDQ5" s="190"/>
      <c r="QDR5" s="190"/>
      <c r="QDS5" s="190"/>
      <c r="QDT5" s="190"/>
      <c r="QDU5" s="190"/>
      <c r="QDV5" s="190"/>
      <c r="QDW5" s="190"/>
      <c r="QDX5" s="190"/>
      <c r="QDY5" s="190"/>
      <c r="QDZ5" s="190"/>
      <c r="QEA5" s="190"/>
      <c r="QEB5" s="190"/>
      <c r="QEC5" s="190"/>
      <c r="QED5" s="190"/>
      <c r="QEE5" s="190"/>
      <c r="QEF5" s="190"/>
      <c r="QEG5" s="190"/>
      <c r="QEH5" s="190"/>
      <c r="QEI5" s="190"/>
      <c r="QEJ5" s="190"/>
      <c r="QEK5" s="190"/>
      <c r="QEL5" s="190"/>
      <c r="QEM5" s="190"/>
      <c r="QEN5" s="190"/>
      <c r="QEO5" s="190"/>
      <c r="QEP5" s="190"/>
      <c r="QEQ5" s="190"/>
      <c r="QER5" s="190"/>
      <c r="QES5" s="190"/>
      <c r="QET5" s="190"/>
      <c r="QEU5" s="190"/>
      <c r="QEV5" s="190"/>
      <c r="QEW5" s="190"/>
      <c r="QEX5" s="190"/>
      <c r="QEY5" s="190"/>
      <c r="QEZ5" s="190"/>
      <c r="QFA5" s="190"/>
      <c r="QFB5" s="190"/>
      <c r="QFC5" s="190"/>
      <c r="QFD5" s="190"/>
      <c r="QFE5" s="190"/>
      <c r="QFF5" s="190"/>
      <c r="QFG5" s="190"/>
      <c r="QFH5" s="190"/>
      <c r="QFI5" s="190"/>
      <c r="QFJ5" s="190"/>
      <c r="QFK5" s="190"/>
      <c r="QFL5" s="190"/>
      <c r="QFM5" s="190"/>
      <c r="QFN5" s="190"/>
      <c r="QFO5" s="190"/>
      <c r="QFP5" s="190"/>
      <c r="QFQ5" s="190"/>
      <c r="QFR5" s="190"/>
      <c r="QFS5" s="190"/>
      <c r="QFT5" s="190"/>
      <c r="QFU5" s="190"/>
      <c r="QFV5" s="190"/>
      <c r="QFW5" s="190"/>
      <c r="QFX5" s="190"/>
      <c r="QFY5" s="190"/>
      <c r="QFZ5" s="190"/>
      <c r="QGA5" s="190"/>
      <c r="QGB5" s="190"/>
      <c r="QGC5" s="190"/>
      <c r="QGD5" s="190"/>
      <c r="QGE5" s="190"/>
      <c r="QGF5" s="190"/>
      <c r="QGG5" s="190"/>
      <c r="QGH5" s="190"/>
      <c r="QGI5" s="190"/>
      <c r="QGJ5" s="190"/>
      <c r="QGK5" s="190"/>
      <c r="QGL5" s="190"/>
      <c r="QGM5" s="190"/>
      <c r="QGN5" s="190"/>
      <c r="QGO5" s="190"/>
      <c r="QGP5" s="190"/>
      <c r="QGQ5" s="190"/>
      <c r="QGR5" s="190"/>
      <c r="QGS5" s="190"/>
      <c r="QGT5" s="190"/>
      <c r="QGU5" s="190"/>
      <c r="QGV5" s="190"/>
      <c r="QGW5" s="190"/>
      <c r="QGX5" s="190"/>
      <c r="QGY5" s="190"/>
      <c r="QGZ5" s="190"/>
      <c r="QHA5" s="190"/>
      <c r="QHB5" s="190"/>
      <c r="QHC5" s="190"/>
      <c r="QHD5" s="190"/>
      <c r="QHE5" s="190"/>
      <c r="QHF5" s="190"/>
      <c r="QHG5" s="190"/>
      <c r="QHH5" s="190"/>
      <c r="QHI5" s="190"/>
      <c r="QHJ5" s="190"/>
      <c r="QHK5" s="190"/>
      <c r="QHL5" s="190"/>
      <c r="QHM5" s="190"/>
      <c r="QHN5" s="190"/>
      <c r="QHO5" s="190"/>
      <c r="QHP5" s="190"/>
      <c r="QHQ5" s="190"/>
      <c r="QHR5" s="190"/>
      <c r="QHS5" s="190"/>
      <c r="QHT5" s="190"/>
      <c r="QHU5" s="190"/>
      <c r="QHV5" s="190"/>
      <c r="QHW5" s="190"/>
      <c r="QHX5" s="190"/>
      <c r="QHY5" s="190"/>
      <c r="QHZ5" s="190"/>
      <c r="QIA5" s="190"/>
      <c r="QIB5" s="190"/>
      <c r="QIC5" s="190"/>
      <c r="QID5" s="190"/>
      <c r="QIE5" s="190"/>
      <c r="QIF5" s="190"/>
      <c r="QIG5" s="190"/>
      <c r="QIH5" s="190"/>
      <c r="QII5" s="190"/>
      <c r="QIJ5" s="190"/>
      <c r="QIK5" s="190"/>
      <c r="QIL5" s="190"/>
      <c r="QIM5" s="190"/>
      <c r="QIN5" s="190"/>
      <c r="QIO5" s="190"/>
      <c r="QIP5" s="190"/>
      <c r="QIQ5" s="190"/>
      <c r="QIR5" s="190"/>
      <c r="QIS5" s="190"/>
      <c r="QIT5" s="190"/>
      <c r="QIU5" s="190"/>
      <c r="QIV5" s="190"/>
      <c r="QIW5" s="190"/>
      <c r="QIX5" s="190"/>
      <c r="QIY5" s="190"/>
      <c r="QIZ5" s="190"/>
      <c r="QJA5" s="190"/>
      <c r="QJB5" s="190"/>
      <c r="QJC5" s="190"/>
      <c r="QJD5" s="190"/>
      <c r="QJE5" s="190"/>
      <c r="QJF5" s="190"/>
      <c r="QJG5" s="190"/>
      <c r="QJH5" s="190"/>
      <c r="QJI5" s="190"/>
      <c r="QJJ5" s="190"/>
      <c r="QJK5" s="190"/>
      <c r="QJL5" s="190"/>
      <c r="QJM5" s="190"/>
      <c r="QJN5" s="190"/>
      <c r="QJO5" s="190"/>
      <c r="QJP5" s="190"/>
      <c r="QJQ5" s="190"/>
      <c r="QJR5" s="190"/>
      <c r="QJS5" s="190"/>
      <c r="QJT5" s="190"/>
      <c r="QJU5" s="190"/>
      <c r="QJV5" s="190"/>
      <c r="QJW5" s="190"/>
      <c r="QJX5" s="190"/>
      <c r="QJY5" s="190"/>
      <c r="QJZ5" s="190"/>
      <c r="QKA5" s="190"/>
      <c r="QKB5" s="190"/>
      <c r="QKC5" s="190"/>
      <c r="QKD5" s="190"/>
      <c r="QKE5" s="190"/>
      <c r="QKF5" s="190"/>
      <c r="QKG5" s="190"/>
      <c r="QKH5" s="190"/>
      <c r="QKI5" s="190"/>
      <c r="QKJ5" s="190"/>
      <c r="QKK5" s="190"/>
      <c r="QKL5" s="190"/>
      <c r="QKM5" s="190"/>
      <c r="QKN5" s="190"/>
      <c r="QKO5" s="190"/>
      <c r="QKP5" s="190"/>
      <c r="QKQ5" s="190"/>
      <c r="QKR5" s="190"/>
      <c r="QKS5" s="190"/>
      <c r="QKT5" s="190"/>
      <c r="QKU5" s="190"/>
      <c r="QKV5" s="190"/>
      <c r="QKW5" s="190"/>
      <c r="QKX5" s="190"/>
      <c r="QKY5" s="190"/>
      <c r="QKZ5" s="190"/>
      <c r="QLA5" s="190"/>
      <c r="QLB5" s="190"/>
      <c r="QLC5" s="190"/>
      <c r="QLD5" s="190"/>
      <c r="QLE5" s="190"/>
      <c r="QLF5" s="190"/>
      <c r="QLG5" s="190"/>
      <c r="QLH5" s="190"/>
      <c r="QLI5" s="190"/>
      <c r="QLJ5" s="190"/>
      <c r="QLK5" s="190"/>
      <c r="QLL5" s="190"/>
      <c r="QLM5" s="190"/>
      <c r="QLN5" s="190"/>
      <c r="QLO5" s="190"/>
      <c r="QLP5" s="190"/>
      <c r="QLQ5" s="190"/>
      <c r="QLR5" s="190"/>
      <c r="QLS5" s="190"/>
      <c r="QLT5" s="190"/>
      <c r="QLU5" s="190"/>
      <c r="QLV5" s="190"/>
      <c r="QLW5" s="190"/>
      <c r="QLX5" s="190"/>
      <c r="QLY5" s="190"/>
      <c r="QLZ5" s="190"/>
      <c r="QMA5" s="190"/>
      <c r="QMB5" s="190"/>
      <c r="QMC5" s="190"/>
      <c r="QMD5" s="190"/>
      <c r="QME5" s="190"/>
      <c r="QMF5" s="190"/>
      <c r="QMG5" s="190"/>
      <c r="QMH5" s="190"/>
      <c r="QMI5" s="190"/>
      <c r="QMJ5" s="190"/>
      <c r="QMK5" s="190"/>
      <c r="QML5" s="190"/>
      <c r="QMM5" s="190"/>
      <c r="QMN5" s="190"/>
      <c r="QMO5" s="190"/>
      <c r="QMP5" s="190"/>
      <c r="QMQ5" s="190"/>
      <c r="QMR5" s="190"/>
      <c r="QMS5" s="190"/>
      <c r="QMT5" s="190"/>
      <c r="QMU5" s="190"/>
      <c r="QMV5" s="190"/>
      <c r="QMW5" s="190"/>
      <c r="QMX5" s="190"/>
      <c r="QMY5" s="190"/>
      <c r="QMZ5" s="190"/>
      <c r="QNA5" s="190"/>
      <c r="QNB5" s="190"/>
      <c r="QNC5" s="190"/>
      <c r="QND5" s="190"/>
      <c r="QNE5" s="190"/>
      <c r="QNF5" s="190"/>
      <c r="QNG5" s="190"/>
      <c r="QNH5" s="190"/>
      <c r="QNI5" s="190"/>
      <c r="QNJ5" s="190"/>
      <c r="QNK5" s="190"/>
      <c r="QNL5" s="190"/>
      <c r="QNM5" s="190"/>
      <c r="QNN5" s="190"/>
      <c r="QNO5" s="190"/>
      <c r="QNP5" s="190"/>
      <c r="QNQ5" s="190"/>
      <c r="QNR5" s="190"/>
      <c r="QNS5" s="190"/>
      <c r="QNT5" s="190"/>
      <c r="QNU5" s="190"/>
      <c r="QNV5" s="190"/>
      <c r="QNW5" s="190"/>
      <c r="QNX5" s="190"/>
      <c r="QNY5" s="190"/>
      <c r="QNZ5" s="190"/>
      <c r="QOA5" s="190"/>
      <c r="QOB5" s="190"/>
      <c r="QOC5" s="190"/>
      <c r="QOD5" s="190"/>
      <c r="QOE5" s="190"/>
      <c r="QOF5" s="190"/>
      <c r="QOG5" s="190"/>
      <c r="QOH5" s="190"/>
      <c r="QOI5" s="190"/>
      <c r="QOJ5" s="190"/>
      <c r="QOK5" s="190"/>
      <c r="QOL5" s="190"/>
      <c r="QOM5" s="190"/>
      <c r="QON5" s="190"/>
      <c r="QOO5" s="190"/>
      <c r="QOP5" s="190"/>
      <c r="QOQ5" s="190"/>
      <c r="QOR5" s="190"/>
      <c r="QOS5" s="190"/>
      <c r="QOT5" s="190"/>
      <c r="QOU5" s="190"/>
      <c r="QOV5" s="190"/>
      <c r="QOW5" s="190"/>
      <c r="QOX5" s="190"/>
      <c r="QOY5" s="190"/>
      <c r="QOZ5" s="190"/>
      <c r="QPA5" s="190"/>
      <c r="QPB5" s="190"/>
      <c r="QPC5" s="190"/>
      <c r="QPD5" s="190"/>
      <c r="QPE5" s="190"/>
      <c r="QPF5" s="190"/>
      <c r="QPG5" s="190"/>
      <c r="QPH5" s="190"/>
      <c r="QPI5" s="190"/>
      <c r="QPJ5" s="190"/>
      <c r="QPK5" s="190"/>
      <c r="QPL5" s="190"/>
      <c r="QPM5" s="190"/>
      <c r="QPN5" s="190"/>
      <c r="QPO5" s="190"/>
      <c r="QPP5" s="190"/>
      <c r="QPQ5" s="190"/>
      <c r="QPR5" s="190"/>
      <c r="QPS5" s="190"/>
      <c r="QPT5" s="190"/>
      <c r="QPU5" s="190"/>
      <c r="QPV5" s="190"/>
      <c r="QPW5" s="190"/>
      <c r="QPX5" s="190"/>
      <c r="QPY5" s="190"/>
      <c r="QPZ5" s="190"/>
      <c r="QQA5" s="190"/>
      <c r="QQB5" s="190"/>
      <c r="QQC5" s="190"/>
      <c r="QQD5" s="190"/>
      <c r="QQE5" s="190"/>
      <c r="QQF5" s="190"/>
      <c r="QQG5" s="190"/>
      <c r="QQH5" s="190"/>
      <c r="QQI5" s="190"/>
      <c r="QQJ5" s="190"/>
      <c r="QQK5" s="190"/>
      <c r="QQL5" s="190"/>
      <c r="QQM5" s="190"/>
      <c r="QQN5" s="190"/>
      <c r="QQO5" s="190"/>
      <c r="QQP5" s="190"/>
      <c r="QQQ5" s="190"/>
      <c r="QQR5" s="190"/>
      <c r="QQS5" s="190"/>
      <c r="QQT5" s="190"/>
      <c r="QQU5" s="190"/>
      <c r="QQV5" s="190"/>
      <c r="QQW5" s="190"/>
      <c r="QQX5" s="190"/>
      <c r="QQY5" s="190"/>
      <c r="QQZ5" s="190"/>
      <c r="QRA5" s="190"/>
      <c r="QRB5" s="190"/>
      <c r="QRC5" s="190"/>
      <c r="QRD5" s="190"/>
      <c r="QRE5" s="190"/>
      <c r="QRF5" s="190"/>
      <c r="QRG5" s="190"/>
      <c r="QRH5" s="190"/>
      <c r="QRI5" s="190"/>
      <c r="QRJ5" s="190"/>
      <c r="QRK5" s="190"/>
      <c r="QRL5" s="190"/>
      <c r="QRM5" s="190"/>
      <c r="QRN5" s="190"/>
      <c r="QRO5" s="190"/>
      <c r="QRP5" s="190"/>
      <c r="QRQ5" s="190"/>
      <c r="QRR5" s="190"/>
      <c r="QRS5" s="190"/>
      <c r="QRT5" s="190"/>
      <c r="QRU5" s="190"/>
      <c r="QRV5" s="190"/>
      <c r="QRW5" s="190"/>
      <c r="QRX5" s="190"/>
      <c r="QRY5" s="190"/>
      <c r="QRZ5" s="190"/>
      <c r="QSA5" s="190"/>
      <c r="QSB5" s="190"/>
      <c r="QSC5" s="190"/>
      <c r="QSD5" s="190"/>
      <c r="QSE5" s="190"/>
      <c r="QSF5" s="190"/>
      <c r="QSG5" s="190"/>
      <c r="QSH5" s="190"/>
      <c r="QSI5" s="190"/>
      <c r="QSJ5" s="190"/>
      <c r="QSK5" s="190"/>
      <c r="QSL5" s="190"/>
      <c r="QSM5" s="190"/>
      <c r="QSN5" s="190"/>
      <c r="QSO5" s="190"/>
      <c r="QSP5" s="190"/>
      <c r="QSQ5" s="190"/>
      <c r="QSR5" s="190"/>
      <c r="QSS5" s="190"/>
      <c r="QST5" s="190"/>
      <c r="QSU5" s="190"/>
      <c r="QSV5" s="190"/>
      <c r="QSW5" s="190"/>
      <c r="QSX5" s="190"/>
      <c r="QSY5" s="190"/>
      <c r="QSZ5" s="190"/>
      <c r="QTA5" s="190"/>
      <c r="QTB5" s="190"/>
      <c r="QTC5" s="190"/>
      <c r="QTD5" s="190"/>
      <c r="QTE5" s="190"/>
      <c r="QTF5" s="190"/>
      <c r="QTG5" s="190"/>
      <c r="QTH5" s="190"/>
      <c r="QTI5" s="190"/>
      <c r="QTJ5" s="190"/>
      <c r="QTK5" s="190"/>
      <c r="QTL5" s="190"/>
      <c r="QTM5" s="190"/>
      <c r="QTN5" s="190"/>
      <c r="QTO5" s="190"/>
      <c r="QTP5" s="190"/>
      <c r="QTQ5" s="190"/>
      <c r="QTR5" s="190"/>
      <c r="QTS5" s="190"/>
      <c r="QTT5" s="190"/>
      <c r="QTU5" s="190"/>
      <c r="QTV5" s="190"/>
      <c r="QTW5" s="190"/>
      <c r="QTX5" s="190"/>
      <c r="QTY5" s="190"/>
      <c r="QTZ5" s="190"/>
      <c r="QUA5" s="190"/>
      <c r="QUB5" s="190"/>
      <c r="QUC5" s="190"/>
      <c r="QUD5" s="190"/>
      <c r="QUE5" s="190"/>
      <c r="QUF5" s="190"/>
      <c r="QUG5" s="190"/>
      <c r="QUH5" s="190"/>
      <c r="QUI5" s="190"/>
      <c r="QUJ5" s="190"/>
      <c r="QUK5" s="190"/>
      <c r="QUL5" s="190"/>
      <c r="QUM5" s="190"/>
      <c r="QUN5" s="190"/>
      <c r="QUO5" s="190"/>
      <c r="QUP5" s="190"/>
      <c r="QUQ5" s="190"/>
      <c r="QUR5" s="190"/>
      <c r="QUS5" s="190"/>
      <c r="QUT5" s="190"/>
      <c r="QUU5" s="190"/>
      <c r="QUV5" s="190"/>
      <c r="QUW5" s="190"/>
      <c r="QUX5" s="190"/>
      <c r="QUY5" s="190"/>
      <c r="QUZ5" s="190"/>
      <c r="QVA5" s="190"/>
      <c r="QVB5" s="190"/>
      <c r="QVC5" s="190"/>
      <c r="QVD5" s="190"/>
      <c r="QVE5" s="190"/>
      <c r="QVF5" s="190"/>
      <c r="QVG5" s="190"/>
      <c r="QVH5" s="190"/>
      <c r="QVI5" s="190"/>
      <c r="QVJ5" s="190"/>
      <c r="QVK5" s="190"/>
      <c r="QVL5" s="190"/>
      <c r="QVM5" s="190"/>
      <c r="QVN5" s="190"/>
      <c r="QVO5" s="190"/>
      <c r="QVP5" s="190"/>
      <c r="QVQ5" s="190"/>
      <c r="QVR5" s="190"/>
      <c r="QVS5" s="190"/>
      <c r="QVT5" s="190"/>
      <c r="QVU5" s="190"/>
      <c r="QVV5" s="190"/>
      <c r="QVW5" s="190"/>
      <c r="QVX5" s="190"/>
      <c r="QVY5" s="190"/>
      <c r="QVZ5" s="190"/>
      <c r="QWA5" s="190"/>
      <c r="QWB5" s="190"/>
      <c r="QWC5" s="190"/>
      <c r="QWD5" s="190"/>
      <c r="QWE5" s="190"/>
      <c r="QWF5" s="190"/>
      <c r="QWG5" s="190"/>
      <c r="QWH5" s="190"/>
      <c r="QWI5" s="190"/>
      <c r="QWJ5" s="190"/>
      <c r="QWK5" s="190"/>
      <c r="QWL5" s="190"/>
      <c r="QWM5" s="190"/>
      <c r="QWN5" s="190"/>
      <c r="QWO5" s="190"/>
      <c r="QWP5" s="190"/>
      <c r="QWQ5" s="190"/>
      <c r="QWR5" s="190"/>
      <c r="QWS5" s="190"/>
      <c r="QWT5" s="190"/>
      <c r="QWU5" s="190"/>
      <c r="QWV5" s="190"/>
      <c r="QWW5" s="190"/>
      <c r="QWX5" s="190"/>
      <c r="QWY5" s="190"/>
      <c r="QWZ5" s="190"/>
      <c r="QXA5" s="190"/>
      <c r="QXB5" s="190"/>
      <c r="QXC5" s="190"/>
      <c r="QXD5" s="190"/>
      <c r="QXE5" s="190"/>
      <c r="QXF5" s="190"/>
      <c r="QXG5" s="190"/>
      <c r="QXH5" s="190"/>
      <c r="QXI5" s="190"/>
      <c r="QXJ5" s="190"/>
      <c r="QXK5" s="190"/>
      <c r="QXL5" s="190"/>
      <c r="QXM5" s="190"/>
      <c r="QXN5" s="190"/>
      <c r="QXO5" s="190"/>
      <c r="QXP5" s="190"/>
      <c r="QXQ5" s="190"/>
      <c r="QXR5" s="190"/>
      <c r="QXS5" s="190"/>
      <c r="QXT5" s="190"/>
      <c r="QXU5" s="190"/>
      <c r="QXV5" s="190"/>
      <c r="QXW5" s="190"/>
      <c r="QXX5" s="190"/>
      <c r="QXY5" s="190"/>
      <c r="QXZ5" s="190"/>
      <c r="QYA5" s="190"/>
      <c r="QYB5" s="190"/>
      <c r="QYC5" s="190"/>
      <c r="QYD5" s="190"/>
      <c r="QYE5" s="190"/>
      <c r="QYF5" s="190"/>
      <c r="QYG5" s="190"/>
      <c r="QYH5" s="190"/>
      <c r="QYI5" s="190"/>
      <c r="QYJ5" s="190"/>
      <c r="QYK5" s="190"/>
      <c r="QYL5" s="190"/>
      <c r="QYM5" s="190"/>
      <c r="QYN5" s="190"/>
      <c r="QYO5" s="190"/>
      <c r="QYP5" s="190"/>
      <c r="QYQ5" s="190"/>
      <c r="QYR5" s="190"/>
      <c r="QYS5" s="190"/>
      <c r="QYT5" s="190"/>
      <c r="QYU5" s="190"/>
      <c r="QYV5" s="190"/>
      <c r="QYW5" s="190"/>
      <c r="QYX5" s="190"/>
      <c r="QYY5" s="190"/>
      <c r="QYZ5" s="190"/>
      <c r="QZA5" s="190"/>
      <c r="QZB5" s="190"/>
      <c r="QZC5" s="190"/>
      <c r="QZD5" s="190"/>
      <c r="QZE5" s="190"/>
      <c r="QZF5" s="190"/>
      <c r="QZG5" s="190"/>
      <c r="QZH5" s="190"/>
      <c r="QZI5" s="190"/>
      <c r="QZJ5" s="190"/>
      <c r="QZK5" s="190"/>
      <c r="QZL5" s="190"/>
      <c r="QZM5" s="190"/>
      <c r="QZN5" s="190"/>
      <c r="QZO5" s="190"/>
      <c r="QZP5" s="190"/>
      <c r="QZQ5" s="190"/>
      <c r="QZR5" s="190"/>
      <c r="QZS5" s="190"/>
      <c r="QZT5" s="190"/>
      <c r="QZU5" s="190"/>
      <c r="QZV5" s="190"/>
      <c r="QZW5" s="190"/>
      <c r="QZX5" s="190"/>
      <c r="QZY5" s="190"/>
      <c r="QZZ5" s="190"/>
      <c r="RAA5" s="190"/>
      <c r="RAB5" s="190"/>
      <c r="RAC5" s="190"/>
      <c r="RAD5" s="190"/>
      <c r="RAE5" s="190"/>
      <c r="RAF5" s="190"/>
      <c r="RAG5" s="190"/>
      <c r="RAH5" s="190"/>
      <c r="RAI5" s="190"/>
      <c r="RAJ5" s="190"/>
      <c r="RAK5" s="190"/>
      <c r="RAL5" s="190"/>
      <c r="RAM5" s="190"/>
      <c r="RAN5" s="190"/>
      <c r="RAO5" s="190"/>
      <c r="RAP5" s="190"/>
      <c r="RAQ5" s="190"/>
      <c r="RAR5" s="190"/>
      <c r="RAS5" s="190"/>
      <c r="RAT5" s="190"/>
      <c r="RAU5" s="190"/>
      <c r="RAV5" s="190"/>
      <c r="RAW5" s="190"/>
      <c r="RAX5" s="190"/>
      <c r="RAY5" s="190"/>
      <c r="RAZ5" s="190"/>
      <c r="RBA5" s="190"/>
      <c r="RBB5" s="190"/>
      <c r="RBC5" s="190"/>
      <c r="RBD5" s="190"/>
      <c r="RBE5" s="190"/>
      <c r="RBF5" s="190"/>
      <c r="RBG5" s="190"/>
      <c r="RBH5" s="190"/>
      <c r="RBI5" s="190"/>
      <c r="RBJ5" s="190"/>
      <c r="RBK5" s="190"/>
      <c r="RBL5" s="190"/>
      <c r="RBM5" s="190"/>
      <c r="RBN5" s="190"/>
      <c r="RBO5" s="190"/>
      <c r="RBP5" s="190"/>
      <c r="RBQ5" s="190"/>
      <c r="RBR5" s="190"/>
      <c r="RBS5" s="190"/>
      <c r="RBT5" s="190"/>
      <c r="RBU5" s="190"/>
      <c r="RBV5" s="190"/>
      <c r="RBW5" s="190"/>
      <c r="RBX5" s="190"/>
      <c r="RBY5" s="190"/>
      <c r="RBZ5" s="190"/>
      <c r="RCA5" s="190"/>
      <c r="RCB5" s="190"/>
      <c r="RCC5" s="190"/>
      <c r="RCD5" s="190"/>
      <c r="RCE5" s="190"/>
      <c r="RCF5" s="190"/>
      <c r="RCG5" s="190"/>
      <c r="RCH5" s="190"/>
      <c r="RCI5" s="190"/>
      <c r="RCJ5" s="190"/>
      <c r="RCK5" s="190"/>
      <c r="RCL5" s="190"/>
      <c r="RCM5" s="190"/>
      <c r="RCN5" s="190"/>
      <c r="RCO5" s="190"/>
      <c r="RCP5" s="190"/>
      <c r="RCQ5" s="190"/>
      <c r="RCR5" s="190"/>
      <c r="RCS5" s="190"/>
      <c r="RCT5" s="190"/>
      <c r="RCU5" s="190"/>
      <c r="RCV5" s="190"/>
      <c r="RCW5" s="190"/>
      <c r="RCX5" s="190"/>
      <c r="RCY5" s="190"/>
      <c r="RCZ5" s="190"/>
      <c r="RDA5" s="190"/>
      <c r="RDB5" s="190"/>
      <c r="RDC5" s="190"/>
      <c r="RDD5" s="190"/>
      <c r="RDE5" s="190"/>
      <c r="RDF5" s="190"/>
      <c r="RDG5" s="190"/>
      <c r="RDH5" s="190"/>
      <c r="RDI5" s="190"/>
      <c r="RDJ5" s="190"/>
      <c r="RDK5" s="190"/>
      <c r="RDL5" s="190"/>
      <c r="RDM5" s="190"/>
      <c r="RDN5" s="190"/>
      <c r="RDO5" s="190"/>
      <c r="RDP5" s="190"/>
      <c r="RDQ5" s="190"/>
      <c r="RDR5" s="190"/>
      <c r="RDS5" s="190"/>
      <c r="RDT5" s="190"/>
      <c r="RDU5" s="190"/>
      <c r="RDV5" s="190"/>
      <c r="RDW5" s="190"/>
      <c r="RDX5" s="190"/>
      <c r="RDY5" s="190"/>
      <c r="RDZ5" s="190"/>
      <c r="REA5" s="190"/>
      <c r="REB5" s="190"/>
      <c r="REC5" s="190"/>
      <c r="RED5" s="190"/>
      <c r="REE5" s="190"/>
      <c r="REF5" s="190"/>
      <c r="REG5" s="190"/>
      <c r="REH5" s="190"/>
      <c r="REI5" s="190"/>
      <c r="REJ5" s="190"/>
      <c r="REK5" s="190"/>
      <c r="REL5" s="190"/>
      <c r="REM5" s="190"/>
      <c r="REN5" s="190"/>
      <c r="REO5" s="190"/>
      <c r="REP5" s="190"/>
      <c r="REQ5" s="190"/>
      <c r="RER5" s="190"/>
      <c r="RES5" s="190"/>
      <c r="RET5" s="190"/>
      <c r="REU5" s="190"/>
      <c r="REV5" s="190"/>
      <c r="REW5" s="190"/>
      <c r="REX5" s="190"/>
      <c r="REY5" s="190"/>
      <c r="REZ5" s="190"/>
      <c r="RFA5" s="190"/>
      <c r="RFB5" s="190"/>
      <c r="RFC5" s="190"/>
      <c r="RFD5" s="190"/>
      <c r="RFE5" s="190"/>
      <c r="RFF5" s="190"/>
      <c r="RFG5" s="190"/>
      <c r="RFH5" s="190"/>
      <c r="RFI5" s="190"/>
      <c r="RFJ5" s="190"/>
      <c r="RFK5" s="190"/>
      <c r="RFL5" s="190"/>
      <c r="RFM5" s="190"/>
      <c r="RFN5" s="190"/>
      <c r="RFO5" s="190"/>
      <c r="RFP5" s="190"/>
      <c r="RFQ5" s="190"/>
      <c r="RFR5" s="190"/>
      <c r="RFS5" s="190"/>
      <c r="RFT5" s="190"/>
      <c r="RFU5" s="190"/>
      <c r="RFV5" s="190"/>
      <c r="RFW5" s="190"/>
      <c r="RFX5" s="190"/>
      <c r="RFY5" s="190"/>
      <c r="RFZ5" s="190"/>
      <c r="RGA5" s="190"/>
      <c r="RGB5" s="190"/>
      <c r="RGC5" s="190"/>
      <c r="RGD5" s="190"/>
      <c r="RGE5" s="190"/>
      <c r="RGF5" s="190"/>
      <c r="RGG5" s="190"/>
      <c r="RGH5" s="190"/>
      <c r="RGI5" s="190"/>
      <c r="RGJ5" s="190"/>
      <c r="RGK5" s="190"/>
      <c r="RGL5" s="190"/>
      <c r="RGM5" s="190"/>
      <c r="RGN5" s="190"/>
      <c r="RGO5" s="190"/>
      <c r="RGP5" s="190"/>
      <c r="RGQ5" s="190"/>
      <c r="RGR5" s="190"/>
      <c r="RGS5" s="190"/>
      <c r="RGT5" s="190"/>
      <c r="RGU5" s="190"/>
      <c r="RGV5" s="190"/>
      <c r="RGW5" s="190"/>
      <c r="RGX5" s="190"/>
      <c r="RGY5" s="190"/>
      <c r="RGZ5" s="190"/>
      <c r="RHA5" s="190"/>
      <c r="RHB5" s="190"/>
      <c r="RHC5" s="190"/>
      <c r="RHD5" s="190"/>
      <c r="RHE5" s="190"/>
      <c r="RHF5" s="190"/>
      <c r="RHG5" s="190"/>
      <c r="RHH5" s="190"/>
      <c r="RHI5" s="190"/>
      <c r="RHJ5" s="190"/>
      <c r="RHK5" s="190"/>
      <c r="RHL5" s="190"/>
      <c r="RHM5" s="190"/>
      <c r="RHN5" s="190"/>
      <c r="RHO5" s="190"/>
      <c r="RHP5" s="190"/>
      <c r="RHQ5" s="190"/>
      <c r="RHR5" s="190"/>
      <c r="RHS5" s="190"/>
      <c r="RHT5" s="190"/>
      <c r="RHU5" s="190"/>
      <c r="RHV5" s="190"/>
      <c r="RHW5" s="190"/>
      <c r="RHX5" s="190"/>
      <c r="RHY5" s="190"/>
      <c r="RHZ5" s="190"/>
      <c r="RIA5" s="190"/>
      <c r="RIB5" s="190"/>
      <c r="RIC5" s="190"/>
      <c r="RID5" s="190"/>
      <c r="RIE5" s="190"/>
      <c r="RIF5" s="190"/>
      <c r="RIG5" s="190"/>
      <c r="RIH5" s="190"/>
      <c r="RII5" s="190"/>
      <c r="RIJ5" s="190"/>
      <c r="RIK5" s="190"/>
      <c r="RIL5" s="190"/>
      <c r="RIM5" s="190"/>
      <c r="RIN5" s="190"/>
      <c r="RIO5" s="190"/>
      <c r="RIP5" s="190"/>
      <c r="RIQ5" s="190"/>
      <c r="RIR5" s="190"/>
      <c r="RIS5" s="190"/>
      <c r="RIT5" s="190"/>
      <c r="RIU5" s="190"/>
      <c r="RIV5" s="190"/>
      <c r="RIW5" s="190"/>
      <c r="RIX5" s="190"/>
      <c r="RIY5" s="190"/>
      <c r="RIZ5" s="190"/>
      <c r="RJA5" s="190"/>
      <c r="RJB5" s="190"/>
      <c r="RJC5" s="190"/>
      <c r="RJD5" s="190"/>
      <c r="RJE5" s="190"/>
      <c r="RJF5" s="190"/>
      <c r="RJG5" s="190"/>
      <c r="RJH5" s="190"/>
      <c r="RJI5" s="190"/>
      <c r="RJJ5" s="190"/>
      <c r="RJK5" s="190"/>
      <c r="RJL5" s="190"/>
      <c r="RJM5" s="190"/>
      <c r="RJN5" s="190"/>
      <c r="RJO5" s="190"/>
      <c r="RJP5" s="190"/>
      <c r="RJQ5" s="190"/>
      <c r="RJR5" s="190"/>
      <c r="RJS5" s="190"/>
      <c r="RJT5" s="190"/>
      <c r="RJU5" s="190"/>
      <c r="RJV5" s="190"/>
      <c r="RJW5" s="190"/>
      <c r="RJX5" s="190"/>
      <c r="RJY5" s="190"/>
      <c r="RJZ5" s="190"/>
      <c r="RKA5" s="190"/>
      <c r="RKB5" s="190"/>
      <c r="RKC5" s="190"/>
      <c r="RKD5" s="190"/>
      <c r="RKE5" s="190"/>
      <c r="RKF5" s="190"/>
      <c r="RKG5" s="190"/>
      <c r="RKH5" s="190"/>
      <c r="RKI5" s="190"/>
      <c r="RKJ5" s="190"/>
      <c r="RKK5" s="190"/>
      <c r="RKL5" s="190"/>
      <c r="RKM5" s="190"/>
      <c r="RKN5" s="190"/>
      <c r="RKO5" s="190"/>
      <c r="RKP5" s="190"/>
      <c r="RKQ5" s="190"/>
      <c r="RKR5" s="190"/>
      <c r="RKS5" s="190"/>
      <c r="RKT5" s="190"/>
      <c r="RKU5" s="190"/>
      <c r="RKV5" s="190"/>
      <c r="RKW5" s="190"/>
      <c r="RKX5" s="190"/>
      <c r="RKY5" s="190"/>
      <c r="RKZ5" s="190"/>
      <c r="RLA5" s="190"/>
      <c r="RLB5" s="190"/>
      <c r="RLC5" s="190"/>
      <c r="RLD5" s="190"/>
      <c r="RLE5" s="190"/>
      <c r="RLF5" s="190"/>
      <c r="RLG5" s="190"/>
      <c r="RLH5" s="190"/>
      <c r="RLI5" s="190"/>
      <c r="RLJ5" s="190"/>
      <c r="RLK5" s="190"/>
      <c r="RLL5" s="190"/>
      <c r="RLM5" s="190"/>
      <c r="RLN5" s="190"/>
      <c r="RLO5" s="190"/>
      <c r="RLP5" s="190"/>
      <c r="RLQ5" s="190"/>
      <c r="RLR5" s="190"/>
      <c r="RLS5" s="190"/>
      <c r="RLT5" s="190"/>
      <c r="RLU5" s="190"/>
      <c r="RLV5" s="190"/>
      <c r="RLW5" s="190"/>
      <c r="RLX5" s="190"/>
      <c r="RLY5" s="190"/>
      <c r="RLZ5" s="190"/>
      <c r="RMA5" s="190"/>
      <c r="RMB5" s="190"/>
      <c r="RMC5" s="190"/>
      <c r="RMD5" s="190"/>
      <c r="RME5" s="190"/>
      <c r="RMF5" s="190"/>
      <c r="RMG5" s="190"/>
      <c r="RMH5" s="190"/>
      <c r="RMI5" s="190"/>
      <c r="RMJ5" s="190"/>
      <c r="RMK5" s="190"/>
      <c r="RML5" s="190"/>
      <c r="RMM5" s="190"/>
      <c r="RMN5" s="190"/>
      <c r="RMO5" s="190"/>
      <c r="RMP5" s="190"/>
      <c r="RMQ5" s="190"/>
      <c r="RMR5" s="190"/>
      <c r="RMS5" s="190"/>
      <c r="RMT5" s="190"/>
      <c r="RMU5" s="190"/>
      <c r="RMV5" s="190"/>
      <c r="RMW5" s="190"/>
      <c r="RMX5" s="190"/>
      <c r="RMY5" s="190"/>
      <c r="RMZ5" s="190"/>
      <c r="RNA5" s="190"/>
      <c r="RNB5" s="190"/>
      <c r="RNC5" s="190"/>
      <c r="RND5" s="190"/>
      <c r="RNE5" s="190"/>
      <c r="RNF5" s="190"/>
      <c r="RNG5" s="190"/>
      <c r="RNH5" s="190"/>
      <c r="RNI5" s="190"/>
      <c r="RNJ5" s="190"/>
      <c r="RNK5" s="190"/>
      <c r="RNL5" s="190"/>
      <c r="RNM5" s="190"/>
      <c r="RNN5" s="190"/>
      <c r="RNO5" s="190"/>
      <c r="RNP5" s="190"/>
      <c r="RNQ5" s="190"/>
      <c r="RNR5" s="190"/>
      <c r="RNS5" s="190"/>
      <c r="RNT5" s="190"/>
      <c r="RNU5" s="190"/>
      <c r="RNV5" s="190"/>
      <c r="RNW5" s="190"/>
      <c r="RNX5" s="190"/>
      <c r="RNY5" s="190"/>
      <c r="RNZ5" s="190"/>
      <c r="ROA5" s="190"/>
      <c r="ROB5" s="190"/>
      <c r="ROC5" s="190"/>
      <c r="ROD5" s="190"/>
      <c r="ROE5" s="190"/>
      <c r="ROF5" s="190"/>
      <c r="ROG5" s="190"/>
      <c r="ROH5" s="190"/>
      <c r="ROI5" s="190"/>
      <c r="ROJ5" s="190"/>
      <c r="ROK5" s="190"/>
      <c r="ROL5" s="190"/>
      <c r="ROM5" s="190"/>
      <c r="RON5" s="190"/>
      <c r="ROO5" s="190"/>
      <c r="ROP5" s="190"/>
      <c r="ROQ5" s="190"/>
      <c r="ROR5" s="190"/>
      <c r="ROS5" s="190"/>
      <c r="ROT5" s="190"/>
      <c r="ROU5" s="190"/>
      <c r="ROV5" s="190"/>
      <c r="ROW5" s="190"/>
      <c r="ROX5" s="190"/>
      <c r="ROY5" s="190"/>
      <c r="ROZ5" s="190"/>
      <c r="RPA5" s="190"/>
      <c r="RPB5" s="190"/>
      <c r="RPC5" s="190"/>
      <c r="RPD5" s="190"/>
      <c r="RPE5" s="190"/>
      <c r="RPF5" s="190"/>
      <c r="RPG5" s="190"/>
      <c r="RPH5" s="190"/>
      <c r="RPI5" s="190"/>
      <c r="RPJ5" s="190"/>
      <c r="RPK5" s="190"/>
      <c r="RPL5" s="190"/>
      <c r="RPM5" s="190"/>
      <c r="RPN5" s="190"/>
      <c r="RPO5" s="190"/>
      <c r="RPP5" s="190"/>
      <c r="RPQ5" s="190"/>
      <c r="RPR5" s="190"/>
      <c r="RPS5" s="190"/>
      <c r="RPT5" s="190"/>
      <c r="RPU5" s="190"/>
      <c r="RPV5" s="190"/>
      <c r="RPW5" s="190"/>
      <c r="RPX5" s="190"/>
      <c r="RPY5" s="190"/>
      <c r="RPZ5" s="190"/>
      <c r="RQA5" s="190"/>
      <c r="RQB5" s="190"/>
      <c r="RQC5" s="190"/>
      <c r="RQD5" s="190"/>
      <c r="RQE5" s="190"/>
      <c r="RQF5" s="190"/>
      <c r="RQG5" s="190"/>
      <c r="RQH5" s="190"/>
      <c r="RQI5" s="190"/>
      <c r="RQJ5" s="190"/>
      <c r="RQK5" s="190"/>
      <c r="RQL5" s="190"/>
      <c r="RQM5" s="190"/>
      <c r="RQN5" s="190"/>
      <c r="RQO5" s="190"/>
      <c r="RQP5" s="190"/>
      <c r="RQQ5" s="190"/>
      <c r="RQR5" s="190"/>
      <c r="RQS5" s="190"/>
      <c r="RQT5" s="190"/>
      <c r="RQU5" s="190"/>
      <c r="RQV5" s="190"/>
      <c r="RQW5" s="190"/>
      <c r="RQX5" s="190"/>
      <c r="RQY5" s="190"/>
      <c r="RQZ5" s="190"/>
      <c r="RRA5" s="190"/>
      <c r="RRB5" s="190"/>
      <c r="RRC5" s="190"/>
      <c r="RRD5" s="190"/>
      <c r="RRE5" s="190"/>
      <c r="RRF5" s="190"/>
      <c r="RRG5" s="190"/>
      <c r="RRH5" s="190"/>
      <c r="RRI5" s="190"/>
      <c r="RRJ5" s="190"/>
      <c r="RRK5" s="190"/>
      <c r="RRL5" s="190"/>
      <c r="RRM5" s="190"/>
      <c r="RRN5" s="190"/>
      <c r="RRO5" s="190"/>
      <c r="RRP5" s="190"/>
      <c r="RRQ5" s="190"/>
      <c r="RRR5" s="190"/>
      <c r="RRS5" s="190"/>
      <c r="RRT5" s="190"/>
      <c r="RRU5" s="190"/>
      <c r="RRV5" s="190"/>
      <c r="RRW5" s="190"/>
      <c r="RRX5" s="190"/>
      <c r="RRY5" s="190"/>
      <c r="RRZ5" s="190"/>
      <c r="RSA5" s="190"/>
      <c r="RSB5" s="190"/>
      <c r="RSC5" s="190"/>
      <c r="RSD5" s="190"/>
      <c r="RSE5" s="190"/>
      <c r="RSF5" s="190"/>
      <c r="RSG5" s="190"/>
      <c r="RSH5" s="190"/>
      <c r="RSI5" s="190"/>
      <c r="RSJ5" s="190"/>
      <c r="RSK5" s="190"/>
      <c r="RSL5" s="190"/>
      <c r="RSM5" s="190"/>
      <c r="RSN5" s="190"/>
      <c r="RSO5" s="190"/>
      <c r="RSP5" s="190"/>
      <c r="RSQ5" s="190"/>
      <c r="RSR5" s="190"/>
      <c r="RSS5" s="190"/>
      <c r="RST5" s="190"/>
      <c r="RSU5" s="190"/>
      <c r="RSV5" s="190"/>
      <c r="RSW5" s="190"/>
      <c r="RSX5" s="190"/>
      <c r="RSY5" s="190"/>
      <c r="RSZ5" s="190"/>
      <c r="RTA5" s="190"/>
      <c r="RTB5" s="190"/>
      <c r="RTC5" s="190"/>
      <c r="RTD5" s="190"/>
      <c r="RTE5" s="190"/>
      <c r="RTF5" s="190"/>
      <c r="RTG5" s="190"/>
      <c r="RTH5" s="190"/>
      <c r="RTI5" s="190"/>
      <c r="RTJ5" s="190"/>
      <c r="RTK5" s="190"/>
      <c r="RTL5" s="190"/>
      <c r="RTM5" s="190"/>
      <c r="RTN5" s="190"/>
      <c r="RTO5" s="190"/>
      <c r="RTP5" s="190"/>
      <c r="RTQ5" s="190"/>
      <c r="RTR5" s="190"/>
      <c r="RTS5" s="190"/>
      <c r="RTT5" s="190"/>
      <c r="RTU5" s="190"/>
      <c r="RTV5" s="190"/>
      <c r="RTW5" s="190"/>
      <c r="RTX5" s="190"/>
      <c r="RTY5" s="190"/>
      <c r="RTZ5" s="190"/>
      <c r="RUA5" s="190"/>
      <c r="RUB5" s="190"/>
      <c r="RUC5" s="190"/>
      <c r="RUD5" s="190"/>
      <c r="RUE5" s="190"/>
      <c r="RUF5" s="190"/>
      <c r="RUG5" s="190"/>
      <c r="RUH5" s="190"/>
      <c r="RUI5" s="190"/>
      <c r="RUJ5" s="190"/>
      <c r="RUK5" s="190"/>
      <c r="RUL5" s="190"/>
      <c r="RUM5" s="190"/>
      <c r="RUN5" s="190"/>
      <c r="RUO5" s="190"/>
      <c r="RUP5" s="190"/>
      <c r="RUQ5" s="190"/>
      <c r="RUR5" s="190"/>
      <c r="RUS5" s="190"/>
      <c r="RUT5" s="190"/>
      <c r="RUU5" s="190"/>
      <c r="RUV5" s="190"/>
      <c r="RUW5" s="190"/>
      <c r="RUX5" s="190"/>
      <c r="RUY5" s="190"/>
      <c r="RUZ5" s="190"/>
      <c r="RVA5" s="190"/>
      <c r="RVB5" s="190"/>
      <c r="RVC5" s="190"/>
      <c r="RVD5" s="190"/>
      <c r="RVE5" s="190"/>
      <c r="RVF5" s="190"/>
      <c r="RVG5" s="190"/>
      <c r="RVH5" s="190"/>
      <c r="RVI5" s="190"/>
      <c r="RVJ5" s="190"/>
      <c r="RVK5" s="190"/>
      <c r="RVL5" s="190"/>
      <c r="RVM5" s="190"/>
      <c r="RVN5" s="190"/>
      <c r="RVO5" s="190"/>
      <c r="RVP5" s="190"/>
      <c r="RVQ5" s="190"/>
      <c r="RVR5" s="190"/>
      <c r="RVS5" s="190"/>
      <c r="RVT5" s="190"/>
      <c r="RVU5" s="190"/>
      <c r="RVV5" s="190"/>
      <c r="RVW5" s="190"/>
      <c r="RVX5" s="190"/>
      <c r="RVY5" s="190"/>
      <c r="RVZ5" s="190"/>
      <c r="RWA5" s="190"/>
      <c r="RWB5" s="190"/>
      <c r="RWC5" s="190"/>
      <c r="RWD5" s="190"/>
      <c r="RWE5" s="190"/>
      <c r="RWF5" s="190"/>
      <c r="RWG5" s="190"/>
      <c r="RWH5" s="190"/>
      <c r="RWI5" s="190"/>
      <c r="RWJ5" s="190"/>
      <c r="RWK5" s="190"/>
      <c r="RWL5" s="190"/>
      <c r="RWM5" s="190"/>
      <c r="RWN5" s="190"/>
      <c r="RWO5" s="190"/>
      <c r="RWP5" s="190"/>
      <c r="RWQ5" s="190"/>
      <c r="RWR5" s="190"/>
      <c r="RWS5" s="190"/>
      <c r="RWT5" s="190"/>
      <c r="RWU5" s="190"/>
      <c r="RWV5" s="190"/>
      <c r="RWW5" s="190"/>
      <c r="RWX5" s="190"/>
      <c r="RWY5" s="190"/>
      <c r="RWZ5" s="190"/>
      <c r="RXA5" s="190"/>
      <c r="RXB5" s="190"/>
      <c r="RXC5" s="190"/>
      <c r="RXD5" s="190"/>
      <c r="RXE5" s="190"/>
      <c r="RXF5" s="190"/>
      <c r="RXG5" s="190"/>
      <c r="RXH5" s="190"/>
      <c r="RXI5" s="190"/>
      <c r="RXJ5" s="190"/>
      <c r="RXK5" s="190"/>
      <c r="RXL5" s="190"/>
      <c r="RXM5" s="190"/>
      <c r="RXN5" s="190"/>
      <c r="RXO5" s="190"/>
      <c r="RXP5" s="190"/>
      <c r="RXQ5" s="190"/>
      <c r="RXR5" s="190"/>
      <c r="RXS5" s="190"/>
      <c r="RXT5" s="190"/>
      <c r="RXU5" s="190"/>
      <c r="RXV5" s="190"/>
      <c r="RXW5" s="190"/>
      <c r="RXX5" s="190"/>
      <c r="RXY5" s="190"/>
      <c r="RXZ5" s="190"/>
      <c r="RYA5" s="190"/>
      <c r="RYB5" s="190"/>
      <c r="RYC5" s="190"/>
      <c r="RYD5" s="190"/>
      <c r="RYE5" s="190"/>
      <c r="RYF5" s="190"/>
      <c r="RYG5" s="190"/>
      <c r="RYH5" s="190"/>
      <c r="RYI5" s="190"/>
      <c r="RYJ5" s="190"/>
      <c r="RYK5" s="190"/>
      <c r="RYL5" s="190"/>
      <c r="RYM5" s="190"/>
      <c r="RYN5" s="190"/>
      <c r="RYO5" s="190"/>
      <c r="RYP5" s="190"/>
      <c r="RYQ5" s="190"/>
      <c r="RYR5" s="190"/>
      <c r="RYS5" s="190"/>
      <c r="RYT5" s="190"/>
      <c r="RYU5" s="190"/>
      <c r="RYV5" s="190"/>
      <c r="RYW5" s="190"/>
      <c r="RYX5" s="190"/>
      <c r="RYY5" s="190"/>
      <c r="RYZ5" s="190"/>
      <c r="RZA5" s="190"/>
      <c r="RZB5" s="190"/>
      <c r="RZC5" s="190"/>
      <c r="RZD5" s="190"/>
      <c r="RZE5" s="190"/>
      <c r="RZF5" s="190"/>
      <c r="RZG5" s="190"/>
      <c r="RZH5" s="190"/>
      <c r="RZI5" s="190"/>
      <c r="RZJ5" s="190"/>
      <c r="RZK5" s="190"/>
      <c r="RZL5" s="190"/>
      <c r="RZM5" s="190"/>
      <c r="RZN5" s="190"/>
      <c r="RZO5" s="190"/>
      <c r="RZP5" s="190"/>
      <c r="RZQ5" s="190"/>
      <c r="RZR5" s="190"/>
      <c r="RZS5" s="190"/>
      <c r="RZT5" s="190"/>
      <c r="RZU5" s="190"/>
      <c r="RZV5" s="190"/>
      <c r="RZW5" s="190"/>
      <c r="RZX5" s="190"/>
      <c r="RZY5" s="190"/>
      <c r="RZZ5" s="190"/>
      <c r="SAA5" s="190"/>
      <c r="SAB5" s="190"/>
      <c r="SAC5" s="190"/>
      <c r="SAD5" s="190"/>
      <c r="SAE5" s="190"/>
      <c r="SAF5" s="190"/>
      <c r="SAG5" s="190"/>
      <c r="SAH5" s="190"/>
      <c r="SAI5" s="190"/>
      <c r="SAJ5" s="190"/>
      <c r="SAK5" s="190"/>
      <c r="SAL5" s="190"/>
      <c r="SAM5" s="190"/>
      <c r="SAN5" s="190"/>
      <c r="SAO5" s="190"/>
      <c r="SAP5" s="190"/>
      <c r="SAQ5" s="190"/>
      <c r="SAR5" s="190"/>
      <c r="SAS5" s="190"/>
      <c r="SAT5" s="190"/>
      <c r="SAU5" s="190"/>
      <c r="SAV5" s="190"/>
      <c r="SAW5" s="190"/>
      <c r="SAX5" s="190"/>
      <c r="SAY5" s="190"/>
      <c r="SAZ5" s="190"/>
      <c r="SBA5" s="190"/>
      <c r="SBB5" s="190"/>
      <c r="SBC5" s="190"/>
      <c r="SBD5" s="190"/>
      <c r="SBE5" s="190"/>
      <c r="SBF5" s="190"/>
      <c r="SBG5" s="190"/>
      <c r="SBH5" s="190"/>
      <c r="SBI5" s="190"/>
      <c r="SBJ5" s="190"/>
      <c r="SBK5" s="190"/>
      <c r="SBL5" s="190"/>
      <c r="SBM5" s="190"/>
      <c r="SBN5" s="190"/>
      <c r="SBO5" s="190"/>
      <c r="SBP5" s="190"/>
      <c r="SBQ5" s="190"/>
      <c r="SBR5" s="190"/>
      <c r="SBS5" s="190"/>
      <c r="SBT5" s="190"/>
      <c r="SBU5" s="190"/>
      <c r="SBV5" s="190"/>
      <c r="SBW5" s="190"/>
      <c r="SBX5" s="190"/>
      <c r="SBY5" s="190"/>
      <c r="SBZ5" s="190"/>
      <c r="SCA5" s="190"/>
      <c r="SCB5" s="190"/>
      <c r="SCC5" s="190"/>
      <c r="SCD5" s="190"/>
      <c r="SCE5" s="190"/>
      <c r="SCF5" s="190"/>
      <c r="SCG5" s="190"/>
      <c r="SCH5" s="190"/>
      <c r="SCI5" s="190"/>
      <c r="SCJ5" s="190"/>
      <c r="SCK5" s="190"/>
      <c r="SCL5" s="190"/>
      <c r="SCM5" s="190"/>
      <c r="SCN5" s="190"/>
      <c r="SCO5" s="190"/>
      <c r="SCP5" s="190"/>
      <c r="SCQ5" s="190"/>
      <c r="SCR5" s="190"/>
      <c r="SCS5" s="190"/>
      <c r="SCT5" s="190"/>
      <c r="SCU5" s="190"/>
      <c r="SCV5" s="190"/>
      <c r="SCW5" s="190"/>
      <c r="SCX5" s="190"/>
      <c r="SCY5" s="190"/>
      <c r="SCZ5" s="190"/>
      <c r="SDA5" s="190"/>
      <c r="SDB5" s="190"/>
      <c r="SDC5" s="190"/>
      <c r="SDD5" s="190"/>
      <c r="SDE5" s="190"/>
      <c r="SDF5" s="190"/>
      <c r="SDG5" s="190"/>
      <c r="SDH5" s="190"/>
      <c r="SDI5" s="190"/>
      <c r="SDJ5" s="190"/>
      <c r="SDK5" s="190"/>
      <c r="SDL5" s="190"/>
      <c r="SDM5" s="190"/>
      <c r="SDN5" s="190"/>
      <c r="SDO5" s="190"/>
      <c r="SDP5" s="190"/>
      <c r="SDQ5" s="190"/>
      <c r="SDR5" s="190"/>
      <c r="SDS5" s="190"/>
      <c r="SDT5" s="190"/>
      <c r="SDU5" s="190"/>
      <c r="SDV5" s="190"/>
      <c r="SDW5" s="190"/>
      <c r="SDX5" s="190"/>
      <c r="SDY5" s="190"/>
      <c r="SDZ5" s="190"/>
      <c r="SEA5" s="190"/>
      <c r="SEB5" s="190"/>
      <c r="SEC5" s="190"/>
      <c r="SED5" s="190"/>
      <c r="SEE5" s="190"/>
      <c r="SEF5" s="190"/>
      <c r="SEG5" s="190"/>
      <c r="SEH5" s="190"/>
      <c r="SEI5" s="190"/>
      <c r="SEJ5" s="190"/>
      <c r="SEK5" s="190"/>
      <c r="SEL5" s="190"/>
      <c r="SEM5" s="190"/>
      <c r="SEN5" s="190"/>
      <c r="SEO5" s="190"/>
      <c r="SEP5" s="190"/>
      <c r="SEQ5" s="190"/>
      <c r="SER5" s="190"/>
      <c r="SES5" s="190"/>
      <c r="SET5" s="190"/>
      <c r="SEU5" s="190"/>
      <c r="SEV5" s="190"/>
      <c r="SEW5" s="190"/>
      <c r="SEX5" s="190"/>
      <c r="SEY5" s="190"/>
      <c r="SEZ5" s="190"/>
      <c r="SFA5" s="190"/>
      <c r="SFB5" s="190"/>
      <c r="SFC5" s="190"/>
      <c r="SFD5" s="190"/>
      <c r="SFE5" s="190"/>
      <c r="SFF5" s="190"/>
      <c r="SFG5" s="190"/>
      <c r="SFH5" s="190"/>
      <c r="SFI5" s="190"/>
      <c r="SFJ5" s="190"/>
      <c r="SFK5" s="190"/>
      <c r="SFL5" s="190"/>
      <c r="SFM5" s="190"/>
      <c r="SFN5" s="190"/>
      <c r="SFO5" s="190"/>
      <c r="SFP5" s="190"/>
      <c r="SFQ5" s="190"/>
      <c r="SFR5" s="190"/>
      <c r="SFS5" s="190"/>
      <c r="SFT5" s="190"/>
      <c r="SFU5" s="190"/>
      <c r="SFV5" s="190"/>
      <c r="SFW5" s="190"/>
      <c r="SFX5" s="190"/>
      <c r="SFY5" s="190"/>
      <c r="SFZ5" s="190"/>
      <c r="SGA5" s="190"/>
      <c r="SGB5" s="190"/>
      <c r="SGC5" s="190"/>
      <c r="SGD5" s="190"/>
      <c r="SGE5" s="190"/>
      <c r="SGF5" s="190"/>
      <c r="SGG5" s="190"/>
      <c r="SGH5" s="190"/>
      <c r="SGI5" s="190"/>
      <c r="SGJ5" s="190"/>
      <c r="SGK5" s="190"/>
      <c r="SGL5" s="190"/>
      <c r="SGM5" s="190"/>
      <c r="SGN5" s="190"/>
      <c r="SGO5" s="190"/>
      <c r="SGP5" s="190"/>
      <c r="SGQ5" s="190"/>
      <c r="SGR5" s="190"/>
      <c r="SGS5" s="190"/>
      <c r="SGT5" s="190"/>
      <c r="SGU5" s="190"/>
      <c r="SGV5" s="190"/>
      <c r="SGW5" s="190"/>
      <c r="SGX5" s="190"/>
      <c r="SGY5" s="190"/>
      <c r="SGZ5" s="190"/>
      <c r="SHA5" s="190"/>
      <c r="SHB5" s="190"/>
      <c r="SHC5" s="190"/>
      <c r="SHD5" s="190"/>
      <c r="SHE5" s="190"/>
      <c r="SHF5" s="190"/>
      <c r="SHG5" s="190"/>
      <c r="SHH5" s="190"/>
      <c r="SHI5" s="190"/>
      <c r="SHJ5" s="190"/>
      <c r="SHK5" s="190"/>
      <c r="SHL5" s="190"/>
      <c r="SHM5" s="190"/>
      <c r="SHN5" s="190"/>
      <c r="SHO5" s="190"/>
      <c r="SHP5" s="190"/>
      <c r="SHQ5" s="190"/>
      <c r="SHR5" s="190"/>
      <c r="SHS5" s="190"/>
      <c r="SHT5" s="190"/>
      <c r="SHU5" s="190"/>
      <c r="SHV5" s="190"/>
      <c r="SHW5" s="190"/>
      <c r="SHX5" s="190"/>
      <c r="SHY5" s="190"/>
      <c r="SHZ5" s="190"/>
      <c r="SIA5" s="190"/>
      <c r="SIB5" s="190"/>
      <c r="SIC5" s="190"/>
      <c r="SID5" s="190"/>
      <c r="SIE5" s="190"/>
      <c r="SIF5" s="190"/>
      <c r="SIG5" s="190"/>
      <c r="SIH5" s="190"/>
      <c r="SII5" s="190"/>
      <c r="SIJ5" s="190"/>
      <c r="SIK5" s="190"/>
      <c r="SIL5" s="190"/>
      <c r="SIM5" s="190"/>
      <c r="SIN5" s="190"/>
      <c r="SIO5" s="190"/>
      <c r="SIP5" s="190"/>
      <c r="SIQ5" s="190"/>
      <c r="SIR5" s="190"/>
      <c r="SIS5" s="190"/>
      <c r="SIT5" s="190"/>
      <c r="SIU5" s="190"/>
      <c r="SIV5" s="190"/>
      <c r="SIW5" s="190"/>
      <c r="SIX5" s="190"/>
      <c r="SIY5" s="190"/>
      <c r="SIZ5" s="190"/>
      <c r="SJA5" s="190"/>
      <c r="SJB5" s="190"/>
      <c r="SJC5" s="190"/>
      <c r="SJD5" s="190"/>
      <c r="SJE5" s="190"/>
      <c r="SJF5" s="190"/>
      <c r="SJG5" s="190"/>
      <c r="SJH5" s="190"/>
      <c r="SJI5" s="190"/>
      <c r="SJJ5" s="190"/>
      <c r="SJK5" s="190"/>
      <c r="SJL5" s="190"/>
      <c r="SJM5" s="190"/>
      <c r="SJN5" s="190"/>
      <c r="SJO5" s="190"/>
      <c r="SJP5" s="190"/>
      <c r="SJQ5" s="190"/>
      <c r="SJR5" s="190"/>
      <c r="SJS5" s="190"/>
      <c r="SJT5" s="190"/>
      <c r="SJU5" s="190"/>
      <c r="SJV5" s="190"/>
      <c r="SJW5" s="190"/>
      <c r="SJX5" s="190"/>
      <c r="SJY5" s="190"/>
      <c r="SJZ5" s="190"/>
      <c r="SKA5" s="190"/>
      <c r="SKB5" s="190"/>
      <c r="SKC5" s="190"/>
      <c r="SKD5" s="190"/>
      <c r="SKE5" s="190"/>
      <c r="SKF5" s="190"/>
      <c r="SKG5" s="190"/>
      <c r="SKH5" s="190"/>
      <c r="SKI5" s="190"/>
      <c r="SKJ5" s="190"/>
      <c r="SKK5" s="190"/>
      <c r="SKL5" s="190"/>
      <c r="SKM5" s="190"/>
      <c r="SKN5" s="190"/>
      <c r="SKO5" s="190"/>
      <c r="SKP5" s="190"/>
      <c r="SKQ5" s="190"/>
      <c r="SKR5" s="190"/>
      <c r="SKS5" s="190"/>
      <c r="SKT5" s="190"/>
      <c r="SKU5" s="190"/>
      <c r="SKV5" s="190"/>
      <c r="SKW5" s="190"/>
      <c r="SKX5" s="190"/>
      <c r="SKY5" s="190"/>
      <c r="SKZ5" s="190"/>
      <c r="SLA5" s="190"/>
      <c r="SLB5" s="190"/>
      <c r="SLC5" s="190"/>
      <c r="SLD5" s="190"/>
      <c r="SLE5" s="190"/>
      <c r="SLF5" s="190"/>
      <c r="SLG5" s="190"/>
      <c r="SLH5" s="190"/>
      <c r="SLI5" s="190"/>
      <c r="SLJ5" s="190"/>
      <c r="SLK5" s="190"/>
      <c r="SLL5" s="190"/>
      <c r="SLM5" s="190"/>
      <c r="SLN5" s="190"/>
      <c r="SLO5" s="190"/>
      <c r="SLP5" s="190"/>
      <c r="SLQ5" s="190"/>
      <c r="SLR5" s="190"/>
      <c r="SLS5" s="190"/>
      <c r="SLT5" s="190"/>
      <c r="SLU5" s="190"/>
      <c r="SLV5" s="190"/>
      <c r="SLW5" s="190"/>
      <c r="SLX5" s="190"/>
      <c r="SLY5" s="190"/>
      <c r="SLZ5" s="190"/>
      <c r="SMA5" s="190"/>
      <c r="SMB5" s="190"/>
      <c r="SMC5" s="190"/>
      <c r="SMD5" s="190"/>
      <c r="SME5" s="190"/>
      <c r="SMF5" s="190"/>
      <c r="SMG5" s="190"/>
      <c r="SMH5" s="190"/>
      <c r="SMI5" s="190"/>
      <c r="SMJ5" s="190"/>
      <c r="SMK5" s="190"/>
      <c r="SML5" s="190"/>
      <c r="SMM5" s="190"/>
      <c r="SMN5" s="190"/>
      <c r="SMO5" s="190"/>
      <c r="SMP5" s="190"/>
      <c r="SMQ5" s="190"/>
      <c r="SMR5" s="190"/>
      <c r="SMS5" s="190"/>
      <c r="SMT5" s="190"/>
      <c r="SMU5" s="190"/>
      <c r="SMV5" s="190"/>
      <c r="SMW5" s="190"/>
      <c r="SMX5" s="190"/>
      <c r="SMY5" s="190"/>
      <c r="SMZ5" s="190"/>
      <c r="SNA5" s="190"/>
      <c r="SNB5" s="190"/>
      <c r="SNC5" s="190"/>
      <c r="SND5" s="190"/>
      <c r="SNE5" s="190"/>
      <c r="SNF5" s="190"/>
      <c r="SNG5" s="190"/>
      <c r="SNH5" s="190"/>
      <c r="SNI5" s="190"/>
      <c r="SNJ5" s="190"/>
      <c r="SNK5" s="190"/>
      <c r="SNL5" s="190"/>
      <c r="SNM5" s="190"/>
      <c r="SNN5" s="190"/>
      <c r="SNO5" s="190"/>
      <c r="SNP5" s="190"/>
      <c r="SNQ5" s="190"/>
      <c r="SNR5" s="190"/>
      <c r="SNS5" s="190"/>
      <c r="SNT5" s="190"/>
      <c r="SNU5" s="190"/>
      <c r="SNV5" s="190"/>
      <c r="SNW5" s="190"/>
      <c r="SNX5" s="190"/>
      <c r="SNY5" s="190"/>
      <c r="SNZ5" s="190"/>
      <c r="SOA5" s="190"/>
      <c r="SOB5" s="190"/>
      <c r="SOC5" s="190"/>
      <c r="SOD5" s="190"/>
      <c r="SOE5" s="190"/>
      <c r="SOF5" s="190"/>
      <c r="SOG5" s="190"/>
      <c r="SOH5" s="190"/>
      <c r="SOI5" s="190"/>
      <c r="SOJ5" s="190"/>
      <c r="SOK5" s="190"/>
      <c r="SOL5" s="190"/>
      <c r="SOM5" s="190"/>
      <c r="SON5" s="190"/>
      <c r="SOO5" s="190"/>
      <c r="SOP5" s="190"/>
      <c r="SOQ5" s="190"/>
      <c r="SOR5" s="190"/>
      <c r="SOS5" s="190"/>
      <c r="SOT5" s="190"/>
      <c r="SOU5" s="190"/>
      <c r="SOV5" s="190"/>
      <c r="SOW5" s="190"/>
      <c r="SOX5" s="190"/>
      <c r="SOY5" s="190"/>
      <c r="SOZ5" s="190"/>
      <c r="SPA5" s="190"/>
      <c r="SPB5" s="190"/>
      <c r="SPC5" s="190"/>
      <c r="SPD5" s="190"/>
      <c r="SPE5" s="190"/>
      <c r="SPF5" s="190"/>
      <c r="SPG5" s="190"/>
      <c r="SPH5" s="190"/>
      <c r="SPI5" s="190"/>
      <c r="SPJ5" s="190"/>
      <c r="SPK5" s="190"/>
      <c r="SPL5" s="190"/>
      <c r="SPM5" s="190"/>
      <c r="SPN5" s="190"/>
      <c r="SPO5" s="190"/>
      <c r="SPP5" s="190"/>
      <c r="SPQ5" s="190"/>
      <c r="SPR5" s="190"/>
      <c r="SPS5" s="190"/>
      <c r="SPT5" s="190"/>
      <c r="SPU5" s="190"/>
      <c r="SPV5" s="190"/>
      <c r="SPW5" s="190"/>
      <c r="SPX5" s="190"/>
      <c r="SPY5" s="190"/>
      <c r="SPZ5" s="190"/>
      <c r="SQA5" s="190"/>
      <c r="SQB5" s="190"/>
      <c r="SQC5" s="190"/>
      <c r="SQD5" s="190"/>
      <c r="SQE5" s="190"/>
      <c r="SQF5" s="190"/>
      <c r="SQG5" s="190"/>
      <c r="SQH5" s="190"/>
      <c r="SQI5" s="190"/>
      <c r="SQJ5" s="190"/>
      <c r="SQK5" s="190"/>
      <c r="SQL5" s="190"/>
      <c r="SQM5" s="190"/>
      <c r="SQN5" s="190"/>
      <c r="SQO5" s="190"/>
      <c r="SQP5" s="190"/>
      <c r="SQQ5" s="190"/>
      <c r="SQR5" s="190"/>
      <c r="SQS5" s="190"/>
      <c r="SQT5" s="190"/>
      <c r="SQU5" s="190"/>
      <c r="SQV5" s="190"/>
      <c r="SQW5" s="190"/>
      <c r="SQX5" s="190"/>
      <c r="SQY5" s="190"/>
      <c r="SQZ5" s="190"/>
      <c r="SRA5" s="190"/>
      <c r="SRB5" s="190"/>
      <c r="SRC5" s="190"/>
      <c r="SRD5" s="190"/>
      <c r="SRE5" s="190"/>
      <c r="SRF5" s="190"/>
      <c r="SRG5" s="190"/>
      <c r="SRH5" s="190"/>
      <c r="SRI5" s="190"/>
      <c r="SRJ5" s="190"/>
      <c r="SRK5" s="190"/>
      <c r="SRL5" s="190"/>
      <c r="SRM5" s="190"/>
      <c r="SRN5" s="190"/>
      <c r="SRO5" s="190"/>
      <c r="SRP5" s="190"/>
      <c r="SRQ5" s="190"/>
      <c r="SRR5" s="190"/>
      <c r="SRS5" s="190"/>
      <c r="SRT5" s="190"/>
      <c r="SRU5" s="190"/>
      <c r="SRV5" s="190"/>
      <c r="SRW5" s="190"/>
      <c r="SRX5" s="190"/>
      <c r="SRY5" s="190"/>
      <c r="SRZ5" s="190"/>
      <c r="SSA5" s="190"/>
      <c r="SSB5" s="190"/>
      <c r="SSC5" s="190"/>
      <c r="SSD5" s="190"/>
      <c r="SSE5" s="190"/>
      <c r="SSF5" s="190"/>
      <c r="SSG5" s="190"/>
      <c r="SSH5" s="190"/>
      <c r="SSI5" s="190"/>
      <c r="SSJ5" s="190"/>
      <c r="SSK5" s="190"/>
      <c r="SSL5" s="190"/>
      <c r="SSM5" s="190"/>
      <c r="SSN5" s="190"/>
      <c r="SSO5" s="190"/>
      <c r="SSP5" s="190"/>
      <c r="SSQ5" s="190"/>
      <c r="SSR5" s="190"/>
      <c r="SSS5" s="190"/>
      <c r="SST5" s="190"/>
      <c r="SSU5" s="190"/>
      <c r="SSV5" s="190"/>
      <c r="SSW5" s="190"/>
      <c r="SSX5" s="190"/>
      <c r="SSY5" s="190"/>
      <c r="SSZ5" s="190"/>
      <c r="STA5" s="190"/>
      <c r="STB5" s="190"/>
      <c r="STC5" s="190"/>
      <c r="STD5" s="190"/>
      <c r="STE5" s="190"/>
      <c r="STF5" s="190"/>
      <c r="STG5" s="190"/>
      <c r="STH5" s="190"/>
      <c r="STI5" s="190"/>
      <c r="STJ5" s="190"/>
      <c r="STK5" s="190"/>
      <c r="STL5" s="190"/>
      <c r="STM5" s="190"/>
      <c r="STN5" s="190"/>
      <c r="STO5" s="190"/>
      <c r="STP5" s="190"/>
      <c r="STQ5" s="190"/>
      <c r="STR5" s="190"/>
      <c r="STS5" s="190"/>
      <c r="STT5" s="190"/>
      <c r="STU5" s="190"/>
      <c r="STV5" s="190"/>
      <c r="STW5" s="190"/>
      <c r="STX5" s="190"/>
      <c r="STY5" s="190"/>
      <c r="STZ5" s="190"/>
      <c r="SUA5" s="190"/>
      <c r="SUB5" s="190"/>
      <c r="SUC5" s="190"/>
      <c r="SUD5" s="190"/>
      <c r="SUE5" s="190"/>
      <c r="SUF5" s="190"/>
      <c r="SUG5" s="190"/>
      <c r="SUH5" s="190"/>
      <c r="SUI5" s="190"/>
      <c r="SUJ5" s="190"/>
      <c r="SUK5" s="190"/>
      <c r="SUL5" s="190"/>
      <c r="SUM5" s="190"/>
      <c r="SUN5" s="190"/>
      <c r="SUO5" s="190"/>
      <c r="SUP5" s="190"/>
      <c r="SUQ5" s="190"/>
      <c r="SUR5" s="190"/>
      <c r="SUS5" s="190"/>
      <c r="SUT5" s="190"/>
      <c r="SUU5" s="190"/>
      <c r="SUV5" s="190"/>
      <c r="SUW5" s="190"/>
      <c r="SUX5" s="190"/>
      <c r="SUY5" s="190"/>
      <c r="SUZ5" s="190"/>
      <c r="SVA5" s="190"/>
      <c r="SVB5" s="190"/>
      <c r="SVC5" s="190"/>
      <c r="SVD5" s="190"/>
      <c r="SVE5" s="190"/>
      <c r="SVF5" s="190"/>
      <c r="SVG5" s="190"/>
      <c r="SVH5" s="190"/>
      <c r="SVI5" s="190"/>
      <c r="SVJ5" s="190"/>
      <c r="SVK5" s="190"/>
      <c r="SVL5" s="190"/>
      <c r="SVM5" s="190"/>
      <c r="SVN5" s="190"/>
      <c r="SVO5" s="190"/>
      <c r="SVP5" s="190"/>
      <c r="SVQ5" s="190"/>
      <c r="SVR5" s="190"/>
      <c r="SVS5" s="190"/>
      <c r="SVT5" s="190"/>
      <c r="SVU5" s="190"/>
      <c r="SVV5" s="190"/>
      <c r="SVW5" s="190"/>
      <c r="SVX5" s="190"/>
      <c r="SVY5" s="190"/>
      <c r="SVZ5" s="190"/>
      <c r="SWA5" s="190"/>
      <c r="SWB5" s="190"/>
      <c r="SWC5" s="190"/>
      <c r="SWD5" s="190"/>
      <c r="SWE5" s="190"/>
      <c r="SWF5" s="190"/>
      <c r="SWG5" s="190"/>
      <c r="SWH5" s="190"/>
      <c r="SWI5" s="190"/>
      <c r="SWJ5" s="190"/>
      <c r="SWK5" s="190"/>
      <c r="SWL5" s="190"/>
      <c r="SWM5" s="190"/>
      <c r="SWN5" s="190"/>
      <c r="SWO5" s="190"/>
      <c r="SWP5" s="190"/>
      <c r="SWQ5" s="190"/>
      <c r="SWR5" s="190"/>
      <c r="SWS5" s="190"/>
      <c r="SWT5" s="190"/>
      <c r="SWU5" s="190"/>
      <c r="SWV5" s="190"/>
      <c r="SWW5" s="190"/>
      <c r="SWX5" s="190"/>
      <c r="SWY5" s="190"/>
      <c r="SWZ5" s="190"/>
      <c r="SXA5" s="190"/>
      <c r="SXB5" s="190"/>
      <c r="SXC5" s="190"/>
      <c r="SXD5" s="190"/>
      <c r="SXE5" s="190"/>
      <c r="SXF5" s="190"/>
      <c r="SXG5" s="190"/>
      <c r="SXH5" s="190"/>
      <c r="SXI5" s="190"/>
      <c r="SXJ5" s="190"/>
      <c r="SXK5" s="190"/>
      <c r="SXL5" s="190"/>
      <c r="SXM5" s="190"/>
      <c r="SXN5" s="190"/>
      <c r="SXO5" s="190"/>
      <c r="SXP5" s="190"/>
      <c r="SXQ5" s="190"/>
      <c r="SXR5" s="190"/>
      <c r="SXS5" s="190"/>
      <c r="SXT5" s="190"/>
      <c r="SXU5" s="190"/>
      <c r="SXV5" s="190"/>
      <c r="SXW5" s="190"/>
      <c r="SXX5" s="190"/>
      <c r="SXY5" s="190"/>
      <c r="SXZ5" s="190"/>
      <c r="SYA5" s="190"/>
      <c r="SYB5" s="190"/>
      <c r="SYC5" s="190"/>
      <c r="SYD5" s="190"/>
      <c r="SYE5" s="190"/>
      <c r="SYF5" s="190"/>
      <c r="SYG5" s="190"/>
      <c r="SYH5" s="190"/>
      <c r="SYI5" s="190"/>
      <c r="SYJ5" s="190"/>
      <c r="SYK5" s="190"/>
      <c r="SYL5" s="190"/>
      <c r="SYM5" s="190"/>
      <c r="SYN5" s="190"/>
      <c r="SYO5" s="190"/>
      <c r="SYP5" s="190"/>
      <c r="SYQ5" s="190"/>
      <c r="SYR5" s="190"/>
      <c r="SYS5" s="190"/>
      <c r="SYT5" s="190"/>
      <c r="SYU5" s="190"/>
      <c r="SYV5" s="190"/>
      <c r="SYW5" s="190"/>
      <c r="SYX5" s="190"/>
      <c r="SYY5" s="190"/>
      <c r="SYZ5" s="190"/>
      <c r="SZA5" s="190"/>
      <c r="SZB5" s="190"/>
      <c r="SZC5" s="190"/>
      <c r="SZD5" s="190"/>
      <c r="SZE5" s="190"/>
      <c r="SZF5" s="190"/>
      <c r="SZG5" s="190"/>
      <c r="SZH5" s="190"/>
      <c r="SZI5" s="190"/>
      <c r="SZJ5" s="190"/>
      <c r="SZK5" s="190"/>
      <c r="SZL5" s="190"/>
      <c r="SZM5" s="190"/>
      <c r="SZN5" s="190"/>
      <c r="SZO5" s="190"/>
      <c r="SZP5" s="190"/>
      <c r="SZQ5" s="190"/>
      <c r="SZR5" s="190"/>
      <c r="SZS5" s="190"/>
      <c r="SZT5" s="190"/>
      <c r="SZU5" s="190"/>
      <c r="SZV5" s="190"/>
      <c r="SZW5" s="190"/>
      <c r="SZX5" s="190"/>
      <c r="SZY5" s="190"/>
      <c r="SZZ5" s="190"/>
      <c r="TAA5" s="190"/>
      <c r="TAB5" s="190"/>
      <c r="TAC5" s="190"/>
      <c r="TAD5" s="190"/>
      <c r="TAE5" s="190"/>
      <c r="TAF5" s="190"/>
      <c r="TAG5" s="190"/>
      <c r="TAH5" s="190"/>
      <c r="TAI5" s="190"/>
      <c r="TAJ5" s="190"/>
      <c r="TAK5" s="190"/>
      <c r="TAL5" s="190"/>
      <c r="TAM5" s="190"/>
      <c r="TAN5" s="190"/>
      <c r="TAO5" s="190"/>
      <c r="TAP5" s="190"/>
      <c r="TAQ5" s="190"/>
      <c r="TAR5" s="190"/>
      <c r="TAS5" s="190"/>
      <c r="TAT5" s="190"/>
      <c r="TAU5" s="190"/>
      <c r="TAV5" s="190"/>
      <c r="TAW5" s="190"/>
      <c r="TAX5" s="190"/>
      <c r="TAY5" s="190"/>
      <c r="TAZ5" s="190"/>
      <c r="TBA5" s="190"/>
      <c r="TBB5" s="190"/>
      <c r="TBC5" s="190"/>
      <c r="TBD5" s="190"/>
      <c r="TBE5" s="190"/>
      <c r="TBF5" s="190"/>
      <c r="TBG5" s="190"/>
      <c r="TBH5" s="190"/>
      <c r="TBI5" s="190"/>
      <c r="TBJ5" s="190"/>
      <c r="TBK5" s="190"/>
      <c r="TBL5" s="190"/>
      <c r="TBM5" s="190"/>
      <c r="TBN5" s="190"/>
      <c r="TBO5" s="190"/>
      <c r="TBP5" s="190"/>
      <c r="TBQ5" s="190"/>
      <c r="TBR5" s="190"/>
      <c r="TBS5" s="190"/>
      <c r="TBT5" s="190"/>
      <c r="TBU5" s="190"/>
      <c r="TBV5" s="190"/>
      <c r="TBW5" s="190"/>
      <c r="TBX5" s="190"/>
      <c r="TBY5" s="190"/>
      <c r="TBZ5" s="190"/>
      <c r="TCA5" s="190"/>
      <c r="TCB5" s="190"/>
      <c r="TCC5" s="190"/>
      <c r="TCD5" s="190"/>
      <c r="TCE5" s="190"/>
      <c r="TCF5" s="190"/>
      <c r="TCG5" s="190"/>
      <c r="TCH5" s="190"/>
      <c r="TCI5" s="190"/>
      <c r="TCJ5" s="190"/>
      <c r="TCK5" s="190"/>
      <c r="TCL5" s="190"/>
      <c r="TCM5" s="190"/>
      <c r="TCN5" s="190"/>
      <c r="TCO5" s="190"/>
      <c r="TCP5" s="190"/>
      <c r="TCQ5" s="190"/>
      <c r="TCR5" s="190"/>
      <c r="TCS5" s="190"/>
      <c r="TCT5" s="190"/>
      <c r="TCU5" s="190"/>
      <c r="TCV5" s="190"/>
      <c r="TCW5" s="190"/>
      <c r="TCX5" s="190"/>
      <c r="TCY5" s="190"/>
      <c r="TCZ5" s="190"/>
      <c r="TDA5" s="190"/>
      <c r="TDB5" s="190"/>
      <c r="TDC5" s="190"/>
      <c r="TDD5" s="190"/>
      <c r="TDE5" s="190"/>
      <c r="TDF5" s="190"/>
      <c r="TDG5" s="190"/>
      <c r="TDH5" s="190"/>
      <c r="TDI5" s="190"/>
      <c r="TDJ5" s="190"/>
      <c r="TDK5" s="190"/>
      <c r="TDL5" s="190"/>
      <c r="TDM5" s="190"/>
      <c r="TDN5" s="190"/>
      <c r="TDO5" s="190"/>
      <c r="TDP5" s="190"/>
      <c r="TDQ5" s="190"/>
      <c r="TDR5" s="190"/>
      <c r="TDS5" s="190"/>
      <c r="TDT5" s="190"/>
      <c r="TDU5" s="190"/>
      <c r="TDV5" s="190"/>
      <c r="TDW5" s="190"/>
      <c r="TDX5" s="190"/>
      <c r="TDY5" s="190"/>
      <c r="TDZ5" s="190"/>
      <c r="TEA5" s="190"/>
      <c r="TEB5" s="190"/>
      <c r="TEC5" s="190"/>
      <c r="TED5" s="190"/>
      <c r="TEE5" s="190"/>
      <c r="TEF5" s="190"/>
      <c r="TEG5" s="190"/>
      <c r="TEH5" s="190"/>
      <c r="TEI5" s="190"/>
      <c r="TEJ5" s="190"/>
      <c r="TEK5" s="190"/>
      <c r="TEL5" s="190"/>
      <c r="TEM5" s="190"/>
      <c r="TEN5" s="190"/>
      <c r="TEO5" s="190"/>
      <c r="TEP5" s="190"/>
      <c r="TEQ5" s="190"/>
      <c r="TER5" s="190"/>
      <c r="TES5" s="190"/>
      <c r="TET5" s="190"/>
      <c r="TEU5" s="190"/>
      <c r="TEV5" s="190"/>
      <c r="TEW5" s="190"/>
      <c r="TEX5" s="190"/>
      <c r="TEY5" s="190"/>
      <c r="TEZ5" s="190"/>
      <c r="TFA5" s="190"/>
      <c r="TFB5" s="190"/>
      <c r="TFC5" s="190"/>
      <c r="TFD5" s="190"/>
      <c r="TFE5" s="190"/>
      <c r="TFF5" s="190"/>
      <c r="TFG5" s="190"/>
      <c r="TFH5" s="190"/>
      <c r="TFI5" s="190"/>
      <c r="TFJ5" s="190"/>
      <c r="TFK5" s="190"/>
      <c r="TFL5" s="190"/>
      <c r="TFM5" s="190"/>
      <c r="TFN5" s="190"/>
      <c r="TFO5" s="190"/>
      <c r="TFP5" s="190"/>
      <c r="TFQ5" s="190"/>
      <c r="TFR5" s="190"/>
      <c r="TFS5" s="190"/>
      <c r="TFT5" s="190"/>
      <c r="TFU5" s="190"/>
      <c r="TFV5" s="190"/>
      <c r="TFW5" s="190"/>
      <c r="TFX5" s="190"/>
      <c r="TFY5" s="190"/>
      <c r="TFZ5" s="190"/>
      <c r="TGA5" s="190"/>
      <c r="TGB5" s="190"/>
      <c r="TGC5" s="190"/>
      <c r="TGD5" s="190"/>
      <c r="TGE5" s="190"/>
      <c r="TGF5" s="190"/>
      <c r="TGG5" s="190"/>
      <c r="TGH5" s="190"/>
      <c r="TGI5" s="190"/>
      <c r="TGJ5" s="190"/>
      <c r="TGK5" s="190"/>
      <c r="TGL5" s="190"/>
      <c r="TGM5" s="190"/>
      <c r="TGN5" s="190"/>
      <c r="TGO5" s="190"/>
      <c r="TGP5" s="190"/>
      <c r="TGQ5" s="190"/>
      <c r="TGR5" s="190"/>
      <c r="TGS5" s="190"/>
      <c r="TGT5" s="190"/>
      <c r="TGU5" s="190"/>
      <c r="TGV5" s="190"/>
      <c r="TGW5" s="190"/>
      <c r="TGX5" s="190"/>
      <c r="TGY5" s="190"/>
      <c r="TGZ5" s="190"/>
      <c r="THA5" s="190"/>
      <c r="THB5" s="190"/>
      <c r="THC5" s="190"/>
      <c r="THD5" s="190"/>
      <c r="THE5" s="190"/>
      <c r="THF5" s="190"/>
      <c r="THG5" s="190"/>
      <c r="THH5" s="190"/>
      <c r="THI5" s="190"/>
      <c r="THJ5" s="190"/>
      <c r="THK5" s="190"/>
      <c r="THL5" s="190"/>
      <c r="THM5" s="190"/>
      <c r="THN5" s="190"/>
      <c r="THO5" s="190"/>
      <c r="THP5" s="190"/>
      <c r="THQ5" s="190"/>
      <c r="THR5" s="190"/>
      <c r="THS5" s="190"/>
      <c r="THT5" s="190"/>
      <c r="THU5" s="190"/>
      <c r="THV5" s="190"/>
      <c r="THW5" s="190"/>
      <c r="THX5" s="190"/>
      <c r="THY5" s="190"/>
      <c r="THZ5" s="190"/>
      <c r="TIA5" s="190"/>
      <c r="TIB5" s="190"/>
      <c r="TIC5" s="190"/>
      <c r="TID5" s="190"/>
      <c r="TIE5" s="190"/>
      <c r="TIF5" s="190"/>
      <c r="TIG5" s="190"/>
      <c r="TIH5" s="190"/>
      <c r="TII5" s="190"/>
      <c r="TIJ5" s="190"/>
      <c r="TIK5" s="190"/>
      <c r="TIL5" s="190"/>
      <c r="TIM5" s="190"/>
      <c r="TIN5" s="190"/>
      <c r="TIO5" s="190"/>
      <c r="TIP5" s="190"/>
      <c r="TIQ5" s="190"/>
      <c r="TIR5" s="190"/>
      <c r="TIS5" s="190"/>
      <c r="TIT5" s="190"/>
      <c r="TIU5" s="190"/>
      <c r="TIV5" s="190"/>
      <c r="TIW5" s="190"/>
      <c r="TIX5" s="190"/>
      <c r="TIY5" s="190"/>
      <c r="TIZ5" s="190"/>
      <c r="TJA5" s="190"/>
      <c r="TJB5" s="190"/>
      <c r="TJC5" s="190"/>
      <c r="TJD5" s="190"/>
      <c r="TJE5" s="190"/>
      <c r="TJF5" s="190"/>
      <c r="TJG5" s="190"/>
      <c r="TJH5" s="190"/>
      <c r="TJI5" s="190"/>
      <c r="TJJ5" s="190"/>
      <c r="TJK5" s="190"/>
      <c r="TJL5" s="190"/>
      <c r="TJM5" s="190"/>
      <c r="TJN5" s="190"/>
      <c r="TJO5" s="190"/>
      <c r="TJP5" s="190"/>
      <c r="TJQ5" s="190"/>
      <c r="TJR5" s="190"/>
      <c r="TJS5" s="190"/>
      <c r="TJT5" s="190"/>
      <c r="TJU5" s="190"/>
      <c r="TJV5" s="190"/>
      <c r="TJW5" s="190"/>
      <c r="TJX5" s="190"/>
      <c r="TJY5" s="190"/>
      <c r="TJZ5" s="190"/>
      <c r="TKA5" s="190"/>
      <c r="TKB5" s="190"/>
      <c r="TKC5" s="190"/>
      <c r="TKD5" s="190"/>
      <c r="TKE5" s="190"/>
      <c r="TKF5" s="190"/>
      <c r="TKG5" s="190"/>
      <c r="TKH5" s="190"/>
      <c r="TKI5" s="190"/>
      <c r="TKJ5" s="190"/>
      <c r="TKK5" s="190"/>
      <c r="TKL5" s="190"/>
      <c r="TKM5" s="190"/>
      <c r="TKN5" s="190"/>
      <c r="TKO5" s="190"/>
      <c r="TKP5" s="190"/>
      <c r="TKQ5" s="190"/>
      <c r="TKR5" s="190"/>
      <c r="TKS5" s="190"/>
      <c r="TKT5" s="190"/>
      <c r="TKU5" s="190"/>
      <c r="TKV5" s="190"/>
      <c r="TKW5" s="190"/>
      <c r="TKX5" s="190"/>
      <c r="TKY5" s="190"/>
      <c r="TKZ5" s="190"/>
      <c r="TLA5" s="190"/>
      <c r="TLB5" s="190"/>
      <c r="TLC5" s="190"/>
      <c r="TLD5" s="190"/>
      <c r="TLE5" s="190"/>
      <c r="TLF5" s="190"/>
      <c r="TLG5" s="190"/>
      <c r="TLH5" s="190"/>
      <c r="TLI5" s="190"/>
      <c r="TLJ5" s="190"/>
      <c r="TLK5" s="190"/>
      <c r="TLL5" s="190"/>
      <c r="TLM5" s="190"/>
      <c r="TLN5" s="190"/>
      <c r="TLO5" s="190"/>
      <c r="TLP5" s="190"/>
      <c r="TLQ5" s="190"/>
      <c r="TLR5" s="190"/>
      <c r="TLS5" s="190"/>
      <c r="TLT5" s="190"/>
      <c r="TLU5" s="190"/>
      <c r="TLV5" s="190"/>
      <c r="TLW5" s="190"/>
      <c r="TLX5" s="190"/>
      <c r="TLY5" s="190"/>
      <c r="TLZ5" s="190"/>
      <c r="TMA5" s="190"/>
      <c r="TMB5" s="190"/>
      <c r="TMC5" s="190"/>
      <c r="TMD5" s="190"/>
      <c r="TME5" s="190"/>
      <c r="TMF5" s="190"/>
      <c r="TMG5" s="190"/>
      <c r="TMH5" s="190"/>
      <c r="TMI5" s="190"/>
      <c r="TMJ5" s="190"/>
      <c r="TMK5" s="190"/>
      <c r="TML5" s="190"/>
      <c r="TMM5" s="190"/>
      <c r="TMN5" s="190"/>
      <c r="TMO5" s="190"/>
      <c r="TMP5" s="190"/>
      <c r="TMQ5" s="190"/>
      <c r="TMR5" s="190"/>
      <c r="TMS5" s="190"/>
      <c r="TMT5" s="190"/>
      <c r="TMU5" s="190"/>
      <c r="TMV5" s="190"/>
      <c r="TMW5" s="190"/>
      <c r="TMX5" s="190"/>
      <c r="TMY5" s="190"/>
      <c r="TMZ5" s="190"/>
      <c r="TNA5" s="190"/>
      <c r="TNB5" s="190"/>
      <c r="TNC5" s="190"/>
      <c r="TND5" s="190"/>
      <c r="TNE5" s="190"/>
      <c r="TNF5" s="190"/>
      <c r="TNG5" s="190"/>
      <c r="TNH5" s="190"/>
      <c r="TNI5" s="190"/>
      <c r="TNJ5" s="190"/>
      <c r="TNK5" s="190"/>
      <c r="TNL5" s="190"/>
      <c r="TNM5" s="190"/>
      <c r="TNN5" s="190"/>
      <c r="TNO5" s="190"/>
      <c r="TNP5" s="190"/>
      <c r="TNQ5" s="190"/>
      <c r="TNR5" s="190"/>
      <c r="TNS5" s="190"/>
      <c r="TNT5" s="190"/>
      <c r="TNU5" s="190"/>
      <c r="TNV5" s="190"/>
      <c r="TNW5" s="190"/>
      <c r="TNX5" s="190"/>
      <c r="TNY5" s="190"/>
      <c r="TNZ5" s="190"/>
      <c r="TOA5" s="190"/>
      <c r="TOB5" s="190"/>
      <c r="TOC5" s="190"/>
      <c r="TOD5" s="190"/>
      <c r="TOE5" s="190"/>
      <c r="TOF5" s="190"/>
      <c r="TOG5" s="190"/>
      <c r="TOH5" s="190"/>
      <c r="TOI5" s="190"/>
      <c r="TOJ5" s="190"/>
      <c r="TOK5" s="190"/>
      <c r="TOL5" s="190"/>
      <c r="TOM5" s="190"/>
      <c r="TON5" s="190"/>
      <c r="TOO5" s="190"/>
      <c r="TOP5" s="190"/>
      <c r="TOQ5" s="190"/>
      <c r="TOR5" s="190"/>
      <c r="TOS5" s="190"/>
      <c r="TOT5" s="190"/>
      <c r="TOU5" s="190"/>
      <c r="TOV5" s="190"/>
      <c r="TOW5" s="190"/>
      <c r="TOX5" s="190"/>
      <c r="TOY5" s="190"/>
      <c r="TOZ5" s="190"/>
      <c r="TPA5" s="190"/>
      <c r="TPB5" s="190"/>
      <c r="TPC5" s="190"/>
      <c r="TPD5" s="190"/>
      <c r="TPE5" s="190"/>
      <c r="TPF5" s="190"/>
      <c r="TPG5" s="190"/>
      <c r="TPH5" s="190"/>
      <c r="TPI5" s="190"/>
      <c r="TPJ5" s="190"/>
      <c r="TPK5" s="190"/>
      <c r="TPL5" s="190"/>
      <c r="TPM5" s="190"/>
      <c r="TPN5" s="190"/>
      <c r="TPO5" s="190"/>
      <c r="TPP5" s="190"/>
      <c r="TPQ5" s="190"/>
      <c r="TPR5" s="190"/>
      <c r="TPS5" s="190"/>
      <c r="TPT5" s="190"/>
      <c r="TPU5" s="190"/>
      <c r="TPV5" s="190"/>
      <c r="TPW5" s="190"/>
      <c r="TPX5" s="190"/>
      <c r="TPY5" s="190"/>
      <c r="TPZ5" s="190"/>
      <c r="TQA5" s="190"/>
      <c r="TQB5" s="190"/>
      <c r="TQC5" s="190"/>
      <c r="TQD5" s="190"/>
      <c r="TQE5" s="190"/>
      <c r="TQF5" s="190"/>
      <c r="TQG5" s="190"/>
      <c r="TQH5" s="190"/>
      <c r="TQI5" s="190"/>
      <c r="TQJ5" s="190"/>
      <c r="TQK5" s="190"/>
      <c r="TQL5" s="190"/>
      <c r="TQM5" s="190"/>
      <c r="TQN5" s="190"/>
      <c r="TQO5" s="190"/>
      <c r="TQP5" s="190"/>
      <c r="TQQ5" s="190"/>
      <c r="TQR5" s="190"/>
      <c r="TQS5" s="190"/>
      <c r="TQT5" s="190"/>
      <c r="TQU5" s="190"/>
      <c r="TQV5" s="190"/>
      <c r="TQW5" s="190"/>
      <c r="TQX5" s="190"/>
      <c r="TQY5" s="190"/>
      <c r="TQZ5" s="190"/>
      <c r="TRA5" s="190"/>
      <c r="TRB5" s="190"/>
      <c r="TRC5" s="190"/>
      <c r="TRD5" s="190"/>
      <c r="TRE5" s="190"/>
      <c r="TRF5" s="190"/>
      <c r="TRG5" s="190"/>
      <c r="TRH5" s="190"/>
      <c r="TRI5" s="190"/>
      <c r="TRJ5" s="190"/>
      <c r="TRK5" s="190"/>
      <c r="TRL5" s="190"/>
      <c r="TRM5" s="190"/>
      <c r="TRN5" s="190"/>
      <c r="TRO5" s="190"/>
      <c r="TRP5" s="190"/>
      <c r="TRQ5" s="190"/>
      <c r="TRR5" s="190"/>
      <c r="TRS5" s="190"/>
      <c r="TRT5" s="190"/>
      <c r="TRU5" s="190"/>
      <c r="TRV5" s="190"/>
      <c r="TRW5" s="190"/>
      <c r="TRX5" s="190"/>
      <c r="TRY5" s="190"/>
      <c r="TRZ5" s="190"/>
      <c r="TSA5" s="190"/>
      <c r="TSB5" s="190"/>
      <c r="TSC5" s="190"/>
      <c r="TSD5" s="190"/>
      <c r="TSE5" s="190"/>
      <c r="TSF5" s="190"/>
      <c r="TSG5" s="190"/>
      <c r="TSH5" s="190"/>
      <c r="TSI5" s="190"/>
      <c r="TSJ5" s="190"/>
      <c r="TSK5" s="190"/>
      <c r="TSL5" s="190"/>
      <c r="TSM5" s="190"/>
      <c r="TSN5" s="190"/>
      <c r="TSO5" s="190"/>
      <c r="TSP5" s="190"/>
      <c r="TSQ5" s="190"/>
      <c r="TSR5" s="190"/>
      <c r="TSS5" s="190"/>
      <c r="TST5" s="190"/>
      <c r="TSU5" s="190"/>
      <c r="TSV5" s="190"/>
      <c r="TSW5" s="190"/>
      <c r="TSX5" s="190"/>
      <c r="TSY5" s="190"/>
      <c r="TSZ5" s="190"/>
      <c r="TTA5" s="190"/>
      <c r="TTB5" s="190"/>
      <c r="TTC5" s="190"/>
      <c r="TTD5" s="190"/>
      <c r="TTE5" s="190"/>
      <c r="TTF5" s="190"/>
      <c r="TTG5" s="190"/>
      <c r="TTH5" s="190"/>
      <c r="TTI5" s="190"/>
      <c r="TTJ5" s="190"/>
      <c r="TTK5" s="190"/>
      <c r="TTL5" s="190"/>
      <c r="TTM5" s="190"/>
      <c r="TTN5" s="190"/>
      <c r="TTO5" s="190"/>
      <c r="TTP5" s="190"/>
      <c r="TTQ5" s="190"/>
      <c r="TTR5" s="190"/>
      <c r="TTS5" s="190"/>
      <c r="TTT5" s="190"/>
      <c r="TTU5" s="190"/>
      <c r="TTV5" s="190"/>
      <c r="TTW5" s="190"/>
      <c r="TTX5" s="190"/>
      <c r="TTY5" s="190"/>
      <c r="TTZ5" s="190"/>
      <c r="TUA5" s="190"/>
      <c r="TUB5" s="190"/>
      <c r="TUC5" s="190"/>
      <c r="TUD5" s="190"/>
      <c r="TUE5" s="190"/>
      <c r="TUF5" s="190"/>
      <c r="TUG5" s="190"/>
      <c r="TUH5" s="190"/>
      <c r="TUI5" s="190"/>
      <c r="TUJ5" s="190"/>
      <c r="TUK5" s="190"/>
      <c r="TUL5" s="190"/>
      <c r="TUM5" s="190"/>
      <c r="TUN5" s="190"/>
      <c r="TUO5" s="190"/>
      <c r="TUP5" s="190"/>
      <c r="TUQ5" s="190"/>
      <c r="TUR5" s="190"/>
      <c r="TUS5" s="190"/>
      <c r="TUT5" s="190"/>
      <c r="TUU5" s="190"/>
      <c r="TUV5" s="190"/>
      <c r="TUW5" s="190"/>
      <c r="TUX5" s="190"/>
      <c r="TUY5" s="190"/>
      <c r="TUZ5" s="190"/>
      <c r="TVA5" s="190"/>
      <c r="TVB5" s="190"/>
      <c r="TVC5" s="190"/>
      <c r="TVD5" s="190"/>
      <c r="TVE5" s="190"/>
      <c r="TVF5" s="190"/>
      <c r="TVG5" s="190"/>
      <c r="TVH5" s="190"/>
      <c r="TVI5" s="190"/>
      <c r="TVJ5" s="190"/>
      <c r="TVK5" s="190"/>
      <c r="TVL5" s="190"/>
      <c r="TVM5" s="190"/>
      <c r="TVN5" s="190"/>
      <c r="TVO5" s="190"/>
      <c r="TVP5" s="190"/>
      <c r="TVQ5" s="190"/>
      <c r="TVR5" s="190"/>
      <c r="TVS5" s="190"/>
      <c r="TVT5" s="190"/>
      <c r="TVU5" s="190"/>
      <c r="TVV5" s="190"/>
      <c r="TVW5" s="190"/>
      <c r="TVX5" s="190"/>
      <c r="TVY5" s="190"/>
      <c r="TVZ5" s="190"/>
      <c r="TWA5" s="190"/>
      <c r="TWB5" s="190"/>
      <c r="TWC5" s="190"/>
      <c r="TWD5" s="190"/>
      <c r="TWE5" s="190"/>
      <c r="TWF5" s="190"/>
      <c r="TWG5" s="190"/>
      <c r="TWH5" s="190"/>
      <c r="TWI5" s="190"/>
      <c r="TWJ5" s="190"/>
      <c r="TWK5" s="190"/>
      <c r="TWL5" s="190"/>
      <c r="TWM5" s="190"/>
      <c r="TWN5" s="190"/>
      <c r="TWO5" s="190"/>
      <c r="TWP5" s="190"/>
      <c r="TWQ5" s="190"/>
      <c r="TWR5" s="190"/>
      <c r="TWS5" s="190"/>
      <c r="TWT5" s="190"/>
      <c r="TWU5" s="190"/>
      <c r="TWV5" s="190"/>
      <c r="TWW5" s="190"/>
      <c r="TWX5" s="190"/>
      <c r="TWY5" s="190"/>
      <c r="TWZ5" s="190"/>
      <c r="TXA5" s="190"/>
      <c r="TXB5" s="190"/>
      <c r="TXC5" s="190"/>
      <c r="TXD5" s="190"/>
      <c r="TXE5" s="190"/>
      <c r="TXF5" s="190"/>
      <c r="TXG5" s="190"/>
      <c r="TXH5" s="190"/>
      <c r="TXI5" s="190"/>
      <c r="TXJ5" s="190"/>
      <c r="TXK5" s="190"/>
      <c r="TXL5" s="190"/>
      <c r="TXM5" s="190"/>
      <c r="TXN5" s="190"/>
      <c r="TXO5" s="190"/>
      <c r="TXP5" s="190"/>
      <c r="TXQ5" s="190"/>
      <c r="TXR5" s="190"/>
      <c r="TXS5" s="190"/>
      <c r="TXT5" s="190"/>
      <c r="TXU5" s="190"/>
      <c r="TXV5" s="190"/>
      <c r="TXW5" s="190"/>
      <c r="TXX5" s="190"/>
      <c r="TXY5" s="190"/>
      <c r="TXZ5" s="190"/>
      <c r="TYA5" s="190"/>
      <c r="TYB5" s="190"/>
      <c r="TYC5" s="190"/>
      <c r="TYD5" s="190"/>
      <c r="TYE5" s="190"/>
      <c r="TYF5" s="190"/>
      <c r="TYG5" s="190"/>
      <c r="TYH5" s="190"/>
      <c r="TYI5" s="190"/>
      <c r="TYJ5" s="190"/>
      <c r="TYK5" s="190"/>
      <c r="TYL5" s="190"/>
      <c r="TYM5" s="190"/>
      <c r="TYN5" s="190"/>
      <c r="TYO5" s="190"/>
      <c r="TYP5" s="190"/>
      <c r="TYQ5" s="190"/>
      <c r="TYR5" s="190"/>
      <c r="TYS5" s="190"/>
      <c r="TYT5" s="190"/>
      <c r="TYU5" s="190"/>
      <c r="TYV5" s="190"/>
      <c r="TYW5" s="190"/>
      <c r="TYX5" s="190"/>
      <c r="TYY5" s="190"/>
      <c r="TYZ5" s="190"/>
      <c r="TZA5" s="190"/>
      <c r="TZB5" s="190"/>
      <c r="TZC5" s="190"/>
      <c r="TZD5" s="190"/>
      <c r="TZE5" s="190"/>
      <c r="TZF5" s="190"/>
      <c r="TZG5" s="190"/>
      <c r="TZH5" s="190"/>
      <c r="TZI5" s="190"/>
      <c r="TZJ5" s="190"/>
      <c r="TZK5" s="190"/>
      <c r="TZL5" s="190"/>
      <c r="TZM5" s="190"/>
      <c r="TZN5" s="190"/>
      <c r="TZO5" s="190"/>
      <c r="TZP5" s="190"/>
      <c r="TZQ5" s="190"/>
      <c r="TZR5" s="190"/>
      <c r="TZS5" s="190"/>
      <c r="TZT5" s="190"/>
      <c r="TZU5" s="190"/>
      <c r="TZV5" s="190"/>
      <c r="TZW5" s="190"/>
      <c r="TZX5" s="190"/>
      <c r="TZY5" s="190"/>
      <c r="TZZ5" s="190"/>
      <c r="UAA5" s="190"/>
      <c r="UAB5" s="190"/>
      <c r="UAC5" s="190"/>
      <c r="UAD5" s="190"/>
      <c r="UAE5" s="190"/>
      <c r="UAF5" s="190"/>
      <c r="UAG5" s="190"/>
      <c r="UAH5" s="190"/>
      <c r="UAI5" s="190"/>
      <c r="UAJ5" s="190"/>
      <c r="UAK5" s="190"/>
      <c r="UAL5" s="190"/>
      <c r="UAM5" s="190"/>
      <c r="UAN5" s="190"/>
      <c r="UAO5" s="190"/>
      <c r="UAP5" s="190"/>
      <c r="UAQ5" s="190"/>
      <c r="UAR5" s="190"/>
      <c r="UAS5" s="190"/>
      <c r="UAT5" s="190"/>
      <c r="UAU5" s="190"/>
      <c r="UAV5" s="190"/>
      <c r="UAW5" s="190"/>
      <c r="UAX5" s="190"/>
      <c r="UAY5" s="190"/>
      <c r="UAZ5" s="190"/>
      <c r="UBA5" s="190"/>
      <c r="UBB5" s="190"/>
      <c r="UBC5" s="190"/>
      <c r="UBD5" s="190"/>
      <c r="UBE5" s="190"/>
      <c r="UBF5" s="190"/>
      <c r="UBG5" s="190"/>
      <c r="UBH5" s="190"/>
      <c r="UBI5" s="190"/>
      <c r="UBJ5" s="190"/>
      <c r="UBK5" s="190"/>
      <c r="UBL5" s="190"/>
      <c r="UBM5" s="190"/>
      <c r="UBN5" s="190"/>
      <c r="UBO5" s="190"/>
      <c r="UBP5" s="190"/>
      <c r="UBQ5" s="190"/>
      <c r="UBR5" s="190"/>
      <c r="UBS5" s="190"/>
      <c r="UBT5" s="190"/>
      <c r="UBU5" s="190"/>
      <c r="UBV5" s="190"/>
      <c r="UBW5" s="190"/>
      <c r="UBX5" s="190"/>
      <c r="UBY5" s="190"/>
      <c r="UBZ5" s="190"/>
      <c r="UCA5" s="190"/>
      <c r="UCB5" s="190"/>
      <c r="UCC5" s="190"/>
      <c r="UCD5" s="190"/>
      <c r="UCE5" s="190"/>
      <c r="UCF5" s="190"/>
      <c r="UCG5" s="190"/>
      <c r="UCH5" s="190"/>
      <c r="UCI5" s="190"/>
      <c r="UCJ5" s="190"/>
      <c r="UCK5" s="190"/>
      <c r="UCL5" s="190"/>
      <c r="UCM5" s="190"/>
      <c r="UCN5" s="190"/>
      <c r="UCO5" s="190"/>
      <c r="UCP5" s="190"/>
      <c r="UCQ5" s="190"/>
      <c r="UCR5" s="190"/>
      <c r="UCS5" s="190"/>
      <c r="UCT5" s="190"/>
      <c r="UCU5" s="190"/>
      <c r="UCV5" s="190"/>
      <c r="UCW5" s="190"/>
      <c r="UCX5" s="190"/>
      <c r="UCY5" s="190"/>
      <c r="UCZ5" s="190"/>
      <c r="UDA5" s="190"/>
      <c r="UDB5" s="190"/>
      <c r="UDC5" s="190"/>
      <c r="UDD5" s="190"/>
      <c r="UDE5" s="190"/>
      <c r="UDF5" s="190"/>
      <c r="UDG5" s="190"/>
      <c r="UDH5" s="190"/>
      <c r="UDI5" s="190"/>
      <c r="UDJ5" s="190"/>
      <c r="UDK5" s="190"/>
      <c r="UDL5" s="190"/>
      <c r="UDM5" s="190"/>
      <c r="UDN5" s="190"/>
      <c r="UDO5" s="190"/>
      <c r="UDP5" s="190"/>
      <c r="UDQ5" s="190"/>
      <c r="UDR5" s="190"/>
      <c r="UDS5" s="190"/>
      <c r="UDT5" s="190"/>
      <c r="UDU5" s="190"/>
      <c r="UDV5" s="190"/>
      <c r="UDW5" s="190"/>
      <c r="UDX5" s="190"/>
      <c r="UDY5" s="190"/>
      <c r="UDZ5" s="190"/>
      <c r="UEA5" s="190"/>
      <c r="UEB5" s="190"/>
      <c r="UEC5" s="190"/>
      <c r="UED5" s="190"/>
      <c r="UEE5" s="190"/>
      <c r="UEF5" s="190"/>
      <c r="UEG5" s="190"/>
      <c r="UEH5" s="190"/>
      <c r="UEI5" s="190"/>
      <c r="UEJ5" s="190"/>
      <c r="UEK5" s="190"/>
      <c r="UEL5" s="190"/>
      <c r="UEM5" s="190"/>
      <c r="UEN5" s="190"/>
      <c r="UEO5" s="190"/>
      <c r="UEP5" s="190"/>
      <c r="UEQ5" s="190"/>
      <c r="UER5" s="190"/>
      <c r="UES5" s="190"/>
      <c r="UET5" s="190"/>
      <c r="UEU5" s="190"/>
      <c r="UEV5" s="190"/>
      <c r="UEW5" s="190"/>
      <c r="UEX5" s="190"/>
      <c r="UEY5" s="190"/>
      <c r="UEZ5" s="190"/>
      <c r="UFA5" s="190"/>
      <c r="UFB5" s="190"/>
      <c r="UFC5" s="190"/>
      <c r="UFD5" s="190"/>
      <c r="UFE5" s="190"/>
      <c r="UFF5" s="190"/>
      <c r="UFG5" s="190"/>
      <c r="UFH5" s="190"/>
      <c r="UFI5" s="190"/>
      <c r="UFJ5" s="190"/>
      <c r="UFK5" s="190"/>
      <c r="UFL5" s="190"/>
      <c r="UFM5" s="190"/>
      <c r="UFN5" s="190"/>
      <c r="UFO5" s="190"/>
      <c r="UFP5" s="190"/>
      <c r="UFQ5" s="190"/>
      <c r="UFR5" s="190"/>
      <c r="UFS5" s="190"/>
      <c r="UFT5" s="190"/>
      <c r="UFU5" s="190"/>
      <c r="UFV5" s="190"/>
      <c r="UFW5" s="190"/>
      <c r="UFX5" s="190"/>
      <c r="UFY5" s="190"/>
      <c r="UFZ5" s="190"/>
      <c r="UGA5" s="190"/>
      <c r="UGB5" s="190"/>
      <c r="UGC5" s="190"/>
      <c r="UGD5" s="190"/>
      <c r="UGE5" s="190"/>
      <c r="UGF5" s="190"/>
      <c r="UGG5" s="190"/>
      <c r="UGH5" s="190"/>
      <c r="UGI5" s="190"/>
      <c r="UGJ5" s="190"/>
      <c r="UGK5" s="190"/>
      <c r="UGL5" s="190"/>
      <c r="UGM5" s="190"/>
      <c r="UGN5" s="190"/>
      <c r="UGO5" s="190"/>
      <c r="UGP5" s="190"/>
      <c r="UGQ5" s="190"/>
      <c r="UGR5" s="190"/>
      <c r="UGS5" s="190"/>
      <c r="UGT5" s="190"/>
      <c r="UGU5" s="190"/>
      <c r="UGV5" s="190"/>
      <c r="UGW5" s="190"/>
      <c r="UGX5" s="190"/>
      <c r="UGY5" s="190"/>
      <c r="UGZ5" s="190"/>
      <c r="UHA5" s="190"/>
      <c r="UHB5" s="190"/>
      <c r="UHC5" s="190"/>
      <c r="UHD5" s="190"/>
      <c r="UHE5" s="190"/>
      <c r="UHF5" s="190"/>
      <c r="UHG5" s="190"/>
      <c r="UHH5" s="190"/>
      <c r="UHI5" s="190"/>
      <c r="UHJ5" s="190"/>
      <c r="UHK5" s="190"/>
      <c r="UHL5" s="190"/>
      <c r="UHM5" s="190"/>
      <c r="UHN5" s="190"/>
      <c r="UHO5" s="190"/>
      <c r="UHP5" s="190"/>
      <c r="UHQ5" s="190"/>
      <c r="UHR5" s="190"/>
      <c r="UHS5" s="190"/>
      <c r="UHT5" s="190"/>
      <c r="UHU5" s="190"/>
      <c r="UHV5" s="190"/>
      <c r="UHW5" s="190"/>
      <c r="UHX5" s="190"/>
      <c r="UHY5" s="190"/>
      <c r="UHZ5" s="190"/>
      <c r="UIA5" s="190"/>
      <c r="UIB5" s="190"/>
      <c r="UIC5" s="190"/>
      <c r="UID5" s="190"/>
      <c r="UIE5" s="190"/>
      <c r="UIF5" s="190"/>
      <c r="UIG5" s="190"/>
      <c r="UIH5" s="190"/>
      <c r="UII5" s="190"/>
      <c r="UIJ5" s="190"/>
      <c r="UIK5" s="190"/>
      <c r="UIL5" s="190"/>
      <c r="UIM5" s="190"/>
      <c r="UIN5" s="190"/>
      <c r="UIO5" s="190"/>
      <c r="UIP5" s="190"/>
      <c r="UIQ5" s="190"/>
      <c r="UIR5" s="190"/>
      <c r="UIS5" s="190"/>
      <c r="UIT5" s="190"/>
      <c r="UIU5" s="190"/>
      <c r="UIV5" s="190"/>
      <c r="UIW5" s="190"/>
      <c r="UIX5" s="190"/>
      <c r="UIY5" s="190"/>
      <c r="UIZ5" s="190"/>
      <c r="UJA5" s="190"/>
      <c r="UJB5" s="190"/>
      <c r="UJC5" s="190"/>
      <c r="UJD5" s="190"/>
      <c r="UJE5" s="190"/>
      <c r="UJF5" s="190"/>
      <c r="UJG5" s="190"/>
      <c r="UJH5" s="190"/>
      <c r="UJI5" s="190"/>
      <c r="UJJ5" s="190"/>
      <c r="UJK5" s="190"/>
      <c r="UJL5" s="190"/>
      <c r="UJM5" s="190"/>
      <c r="UJN5" s="190"/>
      <c r="UJO5" s="190"/>
      <c r="UJP5" s="190"/>
      <c r="UJQ5" s="190"/>
      <c r="UJR5" s="190"/>
      <c r="UJS5" s="190"/>
      <c r="UJT5" s="190"/>
      <c r="UJU5" s="190"/>
      <c r="UJV5" s="190"/>
      <c r="UJW5" s="190"/>
      <c r="UJX5" s="190"/>
      <c r="UJY5" s="190"/>
      <c r="UJZ5" s="190"/>
      <c r="UKA5" s="190"/>
      <c r="UKB5" s="190"/>
      <c r="UKC5" s="190"/>
      <c r="UKD5" s="190"/>
      <c r="UKE5" s="190"/>
      <c r="UKF5" s="190"/>
      <c r="UKG5" s="190"/>
      <c r="UKH5" s="190"/>
      <c r="UKI5" s="190"/>
      <c r="UKJ5" s="190"/>
      <c r="UKK5" s="190"/>
      <c r="UKL5" s="190"/>
      <c r="UKM5" s="190"/>
      <c r="UKN5" s="190"/>
      <c r="UKO5" s="190"/>
      <c r="UKP5" s="190"/>
      <c r="UKQ5" s="190"/>
      <c r="UKR5" s="190"/>
      <c r="UKS5" s="190"/>
      <c r="UKT5" s="190"/>
      <c r="UKU5" s="190"/>
      <c r="UKV5" s="190"/>
      <c r="UKW5" s="190"/>
      <c r="UKX5" s="190"/>
      <c r="UKY5" s="190"/>
      <c r="UKZ5" s="190"/>
      <c r="ULA5" s="190"/>
      <c r="ULB5" s="190"/>
      <c r="ULC5" s="190"/>
      <c r="ULD5" s="190"/>
      <c r="ULE5" s="190"/>
      <c r="ULF5" s="190"/>
      <c r="ULG5" s="190"/>
      <c r="ULH5" s="190"/>
      <c r="ULI5" s="190"/>
      <c r="ULJ5" s="190"/>
      <c r="ULK5" s="190"/>
      <c r="ULL5" s="190"/>
      <c r="ULM5" s="190"/>
      <c r="ULN5" s="190"/>
      <c r="ULO5" s="190"/>
      <c r="ULP5" s="190"/>
      <c r="ULQ5" s="190"/>
      <c r="ULR5" s="190"/>
      <c r="ULS5" s="190"/>
      <c r="ULT5" s="190"/>
      <c r="ULU5" s="190"/>
      <c r="ULV5" s="190"/>
      <c r="ULW5" s="190"/>
      <c r="ULX5" s="190"/>
      <c r="ULY5" s="190"/>
      <c r="ULZ5" s="190"/>
      <c r="UMA5" s="190"/>
      <c r="UMB5" s="190"/>
      <c r="UMC5" s="190"/>
      <c r="UMD5" s="190"/>
      <c r="UME5" s="190"/>
      <c r="UMF5" s="190"/>
      <c r="UMG5" s="190"/>
      <c r="UMH5" s="190"/>
      <c r="UMI5" s="190"/>
      <c r="UMJ5" s="190"/>
      <c r="UMK5" s="190"/>
      <c r="UML5" s="190"/>
      <c r="UMM5" s="190"/>
      <c r="UMN5" s="190"/>
      <c r="UMO5" s="190"/>
      <c r="UMP5" s="190"/>
      <c r="UMQ5" s="190"/>
      <c r="UMR5" s="190"/>
      <c r="UMS5" s="190"/>
      <c r="UMT5" s="190"/>
      <c r="UMU5" s="190"/>
      <c r="UMV5" s="190"/>
      <c r="UMW5" s="190"/>
      <c r="UMX5" s="190"/>
      <c r="UMY5" s="190"/>
      <c r="UMZ5" s="190"/>
      <c r="UNA5" s="190"/>
      <c r="UNB5" s="190"/>
      <c r="UNC5" s="190"/>
      <c r="UND5" s="190"/>
      <c r="UNE5" s="190"/>
      <c r="UNF5" s="190"/>
      <c r="UNG5" s="190"/>
      <c r="UNH5" s="190"/>
      <c r="UNI5" s="190"/>
      <c r="UNJ5" s="190"/>
      <c r="UNK5" s="190"/>
      <c r="UNL5" s="190"/>
      <c r="UNM5" s="190"/>
      <c r="UNN5" s="190"/>
      <c r="UNO5" s="190"/>
      <c r="UNP5" s="190"/>
      <c r="UNQ5" s="190"/>
      <c r="UNR5" s="190"/>
      <c r="UNS5" s="190"/>
      <c r="UNT5" s="190"/>
      <c r="UNU5" s="190"/>
      <c r="UNV5" s="190"/>
      <c r="UNW5" s="190"/>
      <c r="UNX5" s="190"/>
      <c r="UNY5" s="190"/>
      <c r="UNZ5" s="190"/>
      <c r="UOA5" s="190"/>
      <c r="UOB5" s="190"/>
      <c r="UOC5" s="190"/>
      <c r="UOD5" s="190"/>
      <c r="UOE5" s="190"/>
      <c r="UOF5" s="190"/>
      <c r="UOG5" s="190"/>
      <c r="UOH5" s="190"/>
      <c r="UOI5" s="190"/>
      <c r="UOJ5" s="190"/>
      <c r="UOK5" s="190"/>
      <c r="UOL5" s="190"/>
      <c r="UOM5" s="190"/>
      <c r="UON5" s="190"/>
      <c r="UOO5" s="190"/>
      <c r="UOP5" s="190"/>
      <c r="UOQ5" s="190"/>
      <c r="UOR5" s="190"/>
      <c r="UOS5" s="190"/>
      <c r="UOT5" s="190"/>
      <c r="UOU5" s="190"/>
      <c r="UOV5" s="190"/>
      <c r="UOW5" s="190"/>
      <c r="UOX5" s="190"/>
      <c r="UOY5" s="190"/>
      <c r="UOZ5" s="190"/>
      <c r="UPA5" s="190"/>
      <c r="UPB5" s="190"/>
      <c r="UPC5" s="190"/>
      <c r="UPD5" s="190"/>
      <c r="UPE5" s="190"/>
      <c r="UPF5" s="190"/>
      <c r="UPG5" s="190"/>
      <c r="UPH5" s="190"/>
      <c r="UPI5" s="190"/>
      <c r="UPJ5" s="190"/>
      <c r="UPK5" s="190"/>
      <c r="UPL5" s="190"/>
      <c r="UPM5" s="190"/>
      <c r="UPN5" s="190"/>
      <c r="UPO5" s="190"/>
      <c r="UPP5" s="190"/>
      <c r="UPQ5" s="190"/>
      <c r="UPR5" s="190"/>
      <c r="UPS5" s="190"/>
      <c r="UPT5" s="190"/>
      <c r="UPU5" s="190"/>
      <c r="UPV5" s="190"/>
      <c r="UPW5" s="190"/>
      <c r="UPX5" s="190"/>
      <c r="UPY5" s="190"/>
      <c r="UPZ5" s="190"/>
      <c r="UQA5" s="190"/>
      <c r="UQB5" s="190"/>
      <c r="UQC5" s="190"/>
      <c r="UQD5" s="190"/>
      <c r="UQE5" s="190"/>
      <c r="UQF5" s="190"/>
      <c r="UQG5" s="190"/>
      <c r="UQH5" s="190"/>
      <c r="UQI5" s="190"/>
      <c r="UQJ5" s="190"/>
      <c r="UQK5" s="190"/>
      <c r="UQL5" s="190"/>
      <c r="UQM5" s="190"/>
      <c r="UQN5" s="190"/>
      <c r="UQO5" s="190"/>
      <c r="UQP5" s="190"/>
      <c r="UQQ5" s="190"/>
      <c r="UQR5" s="190"/>
      <c r="UQS5" s="190"/>
      <c r="UQT5" s="190"/>
      <c r="UQU5" s="190"/>
      <c r="UQV5" s="190"/>
      <c r="UQW5" s="190"/>
      <c r="UQX5" s="190"/>
      <c r="UQY5" s="190"/>
      <c r="UQZ5" s="190"/>
      <c r="URA5" s="190"/>
      <c r="URB5" s="190"/>
      <c r="URC5" s="190"/>
      <c r="URD5" s="190"/>
      <c r="URE5" s="190"/>
      <c r="URF5" s="190"/>
      <c r="URG5" s="190"/>
      <c r="URH5" s="190"/>
      <c r="URI5" s="190"/>
      <c r="URJ5" s="190"/>
      <c r="URK5" s="190"/>
      <c r="URL5" s="190"/>
      <c r="URM5" s="190"/>
      <c r="URN5" s="190"/>
      <c r="URO5" s="190"/>
      <c r="URP5" s="190"/>
      <c r="URQ5" s="190"/>
      <c r="URR5" s="190"/>
      <c r="URS5" s="190"/>
      <c r="URT5" s="190"/>
      <c r="URU5" s="190"/>
      <c r="URV5" s="190"/>
      <c r="URW5" s="190"/>
      <c r="URX5" s="190"/>
      <c r="URY5" s="190"/>
      <c r="URZ5" s="190"/>
      <c r="USA5" s="190"/>
      <c r="USB5" s="190"/>
      <c r="USC5" s="190"/>
      <c r="USD5" s="190"/>
      <c r="USE5" s="190"/>
      <c r="USF5" s="190"/>
      <c r="USG5" s="190"/>
      <c r="USH5" s="190"/>
      <c r="USI5" s="190"/>
      <c r="USJ5" s="190"/>
      <c r="USK5" s="190"/>
      <c r="USL5" s="190"/>
      <c r="USM5" s="190"/>
      <c r="USN5" s="190"/>
      <c r="USO5" s="190"/>
      <c r="USP5" s="190"/>
      <c r="USQ5" s="190"/>
      <c r="USR5" s="190"/>
      <c r="USS5" s="190"/>
      <c r="UST5" s="190"/>
      <c r="USU5" s="190"/>
      <c r="USV5" s="190"/>
      <c r="USW5" s="190"/>
      <c r="USX5" s="190"/>
      <c r="USY5" s="190"/>
      <c r="USZ5" s="190"/>
      <c r="UTA5" s="190"/>
      <c r="UTB5" s="190"/>
      <c r="UTC5" s="190"/>
      <c r="UTD5" s="190"/>
      <c r="UTE5" s="190"/>
      <c r="UTF5" s="190"/>
      <c r="UTG5" s="190"/>
      <c r="UTH5" s="190"/>
      <c r="UTI5" s="190"/>
      <c r="UTJ5" s="190"/>
      <c r="UTK5" s="190"/>
      <c r="UTL5" s="190"/>
      <c r="UTM5" s="190"/>
      <c r="UTN5" s="190"/>
      <c r="UTO5" s="190"/>
      <c r="UTP5" s="190"/>
      <c r="UTQ5" s="190"/>
      <c r="UTR5" s="190"/>
      <c r="UTS5" s="190"/>
      <c r="UTT5" s="190"/>
      <c r="UTU5" s="190"/>
      <c r="UTV5" s="190"/>
      <c r="UTW5" s="190"/>
      <c r="UTX5" s="190"/>
      <c r="UTY5" s="190"/>
      <c r="UTZ5" s="190"/>
      <c r="UUA5" s="190"/>
      <c r="UUB5" s="190"/>
      <c r="UUC5" s="190"/>
      <c r="UUD5" s="190"/>
      <c r="UUE5" s="190"/>
      <c r="UUF5" s="190"/>
      <c r="UUG5" s="190"/>
      <c r="UUH5" s="190"/>
      <c r="UUI5" s="190"/>
      <c r="UUJ5" s="190"/>
      <c r="UUK5" s="190"/>
      <c r="UUL5" s="190"/>
      <c r="UUM5" s="190"/>
      <c r="UUN5" s="190"/>
      <c r="UUO5" s="190"/>
      <c r="UUP5" s="190"/>
      <c r="UUQ5" s="190"/>
      <c r="UUR5" s="190"/>
      <c r="UUS5" s="190"/>
      <c r="UUT5" s="190"/>
      <c r="UUU5" s="190"/>
      <c r="UUV5" s="190"/>
      <c r="UUW5" s="190"/>
      <c r="UUX5" s="190"/>
      <c r="UUY5" s="190"/>
      <c r="UUZ5" s="190"/>
      <c r="UVA5" s="190"/>
      <c r="UVB5" s="190"/>
      <c r="UVC5" s="190"/>
      <c r="UVD5" s="190"/>
      <c r="UVE5" s="190"/>
      <c r="UVF5" s="190"/>
      <c r="UVG5" s="190"/>
      <c r="UVH5" s="190"/>
      <c r="UVI5" s="190"/>
      <c r="UVJ5" s="190"/>
      <c r="UVK5" s="190"/>
      <c r="UVL5" s="190"/>
      <c r="UVM5" s="190"/>
      <c r="UVN5" s="190"/>
      <c r="UVO5" s="190"/>
      <c r="UVP5" s="190"/>
      <c r="UVQ5" s="190"/>
      <c r="UVR5" s="190"/>
      <c r="UVS5" s="190"/>
      <c r="UVT5" s="190"/>
      <c r="UVU5" s="190"/>
      <c r="UVV5" s="190"/>
      <c r="UVW5" s="190"/>
      <c r="UVX5" s="190"/>
      <c r="UVY5" s="190"/>
      <c r="UVZ5" s="190"/>
      <c r="UWA5" s="190"/>
      <c r="UWB5" s="190"/>
      <c r="UWC5" s="190"/>
      <c r="UWD5" s="190"/>
      <c r="UWE5" s="190"/>
      <c r="UWF5" s="190"/>
      <c r="UWG5" s="190"/>
      <c r="UWH5" s="190"/>
      <c r="UWI5" s="190"/>
      <c r="UWJ5" s="190"/>
      <c r="UWK5" s="190"/>
      <c r="UWL5" s="190"/>
      <c r="UWM5" s="190"/>
      <c r="UWN5" s="190"/>
      <c r="UWO5" s="190"/>
      <c r="UWP5" s="190"/>
      <c r="UWQ5" s="190"/>
      <c r="UWR5" s="190"/>
      <c r="UWS5" s="190"/>
      <c r="UWT5" s="190"/>
      <c r="UWU5" s="190"/>
      <c r="UWV5" s="190"/>
      <c r="UWW5" s="190"/>
      <c r="UWX5" s="190"/>
      <c r="UWY5" s="190"/>
      <c r="UWZ5" s="190"/>
      <c r="UXA5" s="190"/>
      <c r="UXB5" s="190"/>
      <c r="UXC5" s="190"/>
      <c r="UXD5" s="190"/>
      <c r="UXE5" s="190"/>
      <c r="UXF5" s="190"/>
      <c r="UXG5" s="190"/>
      <c r="UXH5" s="190"/>
      <c r="UXI5" s="190"/>
      <c r="UXJ5" s="190"/>
      <c r="UXK5" s="190"/>
      <c r="UXL5" s="190"/>
      <c r="UXM5" s="190"/>
      <c r="UXN5" s="190"/>
      <c r="UXO5" s="190"/>
      <c r="UXP5" s="190"/>
      <c r="UXQ5" s="190"/>
      <c r="UXR5" s="190"/>
      <c r="UXS5" s="190"/>
      <c r="UXT5" s="190"/>
      <c r="UXU5" s="190"/>
      <c r="UXV5" s="190"/>
      <c r="UXW5" s="190"/>
      <c r="UXX5" s="190"/>
      <c r="UXY5" s="190"/>
      <c r="UXZ5" s="190"/>
      <c r="UYA5" s="190"/>
      <c r="UYB5" s="190"/>
      <c r="UYC5" s="190"/>
      <c r="UYD5" s="190"/>
      <c r="UYE5" s="190"/>
      <c r="UYF5" s="190"/>
      <c r="UYG5" s="190"/>
      <c r="UYH5" s="190"/>
      <c r="UYI5" s="190"/>
      <c r="UYJ5" s="190"/>
      <c r="UYK5" s="190"/>
      <c r="UYL5" s="190"/>
      <c r="UYM5" s="190"/>
      <c r="UYN5" s="190"/>
      <c r="UYO5" s="190"/>
      <c r="UYP5" s="190"/>
      <c r="UYQ5" s="190"/>
      <c r="UYR5" s="190"/>
      <c r="UYS5" s="190"/>
      <c r="UYT5" s="190"/>
      <c r="UYU5" s="190"/>
      <c r="UYV5" s="190"/>
      <c r="UYW5" s="190"/>
      <c r="UYX5" s="190"/>
      <c r="UYY5" s="190"/>
      <c r="UYZ5" s="190"/>
      <c r="UZA5" s="190"/>
      <c r="UZB5" s="190"/>
      <c r="UZC5" s="190"/>
      <c r="UZD5" s="190"/>
      <c r="UZE5" s="190"/>
      <c r="UZF5" s="190"/>
      <c r="UZG5" s="190"/>
      <c r="UZH5" s="190"/>
      <c r="UZI5" s="190"/>
      <c r="UZJ5" s="190"/>
      <c r="UZK5" s="190"/>
      <c r="UZL5" s="190"/>
      <c r="UZM5" s="190"/>
      <c r="UZN5" s="190"/>
      <c r="UZO5" s="190"/>
      <c r="UZP5" s="190"/>
      <c r="UZQ5" s="190"/>
      <c r="UZR5" s="190"/>
      <c r="UZS5" s="190"/>
      <c r="UZT5" s="190"/>
      <c r="UZU5" s="190"/>
      <c r="UZV5" s="190"/>
      <c r="UZW5" s="190"/>
      <c r="UZX5" s="190"/>
      <c r="UZY5" s="190"/>
      <c r="UZZ5" s="190"/>
      <c r="VAA5" s="190"/>
      <c r="VAB5" s="190"/>
      <c r="VAC5" s="190"/>
      <c r="VAD5" s="190"/>
      <c r="VAE5" s="190"/>
      <c r="VAF5" s="190"/>
      <c r="VAG5" s="190"/>
      <c r="VAH5" s="190"/>
      <c r="VAI5" s="190"/>
      <c r="VAJ5" s="190"/>
      <c r="VAK5" s="190"/>
      <c r="VAL5" s="190"/>
      <c r="VAM5" s="190"/>
      <c r="VAN5" s="190"/>
      <c r="VAO5" s="190"/>
      <c r="VAP5" s="190"/>
      <c r="VAQ5" s="190"/>
      <c r="VAR5" s="190"/>
      <c r="VAS5" s="190"/>
      <c r="VAT5" s="190"/>
      <c r="VAU5" s="190"/>
      <c r="VAV5" s="190"/>
      <c r="VAW5" s="190"/>
      <c r="VAX5" s="190"/>
      <c r="VAY5" s="190"/>
      <c r="VAZ5" s="190"/>
      <c r="VBA5" s="190"/>
      <c r="VBB5" s="190"/>
      <c r="VBC5" s="190"/>
      <c r="VBD5" s="190"/>
      <c r="VBE5" s="190"/>
      <c r="VBF5" s="190"/>
      <c r="VBG5" s="190"/>
      <c r="VBH5" s="190"/>
      <c r="VBI5" s="190"/>
      <c r="VBJ5" s="190"/>
      <c r="VBK5" s="190"/>
      <c r="VBL5" s="190"/>
      <c r="VBM5" s="190"/>
      <c r="VBN5" s="190"/>
      <c r="VBO5" s="190"/>
      <c r="VBP5" s="190"/>
      <c r="VBQ5" s="190"/>
      <c r="VBR5" s="190"/>
      <c r="VBS5" s="190"/>
      <c r="VBT5" s="190"/>
      <c r="VBU5" s="190"/>
      <c r="VBV5" s="190"/>
      <c r="VBW5" s="190"/>
      <c r="VBX5" s="190"/>
      <c r="VBY5" s="190"/>
      <c r="VBZ5" s="190"/>
      <c r="VCA5" s="190"/>
      <c r="VCB5" s="190"/>
      <c r="VCC5" s="190"/>
      <c r="VCD5" s="190"/>
      <c r="VCE5" s="190"/>
      <c r="VCF5" s="190"/>
      <c r="VCG5" s="190"/>
      <c r="VCH5" s="190"/>
      <c r="VCI5" s="190"/>
      <c r="VCJ5" s="190"/>
      <c r="VCK5" s="190"/>
      <c r="VCL5" s="190"/>
      <c r="VCM5" s="190"/>
      <c r="VCN5" s="190"/>
      <c r="VCO5" s="190"/>
      <c r="VCP5" s="190"/>
      <c r="VCQ5" s="190"/>
      <c r="VCR5" s="190"/>
      <c r="VCS5" s="190"/>
      <c r="VCT5" s="190"/>
      <c r="VCU5" s="190"/>
      <c r="VCV5" s="190"/>
      <c r="VCW5" s="190"/>
      <c r="VCX5" s="190"/>
      <c r="VCY5" s="190"/>
      <c r="VCZ5" s="190"/>
      <c r="VDA5" s="190"/>
      <c r="VDB5" s="190"/>
      <c r="VDC5" s="190"/>
      <c r="VDD5" s="190"/>
      <c r="VDE5" s="190"/>
      <c r="VDF5" s="190"/>
      <c r="VDG5" s="190"/>
      <c r="VDH5" s="190"/>
      <c r="VDI5" s="190"/>
      <c r="VDJ5" s="190"/>
      <c r="VDK5" s="190"/>
      <c r="VDL5" s="190"/>
      <c r="VDM5" s="190"/>
      <c r="VDN5" s="190"/>
      <c r="VDO5" s="190"/>
      <c r="VDP5" s="190"/>
      <c r="VDQ5" s="190"/>
      <c r="VDR5" s="190"/>
      <c r="VDS5" s="190"/>
      <c r="VDT5" s="190"/>
      <c r="VDU5" s="190"/>
      <c r="VDV5" s="190"/>
      <c r="VDW5" s="190"/>
      <c r="VDX5" s="190"/>
      <c r="VDY5" s="190"/>
      <c r="VDZ5" s="190"/>
      <c r="VEA5" s="190"/>
      <c r="VEB5" s="190"/>
      <c r="VEC5" s="190"/>
      <c r="VED5" s="190"/>
      <c r="VEE5" s="190"/>
      <c r="VEF5" s="190"/>
      <c r="VEG5" s="190"/>
      <c r="VEH5" s="190"/>
      <c r="VEI5" s="190"/>
      <c r="VEJ5" s="190"/>
      <c r="VEK5" s="190"/>
      <c r="VEL5" s="190"/>
      <c r="VEM5" s="190"/>
      <c r="VEN5" s="190"/>
      <c r="VEO5" s="190"/>
      <c r="VEP5" s="190"/>
      <c r="VEQ5" s="190"/>
      <c r="VER5" s="190"/>
      <c r="VES5" s="190"/>
      <c r="VET5" s="190"/>
      <c r="VEU5" s="190"/>
      <c r="VEV5" s="190"/>
      <c r="VEW5" s="190"/>
      <c r="VEX5" s="190"/>
      <c r="VEY5" s="190"/>
      <c r="VEZ5" s="190"/>
      <c r="VFA5" s="190"/>
      <c r="VFB5" s="190"/>
      <c r="VFC5" s="190"/>
      <c r="VFD5" s="190"/>
      <c r="VFE5" s="190"/>
      <c r="VFF5" s="190"/>
      <c r="VFG5" s="190"/>
      <c r="VFH5" s="190"/>
      <c r="VFI5" s="190"/>
      <c r="VFJ5" s="190"/>
      <c r="VFK5" s="190"/>
      <c r="VFL5" s="190"/>
      <c r="VFM5" s="190"/>
      <c r="VFN5" s="190"/>
      <c r="VFO5" s="190"/>
      <c r="VFP5" s="190"/>
      <c r="VFQ5" s="190"/>
      <c r="VFR5" s="190"/>
      <c r="VFS5" s="190"/>
      <c r="VFT5" s="190"/>
      <c r="VFU5" s="190"/>
      <c r="VFV5" s="190"/>
      <c r="VFW5" s="190"/>
      <c r="VFX5" s="190"/>
      <c r="VFY5" s="190"/>
      <c r="VFZ5" s="190"/>
      <c r="VGA5" s="190"/>
      <c r="VGB5" s="190"/>
      <c r="VGC5" s="190"/>
      <c r="VGD5" s="190"/>
      <c r="VGE5" s="190"/>
      <c r="VGF5" s="190"/>
      <c r="VGG5" s="190"/>
      <c r="VGH5" s="190"/>
      <c r="VGI5" s="190"/>
      <c r="VGJ5" s="190"/>
      <c r="VGK5" s="190"/>
      <c r="VGL5" s="190"/>
      <c r="VGM5" s="190"/>
      <c r="VGN5" s="190"/>
      <c r="VGO5" s="190"/>
      <c r="VGP5" s="190"/>
      <c r="VGQ5" s="190"/>
      <c r="VGR5" s="190"/>
      <c r="VGS5" s="190"/>
      <c r="VGT5" s="190"/>
      <c r="VGU5" s="190"/>
      <c r="VGV5" s="190"/>
      <c r="VGW5" s="190"/>
      <c r="VGX5" s="190"/>
      <c r="VGY5" s="190"/>
      <c r="VGZ5" s="190"/>
      <c r="VHA5" s="190"/>
      <c r="VHB5" s="190"/>
      <c r="VHC5" s="190"/>
      <c r="VHD5" s="190"/>
      <c r="VHE5" s="190"/>
      <c r="VHF5" s="190"/>
      <c r="VHG5" s="190"/>
      <c r="VHH5" s="190"/>
      <c r="VHI5" s="190"/>
      <c r="VHJ5" s="190"/>
      <c r="VHK5" s="190"/>
      <c r="VHL5" s="190"/>
      <c r="VHM5" s="190"/>
      <c r="VHN5" s="190"/>
      <c r="VHO5" s="190"/>
      <c r="VHP5" s="190"/>
      <c r="VHQ5" s="190"/>
      <c r="VHR5" s="190"/>
      <c r="VHS5" s="190"/>
      <c r="VHT5" s="190"/>
      <c r="VHU5" s="190"/>
      <c r="VHV5" s="190"/>
      <c r="VHW5" s="190"/>
      <c r="VHX5" s="190"/>
      <c r="VHY5" s="190"/>
      <c r="VHZ5" s="190"/>
      <c r="VIA5" s="190"/>
      <c r="VIB5" s="190"/>
      <c r="VIC5" s="190"/>
      <c r="VID5" s="190"/>
      <c r="VIE5" s="190"/>
      <c r="VIF5" s="190"/>
      <c r="VIG5" s="190"/>
      <c r="VIH5" s="190"/>
      <c r="VII5" s="190"/>
      <c r="VIJ5" s="190"/>
      <c r="VIK5" s="190"/>
      <c r="VIL5" s="190"/>
      <c r="VIM5" s="190"/>
      <c r="VIN5" s="190"/>
      <c r="VIO5" s="190"/>
      <c r="VIP5" s="190"/>
      <c r="VIQ5" s="190"/>
      <c r="VIR5" s="190"/>
      <c r="VIS5" s="190"/>
      <c r="VIT5" s="190"/>
      <c r="VIU5" s="190"/>
      <c r="VIV5" s="190"/>
      <c r="VIW5" s="190"/>
      <c r="VIX5" s="190"/>
      <c r="VIY5" s="190"/>
      <c r="VIZ5" s="190"/>
      <c r="VJA5" s="190"/>
      <c r="VJB5" s="190"/>
      <c r="VJC5" s="190"/>
      <c r="VJD5" s="190"/>
      <c r="VJE5" s="190"/>
      <c r="VJF5" s="190"/>
      <c r="VJG5" s="190"/>
      <c r="VJH5" s="190"/>
      <c r="VJI5" s="190"/>
      <c r="VJJ5" s="190"/>
      <c r="VJK5" s="190"/>
      <c r="VJL5" s="190"/>
      <c r="VJM5" s="190"/>
      <c r="VJN5" s="190"/>
      <c r="VJO5" s="190"/>
      <c r="VJP5" s="190"/>
      <c r="VJQ5" s="190"/>
      <c r="VJR5" s="190"/>
      <c r="VJS5" s="190"/>
      <c r="VJT5" s="190"/>
      <c r="VJU5" s="190"/>
      <c r="VJV5" s="190"/>
      <c r="VJW5" s="190"/>
      <c r="VJX5" s="190"/>
      <c r="VJY5" s="190"/>
      <c r="VJZ5" s="190"/>
      <c r="VKA5" s="190"/>
      <c r="VKB5" s="190"/>
      <c r="VKC5" s="190"/>
      <c r="VKD5" s="190"/>
      <c r="VKE5" s="190"/>
      <c r="VKF5" s="190"/>
      <c r="VKG5" s="190"/>
      <c r="VKH5" s="190"/>
      <c r="VKI5" s="190"/>
      <c r="VKJ5" s="190"/>
      <c r="VKK5" s="190"/>
      <c r="VKL5" s="190"/>
      <c r="VKM5" s="190"/>
      <c r="VKN5" s="190"/>
      <c r="VKO5" s="190"/>
      <c r="VKP5" s="190"/>
      <c r="VKQ5" s="190"/>
      <c r="VKR5" s="190"/>
      <c r="VKS5" s="190"/>
      <c r="VKT5" s="190"/>
      <c r="VKU5" s="190"/>
      <c r="VKV5" s="190"/>
      <c r="VKW5" s="190"/>
      <c r="VKX5" s="190"/>
      <c r="VKY5" s="190"/>
      <c r="VKZ5" s="190"/>
      <c r="VLA5" s="190"/>
      <c r="VLB5" s="190"/>
      <c r="VLC5" s="190"/>
      <c r="VLD5" s="190"/>
      <c r="VLE5" s="190"/>
      <c r="VLF5" s="190"/>
      <c r="VLG5" s="190"/>
      <c r="VLH5" s="190"/>
      <c r="VLI5" s="190"/>
      <c r="VLJ5" s="190"/>
      <c r="VLK5" s="190"/>
      <c r="VLL5" s="190"/>
      <c r="VLM5" s="190"/>
      <c r="VLN5" s="190"/>
      <c r="VLO5" s="190"/>
      <c r="VLP5" s="190"/>
      <c r="VLQ5" s="190"/>
      <c r="VLR5" s="190"/>
      <c r="VLS5" s="190"/>
      <c r="VLT5" s="190"/>
      <c r="VLU5" s="190"/>
      <c r="VLV5" s="190"/>
      <c r="VLW5" s="190"/>
      <c r="VLX5" s="190"/>
      <c r="VLY5" s="190"/>
      <c r="VLZ5" s="190"/>
      <c r="VMA5" s="190"/>
      <c r="VMB5" s="190"/>
      <c r="VMC5" s="190"/>
      <c r="VMD5" s="190"/>
      <c r="VME5" s="190"/>
      <c r="VMF5" s="190"/>
      <c r="VMG5" s="190"/>
      <c r="VMH5" s="190"/>
      <c r="VMI5" s="190"/>
      <c r="VMJ5" s="190"/>
      <c r="VMK5" s="190"/>
      <c r="VML5" s="190"/>
      <c r="VMM5" s="190"/>
      <c r="VMN5" s="190"/>
      <c r="VMO5" s="190"/>
      <c r="VMP5" s="190"/>
      <c r="VMQ5" s="190"/>
      <c r="VMR5" s="190"/>
      <c r="VMS5" s="190"/>
      <c r="VMT5" s="190"/>
      <c r="VMU5" s="190"/>
      <c r="VMV5" s="190"/>
      <c r="VMW5" s="190"/>
      <c r="VMX5" s="190"/>
      <c r="VMY5" s="190"/>
      <c r="VMZ5" s="190"/>
      <c r="VNA5" s="190"/>
      <c r="VNB5" s="190"/>
      <c r="VNC5" s="190"/>
      <c r="VND5" s="190"/>
      <c r="VNE5" s="190"/>
      <c r="VNF5" s="190"/>
      <c r="VNG5" s="190"/>
      <c r="VNH5" s="190"/>
      <c r="VNI5" s="190"/>
      <c r="VNJ5" s="190"/>
      <c r="VNK5" s="190"/>
      <c r="VNL5" s="190"/>
      <c r="VNM5" s="190"/>
      <c r="VNN5" s="190"/>
      <c r="VNO5" s="190"/>
      <c r="VNP5" s="190"/>
      <c r="VNQ5" s="190"/>
      <c r="VNR5" s="190"/>
      <c r="VNS5" s="190"/>
      <c r="VNT5" s="190"/>
      <c r="VNU5" s="190"/>
      <c r="VNV5" s="190"/>
      <c r="VNW5" s="190"/>
      <c r="VNX5" s="190"/>
      <c r="VNY5" s="190"/>
      <c r="VNZ5" s="190"/>
      <c r="VOA5" s="190"/>
      <c r="VOB5" s="190"/>
      <c r="VOC5" s="190"/>
      <c r="VOD5" s="190"/>
      <c r="VOE5" s="190"/>
      <c r="VOF5" s="190"/>
      <c r="VOG5" s="190"/>
      <c r="VOH5" s="190"/>
      <c r="VOI5" s="190"/>
      <c r="VOJ5" s="190"/>
      <c r="VOK5" s="190"/>
      <c r="VOL5" s="190"/>
      <c r="VOM5" s="190"/>
      <c r="VON5" s="190"/>
      <c r="VOO5" s="190"/>
      <c r="VOP5" s="190"/>
      <c r="VOQ5" s="190"/>
      <c r="VOR5" s="190"/>
      <c r="VOS5" s="190"/>
      <c r="VOT5" s="190"/>
      <c r="VOU5" s="190"/>
      <c r="VOV5" s="190"/>
      <c r="VOW5" s="190"/>
      <c r="VOX5" s="190"/>
      <c r="VOY5" s="190"/>
      <c r="VOZ5" s="190"/>
      <c r="VPA5" s="190"/>
      <c r="VPB5" s="190"/>
      <c r="VPC5" s="190"/>
      <c r="VPD5" s="190"/>
      <c r="VPE5" s="190"/>
      <c r="VPF5" s="190"/>
      <c r="VPG5" s="190"/>
      <c r="VPH5" s="190"/>
      <c r="VPI5" s="190"/>
      <c r="VPJ5" s="190"/>
      <c r="VPK5" s="190"/>
      <c r="VPL5" s="190"/>
      <c r="VPM5" s="190"/>
      <c r="VPN5" s="190"/>
      <c r="VPO5" s="190"/>
      <c r="VPP5" s="190"/>
      <c r="VPQ5" s="190"/>
      <c r="VPR5" s="190"/>
      <c r="VPS5" s="190"/>
      <c r="VPT5" s="190"/>
      <c r="VPU5" s="190"/>
      <c r="VPV5" s="190"/>
      <c r="VPW5" s="190"/>
      <c r="VPX5" s="190"/>
      <c r="VPY5" s="190"/>
      <c r="VPZ5" s="190"/>
      <c r="VQA5" s="190"/>
      <c r="VQB5" s="190"/>
      <c r="VQC5" s="190"/>
      <c r="VQD5" s="190"/>
      <c r="VQE5" s="190"/>
      <c r="VQF5" s="190"/>
      <c r="VQG5" s="190"/>
      <c r="VQH5" s="190"/>
      <c r="VQI5" s="190"/>
      <c r="VQJ5" s="190"/>
      <c r="VQK5" s="190"/>
      <c r="VQL5" s="190"/>
      <c r="VQM5" s="190"/>
      <c r="VQN5" s="190"/>
      <c r="VQO5" s="190"/>
      <c r="VQP5" s="190"/>
      <c r="VQQ5" s="190"/>
      <c r="VQR5" s="190"/>
      <c r="VQS5" s="190"/>
      <c r="VQT5" s="190"/>
      <c r="VQU5" s="190"/>
      <c r="VQV5" s="190"/>
      <c r="VQW5" s="190"/>
      <c r="VQX5" s="190"/>
      <c r="VQY5" s="190"/>
      <c r="VQZ5" s="190"/>
      <c r="VRA5" s="190"/>
      <c r="VRB5" s="190"/>
      <c r="VRC5" s="190"/>
      <c r="VRD5" s="190"/>
      <c r="VRE5" s="190"/>
      <c r="VRF5" s="190"/>
      <c r="VRG5" s="190"/>
      <c r="VRH5" s="190"/>
      <c r="VRI5" s="190"/>
      <c r="VRJ5" s="190"/>
      <c r="VRK5" s="190"/>
      <c r="VRL5" s="190"/>
      <c r="VRM5" s="190"/>
      <c r="VRN5" s="190"/>
      <c r="VRO5" s="190"/>
      <c r="VRP5" s="190"/>
      <c r="VRQ5" s="190"/>
      <c r="VRR5" s="190"/>
      <c r="VRS5" s="190"/>
      <c r="VRT5" s="190"/>
      <c r="VRU5" s="190"/>
      <c r="VRV5" s="190"/>
      <c r="VRW5" s="190"/>
      <c r="VRX5" s="190"/>
      <c r="VRY5" s="190"/>
      <c r="VRZ5" s="190"/>
      <c r="VSA5" s="190"/>
      <c r="VSB5" s="190"/>
      <c r="VSC5" s="190"/>
      <c r="VSD5" s="190"/>
      <c r="VSE5" s="190"/>
      <c r="VSF5" s="190"/>
      <c r="VSG5" s="190"/>
      <c r="VSH5" s="190"/>
      <c r="VSI5" s="190"/>
      <c r="VSJ5" s="190"/>
      <c r="VSK5" s="190"/>
      <c r="VSL5" s="190"/>
      <c r="VSM5" s="190"/>
      <c r="VSN5" s="190"/>
      <c r="VSO5" s="190"/>
      <c r="VSP5" s="190"/>
      <c r="VSQ5" s="190"/>
      <c r="VSR5" s="190"/>
      <c r="VSS5" s="190"/>
      <c r="VST5" s="190"/>
      <c r="VSU5" s="190"/>
      <c r="VSV5" s="190"/>
      <c r="VSW5" s="190"/>
      <c r="VSX5" s="190"/>
      <c r="VSY5" s="190"/>
      <c r="VSZ5" s="190"/>
      <c r="VTA5" s="190"/>
      <c r="VTB5" s="190"/>
      <c r="VTC5" s="190"/>
      <c r="VTD5" s="190"/>
      <c r="VTE5" s="190"/>
      <c r="VTF5" s="190"/>
      <c r="VTG5" s="190"/>
      <c r="VTH5" s="190"/>
      <c r="VTI5" s="190"/>
      <c r="VTJ5" s="190"/>
      <c r="VTK5" s="190"/>
      <c r="VTL5" s="190"/>
      <c r="VTM5" s="190"/>
      <c r="VTN5" s="190"/>
      <c r="VTO5" s="190"/>
      <c r="VTP5" s="190"/>
      <c r="VTQ5" s="190"/>
      <c r="VTR5" s="190"/>
      <c r="VTS5" s="190"/>
      <c r="VTT5" s="190"/>
      <c r="VTU5" s="190"/>
      <c r="VTV5" s="190"/>
      <c r="VTW5" s="190"/>
      <c r="VTX5" s="190"/>
      <c r="VTY5" s="190"/>
      <c r="VTZ5" s="190"/>
      <c r="VUA5" s="190"/>
      <c r="VUB5" s="190"/>
      <c r="VUC5" s="190"/>
      <c r="VUD5" s="190"/>
      <c r="VUE5" s="190"/>
      <c r="VUF5" s="190"/>
      <c r="VUG5" s="190"/>
      <c r="VUH5" s="190"/>
      <c r="VUI5" s="190"/>
      <c r="VUJ5" s="190"/>
      <c r="VUK5" s="190"/>
      <c r="VUL5" s="190"/>
      <c r="VUM5" s="190"/>
      <c r="VUN5" s="190"/>
      <c r="VUO5" s="190"/>
      <c r="VUP5" s="190"/>
      <c r="VUQ5" s="190"/>
      <c r="VUR5" s="190"/>
      <c r="VUS5" s="190"/>
      <c r="VUT5" s="190"/>
      <c r="VUU5" s="190"/>
      <c r="VUV5" s="190"/>
      <c r="VUW5" s="190"/>
      <c r="VUX5" s="190"/>
      <c r="VUY5" s="190"/>
      <c r="VUZ5" s="190"/>
      <c r="VVA5" s="190"/>
      <c r="VVB5" s="190"/>
      <c r="VVC5" s="190"/>
      <c r="VVD5" s="190"/>
      <c r="VVE5" s="190"/>
      <c r="VVF5" s="190"/>
      <c r="VVG5" s="190"/>
      <c r="VVH5" s="190"/>
      <c r="VVI5" s="190"/>
      <c r="VVJ5" s="190"/>
      <c r="VVK5" s="190"/>
      <c r="VVL5" s="190"/>
      <c r="VVM5" s="190"/>
      <c r="VVN5" s="190"/>
      <c r="VVO5" s="190"/>
      <c r="VVP5" s="190"/>
      <c r="VVQ5" s="190"/>
      <c r="VVR5" s="190"/>
      <c r="VVS5" s="190"/>
      <c r="VVT5" s="190"/>
      <c r="VVU5" s="190"/>
      <c r="VVV5" s="190"/>
      <c r="VVW5" s="190"/>
      <c r="VVX5" s="190"/>
      <c r="VVY5" s="190"/>
      <c r="VVZ5" s="190"/>
      <c r="VWA5" s="190"/>
      <c r="VWB5" s="190"/>
      <c r="VWC5" s="190"/>
      <c r="VWD5" s="190"/>
      <c r="VWE5" s="190"/>
      <c r="VWF5" s="190"/>
      <c r="VWG5" s="190"/>
      <c r="VWH5" s="190"/>
      <c r="VWI5" s="190"/>
      <c r="VWJ5" s="190"/>
      <c r="VWK5" s="190"/>
      <c r="VWL5" s="190"/>
      <c r="VWM5" s="190"/>
      <c r="VWN5" s="190"/>
      <c r="VWO5" s="190"/>
      <c r="VWP5" s="190"/>
      <c r="VWQ5" s="190"/>
      <c r="VWR5" s="190"/>
      <c r="VWS5" s="190"/>
      <c r="VWT5" s="190"/>
      <c r="VWU5" s="190"/>
      <c r="VWV5" s="190"/>
      <c r="VWW5" s="190"/>
      <c r="VWX5" s="190"/>
      <c r="VWY5" s="190"/>
      <c r="VWZ5" s="190"/>
      <c r="VXA5" s="190"/>
      <c r="VXB5" s="190"/>
      <c r="VXC5" s="190"/>
      <c r="VXD5" s="190"/>
      <c r="VXE5" s="190"/>
      <c r="VXF5" s="190"/>
      <c r="VXG5" s="190"/>
      <c r="VXH5" s="190"/>
      <c r="VXI5" s="190"/>
      <c r="VXJ5" s="190"/>
      <c r="VXK5" s="190"/>
      <c r="VXL5" s="190"/>
      <c r="VXM5" s="190"/>
      <c r="VXN5" s="190"/>
      <c r="VXO5" s="190"/>
      <c r="VXP5" s="190"/>
      <c r="VXQ5" s="190"/>
      <c r="VXR5" s="190"/>
      <c r="VXS5" s="190"/>
      <c r="VXT5" s="190"/>
      <c r="VXU5" s="190"/>
      <c r="VXV5" s="190"/>
      <c r="VXW5" s="190"/>
      <c r="VXX5" s="190"/>
      <c r="VXY5" s="190"/>
      <c r="VXZ5" s="190"/>
      <c r="VYA5" s="190"/>
      <c r="VYB5" s="190"/>
      <c r="VYC5" s="190"/>
      <c r="VYD5" s="190"/>
      <c r="VYE5" s="190"/>
      <c r="VYF5" s="190"/>
      <c r="VYG5" s="190"/>
      <c r="VYH5" s="190"/>
      <c r="VYI5" s="190"/>
      <c r="VYJ5" s="190"/>
      <c r="VYK5" s="190"/>
      <c r="VYL5" s="190"/>
      <c r="VYM5" s="190"/>
      <c r="VYN5" s="190"/>
      <c r="VYO5" s="190"/>
      <c r="VYP5" s="190"/>
      <c r="VYQ5" s="190"/>
      <c r="VYR5" s="190"/>
      <c r="VYS5" s="190"/>
      <c r="VYT5" s="190"/>
      <c r="VYU5" s="190"/>
      <c r="VYV5" s="190"/>
      <c r="VYW5" s="190"/>
      <c r="VYX5" s="190"/>
      <c r="VYY5" s="190"/>
      <c r="VYZ5" s="190"/>
      <c r="VZA5" s="190"/>
      <c r="VZB5" s="190"/>
      <c r="VZC5" s="190"/>
      <c r="VZD5" s="190"/>
      <c r="VZE5" s="190"/>
      <c r="VZF5" s="190"/>
      <c r="VZG5" s="190"/>
      <c r="VZH5" s="190"/>
      <c r="VZI5" s="190"/>
      <c r="VZJ5" s="190"/>
      <c r="VZK5" s="190"/>
      <c r="VZL5" s="190"/>
      <c r="VZM5" s="190"/>
      <c r="VZN5" s="190"/>
      <c r="VZO5" s="190"/>
      <c r="VZP5" s="190"/>
      <c r="VZQ5" s="190"/>
      <c r="VZR5" s="190"/>
      <c r="VZS5" s="190"/>
      <c r="VZT5" s="190"/>
      <c r="VZU5" s="190"/>
      <c r="VZV5" s="190"/>
      <c r="VZW5" s="190"/>
      <c r="VZX5" s="190"/>
      <c r="VZY5" s="190"/>
      <c r="VZZ5" s="190"/>
      <c r="WAA5" s="190"/>
      <c r="WAB5" s="190"/>
      <c r="WAC5" s="190"/>
      <c r="WAD5" s="190"/>
      <c r="WAE5" s="190"/>
      <c r="WAF5" s="190"/>
      <c r="WAG5" s="190"/>
      <c r="WAH5" s="190"/>
      <c r="WAI5" s="190"/>
      <c r="WAJ5" s="190"/>
      <c r="WAK5" s="190"/>
      <c r="WAL5" s="190"/>
      <c r="WAM5" s="190"/>
      <c r="WAN5" s="190"/>
      <c r="WAO5" s="190"/>
      <c r="WAP5" s="190"/>
      <c r="WAQ5" s="190"/>
      <c r="WAR5" s="190"/>
      <c r="WAS5" s="190"/>
      <c r="WAT5" s="190"/>
      <c r="WAU5" s="190"/>
      <c r="WAV5" s="190"/>
      <c r="WAW5" s="190"/>
      <c r="WAX5" s="190"/>
      <c r="WAY5" s="190"/>
      <c r="WAZ5" s="190"/>
      <c r="WBA5" s="190"/>
      <c r="WBB5" s="190"/>
      <c r="WBC5" s="190"/>
      <c r="WBD5" s="190"/>
      <c r="WBE5" s="190"/>
      <c r="WBF5" s="190"/>
      <c r="WBG5" s="190"/>
      <c r="WBH5" s="190"/>
      <c r="WBI5" s="190"/>
      <c r="WBJ5" s="190"/>
      <c r="WBK5" s="190"/>
      <c r="WBL5" s="190"/>
      <c r="WBM5" s="190"/>
      <c r="WBN5" s="190"/>
      <c r="WBO5" s="190"/>
      <c r="WBP5" s="190"/>
      <c r="WBQ5" s="190"/>
      <c r="WBR5" s="190"/>
      <c r="WBS5" s="190"/>
      <c r="WBT5" s="190"/>
      <c r="WBU5" s="190"/>
      <c r="WBV5" s="190"/>
      <c r="WBW5" s="190"/>
      <c r="WBX5" s="190"/>
      <c r="WBY5" s="190"/>
      <c r="WBZ5" s="190"/>
      <c r="WCA5" s="190"/>
      <c r="WCB5" s="190"/>
      <c r="WCC5" s="190"/>
      <c r="WCD5" s="190"/>
      <c r="WCE5" s="190"/>
      <c r="WCF5" s="190"/>
      <c r="WCG5" s="190"/>
      <c r="WCH5" s="190"/>
      <c r="WCI5" s="190"/>
      <c r="WCJ5" s="190"/>
      <c r="WCK5" s="190"/>
      <c r="WCL5" s="190"/>
      <c r="WCM5" s="190"/>
      <c r="WCN5" s="190"/>
      <c r="WCO5" s="190"/>
      <c r="WCP5" s="190"/>
      <c r="WCQ5" s="190"/>
      <c r="WCR5" s="190"/>
      <c r="WCS5" s="190"/>
      <c r="WCT5" s="190"/>
      <c r="WCU5" s="190"/>
      <c r="WCV5" s="190"/>
      <c r="WCW5" s="190"/>
      <c r="WCX5" s="190"/>
      <c r="WCY5" s="190"/>
      <c r="WCZ5" s="190"/>
      <c r="WDA5" s="190"/>
      <c r="WDB5" s="190"/>
      <c r="WDC5" s="190"/>
      <c r="WDD5" s="190"/>
      <c r="WDE5" s="190"/>
      <c r="WDF5" s="190"/>
      <c r="WDG5" s="190"/>
      <c r="WDH5" s="190"/>
      <c r="WDI5" s="190"/>
      <c r="WDJ5" s="190"/>
      <c r="WDK5" s="190"/>
      <c r="WDL5" s="190"/>
      <c r="WDM5" s="190"/>
      <c r="WDN5" s="190"/>
      <c r="WDO5" s="190"/>
      <c r="WDP5" s="190"/>
      <c r="WDQ5" s="190"/>
      <c r="WDR5" s="190"/>
      <c r="WDS5" s="190"/>
      <c r="WDT5" s="190"/>
      <c r="WDU5" s="190"/>
      <c r="WDV5" s="190"/>
      <c r="WDW5" s="190"/>
      <c r="WDX5" s="190"/>
      <c r="WDY5" s="190"/>
      <c r="WDZ5" s="190"/>
      <c r="WEA5" s="190"/>
      <c r="WEB5" s="190"/>
      <c r="WEC5" s="190"/>
      <c r="WED5" s="190"/>
      <c r="WEE5" s="190"/>
      <c r="WEF5" s="190"/>
      <c r="WEG5" s="190"/>
      <c r="WEH5" s="190"/>
      <c r="WEI5" s="190"/>
      <c r="WEJ5" s="190"/>
      <c r="WEK5" s="190"/>
      <c r="WEL5" s="190"/>
      <c r="WEM5" s="190"/>
      <c r="WEN5" s="190"/>
      <c r="WEO5" s="190"/>
      <c r="WEP5" s="190"/>
      <c r="WEQ5" s="190"/>
      <c r="WER5" s="190"/>
      <c r="WES5" s="190"/>
      <c r="WET5" s="190"/>
      <c r="WEU5" s="190"/>
      <c r="WEV5" s="190"/>
      <c r="WEW5" s="190"/>
      <c r="WEX5" s="190"/>
      <c r="WEY5" s="190"/>
      <c r="WEZ5" s="190"/>
      <c r="WFA5" s="190"/>
      <c r="WFB5" s="190"/>
      <c r="WFC5" s="190"/>
      <c r="WFD5" s="190"/>
      <c r="WFE5" s="190"/>
      <c r="WFF5" s="190"/>
      <c r="WFG5" s="190"/>
      <c r="WFH5" s="190"/>
      <c r="WFI5" s="190"/>
      <c r="WFJ5" s="190"/>
      <c r="WFK5" s="190"/>
      <c r="WFL5" s="190"/>
      <c r="WFM5" s="190"/>
      <c r="WFN5" s="190"/>
      <c r="WFO5" s="190"/>
      <c r="WFP5" s="190"/>
      <c r="WFQ5" s="190"/>
      <c r="WFR5" s="190"/>
      <c r="WFS5" s="190"/>
      <c r="WFT5" s="190"/>
      <c r="WFU5" s="190"/>
      <c r="WFV5" s="190"/>
      <c r="WFW5" s="190"/>
      <c r="WFX5" s="190"/>
      <c r="WFY5" s="190"/>
      <c r="WFZ5" s="190"/>
      <c r="WGA5" s="190"/>
      <c r="WGB5" s="190"/>
      <c r="WGC5" s="190"/>
      <c r="WGD5" s="190"/>
      <c r="WGE5" s="190"/>
      <c r="WGF5" s="190"/>
      <c r="WGG5" s="190"/>
      <c r="WGH5" s="190"/>
      <c r="WGI5" s="190"/>
      <c r="WGJ5" s="190"/>
      <c r="WGK5" s="190"/>
      <c r="WGL5" s="190"/>
      <c r="WGM5" s="190"/>
      <c r="WGN5" s="190"/>
      <c r="WGO5" s="190"/>
      <c r="WGP5" s="190"/>
      <c r="WGQ5" s="190"/>
      <c r="WGR5" s="190"/>
      <c r="WGS5" s="190"/>
      <c r="WGT5" s="190"/>
      <c r="WGU5" s="190"/>
      <c r="WGV5" s="190"/>
      <c r="WGW5" s="190"/>
      <c r="WGX5" s="190"/>
      <c r="WGY5" s="190"/>
      <c r="WGZ5" s="190"/>
      <c r="WHA5" s="190"/>
      <c r="WHB5" s="190"/>
      <c r="WHC5" s="190"/>
      <c r="WHD5" s="190"/>
      <c r="WHE5" s="190"/>
      <c r="WHF5" s="190"/>
      <c r="WHG5" s="190"/>
      <c r="WHH5" s="190"/>
      <c r="WHI5" s="190"/>
      <c r="WHJ5" s="190"/>
      <c r="WHK5" s="190"/>
      <c r="WHL5" s="190"/>
      <c r="WHM5" s="190"/>
      <c r="WHN5" s="190"/>
      <c r="WHO5" s="190"/>
      <c r="WHP5" s="190"/>
      <c r="WHQ5" s="190"/>
      <c r="WHR5" s="190"/>
      <c r="WHS5" s="190"/>
      <c r="WHT5" s="190"/>
      <c r="WHU5" s="190"/>
      <c r="WHV5" s="190"/>
      <c r="WHW5" s="190"/>
      <c r="WHX5" s="190"/>
      <c r="WHY5" s="190"/>
      <c r="WHZ5" s="190"/>
      <c r="WIA5" s="190"/>
      <c r="WIB5" s="190"/>
      <c r="WIC5" s="190"/>
      <c r="WID5" s="190"/>
      <c r="WIE5" s="190"/>
      <c r="WIF5" s="190"/>
      <c r="WIG5" s="190"/>
      <c r="WIH5" s="190"/>
      <c r="WII5" s="190"/>
      <c r="WIJ5" s="190"/>
      <c r="WIK5" s="190"/>
      <c r="WIL5" s="190"/>
      <c r="WIM5" s="190"/>
      <c r="WIN5" s="190"/>
      <c r="WIO5" s="190"/>
      <c r="WIP5" s="190"/>
      <c r="WIQ5" s="190"/>
      <c r="WIR5" s="190"/>
      <c r="WIS5" s="190"/>
      <c r="WIT5" s="190"/>
      <c r="WIU5" s="190"/>
      <c r="WIV5" s="190"/>
      <c r="WIW5" s="190"/>
      <c r="WIX5" s="190"/>
      <c r="WIY5" s="190"/>
      <c r="WIZ5" s="190"/>
      <c r="WJA5" s="190"/>
      <c r="WJB5" s="190"/>
      <c r="WJC5" s="190"/>
      <c r="WJD5" s="190"/>
      <c r="WJE5" s="190"/>
      <c r="WJF5" s="190"/>
      <c r="WJG5" s="190"/>
      <c r="WJH5" s="190"/>
      <c r="WJI5" s="190"/>
      <c r="WJJ5" s="190"/>
      <c r="WJK5" s="190"/>
      <c r="WJL5" s="190"/>
      <c r="WJM5" s="190"/>
      <c r="WJN5" s="190"/>
      <c r="WJO5" s="190"/>
      <c r="WJP5" s="190"/>
      <c r="WJQ5" s="190"/>
      <c r="WJR5" s="190"/>
      <c r="WJS5" s="190"/>
      <c r="WJT5" s="190"/>
      <c r="WJU5" s="190"/>
      <c r="WJV5" s="190"/>
      <c r="WJW5" s="190"/>
      <c r="WJX5" s="190"/>
      <c r="WJY5" s="190"/>
      <c r="WJZ5" s="190"/>
      <c r="WKA5" s="190"/>
      <c r="WKB5" s="190"/>
      <c r="WKC5" s="190"/>
      <c r="WKD5" s="190"/>
      <c r="WKE5" s="190"/>
      <c r="WKF5" s="190"/>
      <c r="WKG5" s="190"/>
      <c r="WKH5" s="190"/>
      <c r="WKI5" s="190"/>
      <c r="WKJ5" s="190"/>
      <c r="WKK5" s="190"/>
      <c r="WKL5" s="190"/>
      <c r="WKM5" s="190"/>
      <c r="WKN5" s="190"/>
      <c r="WKO5" s="190"/>
      <c r="WKP5" s="190"/>
      <c r="WKQ5" s="190"/>
      <c r="WKR5" s="190"/>
      <c r="WKS5" s="190"/>
      <c r="WKT5" s="190"/>
      <c r="WKU5" s="190"/>
      <c r="WKV5" s="190"/>
      <c r="WKW5" s="190"/>
      <c r="WKX5" s="190"/>
      <c r="WKY5" s="190"/>
      <c r="WKZ5" s="190"/>
      <c r="WLA5" s="190"/>
      <c r="WLB5" s="190"/>
      <c r="WLC5" s="190"/>
      <c r="WLD5" s="190"/>
      <c r="WLE5" s="190"/>
      <c r="WLF5" s="190"/>
      <c r="WLG5" s="190"/>
      <c r="WLH5" s="190"/>
      <c r="WLI5" s="190"/>
      <c r="WLJ5" s="190"/>
      <c r="WLK5" s="190"/>
      <c r="WLL5" s="190"/>
      <c r="WLM5" s="190"/>
      <c r="WLN5" s="190"/>
      <c r="WLO5" s="190"/>
      <c r="WLP5" s="190"/>
      <c r="WLQ5" s="190"/>
      <c r="WLR5" s="190"/>
      <c r="WLS5" s="190"/>
      <c r="WLT5" s="190"/>
      <c r="WLU5" s="190"/>
      <c r="WLV5" s="190"/>
      <c r="WLW5" s="190"/>
      <c r="WLX5" s="190"/>
      <c r="WLY5" s="190"/>
      <c r="WLZ5" s="190"/>
      <c r="WMA5" s="190"/>
      <c r="WMB5" s="190"/>
      <c r="WMC5" s="190"/>
      <c r="WMD5" s="190"/>
      <c r="WME5" s="190"/>
      <c r="WMF5" s="190"/>
      <c r="WMG5" s="190"/>
      <c r="WMH5" s="190"/>
      <c r="WMI5" s="190"/>
      <c r="WMJ5" s="190"/>
      <c r="WMK5" s="190"/>
      <c r="WML5" s="190"/>
      <c r="WMM5" s="190"/>
      <c r="WMN5" s="190"/>
      <c r="WMO5" s="190"/>
      <c r="WMP5" s="190"/>
      <c r="WMQ5" s="190"/>
      <c r="WMR5" s="190"/>
      <c r="WMS5" s="190"/>
      <c r="WMT5" s="190"/>
      <c r="WMU5" s="190"/>
      <c r="WMV5" s="190"/>
      <c r="WMW5" s="190"/>
      <c r="WMX5" s="190"/>
      <c r="WMY5" s="190"/>
      <c r="WMZ5" s="190"/>
      <c r="WNA5" s="190"/>
      <c r="WNB5" s="190"/>
      <c r="WNC5" s="190"/>
      <c r="WND5" s="190"/>
      <c r="WNE5" s="190"/>
      <c r="WNF5" s="190"/>
      <c r="WNG5" s="190"/>
      <c r="WNH5" s="190"/>
      <c r="WNI5" s="190"/>
      <c r="WNJ5" s="190"/>
      <c r="WNK5" s="190"/>
      <c r="WNL5" s="190"/>
      <c r="WNM5" s="190"/>
      <c r="WNN5" s="190"/>
      <c r="WNO5" s="190"/>
      <c r="WNP5" s="190"/>
      <c r="WNQ5" s="190"/>
      <c r="WNR5" s="190"/>
      <c r="WNS5" s="190"/>
      <c r="WNT5" s="190"/>
      <c r="WNU5" s="190"/>
      <c r="WNV5" s="190"/>
      <c r="WNW5" s="190"/>
      <c r="WNX5" s="190"/>
      <c r="WNY5" s="190"/>
      <c r="WNZ5" s="190"/>
      <c r="WOA5" s="190"/>
      <c r="WOB5" s="190"/>
      <c r="WOC5" s="190"/>
      <c r="WOD5" s="190"/>
      <c r="WOE5" s="190"/>
      <c r="WOF5" s="190"/>
      <c r="WOG5" s="190"/>
      <c r="WOH5" s="190"/>
      <c r="WOI5" s="190"/>
      <c r="WOJ5" s="190"/>
      <c r="WOK5" s="190"/>
      <c r="WOL5" s="190"/>
      <c r="WOM5" s="190"/>
      <c r="WON5" s="190"/>
      <c r="WOO5" s="190"/>
      <c r="WOP5" s="190"/>
      <c r="WOQ5" s="190"/>
      <c r="WOR5" s="190"/>
      <c r="WOS5" s="190"/>
      <c r="WOT5" s="190"/>
      <c r="WOU5" s="190"/>
      <c r="WOV5" s="190"/>
      <c r="WOW5" s="190"/>
      <c r="WOX5" s="190"/>
      <c r="WOY5" s="190"/>
      <c r="WOZ5" s="190"/>
      <c r="WPA5" s="190"/>
      <c r="WPB5" s="190"/>
      <c r="WPC5" s="190"/>
      <c r="WPD5" s="190"/>
      <c r="WPE5" s="190"/>
      <c r="WPF5" s="190"/>
      <c r="WPG5" s="190"/>
      <c r="WPH5" s="190"/>
      <c r="WPI5" s="190"/>
      <c r="WPJ5" s="190"/>
      <c r="WPK5" s="190"/>
      <c r="WPL5" s="190"/>
      <c r="WPM5" s="190"/>
      <c r="WPN5" s="190"/>
      <c r="WPO5" s="190"/>
      <c r="WPP5" s="190"/>
      <c r="WPQ5" s="190"/>
      <c r="WPR5" s="190"/>
      <c r="WPS5" s="190"/>
      <c r="WPT5" s="190"/>
      <c r="WPU5" s="190"/>
      <c r="WPV5" s="190"/>
      <c r="WPW5" s="190"/>
      <c r="WPX5" s="190"/>
      <c r="WPY5" s="190"/>
      <c r="WPZ5" s="190"/>
      <c r="WQA5" s="190"/>
      <c r="WQB5" s="190"/>
      <c r="WQC5" s="190"/>
      <c r="WQD5" s="190"/>
      <c r="WQE5" s="190"/>
      <c r="WQF5" s="190"/>
      <c r="WQG5" s="190"/>
      <c r="WQH5" s="190"/>
      <c r="WQI5" s="190"/>
      <c r="WQJ5" s="190"/>
      <c r="WQK5" s="190"/>
      <c r="WQL5" s="190"/>
      <c r="WQM5" s="190"/>
      <c r="WQN5" s="190"/>
      <c r="WQO5" s="190"/>
      <c r="WQP5" s="190"/>
      <c r="WQQ5" s="190"/>
      <c r="WQR5" s="190"/>
      <c r="WQS5" s="190"/>
      <c r="WQT5" s="190"/>
      <c r="WQU5" s="190"/>
      <c r="WQV5" s="190"/>
      <c r="WQW5" s="190"/>
      <c r="WQX5" s="190"/>
      <c r="WQY5" s="190"/>
      <c r="WQZ5" s="190"/>
      <c r="WRA5" s="190"/>
      <c r="WRB5" s="190"/>
      <c r="WRC5" s="190"/>
      <c r="WRD5" s="190"/>
      <c r="WRE5" s="190"/>
      <c r="WRF5" s="190"/>
      <c r="WRG5" s="190"/>
      <c r="WRH5" s="190"/>
      <c r="WRI5" s="190"/>
      <c r="WRJ5" s="190"/>
      <c r="WRK5" s="190"/>
      <c r="WRL5" s="190"/>
      <c r="WRM5" s="190"/>
      <c r="WRN5" s="190"/>
      <c r="WRO5" s="190"/>
      <c r="WRP5" s="190"/>
      <c r="WRQ5" s="190"/>
      <c r="WRR5" s="190"/>
      <c r="WRS5" s="190"/>
      <c r="WRT5" s="190"/>
      <c r="WRU5" s="190"/>
      <c r="WRV5" s="190"/>
      <c r="WRW5" s="190"/>
      <c r="WRX5" s="190"/>
      <c r="WRY5" s="190"/>
      <c r="WRZ5" s="190"/>
      <c r="WSA5" s="190"/>
      <c r="WSB5" s="190"/>
      <c r="WSC5" s="190"/>
      <c r="WSD5" s="190"/>
      <c r="WSE5" s="190"/>
      <c r="WSF5" s="190"/>
      <c r="WSG5" s="190"/>
      <c r="WSH5" s="190"/>
      <c r="WSI5" s="190"/>
      <c r="WSJ5" s="190"/>
      <c r="WSK5" s="190"/>
      <c r="WSL5" s="190"/>
      <c r="WSM5" s="190"/>
      <c r="WSN5" s="190"/>
      <c r="WSO5" s="190"/>
      <c r="WSP5" s="190"/>
      <c r="WSQ5" s="190"/>
      <c r="WSR5" s="190"/>
      <c r="WSS5" s="190"/>
      <c r="WST5" s="190"/>
      <c r="WSU5" s="190"/>
      <c r="WSV5" s="190"/>
      <c r="WSW5" s="190"/>
      <c r="WSX5" s="190"/>
      <c r="WSY5" s="190"/>
      <c r="WSZ5" s="190"/>
      <c r="WTA5" s="190"/>
      <c r="WTB5" s="190"/>
      <c r="WTC5" s="190"/>
      <c r="WTD5" s="190"/>
      <c r="WTE5" s="190"/>
      <c r="WTF5" s="190"/>
      <c r="WTG5" s="190"/>
      <c r="WTH5" s="190"/>
      <c r="WTI5" s="190"/>
      <c r="WTJ5" s="190"/>
      <c r="WTK5" s="190"/>
      <c r="WTL5" s="190"/>
      <c r="WTM5" s="190"/>
      <c r="WTN5" s="190"/>
      <c r="WTO5" s="190"/>
      <c r="WTP5" s="190"/>
      <c r="WTQ5" s="190"/>
      <c r="WTR5" s="190"/>
      <c r="WTS5" s="190"/>
      <c r="WTT5" s="190"/>
      <c r="WTU5" s="190"/>
      <c r="WTV5" s="190"/>
      <c r="WTW5" s="190"/>
      <c r="WTX5" s="190"/>
      <c r="WTY5" s="190"/>
      <c r="WTZ5" s="190"/>
      <c r="WUA5" s="190"/>
      <c r="WUB5" s="190"/>
      <c r="WUC5" s="190"/>
      <c r="WUD5" s="190"/>
      <c r="WUE5" s="190"/>
      <c r="WUF5" s="190"/>
      <c r="WUG5" s="190"/>
      <c r="WUH5" s="190"/>
      <c r="WUI5" s="190"/>
      <c r="WUJ5" s="190"/>
      <c r="WUK5" s="190"/>
      <c r="WUL5" s="190"/>
      <c r="WUM5" s="190"/>
      <c r="WUN5" s="190"/>
      <c r="WUO5" s="190"/>
      <c r="WUP5" s="190"/>
      <c r="WUQ5" s="190"/>
      <c r="WUR5" s="190"/>
      <c r="WUS5" s="190"/>
      <c r="WUT5" s="190"/>
      <c r="WUU5" s="190"/>
      <c r="WUV5" s="190"/>
      <c r="WUW5" s="190"/>
      <c r="WUX5" s="190"/>
      <c r="WUY5" s="190"/>
      <c r="WUZ5" s="190"/>
      <c r="WVA5" s="190"/>
      <c r="WVB5" s="190"/>
      <c r="WVC5" s="190"/>
      <c r="WVD5" s="190"/>
      <c r="WVE5" s="190"/>
      <c r="WVF5" s="190"/>
      <c r="WVG5" s="190"/>
      <c r="WVH5" s="190"/>
      <c r="WVI5" s="190"/>
      <c r="WVJ5" s="190"/>
      <c r="WVK5" s="190"/>
      <c r="WVL5" s="190"/>
      <c r="WVM5" s="190"/>
      <c r="WVN5" s="190"/>
      <c r="WVO5" s="190"/>
      <c r="WVP5" s="190"/>
      <c r="WVQ5" s="190"/>
      <c r="WVR5" s="190"/>
      <c r="WVS5" s="190"/>
      <c r="WVT5" s="190"/>
      <c r="WVU5" s="190"/>
      <c r="WVV5" s="190"/>
      <c r="WVW5" s="190"/>
      <c r="WVX5" s="190"/>
      <c r="WVY5" s="190"/>
      <c r="WVZ5" s="190"/>
      <c r="WWA5" s="190"/>
      <c r="WWB5" s="190"/>
      <c r="WWC5" s="190"/>
      <c r="WWD5" s="190"/>
      <c r="WWE5" s="190"/>
      <c r="WWF5" s="190"/>
      <c r="WWG5" s="190"/>
      <c r="WWH5" s="190"/>
      <c r="WWI5" s="190"/>
      <c r="WWJ5" s="190"/>
      <c r="WWK5" s="190"/>
      <c r="WWL5" s="190"/>
      <c r="WWM5" s="190"/>
      <c r="WWN5" s="190"/>
      <c r="WWO5" s="190"/>
      <c r="WWP5" s="190"/>
      <c r="WWQ5" s="190"/>
      <c r="WWR5" s="190"/>
      <c r="WWS5" s="190"/>
      <c r="WWT5" s="190"/>
      <c r="WWU5" s="190"/>
      <c r="WWV5" s="190"/>
      <c r="WWW5" s="190"/>
      <c r="WWX5" s="190"/>
      <c r="WWY5" s="190"/>
      <c r="WWZ5" s="190"/>
      <c r="WXA5" s="190"/>
      <c r="WXB5" s="190"/>
      <c r="WXC5" s="190"/>
      <c r="WXD5" s="190"/>
      <c r="WXE5" s="190"/>
      <c r="WXF5" s="190"/>
      <c r="WXG5" s="190"/>
      <c r="WXH5" s="190"/>
      <c r="WXI5" s="190"/>
      <c r="WXJ5" s="190"/>
      <c r="WXK5" s="190"/>
      <c r="WXL5" s="190"/>
      <c r="WXM5" s="190"/>
      <c r="WXN5" s="190"/>
      <c r="WXO5" s="190"/>
      <c r="WXP5" s="190"/>
      <c r="WXQ5" s="190"/>
      <c r="WXR5" s="190"/>
      <c r="WXS5" s="190"/>
      <c r="WXT5" s="190"/>
      <c r="WXU5" s="190"/>
      <c r="WXV5" s="190"/>
      <c r="WXW5" s="190"/>
      <c r="WXX5" s="190"/>
      <c r="WXY5" s="190"/>
      <c r="WXZ5" s="190"/>
      <c r="WYA5" s="190"/>
      <c r="WYB5" s="190"/>
      <c r="WYC5" s="190"/>
      <c r="WYD5" s="190"/>
      <c r="WYE5" s="190"/>
      <c r="WYF5" s="190"/>
      <c r="WYG5" s="190"/>
      <c r="WYH5" s="190"/>
      <c r="WYI5" s="190"/>
      <c r="WYJ5" s="190"/>
      <c r="WYK5" s="190"/>
      <c r="WYL5" s="190"/>
      <c r="WYM5" s="190"/>
      <c r="WYN5" s="190"/>
      <c r="WYO5" s="190"/>
      <c r="WYP5" s="190"/>
      <c r="WYQ5" s="190"/>
      <c r="WYR5" s="190"/>
      <c r="WYS5" s="190"/>
      <c r="WYT5" s="190"/>
      <c r="WYU5" s="190"/>
      <c r="WYV5" s="190"/>
      <c r="WYW5" s="190"/>
      <c r="WYX5" s="190"/>
      <c r="WYY5" s="190"/>
      <c r="WYZ5" s="190"/>
      <c r="WZA5" s="190"/>
      <c r="WZB5" s="190"/>
      <c r="WZC5" s="190"/>
      <c r="WZD5" s="190"/>
      <c r="WZE5" s="190"/>
      <c r="WZF5" s="190"/>
      <c r="WZG5" s="190"/>
      <c r="WZH5" s="190"/>
      <c r="WZI5" s="190"/>
      <c r="WZJ5" s="190"/>
      <c r="WZK5" s="190"/>
      <c r="WZL5" s="190"/>
      <c r="WZM5" s="190"/>
      <c r="WZN5" s="190"/>
      <c r="WZO5" s="190"/>
      <c r="WZP5" s="190"/>
      <c r="WZQ5" s="190"/>
      <c r="WZR5" s="190"/>
      <c r="WZS5" s="190"/>
      <c r="WZT5" s="190"/>
      <c r="WZU5" s="190"/>
      <c r="WZV5" s="190"/>
      <c r="WZW5" s="190"/>
      <c r="WZX5" s="190"/>
      <c r="WZY5" s="190"/>
      <c r="WZZ5" s="190"/>
      <c r="XAA5" s="190"/>
      <c r="XAB5" s="190"/>
      <c r="XAC5" s="190"/>
      <c r="XAD5" s="190"/>
      <c r="XAE5" s="190"/>
      <c r="XAF5" s="190"/>
      <c r="XAG5" s="190"/>
      <c r="XAH5" s="190"/>
      <c r="XAI5" s="190"/>
      <c r="XAJ5" s="190"/>
      <c r="XAK5" s="190"/>
      <c r="XAL5" s="190"/>
      <c r="XAM5" s="190"/>
      <c r="XAN5" s="190"/>
      <c r="XAO5" s="190"/>
      <c r="XAP5" s="190"/>
      <c r="XAQ5" s="190"/>
      <c r="XAR5" s="190"/>
      <c r="XAS5" s="190"/>
      <c r="XAT5" s="190"/>
      <c r="XAU5" s="190"/>
      <c r="XAV5" s="190"/>
      <c r="XAW5" s="190"/>
      <c r="XAX5" s="190"/>
      <c r="XAY5" s="190"/>
      <c r="XAZ5" s="190"/>
      <c r="XBA5" s="190"/>
      <c r="XBB5" s="190"/>
      <c r="XBC5" s="190"/>
      <c r="XBD5" s="190"/>
      <c r="XBE5" s="190"/>
      <c r="XBF5" s="190"/>
      <c r="XBG5" s="190"/>
      <c r="XBH5" s="190"/>
      <c r="XBI5" s="190"/>
      <c r="XBJ5" s="190"/>
      <c r="XBK5" s="190"/>
      <c r="XBL5" s="190"/>
      <c r="XBM5" s="190"/>
      <c r="XBN5" s="190"/>
      <c r="XBO5" s="190"/>
      <c r="XBP5" s="190"/>
      <c r="XBQ5" s="190"/>
      <c r="XBR5" s="190"/>
      <c r="XBS5" s="190"/>
      <c r="XBT5" s="190"/>
      <c r="XBU5" s="190"/>
      <c r="XBV5" s="190"/>
      <c r="XBW5" s="190"/>
      <c r="XBX5" s="190"/>
      <c r="XBY5" s="190"/>
      <c r="XBZ5" s="190"/>
      <c r="XCA5" s="190"/>
      <c r="XCB5" s="190"/>
      <c r="XCC5" s="190"/>
      <c r="XCD5" s="190"/>
      <c r="XCE5" s="190"/>
      <c r="XCF5" s="190"/>
      <c r="XCG5" s="190"/>
      <c r="XCH5" s="190"/>
      <c r="XCI5" s="190"/>
      <c r="XCJ5" s="190"/>
      <c r="XCK5" s="190"/>
      <c r="XCL5" s="190"/>
      <c r="XCM5" s="190"/>
      <c r="XCN5" s="190"/>
      <c r="XCO5" s="190"/>
      <c r="XCP5" s="190"/>
      <c r="XCQ5" s="190"/>
      <c r="XCR5" s="190"/>
      <c r="XCS5" s="190"/>
      <c r="XCT5" s="190"/>
      <c r="XCU5" s="190"/>
      <c r="XCV5" s="190"/>
      <c r="XCW5" s="190"/>
      <c r="XCX5" s="190"/>
      <c r="XCY5" s="190"/>
      <c r="XCZ5" s="190"/>
      <c r="XDA5" s="190"/>
      <c r="XDB5" s="190"/>
      <c r="XDC5" s="190"/>
      <c r="XDD5" s="190"/>
      <c r="XDE5" s="190"/>
      <c r="XDF5" s="190"/>
      <c r="XDG5" s="190"/>
      <c r="XDH5" s="190"/>
      <c r="XDI5" s="190"/>
      <c r="XDJ5" s="190"/>
      <c r="XDK5" s="190"/>
      <c r="XDL5" s="190"/>
      <c r="XDM5" s="190"/>
      <c r="XDN5" s="190"/>
      <c r="XDO5" s="190"/>
      <c r="XDP5" s="190"/>
      <c r="XDQ5" s="190"/>
      <c r="XDR5" s="190"/>
      <c r="XDS5" s="190"/>
      <c r="XDT5" s="190"/>
      <c r="XDU5" s="190"/>
      <c r="XDV5" s="190"/>
      <c r="XDW5" s="190"/>
      <c r="XDX5" s="190"/>
      <c r="XDY5" s="190"/>
      <c r="XDZ5" s="190"/>
      <c r="XEA5" s="190"/>
      <c r="XEB5" s="190"/>
      <c r="XEC5" s="192"/>
      <c r="XED5" s="192"/>
      <c r="XEE5" s="192"/>
      <c r="XEF5" s="192"/>
      <c r="XEG5" s="192"/>
      <c r="XEH5" s="192"/>
      <c r="XEI5" s="192"/>
      <c r="XEJ5" s="192"/>
      <c r="XEK5" s="192"/>
      <c r="XEL5" s="192"/>
      <c r="XEM5" s="192"/>
      <c r="XEN5" s="192"/>
      <c r="XEO5" s="192"/>
      <c r="XEP5" s="192"/>
      <c r="XEQ5" s="192"/>
      <c r="XER5" s="192"/>
      <c r="XES5" s="192"/>
      <c r="XET5" s="192"/>
      <c r="XEU5" s="193"/>
      <c r="XEV5" s="193"/>
    </row>
    <row r="6" s="191" customFormat="1" customHeight="1" spans="1:1024 1025:16376">
      <c r="A6" s="204" t="s">
        <v>650</v>
      </c>
      <c r="B6" s="208">
        <v>8.6</v>
      </c>
      <c r="C6" s="208">
        <v>8.6</v>
      </c>
      <c r="D6" s="209" t="s">
        <v>651</v>
      </c>
      <c r="E6" s="210" t="s">
        <v>652</v>
      </c>
      <c r="F6" s="189" t="s">
        <v>653</v>
      </c>
      <c r="G6" s="189"/>
      <c r="H6"/>
      <c r="I6"/>
    </row>
    <row r="7" s="191" customFormat="1" customHeight="1" spans="1:1024 1025:16376">
      <c r="A7" s="204" t="s">
        <v>654</v>
      </c>
      <c r="B7" s="208">
        <v>8.6</v>
      </c>
      <c r="C7" s="208">
        <v>8.6</v>
      </c>
      <c r="D7" s="209" t="s">
        <v>651</v>
      </c>
      <c r="E7" s="210" t="s">
        <v>652</v>
      </c>
    </row>
    <row r="8" s="191" customFormat="1" customHeight="1" spans="1:1024 1025:16376">
      <c r="A8" s="204" t="s">
        <v>655</v>
      </c>
      <c r="B8" s="208">
        <v>8.6</v>
      </c>
      <c r="C8" s="208">
        <v>8.6</v>
      </c>
      <c r="D8" s="209" t="s">
        <v>656</v>
      </c>
      <c r="E8" s="210" t="s">
        <v>652</v>
      </c>
    </row>
    <row r="9" s="191" customFormat="1" customHeight="1" spans="1:1024 1025:16376">
      <c r="A9" s="204" t="s">
        <v>657</v>
      </c>
      <c r="B9" s="208">
        <v>8.6</v>
      </c>
      <c r="C9" s="208">
        <v>8.6</v>
      </c>
      <c r="D9" s="209" t="s">
        <v>656</v>
      </c>
      <c r="E9" s="210" t="s">
        <v>652</v>
      </c>
    </row>
    <row r="10" s="191" customFormat="1" customHeight="1" spans="1:1024 1025:16376">
      <c r="A10" s="204" t="s">
        <v>658</v>
      </c>
      <c r="B10" s="208">
        <v>8.6</v>
      </c>
      <c r="C10" s="208">
        <v>8.6</v>
      </c>
      <c r="D10" s="209" t="s">
        <v>656</v>
      </c>
      <c r="E10" s="210" t="s">
        <v>652</v>
      </c>
    </row>
    <row r="11" s="191" customFormat="1" customHeight="1" spans="1:1024 1025:16376">
      <c r="A11" s="204" t="s">
        <v>659</v>
      </c>
      <c r="B11" s="208">
        <v>8.6</v>
      </c>
      <c r="C11" s="208">
        <v>8.6</v>
      </c>
      <c r="D11" s="209" t="s">
        <v>656</v>
      </c>
      <c r="E11" s="210" t="s">
        <v>652</v>
      </c>
    </row>
    <row r="12" s="191" customFormat="1" customHeight="1" spans="1:1024 1025:16376">
      <c r="A12" s="204" t="s">
        <v>660</v>
      </c>
      <c r="B12" s="208">
        <v>8.6</v>
      </c>
      <c r="C12" s="208">
        <v>8.6</v>
      </c>
      <c r="D12" s="209" t="s">
        <v>656</v>
      </c>
      <c r="E12" s="210" t="s">
        <v>652</v>
      </c>
    </row>
    <row r="13" s="191" customFormat="1" customHeight="1" spans="1:1024 1025:16376">
      <c r="A13" s="204" t="s">
        <v>661</v>
      </c>
      <c r="B13" s="208">
        <v>9</v>
      </c>
      <c r="C13" s="208">
        <v>9</v>
      </c>
      <c r="D13" s="209" t="s">
        <v>656</v>
      </c>
      <c r="E13" s="210" t="s">
        <v>652</v>
      </c>
    </row>
    <row r="14" s="191" customFormat="1" customHeight="1" spans="1:1024 1025:16376">
      <c r="A14" s="204" t="s">
        <v>662</v>
      </c>
      <c r="B14" s="208">
        <v>9</v>
      </c>
      <c r="C14" s="208">
        <v>9</v>
      </c>
      <c r="D14" s="209" t="s">
        <v>656</v>
      </c>
      <c r="E14" s="210" t="s">
        <v>652</v>
      </c>
    </row>
    <row r="15" s="191" customFormat="1" customHeight="1" spans="1:1024 1025:16376">
      <c r="A15" s="204" t="s">
        <v>663</v>
      </c>
      <c r="B15" s="208">
        <v>9</v>
      </c>
      <c r="C15" s="208">
        <v>9</v>
      </c>
      <c r="D15" s="209" t="s">
        <v>656</v>
      </c>
      <c r="E15" s="210" t="s">
        <v>652</v>
      </c>
    </row>
    <row r="16" s="191" customFormat="1" customHeight="1" spans="1:1024 1025:16376">
      <c r="A16" s="204" t="s">
        <v>664</v>
      </c>
      <c r="B16" s="208">
        <v>9</v>
      </c>
      <c r="C16" s="208">
        <v>9</v>
      </c>
      <c r="D16" s="209" t="s">
        <v>656</v>
      </c>
      <c r="E16" s="210" t="s">
        <v>652</v>
      </c>
    </row>
    <row r="17" s="191" customFormat="1" customHeight="1" spans="1:5 16357:16380">
      <c r="A17" s="204" t="s">
        <v>665</v>
      </c>
      <c r="B17" s="208">
        <v>9.2</v>
      </c>
      <c r="C17" s="208">
        <v>9.2</v>
      </c>
      <c r="D17" s="209" t="s">
        <v>656</v>
      </c>
      <c r="E17" s="210" t="s">
        <v>652</v>
      </c>
    </row>
    <row r="18" s="191" customFormat="1" customHeight="1" spans="1:5 16357:16380">
      <c r="A18" s="204" t="s">
        <v>666</v>
      </c>
      <c r="B18" s="208">
        <v>9.2</v>
      </c>
      <c r="C18" s="208">
        <v>9.2</v>
      </c>
      <c r="D18" s="209" t="s">
        <v>656</v>
      </c>
      <c r="E18" s="210" t="s">
        <v>652</v>
      </c>
    </row>
    <row r="19" s="191" customFormat="1" customHeight="1" spans="1:5 16357:16380">
      <c r="A19" s="204" t="s">
        <v>667</v>
      </c>
      <c r="B19" s="208">
        <v>9.2</v>
      </c>
      <c r="C19" s="208">
        <v>9.2</v>
      </c>
      <c r="D19" s="209" t="s">
        <v>656</v>
      </c>
      <c r="E19" s="210" t="s">
        <v>652</v>
      </c>
    </row>
    <row r="20" s="191" customFormat="1" customHeight="1" spans="1:5 16357:16380">
      <c r="A20" s="204" t="s">
        <v>668</v>
      </c>
      <c r="B20" s="208">
        <v>9.7</v>
      </c>
      <c r="C20" s="208">
        <v>9.7</v>
      </c>
      <c r="D20" s="209" t="s">
        <v>669</v>
      </c>
      <c r="E20" s="210" t="s">
        <v>670</v>
      </c>
    </row>
    <row r="21" s="191" customFormat="1" customHeight="1" spans="1:5 16357:16380">
      <c r="A21" s="204" t="s">
        <v>671</v>
      </c>
      <c r="B21" s="208">
        <v>9</v>
      </c>
      <c r="C21" s="208">
        <v>9</v>
      </c>
      <c r="D21" s="209" t="s">
        <v>672</v>
      </c>
      <c r="E21" s="211" t="s">
        <v>673</v>
      </c>
    </row>
    <row r="22" s="191" customFormat="1" customHeight="1" spans="1:5 16357:16380">
      <c r="A22" s="204" t="s">
        <v>674</v>
      </c>
      <c r="B22" s="208">
        <v>9</v>
      </c>
      <c r="C22" s="208">
        <v>9</v>
      </c>
      <c r="D22" s="209" t="s">
        <v>672</v>
      </c>
      <c r="E22" s="211" t="s">
        <v>673</v>
      </c>
    </row>
    <row r="23" s="191" customFormat="1" customHeight="1" spans="1:5 16357:16380">
      <c r="A23" s="204" t="s">
        <v>675</v>
      </c>
      <c r="B23" s="208">
        <v>9</v>
      </c>
      <c r="C23" s="208">
        <v>9</v>
      </c>
      <c r="D23" s="209" t="s">
        <v>672</v>
      </c>
      <c r="E23" s="211" t="s">
        <v>673</v>
      </c>
    </row>
    <row r="24" s="191" customFormat="1" customHeight="1" spans="1:5 16357:16380">
      <c r="A24" s="204" t="s">
        <v>676</v>
      </c>
      <c r="B24" s="208">
        <v>9</v>
      </c>
      <c r="C24" s="208">
        <v>9</v>
      </c>
      <c r="D24" s="209" t="s">
        <v>672</v>
      </c>
      <c r="E24" s="211" t="s">
        <v>673</v>
      </c>
    </row>
    <row r="25" s="191" customFormat="1" customHeight="1" spans="1:5 16357:16380">
      <c r="A25" s="204" t="s">
        <v>677</v>
      </c>
      <c r="B25" s="208">
        <v>9</v>
      </c>
      <c r="C25" s="208">
        <v>9</v>
      </c>
      <c r="D25" s="209" t="s">
        <v>672</v>
      </c>
      <c r="E25" s="211" t="s">
        <v>673</v>
      </c>
    </row>
    <row r="26" s="191" customFormat="1" customHeight="1" spans="1:5 16357:16380">
      <c r="A26" s="204" t="s">
        <v>678</v>
      </c>
      <c r="B26" s="208">
        <v>8.4</v>
      </c>
      <c r="C26" s="208">
        <v>8.4</v>
      </c>
      <c r="D26" s="209" t="s">
        <v>672</v>
      </c>
      <c r="E26" s="211" t="s">
        <v>673</v>
      </c>
    </row>
    <row r="27" s="191" customFormat="1" customHeight="1" spans="1:5 16357:16380">
      <c r="A27" s="204" t="s">
        <v>679</v>
      </c>
      <c r="B27" s="208">
        <v>8.4</v>
      </c>
      <c r="C27" s="208">
        <v>8.4</v>
      </c>
      <c r="D27" s="209" t="s">
        <v>669</v>
      </c>
      <c r="E27" s="211" t="s">
        <v>680</v>
      </c>
      <c r="XEC27" s="192"/>
      <c r="XED27" s="192"/>
      <c r="XEE27" s="192"/>
      <c r="XEF27" s="192"/>
      <c r="XEG27" s="192"/>
      <c r="XEH27" s="192"/>
      <c r="XEI27" s="192"/>
      <c r="XEJ27" s="192"/>
      <c r="XEK27" s="192"/>
      <c r="XEL27" s="192"/>
      <c r="XEM27" s="192"/>
      <c r="XEN27" s="192"/>
      <c r="XEO27" s="192"/>
      <c r="XEP27" s="192"/>
      <c r="XEQ27" s="192"/>
      <c r="XER27" s="192"/>
      <c r="XES27" s="192"/>
      <c r="XET27" s="192"/>
      <c r="XEU27" s="193"/>
      <c r="XEV27" s="193"/>
      <c r="XEW27" s="193"/>
      <c r="XEX27" s="193"/>
      <c r="XEY27" s="193"/>
      <c r="XEZ27" s="193"/>
    </row>
    <row r="28" s="191" customFormat="1" customHeight="1" spans="1:5 16357:16380">
      <c r="A28" s="204" t="s">
        <v>681</v>
      </c>
      <c r="B28" s="208">
        <v>8.4</v>
      </c>
      <c r="C28" s="208">
        <v>8.4</v>
      </c>
      <c r="D28" s="209" t="s">
        <v>669</v>
      </c>
      <c r="E28" s="211" t="s">
        <v>680</v>
      </c>
      <c r="XEC28" s="192"/>
      <c r="XED28" s="192"/>
      <c r="XEE28" s="192"/>
      <c r="XEF28" s="192"/>
      <c r="XEG28" s="192"/>
      <c r="XEH28" s="192"/>
      <c r="XEI28" s="192"/>
      <c r="XEJ28" s="192"/>
      <c r="XEK28" s="192"/>
      <c r="XEL28" s="192"/>
      <c r="XEM28" s="192"/>
      <c r="XEN28" s="192"/>
      <c r="XEO28" s="192"/>
      <c r="XEP28" s="192"/>
      <c r="XEQ28" s="192"/>
      <c r="XER28" s="192"/>
      <c r="XES28" s="192"/>
      <c r="XET28" s="192"/>
      <c r="XEU28" s="193"/>
      <c r="XEV28" s="193"/>
      <c r="XEW28" s="193"/>
      <c r="XEX28" s="193"/>
      <c r="XEY28" s="193"/>
      <c r="XEZ28" s="193"/>
    </row>
    <row r="29" s="191" customFormat="1" customHeight="1" spans="1:5 16357:16380">
      <c r="A29" s="204" t="s">
        <v>682</v>
      </c>
      <c r="B29" s="208">
        <v>8.4</v>
      </c>
      <c r="C29" s="208">
        <v>8.4</v>
      </c>
      <c r="D29" s="209" t="s">
        <v>669</v>
      </c>
      <c r="E29" s="212" t="s">
        <v>680</v>
      </c>
      <c r="XEC29" s="192"/>
      <c r="XED29" s="192"/>
      <c r="XEE29" s="192"/>
      <c r="XEF29" s="192"/>
      <c r="XEG29" s="192"/>
      <c r="XEH29" s="192"/>
      <c r="XEI29" s="192"/>
      <c r="XEJ29" s="192"/>
      <c r="XEK29" s="192"/>
      <c r="XEL29" s="192"/>
      <c r="XEM29" s="192"/>
      <c r="XEN29" s="192"/>
      <c r="XEO29" s="192"/>
      <c r="XEP29" s="192"/>
      <c r="XEQ29" s="192"/>
      <c r="XER29" s="192"/>
      <c r="XES29" s="192"/>
      <c r="XET29" s="192"/>
      <c r="XEU29" s="193"/>
      <c r="XEV29" s="193"/>
      <c r="XEW29" s="193"/>
      <c r="XEX29" s="193"/>
      <c r="XEY29" s="193"/>
      <c r="XEZ29" s="193"/>
    </row>
    <row r="30" s="191" customFormat="1" customHeight="1" spans="1:5 16357:16380">
      <c r="A30" s="213" t="s">
        <v>683</v>
      </c>
      <c r="B30" s="208">
        <v>8.4</v>
      </c>
      <c r="C30" s="208">
        <v>8.4</v>
      </c>
      <c r="D30" s="214" t="s">
        <v>669</v>
      </c>
      <c r="E30" s="215" t="s">
        <v>680</v>
      </c>
      <c r="XEC30" s="192"/>
      <c r="XED30" s="192"/>
      <c r="XEE30" s="192"/>
      <c r="XEF30" s="192"/>
      <c r="XEG30" s="192"/>
      <c r="XEH30" s="192"/>
      <c r="XEI30" s="192"/>
      <c r="XEJ30" s="192"/>
      <c r="XEK30" s="192"/>
      <c r="XEL30" s="192"/>
      <c r="XEM30" s="192"/>
      <c r="XEN30" s="192"/>
      <c r="XEO30" s="192"/>
      <c r="XEP30" s="192"/>
      <c r="XEQ30" s="192"/>
      <c r="XER30" s="192"/>
      <c r="XES30" s="192"/>
      <c r="XET30" s="192"/>
      <c r="XEU30" s="193"/>
      <c r="XEV30" s="193"/>
      <c r="XEW30" s="193"/>
      <c r="XEX30" s="193"/>
      <c r="XEY30" s="193"/>
      <c r="XEZ30" s="193"/>
    </row>
    <row r="31" s="191" customFormat="1" ht="40" customHeight="1" spans="1:5 16357:16380">
      <c r="A31" s="216"/>
      <c r="B31" s="217" t="s">
        <v>684</v>
      </c>
      <c r="C31" s="218"/>
      <c r="D31" s="219"/>
      <c r="E31" s="220"/>
      <c r="XEC31" s="192"/>
      <c r="XED31" s="192"/>
      <c r="XEE31" s="192"/>
      <c r="XEF31" s="192"/>
      <c r="XEG31" s="192"/>
      <c r="XEH31" s="192"/>
      <c r="XEI31" s="192"/>
      <c r="XEJ31" s="192"/>
      <c r="XEK31" s="192"/>
      <c r="XEL31" s="192"/>
      <c r="XEM31" s="192"/>
      <c r="XEN31" s="192"/>
      <c r="XEO31" s="192"/>
      <c r="XEP31" s="192"/>
      <c r="XEQ31" s="192"/>
      <c r="XER31" s="192"/>
      <c r="XES31" s="192"/>
      <c r="XET31" s="192"/>
      <c r="XEU31" s="193"/>
      <c r="XEV31" s="193"/>
      <c r="XEW31" s="193"/>
      <c r="XEX31" s="193"/>
      <c r="XEY31" s="193"/>
      <c r="XEZ31" s="193"/>
    </row>
    <row r="32" s="190" customFormat="1" ht="163" customHeight="1" spans="1:5 16357:16380">
      <c r="A32" s="221" t="s">
        <v>48</v>
      </c>
      <c r="B32" s="222" t="s">
        <v>685</v>
      </c>
      <c r="C32" s="223"/>
      <c r="D32" s="223"/>
      <c r="E32" s="224"/>
      <c r="XEC32" s="192"/>
      <c r="XED32" s="192"/>
      <c r="XEE32" s="192"/>
      <c r="XEF32" s="192"/>
      <c r="XEG32" s="192"/>
      <c r="XEH32" s="192"/>
      <c r="XEI32" s="192"/>
      <c r="XEJ32" s="192"/>
      <c r="XEK32" s="192"/>
      <c r="XEL32" s="192"/>
      <c r="XEM32" s="192"/>
      <c r="XEN32" s="192"/>
      <c r="XEO32" s="192"/>
      <c r="XEP32" s="192"/>
      <c r="XEQ32" s="192"/>
      <c r="XER32" s="192"/>
      <c r="XES32" s="192"/>
      <c r="XET32" s="192"/>
      <c r="XEU32" s="193"/>
      <c r="XEV32" s="193"/>
      <c r="XEW32" s="193"/>
      <c r="XEX32" s="193"/>
      <c r="XEY32" s="193"/>
      <c r="XEZ32" s="193"/>
    </row>
    <row r="33" s="190" customFormat="1" ht="142" customHeight="1" spans="1:9 16357:16380">
      <c r="A33" s="225" t="s">
        <v>152</v>
      </c>
      <c r="B33" s="226" t="s">
        <v>686</v>
      </c>
      <c r="C33" s="227"/>
      <c r="D33" s="228"/>
      <c r="E33" s="229"/>
      <c r="F33" s="230"/>
      <c r="G33" s="230"/>
      <c r="H33" s="230"/>
      <c r="I33" s="230"/>
      <c r="XEC33" s="192"/>
      <c r="XED33" s="192"/>
      <c r="XEE33" s="192"/>
      <c r="XEF33" s="192"/>
      <c r="XEG33" s="192"/>
      <c r="XEH33" s="192"/>
      <c r="XEI33" s="192"/>
      <c r="XEJ33" s="192"/>
      <c r="XEK33" s="192"/>
      <c r="XEL33" s="192"/>
      <c r="XEM33" s="192"/>
      <c r="XEN33" s="192"/>
      <c r="XEO33" s="192"/>
      <c r="XEP33" s="192"/>
      <c r="XEQ33" s="192"/>
      <c r="XER33" s="192"/>
      <c r="XES33" s="192"/>
      <c r="XET33" s="192"/>
      <c r="XEU33" s="193"/>
      <c r="XEV33" s="193"/>
      <c r="XEW33" s="193"/>
      <c r="XEX33" s="193"/>
      <c r="XEY33" s="193"/>
      <c r="XEZ33" s="193"/>
    </row>
    <row r="34" ht="77" customHeight="1" spans="1:9 16357:16380">
      <c r="A34" s="231" t="s">
        <v>61</v>
      </c>
      <c r="B34" s="232" t="s">
        <v>687</v>
      </c>
      <c r="C34" s="233"/>
      <c r="D34" s="233"/>
      <c r="E34" s="234"/>
    </row>
    <row r="35" ht="139" customHeight="1" spans="1:9 16357:16380">
      <c r="A35" s="235"/>
      <c r="B35" s="236"/>
      <c r="C35" s="236"/>
      <c r="D35" s="236"/>
      <c r="E35" s="237"/>
    </row>
    <row r="36" ht="91" customHeight="1"/>
  </sheetData>
  <mergeCells count="11">
    <mergeCell ref="A1:E1"/>
    <mergeCell ref="A2:E2"/>
    <mergeCell ref="A3:E3"/>
    <mergeCell ref="B31:E31"/>
    <mergeCell ref="B32:E32"/>
    <mergeCell ref="B33:E33"/>
    <mergeCell ref="F33:I33"/>
    <mergeCell ref="A34:A35"/>
    <mergeCell ref="D4:D5"/>
    <mergeCell ref="E4:E5"/>
    <mergeCell ref="B34:E35"/>
  </mergeCells>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I74"/>
  <sheetViews>
    <sheetView workbookViewId="0">
      <selection activeCell="S51" sqref="S51"/>
    </sheetView>
  </sheetViews>
  <sheetFormatPr defaultColWidth="17.375" defaultRowHeight="41" customHeight="1"/>
  <cols>
    <col min="1" max="7" width="17.375" style="28" customWidth="1"/>
    <col min="8" max="8" width="12.5" style="28" customWidth="1"/>
    <col min="9" max="9" width="31.9083333333333" style="28" customWidth="1"/>
    <col min="10" max="16383" width="17.375" style="28" customWidth="1"/>
    <col min="16384" max="16384" width="17.375" style="28"/>
  </cols>
  <sheetData>
    <row r="1" customHeight="1" spans="1:9">
      <c r="A1" s="166" t="s">
        <v>407</v>
      </c>
      <c r="B1" s="167"/>
      <c r="C1" s="167"/>
      <c r="D1" s="167"/>
      <c r="E1" s="167"/>
      <c r="F1" s="167"/>
      <c r="G1" s="167"/>
      <c r="H1" s="167"/>
      <c r="I1" s="168"/>
    </row>
    <row r="2" customHeight="1" spans="1:9">
      <c r="A2" s="169"/>
      <c r="B2" s="170"/>
      <c r="C2" s="170"/>
      <c r="D2" s="170"/>
      <c r="E2" s="170"/>
      <c r="F2" s="170"/>
      <c r="G2" s="170"/>
      <c r="H2" s="170"/>
      <c r="I2" s="171"/>
    </row>
    <row r="3" ht="31" customHeight="1" spans="1:9">
      <c r="A3" s="169"/>
      <c r="B3" s="170"/>
      <c r="C3" s="170"/>
      <c r="D3" s="170"/>
      <c r="E3" s="170"/>
      <c r="F3" s="170"/>
      <c r="G3" s="170"/>
      <c r="H3" s="170"/>
      <c r="I3" s="171"/>
    </row>
    <row r="4" customHeight="1" spans="1:9">
      <c r="A4" s="172" t="s">
        <v>688</v>
      </c>
      <c r="B4" s="173"/>
      <c r="C4" s="173"/>
      <c r="D4" s="173"/>
      <c r="E4" s="173"/>
      <c r="F4" s="173"/>
      <c r="G4" s="173"/>
      <c r="H4" s="173"/>
      <c r="I4" s="174"/>
    </row>
    <row r="5" customHeight="1" spans="1:9">
      <c r="A5" s="175" t="s">
        <v>287</v>
      </c>
      <c r="B5" s="176" t="s">
        <v>184</v>
      </c>
      <c r="C5" s="176"/>
      <c r="D5" s="176" t="s">
        <v>187</v>
      </c>
      <c r="E5" s="176"/>
      <c r="F5" s="177" t="s">
        <v>376</v>
      </c>
      <c r="G5" s="177" t="s">
        <v>288</v>
      </c>
      <c r="H5" s="177" t="s">
        <v>689</v>
      </c>
      <c r="I5" s="178" t="s">
        <v>690</v>
      </c>
    </row>
    <row r="6" customHeight="1" spans="1:9">
      <c r="A6" s="175"/>
      <c r="B6" s="179" t="s">
        <v>290</v>
      </c>
      <c r="C6" s="179" t="s">
        <v>291</v>
      </c>
      <c r="D6" s="179" t="s">
        <v>290</v>
      </c>
      <c r="E6" s="179" t="s">
        <v>291</v>
      </c>
      <c r="F6" s="179"/>
      <c r="G6" s="179"/>
      <c r="H6" s="179"/>
      <c r="I6" s="180"/>
    </row>
    <row r="7" customHeight="1" spans="1:9">
      <c r="A7" s="179" t="s">
        <v>691</v>
      </c>
      <c r="B7" s="181">
        <v>12.3</v>
      </c>
      <c r="C7" s="182">
        <v>1990</v>
      </c>
      <c r="D7" s="181">
        <v>11.8</v>
      </c>
      <c r="E7" s="182">
        <v>1895</v>
      </c>
      <c r="F7" s="182">
        <v>11</v>
      </c>
      <c r="G7" s="182" t="s">
        <v>294</v>
      </c>
      <c r="H7" s="40" t="s">
        <v>393</v>
      </c>
      <c r="I7" s="183" t="s">
        <v>284</v>
      </c>
    </row>
    <row r="8" customHeight="1" spans="1:9">
      <c r="A8" s="179" t="s">
        <v>692</v>
      </c>
      <c r="B8" s="181">
        <v>12.3</v>
      </c>
      <c r="C8" s="182">
        <v>1990</v>
      </c>
      <c r="D8" s="181">
        <v>11.8</v>
      </c>
      <c r="E8" s="182">
        <v>1895</v>
      </c>
      <c r="F8" s="182">
        <v>11</v>
      </c>
      <c r="G8" s="182" t="s">
        <v>294</v>
      </c>
      <c r="H8" s="40"/>
      <c r="I8" s="183"/>
    </row>
    <row r="9" customHeight="1" spans="1:9">
      <c r="A9" s="179" t="s">
        <v>691</v>
      </c>
      <c r="B9" s="181">
        <v>9.6</v>
      </c>
      <c r="C9" s="182">
        <v>1590</v>
      </c>
      <c r="D9" s="181">
        <v>9.1</v>
      </c>
      <c r="E9" s="182">
        <v>1490</v>
      </c>
      <c r="F9" s="182">
        <v>13</v>
      </c>
      <c r="G9" s="182" t="s">
        <v>302</v>
      </c>
      <c r="H9" s="40" t="s">
        <v>393</v>
      </c>
      <c r="I9" s="183" t="s">
        <v>285</v>
      </c>
    </row>
    <row r="10" customHeight="1" spans="1:9">
      <c r="A10" s="179" t="s">
        <v>692</v>
      </c>
      <c r="B10" s="181">
        <v>9.6</v>
      </c>
      <c r="C10" s="182">
        <v>1590</v>
      </c>
      <c r="D10" s="181">
        <v>9.1</v>
      </c>
      <c r="E10" s="182">
        <v>1490</v>
      </c>
      <c r="F10" s="182">
        <v>13</v>
      </c>
      <c r="G10" s="182" t="s">
        <v>302</v>
      </c>
      <c r="H10" s="40"/>
      <c r="I10" s="183"/>
    </row>
    <row r="11" customHeight="1" spans="1:9">
      <c r="A11" s="179" t="s">
        <v>691</v>
      </c>
      <c r="B11" s="181">
        <v>8.7</v>
      </c>
      <c r="C11" s="182">
        <v>1440</v>
      </c>
      <c r="D11" s="181">
        <v>8.9</v>
      </c>
      <c r="E11" s="182">
        <v>1480</v>
      </c>
      <c r="F11" s="182">
        <v>14</v>
      </c>
      <c r="G11" s="182" t="s">
        <v>302</v>
      </c>
      <c r="H11" s="40" t="s">
        <v>393</v>
      </c>
      <c r="I11" s="183" t="s">
        <v>286</v>
      </c>
    </row>
    <row r="12" customHeight="1" spans="1:9">
      <c r="A12" s="179" t="s">
        <v>692</v>
      </c>
      <c r="B12" s="181">
        <v>8.7</v>
      </c>
      <c r="C12" s="182">
        <v>1440</v>
      </c>
      <c r="D12" s="181">
        <v>8.9</v>
      </c>
      <c r="E12" s="182">
        <v>1480</v>
      </c>
      <c r="F12" s="182">
        <v>14</v>
      </c>
      <c r="G12" s="182" t="s">
        <v>302</v>
      </c>
      <c r="H12" s="40"/>
      <c r="I12" s="183"/>
    </row>
    <row r="13" customHeight="1" spans="1:9">
      <c r="A13" s="179" t="s">
        <v>691</v>
      </c>
      <c r="B13" s="181">
        <v>8</v>
      </c>
      <c r="C13" s="182">
        <v>1360</v>
      </c>
      <c r="D13" s="181">
        <v>8</v>
      </c>
      <c r="E13" s="182">
        <v>1360</v>
      </c>
      <c r="F13" s="182">
        <v>16</v>
      </c>
      <c r="G13" s="182" t="s">
        <v>377</v>
      </c>
      <c r="H13" s="40" t="s">
        <v>393</v>
      </c>
      <c r="I13" s="183" t="s">
        <v>375</v>
      </c>
    </row>
    <row r="14" customHeight="1" spans="1:9">
      <c r="A14" s="179" t="s">
        <v>692</v>
      </c>
      <c r="B14" s="181">
        <v>8</v>
      </c>
      <c r="C14" s="182">
        <v>1360</v>
      </c>
      <c r="D14" s="181">
        <v>8</v>
      </c>
      <c r="E14" s="182">
        <v>1360</v>
      </c>
      <c r="F14" s="182">
        <v>16</v>
      </c>
      <c r="G14" s="182" t="s">
        <v>377</v>
      </c>
      <c r="H14" s="40"/>
      <c r="I14" s="183"/>
    </row>
    <row r="15" customHeight="1" spans="1:9">
      <c r="A15" s="179" t="s">
        <v>691</v>
      </c>
      <c r="B15" s="181">
        <v>7.3</v>
      </c>
      <c r="C15" s="182">
        <v>1240</v>
      </c>
      <c r="D15" s="181">
        <v>7.3</v>
      </c>
      <c r="E15" s="182">
        <v>1280</v>
      </c>
      <c r="F15" s="182">
        <v>16</v>
      </c>
      <c r="G15" s="182" t="s">
        <v>384</v>
      </c>
      <c r="H15" s="40" t="s">
        <v>393</v>
      </c>
      <c r="I15" s="183" t="s">
        <v>16</v>
      </c>
    </row>
    <row r="16" customHeight="1" spans="1:9">
      <c r="A16" s="179" t="s">
        <v>692</v>
      </c>
      <c r="B16" s="181">
        <v>7.3</v>
      </c>
      <c r="C16" s="182">
        <v>1240</v>
      </c>
      <c r="D16" s="181">
        <v>7.3</v>
      </c>
      <c r="E16" s="182">
        <v>1280</v>
      </c>
      <c r="F16" s="182">
        <v>16</v>
      </c>
      <c r="G16" s="182" t="s">
        <v>384</v>
      </c>
      <c r="H16" s="40"/>
      <c r="I16" s="183"/>
    </row>
    <row r="17" customHeight="1" spans="1:9">
      <c r="A17" s="179" t="s">
        <v>693</v>
      </c>
      <c r="B17" s="181">
        <v>9.2</v>
      </c>
      <c r="C17" s="182">
        <v>1500</v>
      </c>
      <c r="D17" s="181">
        <v>9.7</v>
      </c>
      <c r="E17" s="182">
        <v>1600</v>
      </c>
      <c r="F17" s="182" t="s">
        <v>397</v>
      </c>
      <c r="G17" s="182" t="s">
        <v>694</v>
      </c>
      <c r="H17" s="40" t="s">
        <v>396</v>
      </c>
      <c r="I17" s="183" t="s">
        <v>695</v>
      </c>
    </row>
    <row r="18" customHeight="1" spans="1:9">
      <c r="A18" s="179" t="s">
        <v>696</v>
      </c>
      <c r="B18" s="181">
        <v>9.2</v>
      </c>
      <c r="C18" s="182">
        <v>1500</v>
      </c>
      <c r="D18" s="181">
        <v>9.7</v>
      </c>
      <c r="E18" s="182">
        <v>1600</v>
      </c>
      <c r="F18" s="182" t="s">
        <v>397</v>
      </c>
      <c r="G18" s="182" t="s">
        <v>694</v>
      </c>
      <c r="H18" s="40"/>
      <c r="I18" s="183"/>
    </row>
    <row r="19" customHeight="1" spans="1:9">
      <c r="A19" s="179" t="s">
        <v>697</v>
      </c>
      <c r="B19" s="181">
        <v>9.2</v>
      </c>
      <c r="C19" s="182">
        <v>1500</v>
      </c>
      <c r="D19" s="181">
        <v>9.7</v>
      </c>
      <c r="E19" s="182">
        <v>1600</v>
      </c>
      <c r="F19" s="182" t="s">
        <v>397</v>
      </c>
      <c r="G19" s="182" t="s">
        <v>694</v>
      </c>
      <c r="H19" s="40"/>
      <c r="I19" s="183"/>
    </row>
    <row r="20" customHeight="1" spans="1:9">
      <c r="A20" s="179" t="s">
        <v>698</v>
      </c>
      <c r="B20" s="181">
        <v>9.5</v>
      </c>
      <c r="C20" s="182">
        <v>1540</v>
      </c>
      <c r="D20" s="181">
        <v>9.5</v>
      </c>
      <c r="E20" s="182">
        <v>1540</v>
      </c>
      <c r="F20" s="182" t="s">
        <v>400</v>
      </c>
      <c r="G20" s="182" t="s">
        <v>699</v>
      </c>
      <c r="H20" s="40" t="s">
        <v>399</v>
      </c>
      <c r="I20" s="183" t="s">
        <v>202</v>
      </c>
    </row>
    <row r="21" customHeight="1" spans="1:9">
      <c r="A21" s="179" t="s">
        <v>700</v>
      </c>
      <c r="B21" s="181">
        <v>10</v>
      </c>
      <c r="C21" s="182">
        <v>1620</v>
      </c>
      <c r="D21" s="181">
        <v>10</v>
      </c>
      <c r="E21" s="182">
        <v>1620</v>
      </c>
      <c r="F21" s="182" t="s">
        <v>400</v>
      </c>
      <c r="G21" s="182" t="s">
        <v>699</v>
      </c>
      <c r="H21" s="40"/>
      <c r="I21" s="183"/>
    </row>
    <row r="22" customHeight="1" spans="1:9">
      <c r="A22" s="179" t="s">
        <v>701</v>
      </c>
      <c r="B22" s="181">
        <v>10.3</v>
      </c>
      <c r="C22" s="182">
        <v>1680</v>
      </c>
      <c r="D22" s="181">
        <v>10.3</v>
      </c>
      <c r="E22" s="182">
        <v>1680</v>
      </c>
      <c r="F22" s="182" t="s">
        <v>400</v>
      </c>
      <c r="G22" s="182" t="s">
        <v>699</v>
      </c>
      <c r="H22" s="40"/>
      <c r="I22" s="183"/>
    </row>
    <row r="23" customHeight="1" spans="1:9">
      <c r="A23" s="179" t="s">
        <v>702</v>
      </c>
      <c r="B23" s="181">
        <v>10.3</v>
      </c>
      <c r="C23" s="182">
        <v>1680</v>
      </c>
      <c r="D23" s="181">
        <v>10.3</v>
      </c>
      <c r="E23" s="182">
        <v>1680</v>
      </c>
      <c r="F23" s="182" t="s">
        <v>400</v>
      </c>
      <c r="G23" s="182" t="s">
        <v>699</v>
      </c>
      <c r="H23" s="40"/>
      <c r="I23" s="183"/>
    </row>
    <row r="24" customHeight="1" spans="1:9">
      <c r="A24" s="179" t="s">
        <v>703</v>
      </c>
      <c r="B24" s="181">
        <v>9.5</v>
      </c>
      <c r="C24" s="182">
        <v>1540</v>
      </c>
      <c r="D24" s="181">
        <v>9.5</v>
      </c>
      <c r="E24" s="182">
        <v>1540</v>
      </c>
      <c r="F24" s="182" t="s">
        <v>400</v>
      </c>
      <c r="G24" s="182" t="s">
        <v>699</v>
      </c>
      <c r="H24" s="40"/>
      <c r="I24" s="183"/>
    </row>
    <row r="25" customHeight="1" spans="1:9">
      <c r="A25" s="179" t="s">
        <v>704</v>
      </c>
      <c r="B25" s="181">
        <v>9.2</v>
      </c>
      <c r="C25" s="182">
        <v>1480</v>
      </c>
      <c r="D25" s="181">
        <v>9.2</v>
      </c>
      <c r="E25" s="182">
        <v>1480</v>
      </c>
      <c r="F25" s="182" t="s">
        <v>400</v>
      </c>
      <c r="G25" s="182" t="s">
        <v>699</v>
      </c>
      <c r="H25" s="40"/>
      <c r="I25" s="183"/>
    </row>
    <row r="26" customHeight="1" spans="1:9">
      <c r="A26" s="179" t="s">
        <v>705</v>
      </c>
      <c r="B26" s="181">
        <v>10.3</v>
      </c>
      <c r="C26" s="182">
        <v>1680</v>
      </c>
      <c r="D26" s="181">
        <v>10.3</v>
      </c>
      <c r="E26" s="182">
        <v>1680</v>
      </c>
      <c r="F26" s="182" t="s">
        <v>400</v>
      </c>
      <c r="G26" s="182" t="s">
        <v>699</v>
      </c>
      <c r="H26" s="40"/>
      <c r="I26" s="183"/>
    </row>
    <row r="27" customHeight="1" spans="1:9">
      <c r="A27" s="179" t="s">
        <v>706</v>
      </c>
      <c r="B27" s="181">
        <v>10.7</v>
      </c>
      <c r="C27" s="182">
        <v>1810</v>
      </c>
      <c r="D27" s="181">
        <v>10.7</v>
      </c>
      <c r="E27" s="182">
        <v>1810</v>
      </c>
      <c r="F27" s="182" t="s">
        <v>400</v>
      </c>
      <c r="G27" s="182" t="s">
        <v>699</v>
      </c>
      <c r="H27" s="40"/>
      <c r="I27" s="183"/>
    </row>
    <row r="28" customHeight="1" spans="1:9">
      <c r="A28" s="179" t="s">
        <v>707</v>
      </c>
      <c r="B28" s="181">
        <v>9.5</v>
      </c>
      <c r="C28" s="182">
        <v>1540</v>
      </c>
      <c r="D28" s="181">
        <v>9.5</v>
      </c>
      <c r="E28" s="182">
        <v>1540</v>
      </c>
      <c r="F28" s="182" t="s">
        <v>400</v>
      </c>
      <c r="G28" s="182" t="s">
        <v>699</v>
      </c>
      <c r="H28" s="40"/>
      <c r="I28" s="183"/>
    </row>
    <row r="29" customHeight="1" spans="1:9">
      <c r="A29" s="179" t="s">
        <v>708</v>
      </c>
      <c r="B29" s="181">
        <v>9.5</v>
      </c>
      <c r="C29" s="182">
        <v>1540</v>
      </c>
      <c r="D29" s="181">
        <v>9.5</v>
      </c>
      <c r="E29" s="182">
        <v>1540</v>
      </c>
      <c r="F29" s="182" t="s">
        <v>400</v>
      </c>
      <c r="G29" s="182" t="s">
        <v>699</v>
      </c>
      <c r="H29" s="40"/>
      <c r="I29" s="183"/>
    </row>
    <row r="30" customHeight="1" spans="1:9">
      <c r="A30" s="179" t="s">
        <v>698</v>
      </c>
      <c r="B30" s="181">
        <v>11.1</v>
      </c>
      <c r="C30" s="182">
        <v>1820</v>
      </c>
      <c r="D30" s="181">
        <v>11.1</v>
      </c>
      <c r="E30" s="182">
        <v>1820</v>
      </c>
      <c r="F30" s="182">
        <v>20</v>
      </c>
      <c r="G30" s="182" t="s">
        <v>709</v>
      </c>
      <c r="H30" s="40" t="s">
        <v>399</v>
      </c>
      <c r="I30" s="183" t="s">
        <v>710</v>
      </c>
    </row>
    <row r="31" customHeight="1" spans="1:9">
      <c r="A31" s="179" t="s">
        <v>700</v>
      </c>
      <c r="B31" s="181">
        <v>11.5</v>
      </c>
      <c r="C31" s="182">
        <v>1880</v>
      </c>
      <c r="D31" s="181">
        <v>11.5</v>
      </c>
      <c r="E31" s="182">
        <v>1880</v>
      </c>
      <c r="F31" s="182">
        <v>20</v>
      </c>
      <c r="G31" s="182" t="s">
        <v>709</v>
      </c>
      <c r="H31" s="40"/>
      <c r="I31" s="183"/>
    </row>
    <row r="32" customHeight="1" spans="1:9">
      <c r="A32" s="179" t="s">
        <v>701</v>
      </c>
      <c r="B32" s="181">
        <v>11.9</v>
      </c>
      <c r="C32" s="182">
        <v>1950</v>
      </c>
      <c r="D32" s="181">
        <v>11.9</v>
      </c>
      <c r="E32" s="182">
        <v>1950</v>
      </c>
      <c r="F32" s="182">
        <v>20</v>
      </c>
      <c r="G32" s="182" t="s">
        <v>709</v>
      </c>
      <c r="H32" s="40"/>
      <c r="I32" s="183"/>
    </row>
    <row r="33" customHeight="1" spans="1:9">
      <c r="A33" s="179" t="s">
        <v>702</v>
      </c>
      <c r="B33" s="181">
        <v>11.9</v>
      </c>
      <c r="C33" s="182">
        <v>1950</v>
      </c>
      <c r="D33" s="181">
        <v>11.9</v>
      </c>
      <c r="E33" s="182">
        <v>1950</v>
      </c>
      <c r="F33" s="182">
        <v>20</v>
      </c>
      <c r="G33" s="182" t="s">
        <v>709</v>
      </c>
      <c r="H33" s="40"/>
      <c r="I33" s="183"/>
    </row>
    <row r="34" customHeight="1" spans="1:9">
      <c r="A34" s="179" t="s">
        <v>703</v>
      </c>
      <c r="B34" s="181">
        <v>11.1</v>
      </c>
      <c r="C34" s="182">
        <v>1820</v>
      </c>
      <c r="D34" s="181">
        <v>11.1</v>
      </c>
      <c r="E34" s="182">
        <v>1820</v>
      </c>
      <c r="F34" s="182">
        <v>20</v>
      </c>
      <c r="G34" s="182" t="s">
        <v>709</v>
      </c>
      <c r="H34" s="40"/>
      <c r="I34" s="183"/>
    </row>
    <row r="35" customHeight="1" spans="1:9">
      <c r="A35" s="179" t="s">
        <v>704</v>
      </c>
      <c r="B35" s="181">
        <v>10.8</v>
      </c>
      <c r="C35" s="182">
        <v>1760</v>
      </c>
      <c r="D35" s="181">
        <v>10.8</v>
      </c>
      <c r="E35" s="182">
        <v>1760</v>
      </c>
      <c r="F35" s="182">
        <v>20</v>
      </c>
      <c r="G35" s="182" t="s">
        <v>709</v>
      </c>
      <c r="H35" s="40"/>
      <c r="I35" s="183"/>
    </row>
    <row r="36" customHeight="1" spans="1:9">
      <c r="A36" s="179" t="s">
        <v>705</v>
      </c>
      <c r="B36" s="181">
        <v>11.9</v>
      </c>
      <c r="C36" s="182">
        <v>1950</v>
      </c>
      <c r="D36" s="181">
        <v>11.9</v>
      </c>
      <c r="E36" s="182">
        <v>1950</v>
      </c>
      <c r="F36" s="182">
        <v>20</v>
      </c>
      <c r="G36" s="182" t="s">
        <v>709</v>
      </c>
      <c r="H36" s="40"/>
      <c r="I36" s="183"/>
    </row>
    <row r="37" customHeight="1" spans="1:9">
      <c r="A37" s="179" t="s">
        <v>706</v>
      </c>
      <c r="B37" s="181">
        <v>12.3</v>
      </c>
      <c r="C37" s="182">
        <v>2090</v>
      </c>
      <c r="D37" s="181">
        <v>12.3</v>
      </c>
      <c r="E37" s="182">
        <v>2090</v>
      </c>
      <c r="F37" s="182">
        <v>20</v>
      </c>
      <c r="G37" s="182" t="s">
        <v>709</v>
      </c>
      <c r="H37" s="40"/>
      <c r="I37" s="183"/>
    </row>
    <row r="38" customHeight="1" spans="1:9">
      <c r="A38" s="179" t="s">
        <v>707</v>
      </c>
      <c r="B38" s="181">
        <v>11.1</v>
      </c>
      <c r="C38" s="182">
        <v>1820</v>
      </c>
      <c r="D38" s="181">
        <v>11.1</v>
      </c>
      <c r="E38" s="182">
        <v>1820</v>
      </c>
      <c r="F38" s="182">
        <v>20</v>
      </c>
      <c r="G38" s="182" t="s">
        <v>709</v>
      </c>
      <c r="H38" s="40"/>
      <c r="I38" s="183"/>
    </row>
    <row r="39" customHeight="1" spans="1:9">
      <c r="A39" s="179" t="s">
        <v>708</v>
      </c>
      <c r="B39" s="181">
        <v>11.1</v>
      </c>
      <c r="C39" s="182">
        <v>1820</v>
      </c>
      <c r="D39" s="181">
        <v>11.1</v>
      </c>
      <c r="E39" s="182">
        <v>1820</v>
      </c>
      <c r="F39" s="182">
        <v>20</v>
      </c>
      <c r="G39" s="182" t="s">
        <v>709</v>
      </c>
      <c r="H39" s="40"/>
      <c r="I39" s="183"/>
    </row>
    <row r="40" customHeight="1" spans="1:9">
      <c r="A40" s="179" t="s">
        <v>711</v>
      </c>
      <c r="B40" s="181">
        <v>9.8</v>
      </c>
      <c r="C40" s="182">
        <v>1640</v>
      </c>
      <c r="D40" s="181">
        <v>9.8</v>
      </c>
      <c r="E40" s="182">
        <v>1640</v>
      </c>
      <c r="F40" s="182">
        <v>32</v>
      </c>
      <c r="G40" s="182" t="s">
        <v>505</v>
      </c>
      <c r="H40" s="184" t="s">
        <v>402</v>
      </c>
      <c r="I40" s="185" t="s">
        <v>216</v>
      </c>
    </row>
    <row r="41" customHeight="1" spans="1:9">
      <c r="A41" s="179" t="s">
        <v>712</v>
      </c>
      <c r="B41" s="181">
        <v>10</v>
      </c>
      <c r="C41" s="182">
        <v>1680</v>
      </c>
      <c r="D41" s="181">
        <v>10</v>
      </c>
      <c r="E41" s="182">
        <v>1680</v>
      </c>
      <c r="F41" s="182">
        <v>32</v>
      </c>
      <c r="G41" s="182" t="s">
        <v>505</v>
      </c>
      <c r="H41" s="184"/>
      <c r="I41" s="185"/>
    </row>
    <row r="42" customHeight="1" spans="1:9">
      <c r="A42" s="179" t="s">
        <v>713</v>
      </c>
      <c r="B42" s="181">
        <v>10</v>
      </c>
      <c r="C42" s="182">
        <v>1680</v>
      </c>
      <c r="D42" s="181">
        <v>10</v>
      </c>
      <c r="E42" s="182">
        <v>1680</v>
      </c>
      <c r="F42" s="182">
        <v>32</v>
      </c>
      <c r="G42" s="182" t="s">
        <v>505</v>
      </c>
      <c r="H42" s="184"/>
      <c r="I42" s="185"/>
    </row>
    <row r="43" customHeight="1" spans="1:9">
      <c r="A43" s="179" t="s">
        <v>714</v>
      </c>
      <c r="B43" s="181">
        <v>10</v>
      </c>
      <c r="C43" s="182">
        <v>1690</v>
      </c>
      <c r="D43" s="181">
        <v>10</v>
      </c>
      <c r="E43" s="182">
        <v>1690</v>
      </c>
      <c r="F43" s="182">
        <v>32</v>
      </c>
      <c r="G43" s="182" t="s">
        <v>505</v>
      </c>
      <c r="H43" s="184"/>
      <c r="I43" s="185"/>
    </row>
    <row r="44" customHeight="1" spans="1:9">
      <c r="A44" s="179" t="s">
        <v>715</v>
      </c>
      <c r="B44" s="181">
        <v>10</v>
      </c>
      <c r="C44" s="182">
        <v>1690</v>
      </c>
      <c r="D44" s="181">
        <v>10</v>
      </c>
      <c r="E44" s="182">
        <v>1690</v>
      </c>
      <c r="F44" s="182">
        <v>32</v>
      </c>
      <c r="G44" s="182" t="s">
        <v>505</v>
      </c>
      <c r="H44" s="184"/>
      <c r="I44" s="185"/>
    </row>
    <row r="45" customHeight="1" spans="1:9">
      <c r="A45" s="179" t="s">
        <v>716</v>
      </c>
      <c r="B45" s="181">
        <v>9.8</v>
      </c>
      <c r="C45" s="182">
        <v>1690</v>
      </c>
      <c r="D45" s="181">
        <v>9.8</v>
      </c>
      <c r="E45" s="182">
        <v>1690</v>
      </c>
      <c r="F45" s="182">
        <v>32</v>
      </c>
      <c r="G45" s="182" t="s">
        <v>505</v>
      </c>
      <c r="H45" s="184"/>
      <c r="I45" s="185"/>
    </row>
    <row r="46" customHeight="1" spans="1:9">
      <c r="A46" s="179" t="s">
        <v>717</v>
      </c>
      <c r="B46" s="181">
        <v>10</v>
      </c>
      <c r="C46" s="182">
        <v>1730</v>
      </c>
      <c r="D46" s="181">
        <v>10</v>
      </c>
      <c r="E46" s="182">
        <v>1730</v>
      </c>
      <c r="F46" s="182">
        <v>32</v>
      </c>
      <c r="G46" s="182" t="s">
        <v>505</v>
      </c>
      <c r="H46" s="184"/>
      <c r="I46" s="185"/>
    </row>
    <row r="47" customHeight="1" spans="1:9">
      <c r="A47" s="179" t="s">
        <v>718</v>
      </c>
      <c r="B47" s="181">
        <v>12</v>
      </c>
      <c r="C47" s="182">
        <v>2080</v>
      </c>
      <c r="D47" s="181">
        <v>12</v>
      </c>
      <c r="E47" s="182">
        <v>2080</v>
      </c>
      <c r="F47" s="182">
        <v>32</v>
      </c>
      <c r="G47" s="182" t="s">
        <v>505</v>
      </c>
      <c r="H47" s="184"/>
      <c r="I47" s="185"/>
    </row>
    <row r="48" customHeight="1" spans="1:9">
      <c r="A48" s="179" t="s">
        <v>719</v>
      </c>
      <c r="B48" s="181">
        <v>11.6</v>
      </c>
      <c r="C48" s="182">
        <v>2000</v>
      </c>
      <c r="D48" s="181">
        <v>11.6</v>
      </c>
      <c r="E48" s="182">
        <v>2000</v>
      </c>
      <c r="F48" s="182">
        <v>32</v>
      </c>
      <c r="G48" s="182" t="s">
        <v>505</v>
      </c>
      <c r="H48" s="184"/>
      <c r="I48" s="185"/>
    </row>
    <row r="49" customHeight="1" spans="1:9">
      <c r="A49" s="179" t="s">
        <v>711</v>
      </c>
      <c r="B49" s="181">
        <v>14.8</v>
      </c>
      <c r="C49" s="182">
        <v>2540</v>
      </c>
      <c r="D49" s="181">
        <v>14.8</v>
      </c>
      <c r="E49" s="182">
        <v>2540</v>
      </c>
      <c r="F49" s="182">
        <v>21</v>
      </c>
      <c r="G49" s="182" t="s">
        <v>471</v>
      </c>
      <c r="H49" s="184" t="s">
        <v>402</v>
      </c>
      <c r="I49" s="185" t="s">
        <v>220</v>
      </c>
    </row>
    <row r="50" customHeight="1" spans="1:9">
      <c r="A50" s="179" t="s">
        <v>712</v>
      </c>
      <c r="B50" s="181">
        <v>15.4</v>
      </c>
      <c r="C50" s="182">
        <v>2660</v>
      </c>
      <c r="D50" s="181">
        <v>15.4</v>
      </c>
      <c r="E50" s="182">
        <v>2660</v>
      </c>
      <c r="F50" s="182">
        <v>21</v>
      </c>
      <c r="G50" s="182" t="s">
        <v>471</v>
      </c>
      <c r="H50" s="184"/>
      <c r="I50" s="185"/>
    </row>
    <row r="51" customHeight="1" spans="1:9">
      <c r="A51" s="179" t="s">
        <v>713</v>
      </c>
      <c r="B51" s="181">
        <v>15.4</v>
      </c>
      <c r="C51" s="182">
        <v>2660</v>
      </c>
      <c r="D51" s="181">
        <v>15.4</v>
      </c>
      <c r="E51" s="182">
        <v>2660</v>
      </c>
      <c r="F51" s="182">
        <v>21</v>
      </c>
      <c r="G51" s="182" t="s">
        <v>471</v>
      </c>
      <c r="H51" s="184"/>
      <c r="I51" s="185"/>
    </row>
    <row r="52" customHeight="1" spans="1:9">
      <c r="A52" s="179" t="s">
        <v>714</v>
      </c>
      <c r="B52" s="181">
        <v>15</v>
      </c>
      <c r="C52" s="182">
        <v>2590</v>
      </c>
      <c r="D52" s="181">
        <v>15</v>
      </c>
      <c r="E52" s="182">
        <v>2590</v>
      </c>
      <c r="F52" s="182">
        <v>21</v>
      </c>
      <c r="G52" s="182" t="s">
        <v>471</v>
      </c>
      <c r="H52" s="184"/>
      <c r="I52" s="185"/>
    </row>
    <row r="53" customHeight="1" spans="1:9">
      <c r="A53" s="179" t="s">
        <v>715</v>
      </c>
      <c r="B53" s="181">
        <v>15</v>
      </c>
      <c r="C53" s="182">
        <v>2590</v>
      </c>
      <c r="D53" s="181">
        <v>15</v>
      </c>
      <c r="E53" s="182">
        <v>2590</v>
      </c>
      <c r="F53" s="182">
        <v>21</v>
      </c>
      <c r="G53" s="182" t="s">
        <v>471</v>
      </c>
      <c r="H53" s="184"/>
      <c r="I53" s="185"/>
    </row>
    <row r="54" customHeight="1" spans="1:9">
      <c r="A54" s="179" t="s">
        <v>716</v>
      </c>
      <c r="B54" s="181">
        <v>15</v>
      </c>
      <c r="C54" s="182">
        <v>2590</v>
      </c>
      <c r="D54" s="181">
        <v>15</v>
      </c>
      <c r="E54" s="182">
        <v>2590</v>
      </c>
      <c r="F54" s="182">
        <v>21</v>
      </c>
      <c r="G54" s="182" t="s">
        <v>471</v>
      </c>
      <c r="H54" s="184"/>
      <c r="I54" s="185"/>
    </row>
    <row r="55" customHeight="1" spans="1:9">
      <c r="A55" s="179" t="s">
        <v>717</v>
      </c>
      <c r="B55" s="181">
        <v>15.4</v>
      </c>
      <c r="C55" s="182">
        <v>2670</v>
      </c>
      <c r="D55" s="181">
        <v>15.4</v>
      </c>
      <c r="E55" s="182">
        <v>2670</v>
      </c>
      <c r="F55" s="182">
        <v>21</v>
      </c>
      <c r="G55" s="182" t="s">
        <v>471</v>
      </c>
      <c r="H55" s="184"/>
      <c r="I55" s="185"/>
    </row>
    <row r="56" customHeight="1" spans="1:9">
      <c r="A56" s="179" t="s">
        <v>718</v>
      </c>
      <c r="B56" s="181">
        <v>17</v>
      </c>
      <c r="C56" s="182">
        <v>2980</v>
      </c>
      <c r="D56" s="181">
        <v>17</v>
      </c>
      <c r="E56" s="182">
        <v>2980</v>
      </c>
      <c r="F56" s="182">
        <v>21</v>
      </c>
      <c r="G56" s="182" t="s">
        <v>471</v>
      </c>
      <c r="H56" s="184"/>
      <c r="I56" s="185"/>
    </row>
    <row r="57" customHeight="1" spans="1:9">
      <c r="A57" s="179" t="s">
        <v>719</v>
      </c>
      <c r="B57" s="181">
        <v>16.6</v>
      </c>
      <c r="C57" s="182">
        <v>2910</v>
      </c>
      <c r="D57" s="181">
        <v>16.6</v>
      </c>
      <c r="E57" s="182">
        <v>2910</v>
      </c>
      <c r="F57" s="182">
        <v>21</v>
      </c>
      <c r="G57" s="182" t="s">
        <v>471</v>
      </c>
      <c r="H57" s="184"/>
      <c r="I57" s="185"/>
    </row>
    <row r="58" customHeight="1" spans="1:9">
      <c r="A58" s="179" t="s">
        <v>711</v>
      </c>
      <c r="B58" s="181">
        <v>12.9</v>
      </c>
      <c r="C58" s="182">
        <v>2180</v>
      </c>
      <c r="D58" s="181">
        <v>12.9</v>
      </c>
      <c r="E58" s="182">
        <v>2180</v>
      </c>
      <c r="F58" s="182">
        <v>25</v>
      </c>
      <c r="G58" s="182" t="s">
        <v>469</v>
      </c>
      <c r="H58" s="184" t="s">
        <v>402</v>
      </c>
      <c r="I58" s="185" t="s">
        <v>219</v>
      </c>
    </row>
    <row r="59" customHeight="1" spans="1:9">
      <c r="A59" s="179" t="s">
        <v>712</v>
      </c>
      <c r="B59" s="181">
        <v>13</v>
      </c>
      <c r="C59" s="182">
        <v>2200</v>
      </c>
      <c r="D59" s="181">
        <v>13</v>
      </c>
      <c r="E59" s="182">
        <v>2200</v>
      </c>
      <c r="F59" s="182">
        <v>25</v>
      </c>
      <c r="G59" s="182" t="s">
        <v>469</v>
      </c>
      <c r="H59" s="184"/>
      <c r="I59" s="185"/>
    </row>
    <row r="60" customHeight="1" spans="1:9">
      <c r="A60" s="179" t="s">
        <v>713</v>
      </c>
      <c r="B60" s="181">
        <v>13</v>
      </c>
      <c r="C60" s="182">
        <v>2200</v>
      </c>
      <c r="D60" s="181">
        <v>13</v>
      </c>
      <c r="E60" s="182">
        <v>2200</v>
      </c>
      <c r="F60" s="182">
        <v>25</v>
      </c>
      <c r="G60" s="182" t="s">
        <v>469</v>
      </c>
      <c r="H60" s="184"/>
      <c r="I60" s="185"/>
    </row>
    <row r="61" customHeight="1" spans="1:9">
      <c r="A61" s="179" t="s">
        <v>714</v>
      </c>
      <c r="B61" s="181">
        <v>13.1</v>
      </c>
      <c r="C61" s="182">
        <v>2230</v>
      </c>
      <c r="D61" s="181">
        <v>13.1</v>
      </c>
      <c r="E61" s="182">
        <v>2230</v>
      </c>
      <c r="F61" s="182">
        <v>25</v>
      </c>
      <c r="G61" s="182" t="s">
        <v>469</v>
      </c>
      <c r="H61" s="184"/>
      <c r="I61" s="185"/>
    </row>
    <row r="62" customHeight="1" spans="1:9">
      <c r="A62" s="179" t="s">
        <v>715</v>
      </c>
      <c r="B62" s="181">
        <v>13.1</v>
      </c>
      <c r="C62" s="182">
        <v>2230</v>
      </c>
      <c r="D62" s="181">
        <v>13.1</v>
      </c>
      <c r="E62" s="182">
        <v>2230</v>
      </c>
      <c r="F62" s="182">
        <v>25</v>
      </c>
      <c r="G62" s="182" t="s">
        <v>469</v>
      </c>
      <c r="H62" s="184"/>
      <c r="I62" s="185"/>
    </row>
    <row r="63" customHeight="1" spans="1:9">
      <c r="A63" s="179" t="s">
        <v>716</v>
      </c>
      <c r="B63" s="181">
        <v>13.1</v>
      </c>
      <c r="C63" s="182">
        <v>2230</v>
      </c>
      <c r="D63" s="181">
        <v>13.1</v>
      </c>
      <c r="E63" s="182">
        <v>2230</v>
      </c>
      <c r="F63" s="182">
        <v>25</v>
      </c>
      <c r="G63" s="182" t="s">
        <v>469</v>
      </c>
      <c r="H63" s="184"/>
      <c r="I63" s="185"/>
    </row>
    <row r="64" customHeight="1" spans="1:9">
      <c r="A64" s="179" t="s">
        <v>717</v>
      </c>
      <c r="B64" s="181">
        <v>13.1</v>
      </c>
      <c r="C64" s="182">
        <v>2230</v>
      </c>
      <c r="D64" s="181">
        <v>13.1</v>
      </c>
      <c r="E64" s="182">
        <v>2230</v>
      </c>
      <c r="F64" s="182">
        <v>25</v>
      </c>
      <c r="G64" s="182" t="s">
        <v>469</v>
      </c>
      <c r="H64" s="184"/>
      <c r="I64" s="185"/>
    </row>
    <row r="65" customHeight="1" spans="1:9">
      <c r="A65" s="179" t="s">
        <v>718</v>
      </c>
      <c r="B65" s="181">
        <v>15.1</v>
      </c>
      <c r="C65" s="182">
        <v>2620</v>
      </c>
      <c r="D65" s="181">
        <v>15.1</v>
      </c>
      <c r="E65" s="182">
        <v>2620</v>
      </c>
      <c r="F65" s="182">
        <v>25</v>
      </c>
      <c r="G65" s="182" t="s">
        <v>469</v>
      </c>
      <c r="H65" s="184"/>
      <c r="I65" s="185"/>
    </row>
    <row r="66" customHeight="1" spans="1:9">
      <c r="A66" s="179" t="s">
        <v>719</v>
      </c>
      <c r="B66" s="181">
        <v>14.7</v>
      </c>
      <c r="C66" s="182">
        <v>2550</v>
      </c>
      <c r="D66" s="181">
        <v>14.7</v>
      </c>
      <c r="E66" s="182">
        <v>2550</v>
      </c>
      <c r="F66" s="182">
        <v>25</v>
      </c>
      <c r="G66" s="182" t="s">
        <v>469</v>
      </c>
      <c r="H66" s="184"/>
      <c r="I66" s="185"/>
    </row>
    <row r="67" customHeight="1" spans="1:9">
      <c r="A67" s="179" t="s">
        <v>720</v>
      </c>
      <c r="B67" s="181">
        <v>8.6</v>
      </c>
      <c r="C67" s="182">
        <v>1450</v>
      </c>
      <c r="D67" s="181">
        <v>8.9</v>
      </c>
      <c r="E67" s="182">
        <v>1510</v>
      </c>
      <c r="F67" s="182">
        <v>34</v>
      </c>
      <c r="G67" s="182" t="s">
        <v>405</v>
      </c>
      <c r="H67" s="184" t="s">
        <v>404</v>
      </c>
      <c r="I67" s="185" t="s">
        <v>29</v>
      </c>
    </row>
    <row r="68" customHeight="1" spans="1:9">
      <c r="A68" s="179" t="s">
        <v>721</v>
      </c>
      <c r="B68" s="181">
        <v>9.1</v>
      </c>
      <c r="C68" s="182">
        <v>1470</v>
      </c>
      <c r="D68" s="181">
        <v>9.1</v>
      </c>
      <c r="E68" s="182">
        <v>1470</v>
      </c>
      <c r="F68" s="182">
        <v>34</v>
      </c>
      <c r="G68" s="182" t="s">
        <v>405</v>
      </c>
      <c r="H68" s="184"/>
      <c r="I68" s="185"/>
    </row>
    <row r="69" customHeight="1" spans="1:9">
      <c r="A69" s="179" t="s">
        <v>722</v>
      </c>
      <c r="B69" s="181">
        <v>8.6</v>
      </c>
      <c r="C69" s="182">
        <v>1450</v>
      </c>
      <c r="D69" s="181">
        <v>8.9</v>
      </c>
      <c r="E69" s="182">
        <v>1510</v>
      </c>
      <c r="F69" s="182">
        <v>34</v>
      </c>
      <c r="G69" s="182" t="s">
        <v>405</v>
      </c>
      <c r="H69" s="184"/>
      <c r="I69" s="185"/>
    </row>
    <row r="70" customHeight="1" spans="1:9">
      <c r="A70" s="179" t="s">
        <v>723</v>
      </c>
      <c r="B70" s="181">
        <v>11.4</v>
      </c>
      <c r="C70" s="182">
        <v>1960</v>
      </c>
      <c r="D70" s="181">
        <v>11.4</v>
      </c>
      <c r="E70" s="182">
        <v>1960</v>
      </c>
      <c r="F70" s="182">
        <v>34</v>
      </c>
      <c r="G70" s="182" t="s">
        <v>405</v>
      </c>
      <c r="H70" s="184"/>
      <c r="I70" s="185"/>
    </row>
    <row r="71" customHeight="1" spans="1:9">
      <c r="A71" s="179" t="s">
        <v>724</v>
      </c>
      <c r="B71" s="181">
        <v>9.2</v>
      </c>
      <c r="C71" s="182">
        <v>1490</v>
      </c>
      <c r="D71" s="181">
        <v>9.2</v>
      </c>
      <c r="E71" s="182">
        <v>1490</v>
      </c>
      <c r="F71" s="182">
        <v>34</v>
      </c>
      <c r="G71" s="182" t="s">
        <v>405</v>
      </c>
      <c r="H71" s="184"/>
      <c r="I71" s="185"/>
    </row>
    <row r="72" customHeight="1" spans="1:9">
      <c r="A72" s="179" t="s">
        <v>725</v>
      </c>
      <c r="B72" s="181">
        <v>9.4</v>
      </c>
      <c r="C72" s="182">
        <v>1520</v>
      </c>
      <c r="D72" s="181">
        <v>9.4</v>
      </c>
      <c r="E72" s="182">
        <v>1520</v>
      </c>
      <c r="F72" s="182">
        <v>34</v>
      </c>
      <c r="G72" s="182" t="s">
        <v>405</v>
      </c>
      <c r="H72" s="184"/>
      <c r="I72" s="185"/>
    </row>
    <row r="73" ht="105" customHeight="1" spans="1:9">
      <c r="A73" s="186" t="s">
        <v>61</v>
      </c>
      <c r="B73" s="187" t="s">
        <v>726</v>
      </c>
      <c r="C73" s="187"/>
      <c r="D73" s="187"/>
      <c r="E73" s="187"/>
      <c r="F73" s="187"/>
      <c r="G73" s="187"/>
      <c r="H73" s="187"/>
      <c r="I73" s="187"/>
    </row>
    <row r="74" ht="119" customHeight="1" spans="1:9">
      <c r="A74" s="188"/>
      <c r="B74" s="187" t="s">
        <v>727</v>
      </c>
      <c r="C74" s="187"/>
      <c r="D74" s="187"/>
      <c r="E74" s="187"/>
      <c r="F74" s="187"/>
      <c r="G74" s="187"/>
      <c r="H74" s="187"/>
      <c r="I74" s="187"/>
    </row>
  </sheetData>
  <mergeCells count="35">
    <mergeCell ref="A4:I4"/>
    <mergeCell ref="B5:C5"/>
    <mergeCell ref="D5:E5"/>
    <mergeCell ref="B73:I73"/>
    <mergeCell ref="B74:I74"/>
    <mergeCell ref="A5:A6"/>
    <mergeCell ref="A73:A74"/>
    <mergeCell ref="F5:F6"/>
    <mergeCell ref="G5:G6"/>
    <mergeCell ref="H7:H8"/>
    <mergeCell ref="H9:H10"/>
    <mergeCell ref="H11:H12"/>
    <mergeCell ref="H13:H14"/>
    <mergeCell ref="H15:H16"/>
    <mergeCell ref="H17:H19"/>
    <mergeCell ref="H20:H29"/>
    <mergeCell ref="H30:H39"/>
    <mergeCell ref="H40:H48"/>
    <mergeCell ref="H49:H57"/>
    <mergeCell ref="H58:H66"/>
    <mergeCell ref="H67:H72"/>
    <mergeCell ref="I5:I6"/>
    <mergeCell ref="I7:I8"/>
    <mergeCell ref="I9:I10"/>
    <mergeCell ref="I11:I12"/>
    <mergeCell ref="I13:I14"/>
    <mergeCell ref="I15:I16"/>
    <mergeCell ref="I17:I19"/>
    <mergeCell ref="I20:I29"/>
    <mergeCell ref="I30:I39"/>
    <mergeCell ref="I40:I48"/>
    <mergeCell ref="I49:I57"/>
    <mergeCell ref="I58:I66"/>
    <mergeCell ref="I67:I72"/>
    <mergeCell ref="A1:I3"/>
  </mergeCells>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KI177"/>
  <sheetViews>
    <sheetView tabSelected="1" zoomScale="55" zoomScaleNormal="55" topLeftCell="A123" workbookViewId="0">
      <selection activeCell="V173" sqref="V173"/>
    </sheetView>
  </sheetViews>
  <sheetFormatPr defaultColWidth="9" defaultRowHeight="13.5"/>
  <cols>
    <col min="1" max="8" width="23.925" style="28" customWidth="1"/>
    <col min="9" max="10" width="18.875" style="28" customWidth="1"/>
    <col min="11" max="11" width="20.875" style="28" customWidth="1"/>
    <col min="12" max="17" width="15.375" style="28" customWidth="1"/>
    <col min="18" max="18" width="9" style="28"/>
    <col min="19" max="20" width="13.6666666666667" style="28" customWidth="1"/>
    <col min="21" max="21" width="21.1333333333333" style="28" customWidth="1"/>
    <col min="22" max="28" width="13.2083333333333" style="28" customWidth="1"/>
    <col min="29" max="16384" width="9" style="28"/>
  </cols>
  <sheetData>
    <row r="1" ht="43" customHeight="1" spans="1:28">
      <c r="A1" s="29" t="s">
        <v>282</v>
      </c>
      <c r="B1" s="30"/>
      <c r="C1" s="30"/>
      <c r="D1" s="30"/>
      <c r="E1" s="30"/>
      <c r="F1" s="30"/>
      <c r="G1" s="30"/>
      <c r="H1" s="30"/>
      <c r="I1" s="30"/>
      <c r="J1" s="30"/>
      <c r="K1" s="30"/>
      <c r="L1" s="30"/>
      <c r="M1" s="30"/>
      <c r="N1" s="30"/>
      <c r="O1" s="30"/>
      <c r="P1" s="30"/>
      <c r="Q1" s="30"/>
      <c r="R1" s="30"/>
      <c r="S1" s="30"/>
      <c r="T1" s="31"/>
      <c r="U1" s="32"/>
      <c r="V1" s="32"/>
      <c r="W1" s="32"/>
      <c r="X1" s="32"/>
      <c r="Y1" s="32"/>
      <c r="Z1" s="32"/>
      <c r="AA1" s="32"/>
      <c r="AB1" s="32"/>
    </row>
    <row r="2" ht="43" customHeight="1" spans="1:28">
      <c r="A2" s="33" t="s">
        <v>283</v>
      </c>
      <c r="B2" s="33"/>
      <c r="C2" s="34"/>
      <c r="D2" s="34"/>
      <c r="E2" s="34"/>
      <c r="F2" s="34"/>
      <c r="G2" s="34"/>
      <c r="H2" s="34"/>
      <c r="I2" s="34"/>
      <c r="J2" s="34"/>
      <c r="K2" s="34"/>
      <c r="L2" s="34"/>
      <c r="M2" s="34"/>
      <c r="N2" s="34"/>
      <c r="O2" s="34"/>
      <c r="P2" s="34"/>
      <c r="Q2" s="34"/>
      <c r="R2" s="34"/>
      <c r="S2" s="34"/>
      <c r="T2" s="35"/>
      <c r="U2" s="32"/>
      <c r="V2" s="32"/>
      <c r="W2" s="32"/>
      <c r="X2" s="32"/>
      <c r="Y2" s="32"/>
      <c r="Z2" s="32"/>
      <c r="AA2" s="32"/>
      <c r="AB2" s="32"/>
    </row>
    <row r="3" ht="46" customHeight="1" spans="1:28">
      <c r="A3" s="36" t="s">
        <v>284</v>
      </c>
      <c r="B3" s="36"/>
      <c r="C3" s="36"/>
      <c r="D3" s="36"/>
      <c r="E3" s="36"/>
      <c r="F3" s="36"/>
      <c r="G3" s="36"/>
      <c r="H3" s="36"/>
      <c r="I3" s="36" t="s">
        <v>285</v>
      </c>
      <c r="J3" s="36"/>
      <c r="K3" s="36"/>
      <c r="L3" s="36"/>
      <c r="M3" s="36"/>
      <c r="N3" s="36"/>
      <c r="O3" s="36" t="s">
        <v>286</v>
      </c>
      <c r="P3" s="36"/>
      <c r="Q3" s="36"/>
      <c r="R3" s="36"/>
      <c r="S3" s="36"/>
      <c r="T3" s="36"/>
      <c r="U3" s="36" t="s">
        <v>375</v>
      </c>
      <c r="V3" s="36"/>
      <c r="W3" s="36"/>
      <c r="X3" s="36"/>
      <c r="Y3" s="36"/>
      <c r="Z3" s="36"/>
      <c r="AA3" s="36"/>
      <c r="AB3" s="36"/>
    </row>
    <row r="4" ht="46" customHeight="1" spans="1:28">
      <c r="A4" s="37" t="s">
        <v>287</v>
      </c>
      <c r="B4" s="37" t="s">
        <v>728</v>
      </c>
      <c r="C4" s="37" t="s">
        <v>184</v>
      </c>
      <c r="D4" s="37"/>
      <c r="E4" s="37" t="s">
        <v>260</v>
      </c>
      <c r="F4" s="37"/>
      <c r="G4" s="37" t="s">
        <v>288</v>
      </c>
      <c r="H4" s="37" t="s">
        <v>289</v>
      </c>
      <c r="I4" s="37" t="s">
        <v>184</v>
      </c>
      <c r="J4" s="37"/>
      <c r="K4" s="37" t="s">
        <v>260</v>
      </c>
      <c r="L4" s="37"/>
      <c r="M4" s="37" t="s">
        <v>288</v>
      </c>
      <c r="N4" s="37" t="s">
        <v>289</v>
      </c>
      <c r="O4" s="37" t="s">
        <v>184</v>
      </c>
      <c r="P4" s="37"/>
      <c r="Q4" s="37" t="s">
        <v>260</v>
      </c>
      <c r="R4" s="37"/>
      <c r="S4" s="37" t="s">
        <v>288</v>
      </c>
      <c r="T4" s="37" t="s">
        <v>289</v>
      </c>
      <c r="U4" s="37" t="s">
        <v>287</v>
      </c>
      <c r="V4" s="37" t="s">
        <v>728</v>
      </c>
      <c r="W4" s="37" t="s">
        <v>184</v>
      </c>
      <c r="X4" s="37"/>
      <c r="Y4" s="37" t="s">
        <v>260</v>
      </c>
      <c r="Z4" s="37"/>
      <c r="AA4" s="37" t="s">
        <v>376</v>
      </c>
      <c r="AB4" s="37" t="s">
        <v>288</v>
      </c>
    </row>
    <row r="5" ht="46" customHeight="1" spans="1:28">
      <c r="A5" s="37"/>
      <c r="B5" s="37"/>
      <c r="C5" s="37" t="s">
        <v>729</v>
      </c>
      <c r="D5" s="37" t="s">
        <v>730</v>
      </c>
      <c r="E5" s="37" t="s">
        <v>729</v>
      </c>
      <c r="F5" s="37" t="s">
        <v>730</v>
      </c>
      <c r="G5" s="37"/>
      <c r="H5" s="37"/>
      <c r="I5" s="37" t="s">
        <v>729</v>
      </c>
      <c r="J5" s="37" t="s">
        <v>730</v>
      </c>
      <c r="K5" s="37" t="s">
        <v>729</v>
      </c>
      <c r="L5" s="37" t="s">
        <v>730</v>
      </c>
      <c r="M5" s="37"/>
      <c r="N5" s="37"/>
      <c r="O5" s="37" t="s">
        <v>729</v>
      </c>
      <c r="P5" s="37" t="s">
        <v>730</v>
      </c>
      <c r="Q5" s="37" t="s">
        <v>729</v>
      </c>
      <c r="R5" s="37" t="s">
        <v>730</v>
      </c>
      <c r="S5" s="37"/>
      <c r="T5" s="37"/>
      <c r="U5" s="37"/>
      <c r="V5" s="37"/>
      <c r="W5" s="37" t="s">
        <v>729</v>
      </c>
      <c r="X5" s="37" t="s">
        <v>730</v>
      </c>
      <c r="Y5" s="37" t="s">
        <v>729</v>
      </c>
      <c r="Z5" s="37" t="s">
        <v>730</v>
      </c>
      <c r="AA5" s="37"/>
      <c r="AB5" s="37"/>
    </row>
    <row r="6" ht="23" customHeight="1" spans="1:28">
      <c r="A6" s="37" t="s">
        <v>731</v>
      </c>
      <c r="B6" s="38" t="s">
        <v>253</v>
      </c>
      <c r="C6" s="39">
        <v>12.4</v>
      </c>
      <c r="D6" s="40">
        <v>2150</v>
      </c>
      <c r="E6" s="39">
        <v>11.9</v>
      </c>
      <c r="F6" s="40">
        <v>2060</v>
      </c>
      <c r="G6" s="40">
        <v>11</v>
      </c>
      <c r="H6" s="40" t="s">
        <v>732</v>
      </c>
      <c r="I6" s="39">
        <v>9.8</v>
      </c>
      <c r="J6" s="40">
        <v>1630</v>
      </c>
      <c r="K6" s="39">
        <v>9.8</v>
      </c>
      <c r="L6" s="40">
        <v>1630</v>
      </c>
      <c r="M6" s="40">
        <v>13</v>
      </c>
      <c r="N6" s="40" t="s">
        <v>733</v>
      </c>
      <c r="O6" s="39">
        <v>9</v>
      </c>
      <c r="P6" s="40">
        <v>1470</v>
      </c>
      <c r="Q6" s="39">
        <v>9.5</v>
      </c>
      <c r="R6" s="40">
        <v>1570</v>
      </c>
      <c r="S6" s="40">
        <v>14</v>
      </c>
      <c r="T6" s="40" t="s">
        <v>734</v>
      </c>
      <c r="U6" s="41" t="s">
        <v>731</v>
      </c>
      <c r="V6" s="38" t="s">
        <v>253</v>
      </c>
      <c r="W6" s="42">
        <v>8.3</v>
      </c>
      <c r="X6" s="43">
        <v>1490</v>
      </c>
      <c r="Y6" s="42">
        <v>8.3</v>
      </c>
      <c r="Z6" s="43">
        <v>1490</v>
      </c>
      <c r="AA6" s="43">
        <v>16</v>
      </c>
      <c r="AB6" s="43" t="s">
        <v>735</v>
      </c>
    </row>
    <row r="7" ht="23" customHeight="1" spans="1:28">
      <c r="A7" s="37" t="s">
        <v>736</v>
      </c>
      <c r="B7" s="44">
        <v>91761</v>
      </c>
      <c r="C7" s="39">
        <v>12.4</v>
      </c>
      <c r="D7" s="40">
        <v>2150</v>
      </c>
      <c r="E7" s="39">
        <v>11.9</v>
      </c>
      <c r="F7" s="40">
        <v>2060</v>
      </c>
      <c r="G7" s="40">
        <v>11</v>
      </c>
      <c r="H7" s="40" t="s">
        <v>737</v>
      </c>
      <c r="I7" s="39">
        <v>9.8</v>
      </c>
      <c r="J7" s="40">
        <v>1630</v>
      </c>
      <c r="K7" s="39">
        <v>9.8</v>
      </c>
      <c r="L7" s="40">
        <v>1630</v>
      </c>
      <c r="M7" s="40">
        <v>13</v>
      </c>
      <c r="N7" s="40" t="s">
        <v>738</v>
      </c>
      <c r="O7" s="39">
        <v>9</v>
      </c>
      <c r="P7" s="40">
        <v>1470</v>
      </c>
      <c r="Q7" s="39">
        <v>9.5</v>
      </c>
      <c r="R7" s="40">
        <v>1570</v>
      </c>
      <c r="S7" s="40">
        <v>14</v>
      </c>
      <c r="T7" s="40" t="s">
        <v>739</v>
      </c>
      <c r="U7" s="45" t="s">
        <v>736</v>
      </c>
      <c r="V7" s="44">
        <v>91761</v>
      </c>
      <c r="W7" s="42">
        <v>8.3</v>
      </c>
      <c r="X7" s="43">
        <v>1490</v>
      </c>
      <c r="Y7" s="42">
        <v>8.3</v>
      </c>
      <c r="Z7" s="43">
        <v>1490</v>
      </c>
      <c r="AA7" s="43">
        <v>16</v>
      </c>
      <c r="AB7" s="43" t="s">
        <v>740</v>
      </c>
    </row>
    <row r="8" ht="23" customHeight="1" spans="1:28">
      <c r="A8" s="37" t="s">
        <v>741</v>
      </c>
      <c r="B8" s="44">
        <v>91710</v>
      </c>
      <c r="C8" s="39">
        <v>12.7</v>
      </c>
      <c r="D8" s="40">
        <v>2280</v>
      </c>
      <c r="E8" s="39">
        <v>12.2</v>
      </c>
      <c r="F8" s="40">
        <v>2190</v>
      </c>
      <c r="G8" s="40">
        <v>11</v>
      </c>
      <c r="H8" s="40" t="s">
        <v>737</v>
      </c>
      <c r="I8" s="39">
        <v>10.2</v>
      </c>
      <c r="J8" s="40">
        <v>1980</v>
      </c>
      <c r="K8" s="39">
        <v>10.2</v>
      </c>
      <c r="L8" s="40">
        <v>1980</v>
      </c>
      <c r="M8" s="40">
        <v>13</v>
      </c>
      <c r="N8" s="40" t="s">
        <v>738</v>
      </c>
      <c r="O8" s="39">
        <v>9.3</v>
      </c>
      <c r="P8" s="40">
        <v>1800</v>
      </c>
      <c r="Q8" s="39">
        <v>9.8</v>
      </c>
      <c r="R8" s="40">
        <v>1900</v>
      </c>
      <c r="S8" s="40">
        <v>14</v>
      </c>
      <c r="T8" s="40" t="s">
        <v>739</v>
      </c>
      <c r="U8" s="45" t="s">
        <v>741</v>
      </c>
      <c r="V8" s="44">
        <v>91710</v>
      </c>
      <c r="W8" s="42">
        <v>8.8</v>
      </c>
      <c r="X8" s="43">
        <v>1590</v>
      </c>
      <c r="Y8" s="42">
        <v>8.8</v>
      </c>
      <c r="Z8" s="43">
        <v>1590</v>
      </c>
      <c r="AA8" s="43">
        <v>16</v>
      </c>
      <c r="AB8" s="43" t="s">
        <v>740</v>
      </c>
    </row>
    <row r="9" ht="23" customHeight="1" spans="1:28">
      <c r="A9" s="37" t="s">
        <v>742</v>
      </c>
      <c r="B9" s="44">
        <v>91789</v>
      </c>
      <c r="C9" s="39">
        <v>13.2</v>
      </c>
      <c r="D9" s="40">
        <v>2340</v>
      </c>
      <c r="E9" s="39">
        <v>12.7</v>
      </c>
      <c r="F9" s="40">
        <v>2250</v>
      </c>
      <c r="G9" s="40">
        <v>11</v>
      </c>
      <c r="H9" s="40" t="s">
        <v>737</v>
      </c>
      <c r="I9" s="39">
        <v>10.7</v>
      </c>
      <c r="J9" s="40">
        <v>2080</v>
      </c>
      <c r="K9" s="39">
        <v>10.7</v>
      </c>
      <c r="L9" s="40">
        <v>2080</v>
      </c>
      <c r="M9" s="40">
        <v>13</v>
      </c>
      <c r="N9" s="40" t="s">
        <v>738</v>
      </c>
      <c r="O9" s="39">
        <v>9.8</v>
      </c>
      <c r="P9" s="40">
        <v>1900</v>
      </c>
      <c r="Q9" s="39">
        <v>10.3</v>
      </c>
      <c r="R9" s="40">
        <v>2000</v>
      </c>
      <c r="S9" s="40">
        <v>14</v>
      </c>
      <c r="T9" s="40" t="s">
        <v>739</v>
      </c>
      <c r="U9" s="45" t="s">
        <v>742</v>
      </c>
      <c r="V9" s="44">
        <v>91789</v>
      </c>
      <c r="W9" s="42">
        <v>9.3</v>
      </c>
      <c r="X9" s="43">
        <v>1690</v>
      </c>
      <c r="Y9" s="42">
        <v>9.3</v>
      </c>
      <c r="Z9" s="43">
        <v>1690</v>
      </c>
      <c r="AA9" s="43">
        <v>16</v>
      </c>
      <c r="AB9" s="43" t="s">
        <v>740</v>
      </c>
    </row>
    <row r="10" ht="23" customHeight="1" spans="1:28">
      <c r="A10" s="37" t="s">
        <v>743</v>
      </c>
      <c r="B10" s="44">
        <v>91748</v>
      </c>
      <c r="C10" s="39">
        <v>13.2</v>
      </c>
      <c r="D10" s="40">
        <v>2340</v>
      </c>
      <c r="E10" s="39">
        <v>12.7</v>
      </c>
      <c r="F10" s="40">
        <v>2250</v>
      </c>
      <c r="G10" s="40">
        <v>11</v>
      </c>
      <c r="H10" s="40" t="s">
        <v>737</v>
      </c>
      <c r="I10" s="39">
        <v>10.7</v>
      </c>
      <c r="J10" s="40">
        <v>2080</v>
      </c>
      <c r="K10" s="39">
        <v>10.7</v>
      </c>
      <c r="L10" s="40">
        <v>2080</v>
      </c>
      <c r="M10" s="40">
        <v>13</v>
      </c>
      <c r="N10" s="40" t="s">
        <v>738</v>
      </c>
      <c r="O10" s="39">
        <v>9.8</v>
      </c>
      <c r="P10" s="40">
        <v>1900</v>
      </c>
      <c r="Q10" s="39">
        <v>10.3</v>
      </c>
      <c r="R10" s="40">
        <v>2000</v>
      </c>
      <c r="S10" s="40">
        <v>14</v>
      </c>
      <c r="T10" s="40" t="s">
        <v>739</v>
      </c>
      <c r="U10" s="45" t="s">
        <v>743</v>
      </c>
      <c r="V10" s="44">
        <v>91748</v>
      </c>
      <c r="W10" s="42">
        <v>9.3</v>
      </c>
      <c r="X10" s="43">
        <v>1690</v>
      </c>
      <c r="Y10" s="42">
        <v>9.3</v>
      </c>
      <c r="Z10" s="43">
        <v>1690</v>
      </c>
      <c r="AA10" s="43">
        <v>16</v>
      </c>
      <c r="AB10" s="43" t="s">
        <v>740</v>
      </c>
    </row>
    <row r="11" ht="23" customHeight="1" spans="1:28">
      <c r="A11" s="37" t="s">
        <v>744</v>
      </c>
      <c r="B11" s="44">
        <v>91730</v>
      </c>
      <c r="C11" s="39">
        <v>12.9</v>
      </c>
      <c r="D11" s="40">
        <v>2280</v>
      </c>
      <c r="E11" s="39">
        <v>12.4</v>
      </c>
      <c r="F11" s="40">
        <v>2190</v>
      </c>
      <c r="G11" s="40">
        <v>11</v>
      </c>
      <c r="H11" s="40" t="s">
        <v>737</v>
      </c>
      <c r="I11" s="39">
        <v>10.4</v>
      </c>
      <c r="J11" s="40">
        <v>2020</v>
      </c>
      <c r="K11" s="39">
        <v>10.4</v>
      </c>
      <c r="L11" s="40">
        <v>2020</v>
      </c>
      <c r="M11" s="40">
        <v>13</v>
      </c>
      <c r="N11" s="40" t="s">
        <v>738</v>
      </c>
      <c r="O11" s="39">
        <v>9.5</v>
      </c>
      <c r="P11" s="40">
        <v>1840</v>
      </c>
      <c r="Q11" s="39">
        <v>10</v>
      </c>
      <c r="R11" s="40">
        <v>1940</v>
      </c>
      <c r="S11" s="40">
        <v>14</v>
      </c>
      <c r="T11" s="40" t="s">
        <v>739</v>
      </c>
      <c r="U11" s="45" t="s">
        <v>744</v>
      </c>
      <c r="V11" s="44">
        <v>91730</v>
      </c>
      <c r="W11" s="42">
        <v>9</v>
      </c>
      <c r="X11" s="43">
        <v>1630</v>
      </c>
      <c r="Y11" s="42">
        <v>9</v>
      </c>
      <c r="Z11" s="43">
        <v>1630</v>
      </c>
      <c r="AA11" s="43">
        <v>16</v>
      </c>
      <c r="AB11" s="43" t="s">
        <v>740</v>
      </c>
    </row>
    <row r="12" ht="23" customHeight="1" spans="1:28">
      <c r="A12" s="37" t="s">
        <v>745</v>
      </c>
      <c r="B12" s="44">
        <v>90022</v>
      </c>
      <c r="C12" s="39">
        <v>13.5</v>
      </c>
      <c r="D12" s="40">
        <v>2360</v>
      </c>
      <c r="E12" s="39">
        <v>13</v>
      </c>
      <c r="F12" s="40">
        <v>2270</v>
      </c>
      <c r="G12" s="40">
        <v>11</v>
      </c>
      <c r="H12" s="40" t="s">
        <v>737</v>
      </c>
      <c r="I12" s="39">
        <v>11</v>
      </c>
      <c r="J12" s="40">
        <v>2140</v>
      </c>
      <c r="K12" s="39">
        <v>11</v>
      </c>
      <c r="L12" s="40">
        <v>2140</v>
      </c>
      <c r="M12" s="40">
        <v>13</v>
      </c>
      <c r="N12" s="40" t="s">
        <v>738</v>
      </c>
      <c r="O12" s="39">
        <v>10.1</v>
      </c>
      <c r="P12" s="40">
        <v>1960</v>
      </c>
      <c r="Q12" s="39">
        <v>10.6</v>
      </c>
      <c r="R12" s="40">
        <v>2060</v>
      </c>
      <c r="S12" s="40">
        <v>14</v>
      </c>
      <c r="T12" s="40" t="s">
        <v>739</v>
      </c>
      <c r="U12" s="45" t="s">
        <v>745</v>
      </c>
      <c r="V12" s="44">
        <v>90022</v>
      </c>
      <c r="W12" s="42">
        <v>9.6</v>
      </c>
      <c r="X12" s="43">
        <v>1750</v>
      </c>
      <c r="Y12" s="42">
        <v>9.6</v>
      </c>
      <c r="Z12" s="43">
        <v>1750</v>
      </c>
      <c r="AA12" s="43">
        <v>16</v>
      </c>
      <c r="AB12" s="43" t="s">
        <v>740</v>
      </c>
    </row>
    <row r="13" ht="23" customHeight="1" spans="1:28">
      <c r="A13" s="37" t="s">
        <v>746</v>
      </c>
      <c r="B13" s="44">
        <v>91789</v>
      </c>
      <c r="C13" s="39">
        <v>13.2</v>
      </c>
      <c r="D13" s="40">
        <v>2340</v>
      </c>
      <c r="E13" s="39">
        <v>12.7</v>
      </c>
      <c r="F13" s="40">
        <v>2250</v>
      </c>
      <c r="G13" s="40">
        <v>11</v>
      </c>
      <c r="H13" s="40" t="s">
        <v>737</v>
      </c>
      <c r="I13" s="39">
        <v>10.7</v>
      </c>
      <c r="J13" s="40">
        <v>2080</v>
      </c>
      <c r="K13" s="39">
        <v>10.7</v>
      </c>
      <c r="L13" s="40">
        <v>2080</v>
      </c>
      <c r="M13" s="40">
        <v>13</v>
      </c>
      <c r="N13" s="40" t="s">
        <v>738</v>
      </c>
      <c r="O13" s="39">
        <v>9.8</v>
      </c>
      <c r="P13" s="40">
        <v>1900</v>
      </c>
      <c r="Q13" s="39">
        <v>10.3</v>
      </c>
      <c r="R13" s="40">
        <v>2000</v>
      </c>
      <c r="S13" s="40">
        <v>14</v>
      </c>
      <c r="T13" s="40" t="s">
        <v>739</v>
      </c>
      <c r="U13" s="45" t="s">
        <v>746</v>
      </c>
      <c r="V13" s="44">
        <v>91789</v>
      </c>
      <c r="W13" s="42">
        <v>9.3</v>
      </c>
      <c r="X13" s="43">
        <v>1690</v>
      </c>
      <c r="Y13" s="42">
        <v>9.3</v>
      </c>
      <c r="Z13" s="43">
        <v>1690</v>
      </c>
      <c r="AA13" s="43">
        <v>16</v>
      </c>
      <c r="AB13" s="43" t="s">
        <v>740</v>
      </c>
    </row>
    <row r="14" ht="23" customHeight="1" spans="1:28">
      <c r="A14" s="37" t="s">
        <v>747</v>
      </c>
      <c r="B14" s="44">
        <v>91730</v>
      </c>
      <c r="C14" s="39">
        <v>12.9</v>
      </c>
      <c r="D14" s="40">
        <v>2280</v>
      </c>
      <c r="E14" s="39">
        <v>12.4</v>
      </c>
      <c r="F14" s="40">
        <v>2190</v>
      </c>
      <c r="G14" s="40">
        <v>11</v>
      </c>
      <c r="H14" s="40" t="s">
        <v>737</v>
      </c>
      <c r="I14" s="39">
        <v>10.4</v>
      </c>
      <c r="J14" s="40">
        <v>2020</v>
      </c>
      <c r="K14" s="39">
        <v>10.4</v>
      </c>
      <c r="L14" s="40">
        <v>2020</v>
      </c>
      <c r="M14" s="40">
        <v>13</v>
      </c>
      <c r="N14" s="40" t="s">
        <v>738</v>
      </c>
      <c r="O14" s="39">
        <v>9.5</v>
      </c>
      <c r="P14" s="40">
        <v>1840</v>
      </c>
      <c r="Q14" s="39">
        <v>10</v>
      </c>
      <c r="R14" s="40">
        <v>1940</v>
      </c>
      <c r="S14" s="40">
        <v>14</v>
      </c>
      <c r="T14" s="40" t="s">
        <v>739</v>
      </c>
      <c r="U14" s="45" t="s">
        <v>747</v>
      </c>
      <c r="V14" s="44">
        <v>91730</v>
      </c>
      <c r="W14" s="42">
        <v>9</v>
      </c>
      <c r="X14" s="43">
        <v>1630</v>
      </c>
      <c r="Y14" s="42">
        <v>9</v>
      </c>
      <c r="Z14" s="43">
        <v>1630</v>
      </c>
      <c r="AA14" s="43">
        <v>16</v>
      </c>
      <c r="AB14" s="43" t="s">
        <v>740</v>
      </c>
    </row>
    <row r="15" ht="23" customHeight="1" spans="1:28">
      <c r="A15" s="37" t="s">
        <v>748</v>
      </c>
      <c r="B15" s="44">
        <v>91731</v>
      </c>
      <c r="C15" s="39">
        <v>13.4</v>
      </c>
      <c r="D15" s="40">
        <v>2330</v>
      </c>
      <c r="E15" s="39">
        <v>12.9</v>
      </c>
      <c r="F15" s="40">
        <v>2240</v>
      </c>
      <c r="G15" s="40">
        <v>11</v>
      </c>
      <c r="H15" s="40" t="s">
        <v>737</v>
      </c>
      <c r="I15" s="39">
        <v>10.9</v>
      </c>
      <c r="J15" s="40">
        <v>2110</v>
      </c>
      <c r="K15" s="39">
        <v>10.9</v>
      </c>
      <c r="L15" s="40">
        <v>2110</v>
      </c>
      <c r="M15" s="40">
        <v>13</v>
      </c>
      <c r="N15" s="40" t="s">
        <v>738</v>
      </c>
      <c r="O15" s="39">
        <v>10</v>
      </c>
      <c r="P15" s="40">
        <v>1930</v>
      </c>
      <c r="Q15" s="39">
        <v>10.5</v>
      </c>
      <c r="R15" s="40">
        <v>2030</v>
      </c>
      <c r="S15" s="40">
        <v>14</v>
      </c>
      <c r="T15" s="40" t="s">
        <v>739</v>
      </c>
      <c r="U15" s="45" t="s">
        <v>748</v>
      </c>
      <c r="V15" s="44">
        <v>91731</v>
      </c>
      <c r="W15" s="42">
        <v>9.5</v>
      </c>
      <c r="X15" s="43">
        <v>1720</v>
      </c>
      <c r="Y15" s="42">
        <v>9.5</v>
      </c>
      <c r="Z15" s="43">
        <v>1720</v>
      </c>
      <c r="AA15" s="43">
        <v>16</v>
      </c>
      <c r="AB15" s="43" t="s">
        <v>740</v>
      </c>
    </row>
    <row r="16" ht="23" customHeight="1" spans="1:28">
      <c r="A16" s="37" t="s">
        <v>749</v>
      </c>
      <c r="B16" s="44">
        <v>91730</v>
      </c>
      <c r="C16" s="39">
        <v>12.9</v>
      </c>
      <c r="D16" s="40">
        <v>2280</v>
      </c>
      <c r="E16" s="39">
        <v>12.4</v>
      </c>
      <c r="F16" s="40">
        <v>2190</v>
      </c>
      <c r="G16" s="40">
        <v>11</v>
      </c>
      <c r="H16" s="40" t="s">
        <v>737</v>
      </c>
      <c r="I16" s="39">
        <v>10.4</v>
      </c>
      <c r="J16" s="40">
        <v>2020</v>
      </c>
      <c r="K16" s="39">
        <v>10.4</v>
      </c>
      <c r="L16" s="40">
        <v>2020</v>
      </c>
      <c r="M16" s="40">
        <v>13</v>
      </c>
      <c r="N16" s="40" t="s">
        <v>738</v>
      </c>
      <c r="O16" s="39">
        <v>9.5</v>
      </c>
      <c r="P16" s="40">
        <v>1840</v>
      </c>
      <c r="Q16" s="39">
        <v>10</v>
      </c>
      <c r="R16" s="40">
        <v>1940</v>
      </c>
      <c r="S16" s="40">
        <v>14</v>
      </c>
      <c r="T16" s="40" t="s">
        <v>739</v>
      </c>
      <c r="U16" s="45" t="s">
        <v>749</v>
      </c>
      <c r="V16" s="44">
        <v>91730</v>
      </c>
      <c r="W16" s="42">
        <v>9</v>
      </c>
      <c r="X16" s="43">
        <v>1630</v>
      </c>
      <c r="Y16" s="42">
        <v>9</v>
      </c>
      <c r="Z16" s="43">
        <v>1630</v>
      </c>
      <c r="AA16" s="43">
        <v>16</v>
      </c>
      <c r="AB16" s="43" t="s">
        <v>740</v>
      </c>
    </row>
    <row r="17" ht="23" customHeight="1" spans="1:28">
      <c r="A17" s="37" t="s">
        <v>750</v>
      </c>
      <c r="B17" s="44">
        <v>91761</v>
      </c>
      <c r="C17" s="39">
        <v>12.9</v>
      </c>
      <c r="D17" s="40">
        <v>2280</v>
      </c>
      <c r="E17" s="39">
        <v>12.4</v>
      </c>
      <c r="F17" s="40">
        <v>2190</v>
      </c>
      <c r="G17" s="40">
        <v>11</v>
      </c>
      <c r="H17" s="40" t="s">
        <v>737</v>
      </c>
      <c r="I17" s="39">
        <v>10.4</v>
      </c>
      <c r="J17" s="40">
        <v>2020</v>
      </c>
      <c r="K17" s="39">
        <v>10.4</v>
      </c>
      <c r="L17" s="40">
        <v>2020</v>
      </c>
      <c r="M17" s="40">
        <v>13</v>
      </c>
      <c r="N17" s="40" t="s">
        <v>738</v>
      </c>
      <c r="O17" s="39">
        <v>9.5</v>
      </c>
      <c r="P17" s="40">
        <v>1840</v>
      </c>
      <c r="Q17" s="39">
        <v>10</v>
      </c>
      <c r="R17" s="40">
        <v>1940</v>
      </c>
      <c r="S17" s="40">
        <v>14</v>
      </c>
      <c r="T17" s="40" t="s">
        <v>739</v>
      </c>
      <c r="U17" s="45" t="s">
        <v>750</v>
      </c>
      <c r="V17" s="44">
        <v>91761</v>
      </c>
      <c r="W17" s="42">
        <v>9</v>
      </c>
      <c r="X17" s="43">
        <v>1630</v>
      </c>
      <c r="Y17" s="42">
        <v>9</v>
      </c>
      <c r="Z17" s="43">
        <v>1630</v>
      </c>
      <c r="AA17" s="43">
        <v>16</v>
      </c>
      <c r="AB17" s="43" t="s">
        <v>740</v>
      </c>
    </row>
    <row r="18" ht="23" customHeight="1" spans="1:28">
      <c r="A18" s="37" t="s">
        <v>751</v>
      </c>
      <c r="B18" s="44">
        <v>91710</v>
      </c>
      <c r="C18" s="39">
        <v>13.1</v>
      </c>
      <c r="D18" s="40">
        <v>2310</v>
      </c>
      <c r="E18" s="39">
        <v>12.6</v>
      </c>
      <c r="F18" s="40">
        <v>2220</v>
      </c>
      <c r="G18" s="40">
        <v>11</v>
      </c>
      <c r="H18" s="40" t="s">
        <v>737</v>
      </c>
      <c r="I18" s="39">
        <v>10.6</v>
      </c>
      <c r="J18" s="40">
        <v>2050</v>
      </c>
      <c r="K18" s="39">
        <v>10.6</v>
      </c>
      <c r="L18" s="40">
        <v>2050</v>
      </c>
      <c r="M18" s="40">
        <v>13</v>
      </c>
      <c r="N18" s="40" t="s">
        <v>738</v>
      </c>
      <c r="O18" s="39">
        <v>9.7</v>
      </c>
      <c r="P18" s="40">
        <v>1870</v>
      </c>
      <c r="Q18" s="39">
        <v>10.2</v>
      </c>
      <c r="R18" s="40">
        <v>1970</v>
      </c>
      <c r="S18" s="40">
        <v>14</v>
      </c>
      <c r="T18" s="40" t="s">
        <v>739</v>
      </c>
      <c r="U18" s="45" t="s">
        <v>751</v>
      </c>
      <c r="V18" s="44">
        <v>91710</v>
      </c>
      <c r="W18" s="42">
        <v>9.2</v>
      </c>
      <c r="X18" s="43">
        <v>1660</v>
      </c>
      <c r="Y18" s="42">
        <v>9.2</v>
      </c>
      <c r="Z18" s="43">
        <v>1660</v>
      </c>
      <c r="AA18" s="43">
        <v>16</v>
      </c>
      <c r="AB18" s="43" t="s">
        <v>740</v>
      </c>
    </row>
    <row r="19" ht="23" customHeight="1" spans="1:28">
      <c r="A19" s="37" t="s">
        <v>752</v>
      </c>
      <c r="B19" s="44">
        <v>91710</v>
      </c>
      <c r="C19" s="39">
        <v>13.2</v>
      </c>
      <c r="D19" s="40">
        <v>2280</v>
      </c>
      <c r="E19" s="39">
        <v>12.7</v>
      </c>
      <c r="F19" s="40">
        <v>2190</v>
      </c>
      <c r="G19" s="40">
        <v>11</v>
      </c>
      <c r="H19" s="40" t="s">
        <v>737</v>
      </c>
      <c r="I19" s="39">
        <v>10.7</v>
      </c>
      <c r="J19" s="40">
        <v>2080</v>
      </c>
      <c r="K19" s="39">
        <v>10.7</v>
      </c>
      <c r="L19" s="40">
        <v>2080</v>
      </c>
      <c r="M19" s="40">
        <v>13</v>
      </c>
      <c r="N19" s="40" t="s">
        <v>738</v>
      </c>
      <c r="O19" s="39">
        <v>9.8</v>
      </c>
      <c r="P19" s="40">
        <v>1900</v>
      </c>
      <c r="Q19" s="39">
        <v>10.3</v>
      </c>
      <c r="R19" s="40">
        <v>2000</v>
      </c>
      <c r="S19" s="40">
        <v>14</v>
      </c>
      <c r="T19" s="40" t="s">
        <v>739</v>
      </c>
      <c r="U19" s="45" t="s">
        <v>752</v>
      </c>
      <c r="V19" s="44">
        <v>91710</v>
      </c>
      <c r="W19" s="42">
        <v>9.3</v>
      </c>
      <c r="X19" s="43">
        <v>1690</v>
      </c>
      <c r="Y19" s="42">
        <v>9.3</v>
      </c>
      <c r="Z19" s="43">
        <v>1690</v>
      </c>
      <c r="AA19" s="43">
        <v>16</v>
      </c>
      <c r="AB19" s="43" t="s">
        <v>740</v>
      </c>
    </row>
    <row r="20" ht="23" customHeight="1" spans="1:28">
      <c r="A20" s="37" t="s">
        <v>753</v>
      </c>
      <c r="B20" s="44">
        <v>91762</v>
      </c>
      <c r="C20" s="39">
        <v>12.9</v>
      </c>
      <c r="D20" s="40">
        <v>2280</v>
      </c>
      <c r="E20" s="39">
        <v>12.4</v>
      </c>
      <c r="F20" s="40">
        <v>2190</v>
      </c>
      <c r="G20" s="40">
        <v>11</v>
      </c>
      <c r="H20" s="40" t="s">
        <v>737</v>
      </c>
      <c r="I20" s="39">
        <v>10.4</v>
      </c>
      <c r="J20" s="40">
        <v>2020</v>
      </c>
      <c r="K20" s="39">
        <v>10.4</v>
      </c>
      <c r="L20" s="40">
        <v>2020</v>
      </c>
      <c r="M20" s="40">
        <v>13</v>
      </c>
      <c r="N20" s="40" t="s">
        <v>738</v>
      </c>
      <c r="O20" s="39">
        <v>9.5</v>
      </c>
      <c r="P20" s="40">
        <v>1840</v>
      </c>
      <c r="Q20" s="39">
        <v>10</v>
      </c>
      <c r="R20" s="40">
        <v>1940</v>
      </c>
      <c r="S20" s="40">
        <v>14</v>
      </c>
      <c r="T20" s="40" t="s">
        <v>739</v>
      </c>
      <c r="U20" s="45" t="s">
        <v>753</v>
      </c>
      <c r="V20" s="44">
        <v>91762</v>
      </c>
      <c r="W20" s="42">
        <v>9</v>
      </c>
      <c r="X20" s="43">
        <v>1630</v>
      </c>
      <c r="Y20" s="42">
        <v>9</v>
      </c>
      <c r="Z20" s="43">
        <v>1630</v>
      </c>
      <c r="AA20" s="43">
        <v>16</v>
      </c>
      <c r="AB20" s="43" t="s">
        <v>740</v>
      </c>
    </row>
    <row r="21" ht="23" customHeight="1" spans="1:28">
      <c r="A21" s="37" t="s">
        <v>754</v>
      </c>
      <c r="B21" s="44">
        <v>92336</v>
      </c>
      <c r="C21" s="39">
        <v>13.1</v>
      </c>
      <c r="D21" s="40">
        <v>2310</v>
      </c>
      <c r="E21" s="39">
        <v>12.6</v>
      </c>
      <c r="F21" s="40">
        <v>2220</v>
      </c>
      <c r="G21" s="40">
        <v>11</v>
      </c>
      <c r="H21" s="40" t="s">
        <v>737</v>
      </c>
      <c r="I21" s="39">
        <v>10.6</v>
      </c>
      <c r="J21" s="40">
        <v>2050</v>
      </c>
      <c r="K21" s="39">
        <v>10.6</v>
      </c>
      <c r="L21" s="40">
        <v>2050</v>
      </c>
      <c r="M21" s="40">
        <v>13</v>
      </c>
      <c r="N21" s="40" t="s">
        <v>738</v>
      </c>
      <c r="O21" s="39">
        <v>9.7</v>
      </c>
      <c r="P21" s="40">
        <v>1870</v>
      </c>
      <c r="Q21" s="39">
        <v>10.2</v>
      </c>
      <c r="R21" s="40">
        <v>1970</v>
      </c>
      <c r="S21" s="40">
        <v>14</v>
      </c>
      <c r="T21" s="40" t="s">
        <v>739</v>
      </c>
      <c r="U21" s="45" t="s">
        <v>754</v>
      </c>
      <c r="V21" s="44">
        <v>92336</v>
      </c>
      <c r="W21" s="42">
        <v>9.2</v>
      </c>
      <c r="X21" s="43">
        <v>1660</v>
      </c>
      <c r="Y21" s="42">
        <v>9.2</v>
      </c>
      <c r="Z21" s="43">
        <v>1660</v>
      </c>
      <c r="AA21" s="43">
        <v>16</v>
      </c>
      <c r="AB21" s="43" t="s">
        <v>740</v>
      </c>
    </row>
    <row r="22" ht="23" customHeight="1" spans="1:28">
      <c r="A22" s="37" t="s">
        <v>755</v>
      </c>
      <c r="B22" s="44" t="s">
        <v>756</v>
      </c>
      <c r="C22" s="39">
        <v>13.4</v>
      </c>
      <c r="D22" s="40">
        <v>2330</v>
      </c>
      <c r="E22" s="39">
        <v>12.9</v>
      </c>
      <c r="F22" s="40">
        <v>2240</v>
      </c>
      <c r="G22" s="40">
        <v>11</v>
      </c>
      <c r="H22" s="40" t="s">
        <v>737</v>
      </c>
      <c r="I22" s="39">
        <v>10.9</v>
      </c>
      <c r="J22" s="40">
        <v>2110</v>
      </c>
      <c r="K22" s="39">
        <v>10.9</v>
      </c>
      <c r="L22" s="40">
        <v>2110</v>
      </c>
      <c r="M22" s="40">
        <v>13</v>
      </c>
      <c r="N22" s="40" t="s">
        <v>738</v>
      </c>
      <c r="O22" s="39">
        <v>10</v>
      </c>
      <c r="P22" s="40">
        <v>1930</v>
      </c>
      <c r="Q22" s="39">
        <v>10.5</v>
      </c>
      <c r="R22" s="40">
        <v>2030</v>
      </c>
      <c r="S22" s="40">
        <v>14</v>
      </c>
      <c r="T22" s="40" t="s">
        <v>739</v>
      </c>
      <c r="U22" s="45" t="s">
        <v>755</v>
      </c>
      <c r="V22" s="44" t="s">
        <v>756</v>
      </c>
      <c r="W22" s="42">
        <v>9.5</v>
      </c>
      <c r="X22" s="43">
        <v>1720</v>
      </c>
      <c r="Y22" s="42">
        <v>9.5</v>
      </c>
      <c r="Z22" s="43">
        <v>1720</v>
      </c>
      <c r="AA22" s="43">
        <v>16</v>
      </c>
      <c r="AB22" s="43" t="s">
        <v>740</v>
      </c>
    </row>
    <row r="23" ht="23" customHeight="1" spans="1:28">
      <c r="A23" s="37" t="s">
        <v>757</v>
      </c>
      <c r="B23" s="44" t="s">
        <v>758</v>
      </c>
      <c r="C23" s="39">
        <v>13.4</v>
      </c>
      <c r="D23" s="40">
        <v>2330</v>
      </c>
      <c r="E23" s="39">
        <v>12.9</v>
      </c>
      <c r="F23" s="40">
        <v>2240</v>
      </c>
      <c r="G23" s="40">
        <v>11</v>
      </c>
      <c r="H23" s="40" t="s">
        <v>737</v>
      </c>
      <c r="I23" s="39">
        <v>10.9</v>
      </c>
      <c r="J23" s="40">
        <v>2110</v>
      </c>
      <c r="K23" s="39">
        <v>10.9</v>
      </c>
      <c r="L23" s="40">
        <v>2110</v>
      </c>
      <c r="M23" s="40">
        <v>13</v>
      </c>
      <c r="N23" s="40" t="s">
        <v>738</v>
      </c>
      <c r="O23" s="39">
        <v>10</v>
      </c>
      <c r="P23" s="40">
        <v>1930</v>
      </c>
      <c r="Q23" s="39">
        <v>10.5</v>
      </c>
      <c r="R23" s="40">
        <v>2030</v>
      </c>
      <c r="S23" s="40">
        <v>14</v>
      </c>
      <c r="T23" s="40" t="s">
        <v>739</v>
      </c>
      <c r="U23" s="45" t="s">
        <v>757</v>
      </c>
      <c r="V23" s="44" t="s">
        <v>758</v>
      </c>
      <c r="W23" s="42">
        <v>9.5</v>
      </c>
      <c r="X23" s="43">
        <v>1720</v>
      </c>
      <c r="Y23" s="42">
        <v>9.5</v>
      </c>
      <c r="Z23" s="43">
        <v>1720</v>
      </c>
      <c r="AA23" s="43">
        <v>16</v>
      </c>
      <c r="AB23" s="43" t="s">
        <v>740</v>
      </c>
    </row>
    <row r="24" ht="23" customHeight="1" spans="1:28">
      <c r="A24" s="37" t="s">
        <v>759</v>
      </c>
      <c r="B24" s="44" t="s">
        <v>760</v>
      </c>
      <c r="C24" s="39">
        <v>13.4</v>
      </c>
      <c r="D24" s="40">
        <v>2330</v>
      </c>
      <c r="E24" s="39">
        <v>12.9</v>
      </c>
      <c r="F24" s="40">
        <v>2240</v>
      </c>
      <c r="G24" s="40">
        <v>11</v>
      </c>
      <c r="H24" s="40" t="s">
        <v>737</v>
      </c>
      <c r="I24" s="39">
        <v>10.9</v>
      </c>
      <c r="J24" s="40">
        <v>2110</v>
      </c>
      <c r="K24" s="39">
        <v>10.9</v>
      </c>
      <c r="L24" s="40">
        <v>2110</v>
      </c>
      <c r="M24" s="40">
        <v>13</v>
      </c>
      <c r="N24" s="40" t="s">
        <v>738</v>
      </c>
      <c r="O24" s="39">
        <v>10</v>
      </c>
      <c r="P24" s="40">
        <v>1930</v>
      </c>
      <c r="Q24" s="39">
        <v>10.5</v>
      </c>
      <c r="R24" s="40">
        <v>2030</v>
      </c>
      <c r="S24" s="40">
        <v>14</v>
      </c>
      <c r="T24" s="40" t="s">
        <v>739</v>
      </c>
      <c r="U24" s="45" t="s">
        <v>759</v>
      </c>
      <c r="V24" s="44" t="s">
        <v>760</v>
      </c>
      <c r="W24" s="42">
        <v>9.5</v>
      </c>
      <c r="X24" s="43">
        <v>1720</v>
      </c>
      <c r="Y24" s="42">
        <v>9.5</v>
      </c>
      <c r="Z24" s="43">
        <v>1720</v>
      </c>
      <c r="AA24" s="43">
        <v>16</v>
      </c>
      <c r="AB24" s="43" t="s">
        <v>740</v>
      </c>
    </row>
    <row r="25" ht="23" customHeight="1" spans="1:28">
      <c r="A25" s="37" t="s">
        <v>761</v>
      </c>
      <c r="B25" s="44" t="s">
        <v>762</v>
      </c>
      <c r="C25" s="39">
        <v>13.2</v>
      </c>
      <c r="D25" s="40">
        <v>2340</v>
      </c>
      <c r="E25" s="39">
        <v>12.7</v>
      </c>
      <c r="F25" s="40">
        <v>2250</v>
      </c>
      <c r="G25" s="40">
        <v>11</v>
      </c>
      <c r="H25" s="40" t="s">
        <v>737</v>
      </c>
      <c r="I25" s="39">
        <v>10.7</v>
      </c>
      <c r="J25" s="40">
        <v>2080</v>
      </c>
      <c r="K25" s="39">
        <v>10.7</v>
      </c>
      <c r="L25" s="40">
        <v>2080</v>
      </c>
      <c r="M25" s="40">
        <v>13</v>
      </c>
      <c r="N25" s="40" t="s">
        <v>738</v>
      </c>
      <c r="O25" s="39">
        <v>9.8</v>
      </c>
      <c r="P25" s="40">
        <v>1900</v>
      </c>
      <c r="Q25" s="39">
        <v>10.3</v>
      </c>
      <c r="R25" s="40">
        <v>2000</v>
      </c>
      <c r="S25" s="40">
        <v>14</v>
      </c>
      <c r="T25" s="40" t="s">
        <v>739</v>
      </c>
      <c r="U25" s="45" t="s">
        <v>761</v>
      </c>
      <c r="V25" s="44" t="s">
        <v>762</v>
      </c>
      <c r="W25" s="42">
        <v>9.3</v>
      </c>
      <c r="X25" s="43">
        <v>1690</v>
      </c>
      <c r="Y25" s="42">
        <v>9.3</v>
      </c>
      <c r="Z25" s="43">
        <v>1690</v>
      </c>
      <c r="AA25" s="43">
        <v>16</v>
      </c>
      <c r="AB25" s="43" t="s">
        <v>740</v>
      </c>
    </row>
    <row r="26" ht="23" customHeight="1" spans="1:28">
      <c r="A26" s="37" t="s">
        <v>763</v>
      </c>
      <c r="B26" s="44" t="s">
        <v>764</v>
      </c>
      <c r="C26" s="39">
        <v>13.2</v>
      </c>
      <c r="D26" s="40">
        <v>2340</v>
      </c>
      <c r="E26" s="39">
        <v>12.7</v>
      </c>
      <c r="F26" s="40">
        <v>2250</v>
      </c>
      <c r="G26" s="40">
        <v>11</v>
      </c>
      <c r="H26" s="40" t="s">
        <v>737</v>
      </c>
      <c r="I26" s="39">
        <v>10.7</v>
      </c>
      <c r="J26" s="40">
        <v>2080</v>
      </c>
      <c r="K26" s="39">
        <v>10.7</v>
      </c>
      <c r="L26" s="40">
        <v>2080</v>
      </c>
      <c r="M26" s="40">
        <v>13</v>
      </c>
      <c r="N26" s="40" t="s">
        <v>738</v>
      </c>
      <c r="O26" s="39">
        <v>9.8</v>
      </c>
      <c r="P26" s="40">
        <v>1900</v>
      </c>
      <c r="Q26" s="39">
        <v>10.3</v>
      </c>
      <c r="R26" s="40">
        <v>2000</v>
      </c>
      <c r="S26" s="40">
        <v>14</v>
      </c>
      <c r="T26" s="40" t="s">
        <v>739</v>
      </c>
      <c r="U26" s="45" t="s">
        <v>763</v>
      </c>
      <c r="V26" s="44" t="s">
        <v>764</v>
      </c>
      <c r="W26" s="42">
        <v>9.3</v>
      </c>
      <c r="X26" s="43">
        <v>1690</v>
      </c>
      <c r="Y26" s="42">
        <v>9.3</v>
      </c>
      <c r="Z26" s="43">
        <v>1690</v>
      </c>
      <c r="AA26" s="43">
        <v>16</v>
      </c>
      <c r="AB26" s="43" t="s">
        <v>740</v>
      </c>
    </row>
    <row r="27" ht="23" customHeight="1" spans="1:28">
      <c r="A27" s="37" t="s">
        <v>765</v>
      </c>
      <c r="B27" s="44" t="s">
        <v>766</v>
      </c>
      <c r="C27" s="39">
        <v>13.5</v>
      </c>
      <c r="D27" s="40">
        <v>2360</v>
      </c>
      <c r="E27" s="39">
        <v>13</v>
      </c>
      <c r="F27" s="40">
        <v>2270</v>
      </c>
      <c r="G27" s="40">
        <v>11</v>
      </c>
      <c r="H27" s="40" t="s">
        <v>737</v>
      </c>
      <c r="I27" s="39">
        <v>11</v>
      </c>
      <c r="J27" s="40">
        <v>2140</v>
      </c>
      <c r="K27" s="39">
        <v>11</v>
      </c>
      <c r="L27" s="40">
        <v>2140</v>
      </c>
      <c r="M27" s="40">
        <v>13</v>
      </c>
      <c r="N27" s="40" t="s">
        <v>738</v>
      </c>
      <c r="O27" s="39">
        <v>10.1</v>
      </c>
      <c r="P27" s="40">
        <v>1960</v>
      </c>
      <c r="Q27" s="39">
        <v>10.6</v>
      </c>
      <c r="R27" s="40">
        <v>2060</v>
      </c>
      <c r="S27" s="40">
        <v>14</v>
      </c>
      <c r="T27" s="40" t="s">
        <v>739</v>
      </c>
      <c r="U27" s="45" t="s">
        <v>765</v>
      </c>
      <c r="V27" s="44" t="s">
        <v>766</v>
      </c>
      <c r="W27" s="42">
        <v>9.6</v>
      </c>
      <c r="X27" s="43">
        <v>1750</v>
      </c>
      <c r="Y27" s="42">
        <v>9.6</v>
      </c>
      <c r="Z27" s="43">
        <v>1750</v>
      </c>
      <c r="AA27" s="43">
        <v>16</v>
      </c>
      <c r="AB27" s="43" t="s">
        <v>740</v>
      </c>
    </row>
    <row r="28" ht="23" customHeight="1" spans="1:28">
      <c r="A28" s="37" t="s">
        <v>767</v>
      </c>
      <c r="B28" s="44" t="s">
        <v>768</v>
      </c>
      <c r="C28" s="39">
        <v>13.2</v>
      </c>
      <c r="D28" s="40">
        <v>2280</v>
      </c>
      <c r="E28" s="39">
        <v>12.7</v>
      </c>
      <c r="F28" s="40">
        <v>2190</v>
      </c>
      <c r="G28" s="40">
        <v>11</v>
      </c>
      <c r="H28" s="40" t="s">
        <v>737</v>
      </c>
      <c r="I28" s="39">
        <v>10.7</v>
      </c>
      <c r="J28" s="40">
        <v>2080</v>
      </c>
      <c r="K28" s="39">
        <v>10.7</v>
      </c>
      <c r="L28" s="40">
        <v>2080</v>
      </c>
      <c r="M28" s="40">
        <v>13</v>
      </c>
      <c r="N28" s="40" t="s">
        <v>738</v>
      </c>
      <c r="O28" s="39">
        <v>9.8</v>
      </c>
      <c r="P28" s="40">
        <v>1900</v>
      </c>
      <c r="Q28" s="39">
        <v>10.3</v>
      </c>
      <c r="R28" s="40">
        <v>2000</v>
      </c>
      <c r="S28" s="40">
        <v>14</v>
      </c>
      <c r="T28" s="40" t="s">
        <v>739</v>
      </c>
      <c r="U28" s="45" t="s">
        <v>767</v>
      </c>
      <c r="V28" s="44" t="s">
        <v>768</v>
      </c>
      <c r="W28" s="42">
        <v>9.3</v>
      </c>
      <c r="X28" s="43">
        <v>1690</v>
      </c>
      <c r="Y28" s="42">
        <v>9.3</v>
      </c>
      <c r="Z28" s="43">
        <v>1690</v>
      </c>
      <c r="AA28" s="43">
        <v>16</v>
      </c>
      <c r="AB28" s="43" t="s">
        <v>740</v>
      </c>
    </row>
    <row r="29" ht="23" customHeight="1" spans="1:28">
      <c r="A29" s="37" t="s">
        <v>769</v>
      </c>
      <c r="B29" s="44" t="s">
        <v>770</v>
      </c>
      <c r="C29" s="39">
        <v>13.2</v>
      </c>
      <c r="D29" s="40">
        <v>2340</v>
      </c>
      <c r="E29" s="39">
        <v>12.7</v>
      </c>
      <c r="F29" s="40">
        <v>2250</v>
      </c>
      <c r="G29" s="40">
        <v>11</v>
      </c>
      <c r="H29" s="40" t="s">
        <v>737</v>
      </c>
      <c r="I29" s="39">
        <v>10.7</v>
      </c>
      <c r="J29" s="40">
        <v>2080</v>
      </c>
      <c r="K29" s="39">
        <v>10.7</v>
      </c>
      <c r="L29" s="40">
        <v>2080</v>
      </c>
      <c r="M29" s="40">
        <v>13</v>
      </c>
      <c r="N29" s="40" t="s">
        <v>738</v>
      </c>
      <c r="O29" s="39">
        <v>9.8</v>
      </c>
      <c r="P29" s="40">
        <v>1900</v>
      </c>
      <c r="Q29" s="39">
        <v>10.3</v>
      </c>
      <c r="R29" s="40">
        <v>2000</v>
      </c>
      <c r="S29" s="40">
        <v>14</v>
      </c>
      <c r="T29" s="40" t="s">
        <v>739</v>
      </c>
      <c r="U29" s="45" t="s">
        <v>769</v>
      </c>
      <c r="V29" s="44" t="s">
        <v>770</v>
      </c>
      <c r="W29" s="42">
        <v>9.3</v>
      </c>
      <c r="X29" s="43">
        <v>1690</v>
      </c>
      <c r="Y29" s="42">
        <v>9.3</v>
      </c>
      <c r="Z29" s="43">
        <v>1690</v>
      </c>
      <c r="AA29" s="43">
        <v>16</v>
      </c>
      <c r="AB29" s="43" t="s">
        <v>740</v>
      </c>
    </row>
    <row r="30" ht="23" customHeight="1" spans="1:28">
      <c r="A30" s="37" t="s">
        <v>771</v>
      </c>
      <c r="B30" s="44" t="s">
        <v>772</v>
      </c>
      <c r="C30" s="39">
        <v>13.1</v>
      </c>
      <c r="D30" s="40">
        <v>2310</v>
      </c>
      <c r="E30" s="39">
        <v>12.6</v>
      </c>
      <c r="F30" s="40">
        <v>2220</v>
      </c>
      <c r="G30" s="40">
        <v>11</v>
      </c>
      <c r="H30" s="40" t="s">
        <v>737</v>
      </c>
      <c r="I30" s="39">
        <v>10.6</v>
      </c>
      <c r="J30" s="40">
        <v>2050</v>
      </c>
      <c r="K30" s="39">
        <v>10.6</v>
      </c>
      <c r="L30" s="40">
        <v>2050</v>
      </c>
      <c r="M30" s="40">
        <v>13</v>
      </c>
      <c r="N30" s="40" t="s">
        <v>738</v>
      </c>
      <c r="O30" s="39">
        <v>9.7</v>
      </c>
      <c r="P30" s="40">
        <v>1870</v>
      </c>
      <c r="Q30" s="39">
        <v>10.2</v>
      </c>
      <c r="R30" s="40">
        <v>1970</v>
      </c>
      <c r="S30" s="40">
        <v>14</v>
      </c>
      <c r="T30" s="40" t="s">
        <v>739</v>
      </c>
      <c r="U30" s="45" t="s">
        <v>771</v>
      </c>
      <c r="V30" s="44" t="s">
        <v>772</v>
      </c>
      <c r="W30" s="42">
        <v>9.2</v>
      </c>
      <c r="X30" s="43">
        <v>1660</v>
      </c>
      <c r="Y30" s="42">
        <v>9.2</v>
      </c>
      <c r="Z30" s="43">
        <v>1660</v>
      </c>
      <c r="AA30" s="43">
        <v>16</v>
      </c>
      <c r="AB30" s="43" t="s">
        <v>740</v>
      </c>
    </row>
    <row r="31" ht="23" customHeight="1" spans="1:28">
      <c r="A31" s="37" t="s">
        <v>773</v>
      </c>
      <c r="B31" s="44" t="s">
        <v>774</v>
      </c>
      <c r="C31" s="39">
        <v>13.2</v>
      </c>
      <c r="D31" s="40">
        <v>2340</v>
      </c>
      <c r="E31" s="39">
        <v>12.7</v>
      </c>
      <c r="F31" s="40">
        <v>2250</v>
      </c>
      <c r="G31" s="40">
        <v>11</v>
      </c>
      <c r="H31" s="40" t="s">
        <v>737</v>
      </c>
      <c r="I31" s="39">
        <v>10.7</v>
      </c>
      <c r="J31" s="40">
        <v>2080</v>
      </c>
      <c r="K31" s="39">
        <v>10.7</v>
      </c>
      <c r="L31" s="40">
        <v>2080</v>
      </c>
      <c r="M31" s="40">
        <v>13</v>
      </c>
      <c r="N31" s="40" t="s">
        <v>738</v>
      </c>
      <c r="O31" s="39">
        <v>9.8</v>
      </c>
      <c r="P31" s="40">
        <v>1900</v>
      </c>
      <c r="Q31" s="39">
        <v>10.3</v>
      </c>
      <c r="R31" s="40">
        <v>2000</v>
      </c>
      <c r="S31" s="40">
        <v>14</v>
      </c>
      <c r="T31" s="40" t="s">
        <v>739</v>
      </c>
      <c r="U31" s="45" t="s">
        <v>773</v>
      </c>
      <c r="V31" s="44" t="s">
        <v>774</v>
      </c>
      <c r="W31" s="42">
        <v>9.3</v>
      </c>
      <c r="X31" s="43">
        <v>1690</v>
      </c>
      <c r="Y31" s="42">
        <v>9.3</v>
      </c>
      <c r="Z31" s="43">
        <v>1690</v>
      </c>
      <c r="AA31" s="43">
        <v>16</v>
      </c>
      <c r="AB31" s="43" t="s">
        <v>740</v>
      </c>
    </row>
    <row r="32" ht="23" customHeight="1" spans="1:28">
      <c r="A32" s="37" t="s">
        <v>775</v>
      </c>
      <c r="B32" s="44" t="s">
        <v>776</v>
      </c>
      <c r="C32" s="39">
        <v>13.1</v>
      </c>
      <c r="D32" s="40">
        <v>2310</v>
      </c>
      <c r="E32" s="39">
        <v>12.6</v>
      </c>
      <c r="F32" s="40">
        <v>2220</v>
      </c>
      <c r="G32" s="40">
        <v>11</v>
      </c>
      <c r="H32" s="40" t="s">
        <v>737</v>
      </c>
      <c r="I32" s="39">
        <v>10.6</v>
      </c>
      <c r="J32" s="40">
        <v>2050</v>
      </c>
      <c r="K32" s="39">
        <v>10.6</v>
      </c>
      <c r="L32" s="40">
        <v>2050</v>
      </c>
      <c r="M32" s="40">
        <v>13</v>
      </c>
      <c r="N32" s="40" t="s">
        <v>738</v>
      </c>
      <c r="O32" s="39">
        <v>9.7</v>
      </c>
      <c r="P32" s="40">
        <v>1870</v>
      </c>
      <c r="Q32" s="39">
        <v>10.2</v>
      </c>
      <c r="R32" s="40">
        <v>1970</v>
      </c>
      <c r="S32" s="40">
        <v>14</v>
      </c>
      <c r="T32" s="40" t="s">
        <v>739</v>
      </c>
      <c r="U32" s="45" t="s">
        <v>775</v>
      </c>
      <c r="V32" s="44" t="s">
        <v>776</v>
      </c>
      <c r="W32" s="42">
        <v>9.2</v>
      </c>
      <c r="X32" s="43">
        <v>1660</v>
      </c>
      <c r="Y32" s="42">
        <v>9.2</v>
      </c>
      <c r="Z32" s="43">
        <v>1660</v>
      </c>
      <c r="AA32" s="43">
        <v>16</v>
      </c>
      <c r="AB32" s="43" t="s">
        <v>740</v>
      </c>
    </row>
    <row r="33" ht="23" customHeight="1" spans="1:28">
      <c r="A33" s="37" t="s">
        <v>777</v>
      </c>
      <c r="B33" s="44" t="s">
        <v>778</v>
      </c>
      <c r="C33" s="39">
        <v>13.4</v>
      </c>
      <c r="D33" s="40">
        <v>2330</v>
      </c>
      <c r="E33" s="39">
        <v>12.9</v>
      </c>
      <c r="F33" s="40">
        <v>2240</v>
      </c>
      <c r="G33" s="40">
        <v>11</v>
      </c>
      <c r="H33" s="40" t="s">
        <v>737</v>
      </c>
      <c r="I33" s="39">
        <v>10.9</v>
      </c>
      <c r="J33" s="40">
        <v>2110</v>
      </c>
      <c r="K33" s="39">
        <v>10.9</v>
      </c>
      <c r="L33" s="40">
        <v>2110</v>
      </c>
      <c r="M33" s="40">
        <v>13</v>
      </c>
      <c r="N33" s="40" t="s">
        <v>738</v>
      </c>
      <c r="O33" s="39">
        <v>10</v>
      </c>
      <c r="P33" s="40">
        <v>1930</v>
      </c>
      <c r="Q33" s="39">
        <v>10.5</v>
      </c>
      <c r="R33" s="40">
        <v>2030</v>
      </c>
      <c r="S33" s="40">
        <v>14</v>
      </c>
      <c r="T33" s="40" t="s">
        <v>739</v>
      </c>
      <c r="U33" s="45" t="s">
        <v>777</v>
      </c>
      <c r="V33" s="44" t="s">
        <v>778</v>
      </c>
      <c r="W33" s="42">
        <v>9.5</v>
      </c>
      <c r="X33" s="43">
        <v>1720</v>
      </c>
      <c r="Y33" s="42">
        <v>9.5</v>
      </c>
      <c r="Z33" s="43">
        <v>1720</v>
      </c>
      <c r="AA33" s="43">
        <v>16</v>
      </c>
      <c r="AB33" s="43" t="s">
        <v>740</v>
      </c>
    </row>
    <row r="34" ht="23" customHeight="1" spans="1:28">
      <c r="A34" s="37" t="s">
        <v>779</v>
      </c>
      <c r="B34" s="44" t="s">
        <v>780</v>
      </c>
      <c r="C34" s="39">
        <v>13.1</v>
      </c>
      <c r="D34" s="40">
        <v>2310</v>
      </c>
      <c r="E34" s="39">
        <v>12.6</v>
      </c>
      <c r="F34" s="40">
        <v>2220</v>
      </c>
      <c r="G34" s="40">
        <v>11</v>
      </c>
      <c r="H34" s="40" t="s">
        <v>737</v>
      </c>
      <c r="I34" s="39">
        <v>10.6</v>
      </c>
      <c r="J34" s="40">
        <v>2050</v>
      </c>
      <c r="K34" s="39">
        <v>10.6</v>
      </c>
      <c r="L34" s="40">
        <v>2050</v>
      </c>
      <c r="M34" s="40">
        <v>13</v>
      </c>
      <c r="N34" s="40" t="s">
        <v>738</v>
      </c>
      <c r="O34" s="39">
        <v>9.7</v>
      </c>
      <c r="P34" s="40">
        <v>1870</v>
      </c>
      <c r="Q34" s="39">
        <v>10.2</v>
      </c>
      <c r="R34" s="40">
        <v>1970</v>
      </c>
      <c r="S34" s="40">
        <v>14</v>
      </c>
      <c r="T34" s="40" t="s">
        <v>739</v>
      </c>
      <c r="U34" s="45" t="s">
        <v>779</v>
      </c>
      <c r="V34" s="44" t="s">
        <v>780</v>
      </c>
      <c r="W34" s="42">
        <v>9.2</v>
      </c>
      <c r="X34" s="43">
        <v>1660</v>
      </c>
      <c r="Y34" s="42">
        <v>9.2</v>
      </c>
      <c r="Z34" s="43">
        <v>1660</v>
      </c>
      <c r="AA34" s="43">
        <v>16</v>
      </c>
      <c r="AB34" s="43" t="s">
        <v>740</v>
      </c>
    </row>
    <row r="35" ht="23" customHeight="1" spans="1:28">
      <c r="A35" s="37" t="s">
        <v>781</v>
      </c>
      <c r="B35" s="44" t="s">
        <v>782</v>
      </c>
      <c r="C35" s="39">
        <v>13.5</v>
      </c>
      <c r="D35" s="40">
        <v>2360</v>
      </c>
      <c r="E35" s="39">
        <v>13</v>
      </c>
      <c r="F35" s="40">
        <v>2270</v>
      </c>
      <c r="G35" s="40">
        <v>11</v>
      </c>
      <c r="H35" s="40" t="s">
        <v>737</v>
      </c>
      <c r="I35" s="39">
        <v>11</v>
      </c>
      <c r="J35" s="40">
        <v>2140</v>
      </c>
      <c r="K35" s="39">
        <v>11</v>
      </c>
      <c r="L35" s="40">
        <v>2140</v>
      </c>
      <c r="M35" s="40">
        <v>13</v>
      </c>
      <c r="N35" s="40" t="s">
        <v>738</v>
      </c>
      <c r="O35" s="39">
        <v>10.1</v>
      </c>
      <c r="P35" s="40">
        <v>1960</v>
      </c>
      <c r="Q35" s="39">
        <v>10.6</v>
      </c>
      <c r="R35" s="40">
        <v>2060</v>
      </c>
      <c r="S35" s="40">
        <v>14</v>
      </c>
      <c r="T35" s="40" t="s">
        <v>739</v>
      </c>
      <c r="U35" s="45" t="s">
        <v>781</v>
      </c>
      <c r="V35" s="44" t="s">
        <v>782</v>
      </c>
      <c r="W35" s="42">
        <v>9.6</v>
      </c>
      <c r="X35" s="43">
        <v>1750</v>
      </c>
      <c r="Y35" s="42">
        <v>9.6</v>
      </c>
      <c r="Z35" s="43">
        <v>1750</v>
      </c>
      <c r="AA35" s="43">
        <v>16</v>
      </c>
      <c r="AB35" s="43" t="s">
        <v>740</v>
      </c>
    </row>
    <row r="36" ht="23" customHeight="1" spans="1:28">
      <c r="A36" s="37" t="s">
        <v>783</v>
      </c>
      <c r="B36" s="44" t="s">
        <v>770</v>
      </c>
      <c r="C36" s="39">
        <v>13.4</v>
      </c>
      <c r="D36" s="40">
        <v>2330</v>
      </c>
      <c r="E36" s="39">
        <v>12.9</v>
      </c>
      <c r="F36" s="40">
        <v>2240</v>
      </c>
      <c r="G36" s="40">
        <v>11</v>
      </c>
      <c r="H36" s="40" t="s">
        <v>737</v>
      </c>
      <c r="I36" s="39">
        <v>10.9</v>
      </c>
      <c r="J36" s="40">
        <v>2110</v>
      </c>
      <c r="K36" s="39">
        <v>10.9</v>
      </c>
      <c r="L36" s="40">
        <v>2110</v>
      </c>
      <c r="M36" s="40">
        <v>13</v>
      </c>
      <c r="N36" s="40" t="s">
        <v>738</v>
      </c>
      <c r="O36" s="39">
        <v>10</v>
      </c>
      <c r="P36" s="40">
        <v>1930</v>
      </c>
      <c r="Q36" s="39">
        <v>10.5</v>
      </c>
      <c r="R36" s="40">
        <v>2030</v>
      </c>
      <c r="S36" s="40">
        <v>14</v>
      </c>
      <c r="T36" s="40" t="s">
        <v>739</v>
      </c>
      <c r="U36" s="45" t="s">
        <v>783</v>
      </c>
      <c r="V36" s="44" t="s">
        <v>770</v>
      </c>
      <c r="W36" s="42">
        <v>9.5</v>
      </c>
      <c r="X36" s="43">
        <v>1720</v>
      </c>
      <c r="Y36" s="42">
        <v>9.5</v>
      </c>
      <c r="Z36" s="43">
        <v>1720</v>
      </c>
      <c r="AA36" s="43">
        <v>16</v>
      </c>
      <c r="AB36" s="43" t="s">
        <v>740</v>
      </c>
    </row>
    <row r="37" ht="23" customHeight="1" spans="1:28">
      <c r="A37" s="37" t="s">
        <v>784</v>
      </c>
      <c r="B37" s="44" t="s">
        <v>770</v>
      </c>
      <c r="C37" s="39">
        <v>13.2</v>
      </c>
      <c r="D37" s="40">
        <v>2340</v>
      </c>
      <c r="E37" s="39">
        <v>12.7</v>
      </c>
      <c r="F37" s="40">
        <v>2250</v>
      </c>
      <c r="G37" s="40">
        <v>11</v>
      </c>
      <c r="H37" s="40" t="s">
        <v>737</v>
      </c>
      <c r="I37" s="39">
        <v>10.7</v>
      </c>
      <c r="J37" s="40">
        <v>2080</v>
      </c>
      <c r="K37" s="39">
        <v>10.7</v>
      </c>
      <c r="L37" s="40">
        <v>2080</v>
      </c>
      <c r="M37" s="40">
        <v>13</v>
      </c>
      <c r="N37" s="40" t="s">
        <v>738</v>
      </c>
      <c r="O37" s="39">
        <v>9.8</v>
      </c>
      <c r="P37" s="40">
        <v>1900</v>
      </c>
      <c r="Q37" s="39">
        <v>10.3</v>
      </c>
      <c r="R37" s="40">
        <v>2000</v>
      </c>
      <c r="S37" s="40">
        <v>14</v>
      </c>
      <c r="T37" s="40" t="s">
        <v>739</v>
      </c>
      <c r="U37" s="45" t="s">
        <v>784</v>
      </c>
      <c r="V37" s="44" t="s">
        <v>770</v>
      </c>
      <c r="W37" s="42">
        <v>9.3</v>
      </c>
      <c r="X37" s="43">
        <v>1690</v>
      </c>
      <c r="Y37" s="42">
        <v>9.3</v>
      </c>
      <c r="Z37" s="43">
        <v>1690</v>
      </c>
      <c r="AA37" s="43">
        <v>16</v>
      </c>
      <c r="AB37" s="43" t="s">
        <v>740</v>
      </c>
    </row>
    <row r="38" ht="23" customHeight="1" spans="1:28">
      <c r="A38" s="37" t="s">
        <v>785</v>
      </c>
      <c r="B38" s="44" t="s">
        <v>786</v>
      </c>
      <c r="C38" s="39">
        <v>13.5</v>
      </c>
      <c r="D38" s="40">
        <v>2360</v>
      </c>
      <c r="E38" s="39">
        <v>13</v>
      </c>
      <c r="F38" s="40">
        <v>2270</v>
      </c>
      <c r="G38" s="40">
        <v>11</v>
      </c>
      <c r="H38" s="40" t="s">
        <v>737</v>
      </c>
      <c r="I38" s="39">
        <v>11</v>
      </c>
      <c r="J38" s="40">
        <v>2140</v>
      </c>
      <c r="K38" s="39">
        <v>11</v>
      </c>
      <c r="L38" s="40">
        <v>2140</v>
      </c>
      <c r="M38" s="40">
        <v>13</v>
      </c>
      <c r="N38" s="40" t="s">
        <v>738</v>
      </c>
      <c r="O38" s="39">
        <v>10.1</v>
      </c>
      <c r="P38" s="40">
        <v>1960</v>
      </c>
      <c r="Q38" s="39">
        <v>10.6</v>
      </c>
      <c r="R38" s="40">
        <v>2060</v>
      </c>
      <c r="S38" s="40">
        <v>14</v>
      </c>
      <c r="T38" s="40" t="s">
        <v>739</v>
      </c>
      <c r="U38" s="45" t="s">
        <v>785</v>
      </c>
      <c r="V38" s="44" t="s">
        <v>786</v>
      </c>
      <c r="W38" s="42">
        <v>9.6</v>
      </c>
      <c r="X38" s="43">
        <v>1750</v>
      </c>
      <c r="Y38" s="42">
        <v>9.6</v>
      </c>
      <c r="Z38" s="43">
        <v>1750</v>
      </c>
      <c r="AA38" s="43">
        <v>16</v>
      </c>
      <c r="AB38" s="43" t="s">
        <v>740</v>
      </c>
    </row>
    <row r="39" ht="23" customHeight="1" spans="1:28">
      <c r="A39" s="37" t="s">
        <v>787</v>
      </c>
      <c r="B39" s="44" t="s">
        <v>788</v>
      </c>
      <c r="C39" s="39">
        <v>13.4</v>
      </c>
      <c r="D39" s="40">
        <v>2330</v>
      </c>
      <c r="E39" s="39">
        <v>12.9</v>
      </c>
      <c r="F39" s="40">
        <v>2240</v>
      </c>
      <c r="G39" s="40">
        <v>11</v>
      </c>
      <c r="H39" s="40" t="s">
        <v>737</v>
      </c>
      <c r="I39" s="39">
        <v>10.9</v>
      </c>
      <c r="J39" s="40">
        <v>2110</v>
      </c>
      <c r="K39" s="39">
        <v>10.9</v>
      </c>
      <c r="L39" s="40">
        <v>2110</v>
      </c>
      <c r="M39" s="40">
        <v>13</v>
      </c>
      <c r="N39" s="40" t="s">
        <v>738</v>
      </c>
      <c r="O39" s="39">
        <v>10</v>
      </c>
      <c r="P39" s="40">
        <v>1930</v>
      </c>
      <c r="Q39" s="39">
        <v>10.5</v>
      </c>
      <c r="R39" s="40">
        <v>2030</v>
      </c>
      <c r="S39" s="40">
        <v>14</v>
      </c>
      <c r="T39" s="40" t="s">
        <v>739</v>
      </c>
      <c r="U39" s="45" t="s">
        <v>787</v>
      </c>
      <c r="V39" s="44" t="s">
        <v>788</v>
      </c>
      <c r="W39" s="42">
        <v>9.5</v>
      </c>
      <c r="X39" s="43">
        <v>1720</v>
      </c>
      <c r="Y39" s="42">
        <v>9.5</v>
      </c>
      <c r="Z39" s="43">
        <v>1720</v>
      </c>
      <c r="AA39" s="43">
        <v>16</v>
      </c>
      <c r="AB39" s="43" t="s">
        <v>740</v>
      </c>
    </row>
    <row r="40" ht="23" customHeight="1" spans="1:28">
      <c r="A40" s="37" t="s">
        <v>789</v>
      </c>
      <c r="B40" s="44" t="s">
        <v>790</v>
      </c>
      <c r="C40" s="39">
        <v>13.4</v>
      </c>
      <c r="D40" s="40">
        <v>2330</v>
      </c>
      <c r="E40" s="39">
        <v>12.9</v>
      </c>
      <c r="F40" s="40">
        <v>2240</v>
      </c>
      <c r="G40" s="40">
        <v>11</v>
      </c>
      <c r="H40" s="40" t="s">
        <v>737</v>
      </c>
      <c r="I40" s="39">
        <v>10.9</v>
      </c>
      <c r="J40" s="40">
        <v>2110</v>
      </c>
      <c r="K40" s="39">
        <v>10.9</v>
      </c>
      <c r="L40" s="40">
        <v>2110</v>
      </c>
      <c r="M40" s="40">
        <v>13</v>
      </c>
      <c r="N40" s="40" t="s">
        <v>738</v>
      </c>
      <c r="O40" s="39">
        <v>10</v>
      </c>
      <c r="P40" s="40">
        <v>1930</v>
      </c>
      <c r="Q40" s="39">
        <v>10.5</v>
      </c>
      <c r="R40" s="40">
        <v>2030</v>
      </c>
      <c r="S40" s="40">
        <v>14</v>
      </c>
      <c r="T40" s="40" t="s">
        <v>739</v>
      </c>
      <c r="U40" s="45" t="s">
        <v>789</v>
      </c>
      <c r="V40" s="44" t="s">
        <v>790</v>
      </c>
      <c r="W40" s="42">
        <v>9.5</v>
      </c>
      <c r="X40" s="43">
        <v>1720</v>
      </c>
      <c r="Y40" s="42">
        <v>9.5</v>
      </c>
      <c r="Z40" s="43">
        <v>1720</v>
      </c>
      <c r="AA40" s="43">
        <v>16</v>
      </c>
      <c r="AB40" s="43" t="s">
        <v>740</v>
      </c>
    </row>
    <row r="41" ht="23" customHeight="1" spans="1:28">
      <c r="A41" s="37" t="s">
        <v>791</v>
      </c>
      <c r="B41" s="44" t="s">
        <v>792</v>
      </c>
      <c r="C41" s="39">
        <v>13.4</v>
      </c>
      <c r="D41" s="40">
        <v>2330</v>
      </c>
      <c r="E41" s="39">
        <v>12.9</v>
      </c>
      <c r="F41" s="40">
        <v>2240</v>
      </c>
      <c r="G41" s="40">
        <v>11</v>
      </c>
      <c r="H41" s="40" t="s">
        <v>737</v>
      </c>
      <c r="I41" s="39">
        <v>10.9</v>
      </c>
      <c r="J41" s="40">
        <v>2110</v>
      </c>
      <c r="K41" s="39">
        <v>10.9</v>
      </c>
      <c r="L41" s="40">
        <v>2110</v>
      </c>
      <c r="M41" s="40">
        <v>13</v>
      </c>
      <c r="N41" s="40" t="s">
        <v>738</v>
      </c>
      <c r="O41" s="39">
        <v>10</v>
      </c>
      <c r="P41" s="40">
        <v>1930</v>
      </c>
      <c r="Q41" s="39">
        <v>10.5</v>
      </c>
      <c r="R41" s="40">
        <v>2030</v>
      </c>
      <c r="S41" s="40">
        <v>14</v>
      </c>
      <c r="T41" s="40" t="s">
        <v>739</v>
      </c>
      <c r="U41" s="45" t="s">
        <v>791</v>
      </c>
      <c r="V41" s="44" t="s">
        <v>792</v>
      </c>
      <c r="W41" s="42">
        <v>9.5</v>
      </c>
      <c r="X41" s="43">
        <v>1720</v>
      </c>
      <c r="Y41" s="42">
        <v>9.5</v>
      </c>
      <c r="Z41" s="43">
        <v>1720</v>
      </c>
      <c r="AA41" s="43">
        <v>16</v>
      </c>
      <c r="AB41" s="43" t="s">
        <v>740</v>
      </c>
    </row>
    <row r="42" ht="23" customHeight="1" spans="1:28">
      <c r="A42" s="37" t="s">
        <v>793</v>
      </c>
      <c r="B42" s="44" t="s">
        <v>776</v>
      </c>
      <c r="C42" s="39">
        <v>12.9</v>
      </c>
      <c r="D42" s="40">
        <v>2280</v>
      </c>
      <c r="E42" s="39">
        <v>12.4</v>
      </c>
      <c r="F42" s="40">
        <v>2190</v>
      </c>
      <c r="G42" s="40">
        <v>11</v>
      </c>
      <c r="H42" s="40" t="s">
        <v>737</v>
      </c>
      <c r="I42" s="39">
        <v>10.4</v>
      </c>
      <c r="J42" s="40">
        <v>2020</v>
      </c>
      <c r="K42" s="39">
        <v>10.4</v>
      </c>
      <c r="L42" s="40">
        <v>2020</v>
      </c>
      <c r="M42" s="40">
        <v>13</v>
      </c>
      <c r="N42" s="40" t="s">
        <v>738</v>
      </c>
      <c r="O42" s="39">
        <v>9.5</v>
      </c>
      <c r="P42" s="40">
        <v>1840</v>
      </c>
      <c r="Q42" s="39">
        <v>10</v>
      </c>
      <c r="R42" s="40">
        <v>1940</v>
      </c>
      <c r="S42" s="40">
        <v>14</v>
      </c>
      <c r="T42" s="40" t="s">
        <v>739</v>
      </c>
      <c r="U42" s="45" t="s">
        <v>793</v>
      </c>
      <c r="V42" s="44" t="s">
        <v>776</v>
      </c>
      <c r="W42" s="42">
        <v>9</v>
      </c>
      <c r="X42" s="43">
        <v>1630</v>
      </c>
      <c r="Y42" s="42">
        <v>9</v>
      </c>
      <c r="Z42" s="43">
        <v>1630</v>
      </c>
      <c r="AA42" s="43">
        <v>16</v>
      </c>
      <c r="AB42" s="43" t="s">
        <v>740</v>
      </c>
    </row>
    <row r="43" ht="23" customHeight="1" spans="1:28">
      <c r="A43" s="37" t="s">
        <v>794</v>
      </c>
      <c r="B43" s="44" t="s">
        <v>795</v>
      </c>
      <c r="C43" s="39">
        <v>13.5</v>
      </c>
      <c r="D43" s="40">
        <v>2360</v>
      </c>
      <c r="E43" s="39">
        <v>13</v>
      </c>
      <c r="F43" s="40">
        <v>2270</v>
      </c>
      <c r="G43" s="40">
        <v>11</v>
      </c>
      <c r="H43" s="40" t="s">
        <v>737</v>
      </c>
      <c r="I43" s="39">
        <v>11</v>
      </c>
      <c r="J43" s="40">
        <v>2140</v>
      </c>
      <c r="K43" s="39">
        <v>11</v>
      </c>
      <c r="L43" s="40">
        <v>2140</v>
      </c>
      <c r="M43" s="40">
        <v>13</v>
      </c>
      <c r="N43" s="40" t="s">
        <v>738</v>
      </c>
      <c r="O43" s="39">
        <v>10.1</v>
      </c>
      <c r="P43" s="40">
        <v>1960</v>
      </c>
      <c r="Q43" s="39">
        <v>10.6</v>
      </c>
      <c r="R43" s="40">
        <v>2060</v>
      </c>
      <c r="S43" s="40">
        <v>14</v>
      </c>
      <c r="T43" s="40" t="s">
        <v>739</v>
      </c>
      <c r="U43" s="45" t="s">
        <v>794</v>
      </c>
      <c r="V43" s="44" t="s">
        <v>795</v>
      </c>
      <c r="W43" s="42">
        <v>9.6</v>
      </c>
      <c r="X43" s="43">
        <v>1750</v>
      </c>
      <c r="Y43" s="42">
        <v>9.6</v>
      </c>
      <c r="Z43" s="43">
        <v>1750</v>
      </c>
      <c r="AA43" s="43">
        <v>16</v>
      </c>
      <c r="AB43" s="43" t="s">
        <v>740</v>
      </c>
    </row>
    <row r="44" ht="23" customHeight="1" spans="1:28">
      <c r="A44" s="37" t="s">
        <v>796</v>
      </c>
      <c r="B44" s="44" t="s">
        <v>776</v>
      </c>
      <c r="C44" s="39">
        <v>13.1</v>
      </c>
      <c r="D44" s="40">
        <v>2310</v>
      </c>
      <c r="E44" s="39">
        <v>12.6</v>
      </c>
      <c r="F44" s="40">
        <v>2220</v>
      </c>
      <c r="G44" s="40">
        <v>11</v>
      </c>
      <c r="H44" s="40" t="s">
        <v>737</v>
      </c>
      <c r="I44" s="39">
        <v>10.6</v>
      </c>
      <c r="J44" s="40">
        <v>2050</v>
      </c>
      <c r="K44" s="39">
        <v>10.6</v>
      </c>
      <c r="L44" s="40">
        <v>2050</v>
      </c>
      <c r="M44" s="40">
        <v>13</v>
      </c>
      <c r="N44" s="40" t="s">
        <v>738</v>
      </c>
      <c r="O44" s="39">
        <v>9.7</v>
      </c>
      <c r="P44" s="40">
        <v>1870</v>
      </c>
      <c r="Q44" s="39">
        <v>10.2</v>
      </c>
      <c r="R44" s="40">
        <v>1970</v>
      </c>
      <c r="S44" s="40">
        <v>14</v>
      </c>
      <c r="T44" s="40" t="s">
        <v>739</v>
      </c>
      <c r="U44" s="45" t="s">
        <v>796</v>
      </c>
      <c r="V44" s="44" t="s">
        <v>776</v>
      </c>
      <c r="W44" s="42">
        <v>9.2</v>
      </c>
      <c r="X44" s="43">
        <v>1660</v>
      </c>
      <c r="Y44" s="42">
        <v>9.2</v>
      </c>
      <c r="Z44" s="43">
        <v>1660</v>
      </c>
      <c r="AA44" s="43">
        <v>16</v>
      </c>
      <c r="AB44" s="43" t="s">
        <v>740</v>
      </c>
    </row>
    <row r="45" ht="23" customHeight="1" spans="1:28">
      <c r="A45" s="37" t="s">
        <v>797</v>
      </c>
      <c r="B45" s="44" t="s">
        <v>778</v>
      </c>
      <c r="C45" s="39">
        <v>12.9</v>
      </c>
      <c r="D45" s="40">
        <v>2280</v>
      </c>
      <c r="E45" s="39">
        <v>12.4</v>
      </c>
      <c r="F45" s="40">
        <v>2190</v>
      </c>
      <c r="G45" s="40">
        <v>11</v>
      </c>
      <c r="H45" s="40" t="s">
        <v>737</v>
      </c>
      <c r="I45" s="39">
        <v>10.4</v>
      </c>
      <c r="J45" s="40">
        <v>2020</v>
      </c>
      <c r="K45" s="39">
        <v>10.4</v>
      </c>
      <c r="L45" s="40">
        <v>2020</v>
      </c>
      <c r="M45" s="40">
        <v>13</v>
      </c>
      <c r="N45" s="40" t="s">
        <v>738</v>
      </c>
      <c r="O45" s="39">
        <v>9.5</v>
      </c>
      <c r="P45" s="40">
        <v>1840</v>
      </c>
      <c r="Q45" s="39">
        <v>10</v>
      </c>
      <c r="R45" s="40">
        <v>1940</v>
      </c>
      <c r="S45" s="40">
        <v>14</v>
      </c>
      <c r="T45" s="40" t="s">
        <v>739</v>
      </c>
      <c r="U45" s="45" t="s">
        <v>797</v>
      </c>
      <c r="V45" s="44" t="s">
        <v>778</v>
      </c>
      <c r="W45" s="42">
        <v>9</v>
      </c>
      <c r="X45" s="43">
        <v>1630</v>
      </c>
      <c r="Y45" s="42">
        <v>9</v>
      </c>
      <c r="Z45" s="43">
        <v>1630</v>
      </c>
      <c r="AA45" s="43">
        <v>16</v>
      </c>
      <c r="AB45" s="43" t="s">
        <v>740</v>
      </c>
    </row>
    <row r="46" ht="23" customHeight="1" spans="1:28">
      <c r="A46" s="37" t="s">
        <v>798</v>
      </c>
      <c r="B46" s="44" t="s">
        <v>799</v>
      </c>
      <c r="C46" s="39">
        <v>13.1</v>
      </c>
      <c r="D46" s="40">
        <v>2310</v>
      </c>
      <c r="E46" s="39">
        <v>12.6</v>
      </c>
      <c r="F46" s="40">
        <v>2220</v>
      </c>
      <c r="G46" s="40">
        <v>11</v>
      </c>
      <c r="H46" s="40" t="s">
        <v>737</v>
      </c>
      <c r="I46" s="39">
        <v>10.6</v>
      </c>
      <c r="J46" s="40">
        <v>2050</v>
      </c>
      <c r="K46" s="39">
        <v>10.6</v>
      </c>
      <c r="L46" s="40">
        <v>2050</v>
      </c>
      <c r="M46" s="40">
        <v>13</v>
      </c>
      <c r="N46" s="40" t="s">
        <v>738</v>
      </c>
      <c r="O46" s="39">
        <v>9.7</v>
      </c>
      <c r="P46" s="40">
        <v>1870</v>
      </c>
      <c r="Q46" s="39">
        <v>10.2</v>
      </c>
      <c r="R46" s="40">
        <v>1970</v>
      </c>
      <c r="S46" s="40">
        <v>14</v>
      </c>
      <c r="T46" s="40" t="s">
        <v>739</v>
      </c>
      <c r="U46" s="45" t="s">
        <v>798</v>
      </c>
      <c r="V46" s="44" t="s">
        <v>799</v>
      </c>
      <c r="W46" s="42">
        <v>9.2</v>
      </c>
      <c r="X46" s="43">
        <v>1660</v>
      </c>
      <c r="Y46" s="42">
        <v>9.2</v>
      </c>
      <c r="Z46" s="43">
        <v>1660</v>
      </c>
      <c r="AA46" s="43">
        <v>16</v>
      </c>
      <c r="AB46" s="43" t="s">
        <v>740</v>
      </c>
    </row>
    <row r="47" ht="23" customHeight="1" spans="1:28">
      <c r="A47" s="37" t="s">
        <v>800</v>
      </c>
      <c r="B47" s="44" t="s">
        <v>801</v>
      </c>
      <c r="C47" s="39">
        <v>13.2</v>
      </c>
      <c r="D47" s="40">
        <v>2340</v>
      </c>
      <c r="E47" s="39">
        <v>12.7</v>
      </c>
      <c r="F47" s="40">
        <v>2250</v>
      </c>
      <c r="G47" s="40">
        <v>11</v>
      </c>
      <c r="H47" s="40" t="s">
        <v>737</v>
      </c>
      <c r="I47" s="39">
        <v>10.7</v>
      </c>
      <c r="J47" s="40">
        <v>2080</v>
      </c>
      <c r="K47" s="39">
        <v>10.7</v>
      </c>
      <c r="L47" s="40">
        <v>2080</v>
      </c>
      <c r="M47" s="40">
        <v>13</v>
      </c>
      <c r="N47" s="40" t="s">
        <v>738</v>
      </c>
      <c r="O47" s="39">
        <v>9.8</v>
      </c>
      <c r="P47" s="40">
        <v>1900</v>
      </c>
      <c r="Q47" s="39">
        <v>10.3</v>
      </c>
      <c r="R47" s="40">
        <v>2000</v>
      </c>
      <c r="S47" s="40">
        <v>14</v>
      </c>
      <c r="T47" s="40" t="s">
        <v>739</v>
      </c>
      <c r="U47" s="45" t="s">
        <v>800</v>
      </c>
      <c r="V47" s="44" t="s">
        <v>801</v>
      </c>
      <c r="W47" s="42">
        <v>9.3</v>
      </c>
      <c r="X47" s="43">
        <v>1690</v>
      </c>
      <c r="Y47" s="42">
        <v>9.3</v>
      </c>
      <c r="Z47" s="43">
        <v>1690</v>
      </c>
      <c r="AA47" s="43">
        <v>16</v>
      </c>
      <c r="AB47" s="43" t="s">
        <v>740</v>
      </c>
    </row>
    <row r="48" ht="23" customHeight="1" spans="1:28">
      <c r="A48" s="37" t="s">
        <v>802</v>
      </c>
      <c r="B48" s="44" t="s">
        <v>803</v>
      </c>
      <c r="C48" s="39">
        <v>13.4</v>
      </c>
      <c r="D48" s="40">
        <v>2330</v>
      </c>
      <c r="E48" s="39">
        <v>12.9</v>
      </c>
      <c r="F48" s="40">
        <v>2240</v>
      </c>
      <c r="G48" s="40">
        <v>11</v>
      </c>
      <c r="H48" s="40" t="s">
        <v>737</v>
      </c>
      <c r="I48" s="39">
        <v>10.9</v>
      </c>
      <c r="J48" s="40">
        <v>2110</v>
      </c>
      <c r="K48" s="39">
        <v>10.9</v>
      </c>
      <c r="L48" s="40">
        <v>2110</v>
      </c>
      <c r="M48" s="40">
        <v>13</v>
      </c>
      <c r="N48" s="40" t="s">
        <v>738</v>
      </c>
      <c r="O48" s="39">
        <v>10</v>
      </c>
      <c r="P48" s="40">
        <v>1930</v>
      </c>
      <c r="Q48" s="39">
        <v>10.5</v>
      </c>
      <c r="R48" s="40">
        <v>2030</v>
      </c>
      <c r="S48" s="40">
        <v>14</v>
      </c>
      <c r="T48" s="40" t="s">
        <v>739</v>
      </c>
      <c r="U48" s="45" t="s">
        <v>802</v>
      </c>
      <c r="V48" s="44" t="s">
        <v>803</v>
      </c>
      <c r="W48" s="42">
        <v>9.5</v>
      </c>
      <c r="X48" s="43">
        <v>1720</v>
      </c>
      <c r="Y48" s="42">
        <v>9.5</v>
      </c>
      <c r="Z48" s="43">
        <v>1720</v>
      </c>
      <c r="AA48" s="43">
        <v>16</v>
      </c>
      <c r="AB48" s="43" t="s">
        <v>740</v>
      </c>
    </row>
    <row r="49" ht="23" customHeight="1" spans="1:28">
      <c r="A49" s="37" t="s">
        <v>804</v>
      </c>
      <c r="B49" s="44" t="s">
        <v>770</v>
      </c>
      <c r="C49" s="39">
        <v>13.2</v>
      </c>
      <c r="D49" s="40">
        <v>2340</v>
      </c>
      <c r="E49" s="39">
        <v>12.7</v>
      </c>
      <c r="F49" s="40">
        <v>2250</v>
      </c>
      <c r="G49" s="40">
        <v>11</v>
      </c>
      <c r="H49" s="40" t="s">
        <v>737</v>
      </c>
      <c r="I49" s="39">
        <v>10.7</v>
      </c>
      <c r="J49" s="40">
        <v>2080</v>
      </c>
      <c r="K49" s="39">
        <v>10.7</v>
      </c>
      <c r="L49" s="40">
        <v>2080</v>
      </c>
      <c r="M49" s="40">
        <v>13</v>
      </c>
      <c r="N49" s="40" t="s">
        <v>738</v>
      </c>
      <c r="O49" s="39">
        <v>9.8</v>
      </c>
      <c r="P49" s="40">
        <v>1900</v>
      </c>
      <c r="Q49" s="39">
        <v>10.3</v>
      </c>
      <c r="R49" s="40">
        <v>2000</v>
      </c>
      <c r="S49" s="40">
        <v>14</v>
      </c>
      <c r="T49" s="40" t="s">
        <v>739</v>
      </c>
      <c r="U49" s="45" t="s">
        <v>804</v>
      </c>
      <c r="V49" s="44" t="s">
        <v>770</v>
      </c>
      <c r="W49" s="42">
        <v>9.3</v>
      </c>
      <c r="X49" s="43">
        <v>1690</v>
      </c>
      <c r="Y49" s="42">
        <v>9.3</v>
      </c>
      <c r="Z49" s="43">
        <v>1690</v>
      </c>
      <c r="AA49" s="43">
        <v>16</v>
      </c>
      <c r="AB49" s="43" t="s">
        <v>740</v>
      </c>
    </row>
    <row r="50" ht="23" customHeight="1" spans="1:28">
      <c r="A50" s="37" t="s">
        <v>805</v>
      </c>
      <c r="B50" s="44" t="s">
        <v>806</v>
      </c>
      <c r="C50" s="39">
        <v>13.2</v>
      </c>
      <c r="D50" s="40">
        <v>2340</v>
      </c>
      <c r="E50" s="39">
        <v>12.7</v>
      </c>
      <c r="F50" s="40">
        <v>2250</v>
      </c>
      <c r="G50" s="40">
        <v>11</v>
      </c>
      <c r="H50" s="40" t="s">
        <v>737</v>
      </c>
      <c r="I50" s="39">
        <v>10.7</v>
      </c>
      <c r="J50" s="40">
        <v>2080</v>
      </c>
      <c r="K50" s="39">
        <v>10.7</v>
      </c>
      <c r="L50" s="40">
        <v>2080</v>
      </c>
      <c r="M50" s="40">
        <v>13</v>
      </c>
      <c r="N50" s="40" t="s">
        <v>738</v>
      </c>
      <c r="O50" s="39">
        <v>9.8</v>
      </c>
      <c r="P50" s="40">
        <v>1900</v>
      </c>
      <c r="Q50" s="39">
        <v>10.3</v>
      </c>
      <c r="R50" s="40">
        <v>2000</v>
      </c>
      <c r="S50" s="40">
        <v>14</v>
      </c>
      <c r="T50" s="40" t="s">
        <v>739</v>
      </c>
      <c r="U50" s="45" t="s">
        <v>805</v>
      </c>
      <c r="V50" s="44" t="s">
        <v>806</v>
      </c>
      <c r="W50" s="42">
        <v>9.3</v>
      </c>
      <c r="X50" s="43">
        <v>1690</v>
      </c>
      <c r="Y50" s="42">
        <v>9.3</v>
      </c>
      <c r="Z50" s="43">
        <v>1690</v>
      </c>
      <c r="AA50" s="43">
        <v>16</v>
      </c>
      <c r="AB50" s="43" t="s">
        <v>740</v>
      </c>
    </row>
    <row r="51" ht="23" customHeight="1" spans="1:28">
      <c r="A51" s="37" t="s">
        <v>807</v>
      </c>
      <c r="B51" s="44" t="s">
        <v>803</v>
      </c>
      <c r="C51" s="39">
        <v>13.1</v>
      </c>
      <c r="D51" s="40">
        <v>2310</v>
      </c>
      <c r="E51" s="39">
        <v>12.6</v>
      </c>
      <c r="F51" s="40">
        <v>2220</v>
      </c>
      <c r="G51" s="40">
        <v>11</v>
      </c>
      <c r="H51" s="40" t="s">
        <v>737</v>
      </c>
      <c r="I51" s="39">
        <v>10.6</v>
      </c>
      <c r="J51" s="40">
        <v>2050</v>
      </c>
      <c r="K51" s="39">
        <v>10.6</v>
      </c>
      <c r="L51" s="40">
        <v>2050</v>
      </c>
      <c r="M51" s="40">
        <v>13</v>
      </c>
      <c r="N51" s="40" t="s">
        <v>738</v>
      </c>
      <c r="O51" s="39">
        <v>9.7</v>
      </c>
      <c r="P51" s="40">
        <v>1870</v>
      </c>
      <c r="Q51" s="39">
        <v>10.2</v>
      </c>
      <c r="R51" s="40">
        <v>1970</v>
      </c>
      <c r="S51" s="40">
        <v>14</v>
      </c>
      <c r="T51" s="40" t="s">
        <v>739</v>
      </c>
      <c r="U51" s="45" t="s">
        <v>807</v>
      </c>
      <c r="V51" s="44" t="s">
        <v>803</v>
      </c>
      <c r="W51" s="42">
        <v>9.2</v>
      </c>
      <c r="X51" s="43">
        <v>1660</v>
      </c>
      <c r="Y51" s="42">
        <v>9.2</v>
      </c>
      <c r="Z51" s="43">
        <v>1660</v>
      </c>
      <c r="AA51" s="43">
        <v>16</v>
      </c>
      <c r="AB51" s="43" t="s">
        <v>740</v>
      </c>
    </row>
    <row r="52" ht="23" customHeight="1" spans="1:28">
      <c r="A52" s="37" t="s">
        <v>808</v>
      </c>
      <c r="B52" s="44" t="s">
        <v>809</v>
      </c>
      <c r="C52" s="39">
        <v>13.4</v>
      </c>
      <c r="D52" s="40">
        <v>2330</v>
      </c>
      <c r="E52" s="39">
        <v>12.9</v>
      </c>
      <c r="F52" s="40">
        <v>2240</v>
      </c>
      <c r="G52" s="40">
        <v>11</v>
      </c>
      <c r="H52" s="40" t="s">
        <v>737</v>
      </c>
      <c r="I52" s="39">
        <v>10.9</v>
      </c>
      <c r="J52" s="40">
        <v>2110</v>
      </c>
      <c r="K52" s="39">
        <v>10.9</v>
      </c>
      <c r="L52" s="40">
        <v>2110</v>
      </c>
      <c r="M52" s="40">
        <v>13</v>
      </c>
      <c r="N52" s="40" t="s">
        <v>738</v>
      </c>
      <c r="O52" s="39">
        <v>10</v>
      </c>
      <c r="P52" s="40">
        <v>1930</v>
      </c>
      <c r="Q52" s="39">
        <v>10.5</v>
      </c>
      <c r="R52" s="40">
        <v>2030</v>
      </c>
      <c r="S52" s="40">
        <v>14</v>
      </c>
      <c r="T52" s="40" t="s">
        <v>739</v>
      </c>
      <c r="U52" s="45" t="s">
        <v>808</v>
      </c>
      <c r="V52" s="44" t="s">
        <v>809</v>
      </c>
      <c r="W52" s="42">
        <v>9.5</v>
      </c>
      <c r="X52" s="43">
        <v>1720</v>
      </c>
      <c r="Y52" s="42">
        <v>9.5</v>
      </c>
      <c r="Z52" s="43">
        <v>1720</v>
      </c>
      <c r="AA52" s="43">
        <v>16</v>
      </c>
      <c r="AB52" s="43" t="s">
        <v>740</v>
      </c>
    </row>
    <row r="53" ht="23" customHeight="1" spans="1:28">
      <c r="A53" s="37" t="s">
        <v>810</v>
      </c>
      <c r="B53" s="44" t="s">
        <v>811</v>
      </c>
      <c r="C53" s="39">
        <v>13.4</v>
      </c>
      <c r="D53" s="40">
        <v>2330</v>
      </c>
      <c r="E53" s="39">
        <v>12.9</v>
      </c>
      <c r="F53" s="40">
        <v>2240</v>
      </c>
      <c r="G53" s="40">
        <v>11</v>
      </c>
      <c r="H53" s="40" t="s">
        <v>737</v>
      </c>
      <c r="I53" s="39">
        <v>10.9</v>
      </c>
      <c r="J53" s="40">
        <v>2110</v>
      </c>
      <c r="K53" s="39">
        <v>10.9</v>
      </c>
      <c r="L53" s="40">
        <v>2110</v>
      </c>
      <c r="M53" s="40">
        <v>13</v>
      </c>
      <c r="N53" s="40" t="s">
        <v>738</v>
      </c>
      <c r="O53" s="39">
        <v>10</v>
      </c>
      <c r="P53" s="40">
        <v>1930</v>
      </c>
      <c r="Q53" s="39">
        <v>10.5</v>
      </c>
      <c r="R53" s="40">
        <v>2030</v>
      </c>
      <c r="S53" s="40">
        <v>14</v>
      </c>
      <c r="T53" s="40" t="s">
        <v>739</v>
      </c>
      <c r="U53" s="45" t="s">
        <v>810</v>
      </c>
      <c r="V53" s="44" t="s">
        <v>811</v>
      </c>
      <c r="W53" s="42">
        <v>9.5</v>
      </c>
      <c r="X53" s="43">
        <v>1720</v>
      </c>
      <c r="Y53" s="42">
        <v>9.5</v>
      </c>
      <c r="Z53" s="43">
        <v>1720</v>
      </c>
      <c r="AA53" s="43">
        <v>16</v>
      </c>
      <c r="AB53" s="43" t="s">
        <v>740</v>
      </c>
    </row>
    <row r="54" ht="23" customHeight="1" spans="1:28">
      <c r="A54" s="37" t="s">
        <v>812</v>
      </c>
      <c r="B54" s="44" t="s">
        <v>811</v>
      </c>
      <c r="C54" s="39">
        <v>13.2</v>
      </c>
      <c r="D54" s="40">
        <v>2340</v>
      </c>
      <c r="E54" s="39">
        <v>12.7</v>
      </c>
      <c r="F54" s="40">
        <v>2250</v>
      </c>
      <c r="G54" s="40">
        <v>11</v>
      </c>
      <c r="H54" s="40" t="s">
        <v>737</v>
      </c>
      <c r="I54" s="39">
        <v>10.7</v>
      </c>
      <c r="J54" s="40">
        <v>2080</v>
      </c>
      <c r="K54" s="39">
        <v>10.7</v>
      </c>
      <c r="L54" s="40">
        <v>2080</v>
      </c>
      <c r="M54" s="40">
        <v>13</v>
      </c>
      <c r="N54" s="40" t="s">
        <v>738</v>
      </c>
      <c r="O54" s="39">
        <v>9.8</v>
      </c>
      <c r="P54" s="40">
        <v>1900</v>
      </c>
      <c r="Q54" s="39">
        <v>10.3</v>
      </c>
      <c r="R54" s="40">
        <v>2000</v>
      </c>
      <c r="S54" s="40">
        <v>14</v>
      </c>
      <c r="T54" s="40" t="s">
        <v>739</v>
      </c>
      <c r="U54" s="45" t="s">
        <v>812</v>
      </c>
      <c r="V54" s="44" t="s">
        <v>811</v>
      </c>
      <c r="W54" s="42">
        <v>9.3</v>
      </c>
      <c r="X54" s="43">
        <v>1690</v>
      </c>
      <c r="Y54" s="42">
        <v>9.3</v>
      </c>
      <c r="Z54" s="43">
        <v>1690</v>
      </c>
      <c r="AA54" s="43">
        <v>16</v>
      </c>
      <c r="AB54" s="43" t="s">
        <v>740</v>
      </c>
    </row>
    <row r="55" ht="23" customHeight="1" spans="1:28">
      <c r="A55" s="37" t="s">
        <v>813</v>
      </c>
      <c r="B55" s="44" t="s">
        <v>814</v>
      </c>
      <c r="C55" s="39">
        <v>13.2</v>
      </c>
      <c r="D55" s="40">
        <v>2340</v>
      </c>
      <c r="E55" s="39">
        <v>12.7</v>
      </c>
      <c r="F55" s="40">
        <v>2250</v>
      </c>
      <c r="G55" s="40">
        <v>11</v>
      </c>
      <c r="H55" s="40" t="s">
        <v>737</v>
      </c>
      <c r="I55" s="39">
        <v>10.7</v>
      </c>
      <c r="J55" s="40">
        <v>2080</v>
      </c>
      <c r="K55" s="39">
        <v>10.7</v>
      </c>
      <c r="L55" s="40">
        <v>2080</v>
      </c>
      <c r="M55" s="40">
        <v>13</v>
      </c>
      <c r="N55" s="40" t="s">
        <v>738</v>
      </c>
      <c r="O55" s="39">
        <v>9.8</v>
      </c>
      <c r="P55" s="40">
        <v>1900</v>
      </c>
      <c r="Q55" s="39">
        <v>10.3</v>
      </c>
      <c r="R55" s="40">
        <v>2000</v>
      </c>
      <c r="S55" s="40">
        <v>14</v>
      </c>
      <c r="T55" s="40" t="s">
        <v>739</v>
      </c>
      <c r="U55" s="45" t="s">
        <v>813</v>
      </c>
      <c r="V55" s="44" t="s">
        <v>814</v>
      </c>
      <c r="W55" s="42">
        <v>9.3</v>
      </c>
      <c r="X55" s="43">
        <v>1690</v>
      </c>
      <c r="Y55" s="42">
        <v>9.3</v>
      </c>
      <c r="Z55" s="43">
        <v>1690</v>
      </c>
      <c r="AA55" s="43">
        <v>16</v>
      </c>
      <c r="AB55" s="43" t="s">
        <v>740</v>
      </c>
    </row>
    <row r="56" ht="23" customHeight="1" spans="1:28">
      <c r="A56" s="37" t="s">
        <v>815</v>
      </c>
      <c r="B56" s="44" t="s">
        <v>816</v>
      </c>
      <c r="C56" s="39">
        <v>13.4</v>
      </c>
      <c r="D56" s="40">
        <v>2330</v>
      </c>
      <c r="E56" s="39">
        <v>12.9</v>
      </c>
      <c r="F56" s="40">
        <v>2240</v>
      </c>
      <c r="G56" s="40">
        <v>11</v>
      </c>
      <c r="H56" s="40" t="s">
        <v>737</v>
      </c>
      <c r="I56" s="39">
        <v>10.9</v>
      </c>
      <c r="J56" s="40">
        <v>2110</v>
      </c>
      <c r="K56" s="39">
        <v>10.9</v>
      </c>
      <c r="L56" s="40">
        <v>2110</v>
      </c>
      <c r="M56" s="40">
        <v>13</v>
      </c>
      <c r="N56" s="40" t="s">
        <v>738</v>
      </c>
      <c r="O56" s="39">
        <v>10</v>
      </c>
      <c r="P56" s="40">
        <v>1930</v>
      </c>
      <c r="Q56" s="39">
        <v>10.5</v>
      </c>
      <c r="R56" s="40">
        <v>2030</v>
      </c>
      <c r="S56" s="40">
        <v>14</v>
      </c>
      <c r="T56" s="40" t="s">
        <v>739</v>
      </c>
      <c r="U56" s="45" t="s">
        <v>815</v>
      </c>
      <c r="V56" s="44" t="s">
        <v>816</v>
      </c>
      <c r="W56" s="42">
        <v>9.5</v>
      </c>
      <c r="X56" s="43">
        <v>1720</v>
      </c>
      <c r="Y56" s="42">
        <v>9.5</v>
      </c>
      <c r="Z56" s="43">
        <v>1720</v>
      </c>
      <c r="AA56" s="43">
        <v>16</v>
      </c>
      <c r="AB56" s="43" t="s">
        <v>740</v>
      </c>
    </row>
    <row r="57" ht="23" customHeight="1" spans="1:28">
      <c r="A57" s="37" t="s">
        <v>817</v>
      </c>
      <c r="B57" s="44" t="s">
        <v>774</v>
      </c>
      <c r="C57" s="39">
        <v>13.4</v>
      </c>
      <c r="D57" s="40">
        <v>2330</v>
      </c>
      <c r="E57" s="39">
        <v>12.9</v>
      </c>
      <c r="F57" s="40">
        <v>2240</v>
      </c>
      <c r="G57" s="40">
        <v>11</v>
      </c>
      <c r="H57" s="40" t="s">
        <v>737</v>
      </c>
      <c r="I57" s="39">
        <v>10.9</v>
      </c>
      <c r="J57" s="40">
        <v>2110</v>
      </c>
      <c r="K57" s="39">
        <v>10.9</v>
      </c>
      <c r="L57" s="40">
        <v>2110</v>
      </c>
      <c r="M57" s="40">
        <v>13</v>
      </c>
      <c r="N57" s="40" t="s">
        <v>738</v>
      </c>
      <c r="O57" s="39">
        <v>10</v>
      </c>
      <c r="P57" s="40">
        <v>1930</v>
      </c>
      <c r="Q57" s="39">
        <v>10.5</v>
      </c>
      <c r="R57" s="40">
        <v>2030</v>
      </c>
      <c r="S57" s="40">
        <v>14</v>
      </c>
      <c r="T57" s="40" t="s">
        <v>739</v>
      </c>
      <c r="U57" s="45" t="s">
        <v>817</v>
      </c>
      <c r="V57" s="44" t="s">
        <v>774</v>
      </c>
      <c r="W57" s="42">
        <v>9.5</v>
      </c>
      <c r="X57" s="43">
        <v>1720</v>
      </c>
      <c r="Y57" s="42">
        <v>9.5</v>
      </c>
      <c r="Z57" s="43">
        <v>1720</v>
      </c>
      <c r="AA57" s="43">
        <v>16</v>
      </c>
      <c r="AB57" s="43" t="s">
        <v>740</v>
      </c>
    </row>
    <row r="58" ht="16.5" spans="1:28">
      <c r="A58" s="46" t="s">
        <v>818</v>
      </c>
      <c r="B58" s="47"/>
      <c r="C58" s="47"/>
      <c r="D58" s="47"/>
      <c r="E58" s="48"/>
      <c r="F58" s="48"/>
      <c r="G58" s="48"/>
      <c r="H58" s="48"/>
      <c r="I58" s="48"/>
      <c r="J58" s="48"/>
      <c r="K58" s="48"/>
      <c r="L58" s="48"/>
      <c r="M58" s="48"/>
      <c r="N58" s="48"/>
      <c r="O58" s="48"/>
      <c r="P58" s="48"/>
      <c r="Q58" s="48"/>
      <c r="R58" s="49"/>
      <c r="S58" s="47"/>
      <c r="T58" s="47"/>
      <c r="U58" s="48"/>
      <c r="V58" s="48"/>
      <c r="W58" s="48"/>
      <c r="X58" s="48"/>
      <c r="Y58" s="48"/>
      <c r="Z58" s="50"/>
      <c r="AA58" s="51"/>
      <c r="AB58" s="51"/>
    </row>
    <row r="59" ht="15" spans="1:28">
      <c r="A59" s="52" t="s">
        <v>819</v>
      </c>
      <c r="B59" s="52"/>
      <c r="C59" s="52" t="s">
        <v>820</v>
      </c>
      <c r="D59" s="52"/>
      <c r="E59" s="52"/>
      <c r="F59" s="52"/>
      <c r="G59" s="52"/>
      <c r="H59" s="52"/>
      <c r="I59" s="52"/>
      <c r="J59" s="52"/>
      <c r="K59" s="52"/>
      <c r="L59" s="52"/>
      <c r="M59" s="52" t="s">
        <v>59</v>
      </c>
      <c r="N59" s="52"/>
      <c r="O59" s="52"/>
      <c r="P59" s="52"/>
      <c r="Q59" s="52"/>
      <c r="R59" s="52"/>
      <c r="S59" s="52"/>
      <c r="T59" s="52"/>
      <c r="U59" s="52" t="s">
        <v>61</v>
      </c>
      <c r="V59" s="52"/>
      <c r="W59" s="52"/>
      <c r="X59" s="52"/>
      <c r="Y59" s="52"/>
      <c r="Z59" s="52"/>
      <c r="AA59" s="52"/>
      <c r="AB59" s="52"/>
    </row>
    <row r="60" ht="27" customHeight="1" spans="1:28">
      <c r="A60" s="53" t="s">
        <v>821</v>
      </c>
      <c r="B60" s="53"/>
      <c r="C60" s="54">
        <v>85</v>
      </c>
      <c r="D60" s="54"/>
      <c r="E60" s="54"/>
      <c r="F60" s="54"/>
      <c r="G60" s="54"/>
      <c r="H60" s="54"/>
      <c r="I60" s="54"/>
      <c r="J60" s="54"/>
      <c r="K60" s="54"/>
      <c r="L60" s="54"/>
      <c r="M60" s="54" t="s">
        <v>822</v>
      </c>
      <c r="N60" s="54"/>
      <c r="O60" s="54"/>
      <c r="P60" s="54"/>
      <c r="Q60" s="54"/>
      <c r="R60" s="54"/>
      <c r="S60" s="54"/>
      <c r="T60" s="54"/>
      <c r="U60" s="54" t="s">
        <v>823</v>
      </c>
      <c r="V60" s="54"/>
      <c r="W60" s="54"/>
      <c r="X60" s="54"/>
      <c r="Y60" s="54"/>
      <c r="Z60" s="54"/>
      <c r="AA60" s="54"/>
      <c r="AB60" s="54"/>
    </row>
    <row r="61" ht="27" customHeight="1" spans="1:28">
      <c r="A61" s="55" t="s">
        <v>824</v>
      </c>
      <c r="B61" s="55"/>
      <c r="C61" s="54" t="s">
        <v>825</v>
      </c>
      <c r="D61" s="54"/>
      <c r="E61" s="54"/>
      <c r="F61" s="54"/>
      <c r="G61" s="54"/>
      <c r="H61" s="54"/>
      <c r="I61" s="54"/>
      <c r="J61" s="54"/>
      <c r="K61" s="54"/>
      <c r="L61" s="54"/>
      <c r="M61" s="55" t="s">
        <v>826</v>
      </c>
      <c r="N61" s="55"/>
      <c r="O61" s="55"/>
      <c r="P61" s="55"/>
      <c r="Q61" s="55"/>
      <c r="R61" s="55"/>
      <c r="S61" s="55"/>
      <c r="T61" s="55"/>
      <c r="U61" s="55" t="s">
        <v>827</v>
      </c>
      <c r="V61" s="55"/>
      <c r="W61" s="55"/>
      <c r="X61" s="55"/>
      <c r="Y61" s="55"/>
      <c r="Z61" s="55"/>
      <c r="AA61" s="55"/>
      <c r="AB61" s="55"/>
    </row>
    <row r="62" ht="27" customHeight="1" spans="1:28">
      <c r="A62" s="53" t="s">
        <v>828</v>
      </c>
      <c r="B62" s="53"/>
      <c r="C62" s="54" t="s">
        <v>829</v>
      </c>
      <c r="D62" s="54"/>
      <c r="E62" s="54"/>
      <c r="F62" s="54"/>
      <c r="G62" s="54"/>
      <c r="H62" s="54"/>
      <c r="I62" s="54"/>
      <c r="J62" s="54"/>
      <c r="K62" s="54"/>
      <c r="L62" s="54"/>
      <c r="M62" s="56" t="s">
        <v>826</v>
      </c>
      <c r="N62" s="56"/>
      <c r="O62" s="56"/>
      <c r="P62" s="56"/>
      <c r="Q62" s="56"/>
      <c r="R62" s="56"/>
      <c r="S62" s="56"/>
      <c r="T62" s="56"/>
      <c r="U62" s="56" t="s">
        <v>830</v>
      </c>
      <c r="V62" s="56"/>
      <c r="W62" s="56"/>
      <c r="X62" s="56"/>
      <c r="Y62" s="56"/>
      <c r="Z62" s="56"/>
      <c r="AA62" s="56"/>
      <c r="AB62" s="56"/>
    </row>
    <row r="63" ht="27" customHeight="1" spans="1:28">
      <c r="A63" s="55" t="s">
        <v>831</v>
      </c>
      <c r="B63" s="55"/>
      <c r="C63" s="54">
        <v>20</v>
      </c>
      <c r="D63" s="54"/>
      <c r="E63" s="54"/>
      <c r="F63" s="54"/>
      <c r="G63" s="54"/>
      <c r="H63" s="54"/>
      <c r="I63" s="54"/>
      <c r="J63" s="54"/>
      <c r="K63" s="54"/>
      <c r="L63" s="54"/>
      <c r="M63" s="57" t="s">
        <v>832</v>
      </c>
      <c r="N63" s="57"/>
      <c r="O63" s="57"/>
      <c r="P63" s="57"/>
      <c r="Q63" s="57"/>
      <c r="R63" s="57"/>
      <c r="S63" s="57"/>
      <c r="T63" s="57"/>
      <c r="U63" s="57" t="s">
        <v>833</v>
      </c>
      <c r="V63" s="57"/>
      <c r="W63" s="57"/>
      <c r="X63" s="57"/>
      <c r="Y63" s="57"/>
      <c r="Z63" s="57"/>
      <c r="AA63" s="57"/>
      <c r="AB63" s="57"/>
    </row>
    <row r="64" ht="27" customHeight="1" spans="1:28">
      <c r="A64" s="53" t="s">
        <v>834</v>
      </c>
      <c r="B64" s="53"/>
      <c r="C64" s="54">
        <v>65</v>
      </c>
      <c r="D64" s="54"/>
      <c r="E64" s="54"/>
      <c r="F64" s="54"/>
      <c r="G64" s="54"/>
      <c r="H64" s="54"/>
      <c r="I64" s="54"/>
      <c r="J64" s="54"/>
      <c r="K64" s="54"/>
      <c r="L64" s="54"/>
      <c r="M64" s="56" t="s">
        <v>835</v>
      </c>
      <c r="N64" s="56"/>
      <c r="O64" s="56"/>
      <c r="P64" s="56"/>
      <c r="Q64" s="56"/>
      <c r="R64" s="56"/>
      <c r="S64" s="56"/>
      <c r="T64" s="56"/>
      <c r="U64" s="56" t="s">
        <v>836</v>
      </c>
      <c r="V64" s="56"/>
      <c r="W64" s="56"/>
      <c r="X64" s="56"/>
      <c r="Y64" s="56"/>
      <c r="Z64" s="56"/>
      <c r="AA64" s="56"/>
      <c r="AB64" s="56"/>
    </row>
    <row r="65" ht="27" customHeight="1" spans="1:295">
      <c r="A65" s="55" t="s">
        <v>837</v>
      </c>
      <c r="B65" s="55"/>
      <c r="C65" s="58" t="s">
        <v>838</v>
      </c>
      <c r="D65" s="58"/>
      <c r="E65" s="58"/>
      <c r="F65" s="58"/>
      <c r="G65" s="58"/>
      <c r="H65" s="58"/>
      <c r="I65" s="58"/>
      <c r="J65" s="58"/>
      <c r="K65" s="58"/>
      <c r="L65" s="58"/>
      <c r="M65" s="59" t="s">
        <v>835</v>
      </c>
      <c r="N65" s="59"/>
      <c r="O65" s="59"/>
      <c r="P65" s="59"/>
      <c r="Q65" s="59"/>
      <c r="R65" s="59"/>
      <c r="S65" s="59"/>
      <c r="T65" s="59"/>
      <c r="U65" s="59" t="s">
        <v>839</v>
      </c>
      <c r="V65" s="59"/>
      <c r="W65" s="59"/>
      <c r="X65" s="59"/>
      <c r="Y65" s="59"/>
      <c r="Z65" s="59"/>
      <c r="AA65" s="59"/>
      <c r="AB65" s="59"/>
    </row>
    <row r="66" ht="115" customHeight="1" spans="1:295">
      <c r="A66" s="60" t="s">
        <v>840</v>
      </c>
      <c r="B66" s="61" t="s">
        <v>841</v>
      </c>
      <c r="C66" s="62"/>
      <c r="D66" s="62"/>
      <c r="E66" s="62"/>
      <c r="F66" s="62"/>
      <c r="G66" s="62"/>
      <c r="H66" s="62"/>
      <c r="I66" s="62"/>
      <c r="J66" s="62"/>
      <c r="K66" s="62"/>
      <c r="L66" s="62"/>
      <c r="M66" s="62"/>
      <c r="N66" s="62"/>
      <c r="O66" s="62"/>
      <c r="P66" s="62"/>
      <c r="Q66" s="62"/>
      <c r="R66" s="62"/>
      <c r="S66" s="62"/>
      <c r="T66" s="62"/>
      <c r="U66" s="62"/>
      <c r="V66" s="62"/>
      <c r="W66" s="62"/>
      <c r="X66" s="62"/>
      <c r="Y66" s="62"/>
      <c r="Z66" s="62"/>
      <c r="AA66" s="62"/>
      <c r="AB66" s="62"/>
    </row>
    <row r="67" ht="115" customHeight="1" spans="1:295">
      <c r="A67" s="63" t="s">
        <v>842</v>
      </c>
      <c r="B67" s="64" t="s">
        <v>843</v>
      </c>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row>
    <row r="68" ht="44" customHeight="1" spans="1:295">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row>
    <row r="69" ht="35" customHeight="1" spans="1:295">
      <c r="A69" s="67" t="s">
        <v>216</v>
      </c>
      <c r="B69" s="67"/>
      <c r="C69" s="67"/>
      <c r="D69" s="67"/>
      <c r="E69" s="67"/>
      <c r="F69" s="67"/>
      <c r="G69" s="67"/>
      <c r="H69" s="67"/>
      <c r="I69" s="67" t="s">
        <v>220</v>
      </c>
      <c r="J69" s="67"/>
      <c r="K69" s="67"/>
      <c r="L69" s="67"/>
      <c r="M69" s="67"/>
      <c r="N69" s="67"/>
      <c r="O69" s="67" t="s">
        <v>219</v>
      </c>
      <c r="P69" s="67"/>
      <c r="Q69" s="67"/>
      <c r="R69" s="67"/>
      <c r="S69" s="67"/>
      <c r="T69" s="67"/>
    </row>
    <row r="70" ht="50" customHeight="1" spans="1:295">
      <c r="A70" s="37" t="s">
        <v>287</v>
      </c>
      <c r="B70" s="37" t="s">
        <v>728</v>
      </c>
      <c r="C70" s="37" t="s">
        <v>184</v>
      </c>
      <c r="D70" s="37"/>
      <c r="E70" s="37" t="s">
        <v>260</v>
      </c>
      <c r="F70" s="37"/>
      <c r="G70" s="37" t="s">
        <v>288</v>
      </c>
      <c r="H70" s="37" t="s">
        <v>289</v>
      </c>
      <c r="I70" s="37" t="s">
        <v>184</v>
      </c>
      <c r="J70" s="37"/>
      <c r="K70" s="37" t="s">
        <v>260</v>
      </c>
      <c r="L70" s="37"/>
      <c r="M70" s="37" t="s">
        <v>288</v>
      </c>
      <c r="N70" s="37" t="s">
        <v>289</v>
      </c>
      <c r="O70" s="37" t="s">
        <v>184</v>
      </c>
      <c r="P70" s="37"/>
      <c r="Q70" s="37" t="s">
        <v>260</v>
      </c>
      <c r="R70" s="37"/>
      <c r="S70" s="37" t="s">
        <v>288</v>
      </c>
      <c r="T70" s="37" t="s">
        <v>289</v>
      </c>
      <c r="U70" s="37" t="s">
        <v>844</v>
      </c>
      <c r="V70" s="37" t="s">
        <v>845</v>
      </c>
      <c r="W70" s="37" t="s">
        <v>846</v>
      </c>
      <c r="X70" s="37" t="s">
        <v>847</v>
      </c>
      <c r="Y70" s="37" t="s">
        <v>848</v>
      </c>
      <c r="Z70" s="37" t="s">
        <v>849</v>
      </c>
      <c r="AA70" s="37" t="s">
        <v>850</v>
      </c>
      <c r="AB70" s="37" t="s">
        <v>851</v>
      </c>
      <c r="AC70" s="37" t="s">
        <v>852</v>
      </c>
      <c r="AD70" s="37" t="s">
        <v>853</v>
      </c>
      <c r="AE70" s="37" t="s">
        <v>854</v>
      </c>
      <c r="AF70" s="37" t="s">
        <v>855</v>
      </c>
      <c r="AG70" s="37" t="s">
        <v>856</v>
      </c>
      <c r="AH70" s="37" t="s">
        <v>857</v>
      </c>
      <c r="AI70" s="37" t="s">
        <v>858</v>
      </c>
      <c r="AJ70" s="37" t="s">
        <v>859</v>
      </c>
      <c r="AK70" s="37" t="s">
        <v>860</v>
      </c>
      <c r="AL70" s="37" t="s">
        <v>861</v>
      </c>
      <c r="AM70" s="37" t="s">
        <v>862</v>
      </c>
      <c r="AN70" s="37" t="s">
        <v>863</v>
      </c>
      <c r="AO70" s="37" t="s">
        <v>864</v>
      </c>
      <c r="AP70" s="37" t="s">
        <v>865</v>
      </c>
      <c r="AQ70" s="37" t="s">
        <v>866</v>
      </c>
      <c r="AR70" s="37" t="s">
        <v>867</v>
      </c>
      <c r="AS70" s="37" t="s">
        <v>868</v>
      </c>
      <c r="AT70" s="37" t="s">
        <v>869</v>
      </c>
      <c r="AU70" s="37" t="s">
        <v>870</v>
      </c>
      <c r="AV70" s="37" t="s">
        <v>871</v>
      </c>
      <c r="AW70" s="37" t="s">
        <v>872</v>
      </c>
      <c r="AX70" s="37" t="s">
        <v>873</v>
      </c>
      <c r="AY70" s="37" t="s">
        <v>874</v>
      </c>
      <c r="AZ70" s="37" t="s">
        <v>875</v>
      </c>
      <c r="BA70" s="37" t="s">
        <v>876</v>
      </c>
      <c r="BB70" s="37" t="s">
        <v>877</v>
      </c>
      <c r="BC70" s="37" t="s">
        <v>878</v>
      </c>
      <c r="BD70" s="37" t="s">
        <v>879</v>
      </c>
      <c r="BE70" s="37" t="s">
        <v>880</v>
      </c>
      <c r="BF70" s="37" t="s">
        <v>881</v>
      </c>
      <c r="BG70" s="37" t="s">
        <v>882</v>
      </c>
      <c r="BH70" s="37" t="s">
        <v>883</v>
      </c>
      <c r="BI70" s="37" t="s">
        <v>884</v>
      </c>
      <c r="BJ70" s="37" t="s">
        <v>885</v>
      </c>
      <c r="BK70" s="37" t="s">
        <v>886</v>
      </c>
      <c r="BL70" s="37" t="s">
        <v>887</v>
      </c>
      <c r="BM70" s="37" t="s">
        <v>888</v>
      </c>
      <c r="BN70" s="37" t="s">
        <v>889</v>
      </c>
      <c r="BO70" s="37" t="s">
        <v>890</v>
      </c>
      <c r="BP70" s="37" t="s">
        <v>891</v>
      </c>
      <c r="BQ70" s="37" t="s">
        <v>892</v>
      </c>
      <c r="BR70" s="37" t="s">
        <v>893</v>
      </c>
      <c r="BS70" s="37" t="s">
        <v>894</v>
      </c>
      <c r="BT70" s="37" t="s">
        <v>895</v>
      </c>
      <c r="BU70" s="37" t="s">
        <v>896</v>
      </c>
      <c r="BV70" s="37" t="s">
        <v>897</v>
      </c>
      <c r="BW70" s="37" t="s">
        <v>898</v>
      </c>
      <c r="BX70" s="37" t="s">
        <v>899</v>
      </c>
      <c r="BY70" s="37" t="s">
        <v>900</v>
      </c>
      <c r="BZ70" s="37" t="s">
        <v>901</v>
      </c>
      <c r="CA70" s="37" t="s">
        <v>902</v>
      </c>
      <c r="CB70" s="37" t="s">
        <v>903</v>
      </c>
      <c r="CC70" s="37" t="s">
        <v>904</v>
      </c>
      <c r="CD70" s="37" t="s">
        <v>905</v>
      </c>
      <c r="CE70" s="37" t="s">
        <v>906</v>
      </c>
      <c r="CF70" s="37" t="s">
        <v>907</v>
      </c>
      <c r="CG70" s="37" t="s">
        <v>908</v>
      </c>
      <c r="CH70" s="37" t="s">
        <v>909</v>
      </c>
      <c r="CI70" s="37" t="s">
        <v>910</v>
      </c>
      <c r="CJ70" s="37" t="s">
        <v>911</v>
      </c>
      <c r="CK70" s="37" t="s">
        <v>912</v>
      </c>
      <c r="CL70" s="37" t="s">
        <v>913</v>
      </c>
      <c r="CM70" s="37" t="s">
        <v>914</v>
      </c>
      <c r="CN70" s="37" t="s">
        <v>915</v>
      </c>
      <c r="CO70" s="37" t="s">
        <v>916</v>
      </c>
      <c r="CP70" s="37" t="s">
        <v>917</v>
      </c>
      <c r="CQ70" s="37" t="s">
        <v>918</v>
      </c>
      <c r="CR70" s="37" t="s">
        <v>919</v>
      </c>
      <c r="CS70" s="37" t="s">
        <v>920</v>
      </c>
      <c r="CT70" s="37" t="s">
        <v>921</v>
      </c>
      <c r="CU70" s="37" t="s">
        <v>922</v>
      </c>
      <c r="CV70" s="37" t="s">
        <v>923</v>
      </c>
      <c r="CW70" s="37" t="s">
        <v>924</v>
      </c>
      <c r="CX70" s="37" t="s">
        <v>925</v>
      </c>
      <c r="CY70" s="37" t="s">
        <v>926</v>
      </c>
      <c r="CZ70" s="37" t="s">
        <v>927</v>
      </c>
      <c r="DA70" s="37" t="s">
        <v>928</v>
      </c>
      <c r="DB70" s="37" t="s">
        <v>929</v>
      </c>
      <c r="DC70" s="37" t="s">
        <v>930</v>
      </c>
      <c r="DD70" s="37" t="s">
        <v>931</v>
      </c>
      <c r="DE70" s="37" t="s">
        <v>932</v>
      </c>
      <c r="DF70" s="37" t="s">
        <v>933</v>
      </c>
      <c r="DG70" s="37" t="s">
        <v>934</v>
      </c>
      <c r="DH70" s="37" t="s">
        <v>935</v>
      </c>
      <c r="DI70" s="37" t="s">
        <v>936</v>
      </c>
      <c r="DJ70" s="37" t="s">
        <v>937</v>
      </c>
      <c r="DK70" s="37" t="s">
        <v>938</v>
      </c>
      <c r="DL70" s="37" t="s">
        <v>939</v>
      </c>
      <c r="DM70" s="37" t="s">
        <v>940</v>
      </c>
      <c r="DN70" s="37" t="s">
        <v>941</v>
      </c>
      <c r="DO70" s="37" t="s">
        <v>942</v>
      </c>
      <c r="DP70" s="37" t="s">
        <v>943</v>
      </c>
      <c r="DQ70" s="37" t="s">
        <v>944</v>
      </c>
      <c r="DR70" s="37" t="s">
        <v>945</v>
      </c>
      <c r="DS70" s="37" t="s">
        <v>946</v>
      </c>
      <c r="DT70" s="37" t="s">
        <v>947</v>
      </c>
      <c r="DU70" s="37" t="s">
        <v>948</v>
      </c>
      <c r="DV70" s="37" t="s">
        <v>949</v>
      </c>
      <c r="DW70" s="37" t="s">
        <v>950</v>
      </c>
      <c r="DX70" s="37" t="s">
        <v>951</v>
      </c>
      <c r="DY70" s="37" t="s">
        <v>952</v>
      </c>
      <c r="DZ70" s="37" t="s">
        <v>953</v>
      </c>
      <c r="EA70" s="37" t="s">
        <v>954</v>
      </c>
      <c r="EB70" s="37" t="s">
        <v>955</v>
      </c>
      <c r="EC70" s="37" t="s">
        <v>956</v>
      </c>
      <c r="ED70" s="37" t="s">
        <v>957</v>
      </c>
      <c r="EE70" s="37" t="s">
        <v>958</v>
      </c>
      <c r="EF70" s="37" t="s">
        <v>959</v>
      </c>
      <c r="EG70" s="37" t="s">
        <v>960</v>
      </c>
      <c r="EH70" s="37" t="s">
        <v>961</v>
      </c>
      <c r="EI70" s="37" t="s">
        <v>962</v>
      </c>
      <c r="EJ70" s="37" t="s">
        <v>963</v>
      </c>
      <c r="EK70" s="37" t="s">
        <v>964</v>
      </c>
      <c r="EL70" s="37" t="s">
        <v>965</v>
      </c>
      <c r="EM70" s="37" t="s">
        <v>966</v>
      </c>
      <c r="EN70" s="37" t="s">
        <v>967</v>
      </c>
      <c r="EO70" s="37" t="s">
        <v>968</v>
      </c>
      <c r="EP70" s="37" t="s">
        <v>969</v>
      </c>
      <c r="EQ70" s="37" t="s">
        <v>970</v>
      </c>
      <c r="ER70" s="37" t="s">
        <v>971</v>
      </c>
      <c r="ES70" s="37" t="s">
        <v>972</v>
      </c>
      <c r="ET70" s="37" t="s">
        <v>973</v>
      </c>
      <c r="EU70" s="37" t="s">
        <v>974</v>
      </c>
      <c r="EV70" s="37" t="s">
        <v>975</v>
      </c>
      <c r="EW70" s="37" t="s">
        <v>976</v>
      </c>
      <c r="EX70" s="37" t="s">
        <v>977</v>
      </c>
      <c r="EY70" s="37" t="s">
        <v>978</v>
      </c>
      <c r="EZ70" s="37" t="s">
        <v>979</v>
      </c>
      <c r="FA70" s="37" t="s">
        <v>980</v>
      </c>
      <c r="FB70" s="37" t="s">
        <v>981</v>
      </c>
      <c r="FC70" s="37" t="s">
        <v>982</v>
      </c>
      <c r="FD70" s="37" t="s">
        <v>983</v>
      </c>
      <c r="FE70" s="37" t="s">
        <v>984</v>
      </c>
      <c r="FF70" s="37" t="s">
        <v>985</v>
      </c>
      <c r="FG70" s="37" t="s">
        <v>986</v>
      </c>
      <c r="FH70" s="37" t="s">
        <v>987</v>
      </c>
      <c r="FI70" s="37" t="s">
        <v>988</v>
      </c>
      <c r="FJ70" s="37" t="s">
        <v>989</v>
      </c>
      <c r="FK70" s="37" t="s">
        <v>990</v>
      </c>
      <c r="FL70" s="37" t="s">
        <v>991</v>
      </c>
      <c r="FM70" s="37" t="s">
        <v>992</v>
      </c>
      <c r="FN70" s="37" t="s">
        <v>993</v>
      </c>
      <c r="FO70" s="37" t="s">
        <v>994</v>
      </c>
      <c r="FP70" s="37" t="s">
        <v>995</v>
      </c>
      <c r="FQ70" s="37" t="s">
        <v>996</v>
      </c>
      <c r="FR70" s="37" t="s">
        <v>997</v>
      </c>
      <c r="FS70" s="37" t="s">
        <v>998</v>
      </c>
      <c r="FT70" s="37" t="s">
        <v>999</v>
      </c>
      <c r="FU70" s="37" t="s">
        <v>1000</v>
      </c>
      <c r="FV70" s="37" t="s">
        <v>1001</v>
      </c>
      <c r="FW70" s="37" t="s">
        <v>1002</v>
      </c>
      <c r="FX70" s="37" t="s">
        <v>1003</v>
      </c>
      <c r="FY70" s="37" t="s">
        <v>1004</v>
      </c>
      <c r="FZ70" s="37" t="s">
        <v>1005</v>
      </c>
      <c r="GA70" s="37" t="s">
        <v>1006</v>
      </c>
      <c r="GB70" s="37" t="s">
        <v>1007</v>
      </c>
      <c r="GC70" s="37" t="s">
        <v>1008</v>
      </c>
      <c r="GD70" s="37" t="s">
        <v>1009</v>
      </c>
      <c r="GE70" s="37" t="s">
        <v>1010</v>
      </c>
      <c r="GF70" s="37" t="s">
        <v>1011</v>
      </c>
      <c r="GG70" s="37" t="s">
        <v>1012</v>
      </c>
      <c r="GH70" s="37" t="s">
        <v>1013</v>
      </c>
      <c r="GI70" s="37" t="s">
        <v>1014</v>
      </c>
      <c r="GJ70" s="37" t="s">
        <v>1015</v>
      </c>
      <c r="GK70" s="37" t="s">
        <v>1016</v>
      </c>
      <c r="GL70" s="37" t="s">
        <v>1017</v>
      </c>
      <c r="GM70" s="37" t="s">
        <v>1018</v>
      </c>
      <c r="GN70" s="37" t="s">
        <v>1019</v>
      </c>
      <c r="GO70" s="37" t="s">
        <v>1020</v>
      </c>
      <c r="GP70" s="37" t="s">
        <v>1021</v>
      </c>
      <c r="GQ70" s="37" t="s">
        <v>1022</v>
      </c>
      <c r="GR70" s="37" t="s">
        <v>1023</v>
      </c>
      <c r="GS70" s="37" t="s">
        <v>1024</v>
      </c>
      <c r="GT70" s="37" t="s">
        <v>1025</v>
      </c>
      <c r="GU70" s="37" t="s">
        <v>1026</v>
      </c>
      <c r="GV70" s="37" t="s">
        <v>1027</v>
      </c>
      <c r="GW70" s="37" t="s">
        <v>1028</v>
      </c>
      <c r="GX70" s="37" t="s">
        <v>1029</v>
      </c>
      <c r="GY70" s="37" t="s">
        <v>1030</v>
      </c>
      <c r="GZ70" s="37" t="s">
        <v>1031</v>
      </c>
      <c r="HA70" s="37" t="s">
        <v>1032</v>
      </c>
      <c r="HB70" s="37" t="s">
        <v>1033</v>
      </c>
      <c r="HC70" s="37" t="s">
        <v>1034</v>
      </c>
      <c r="HD70" s="37" t="s">
        <v>1035</v>
      </c>
      <c r="HE70" s="37" t="s">
        <v>1036</v>
      </c>
      <c r="HF70" s="37" t="s">
        <v>1037</v>
      </c>
      <c r="HG70" s="37" t="s">
        <v>1038</v>
      </c>
      <c r="HH70" s="37" t="s">
        <v>1039</v>
      </c>
      <c r="HI70" s="37" t="s">
        <v>1040</v>
      </c>
      <c r="HJ70" s="37" t="s">
        <v>1041</v>
      </c>
      <c r="HK70" s="37" t="s">
        <v>1042</v>
      </c>
      <c r="HL70" s="37" t="s">
        <v>1043</v>
      </c>
      <c r="HM70" s="37" t="s">
        <v>1044</v>
      </c>
      <c r="HN70" s="37" t="s">
        <v>1045</v>
      </c>
      <c r="HO70" s="37" t="s">
        <v>1046</v>
      </c>
      <c r="HP70" s="37" t="s">
        <v>1047</v>
      </c>
      <c r="HQ70" s="37" t="s">
        <v>1048</v>
      </c>
      <c r="HR70" s="37" t="s">
        <v>1049</v>
      </c>
      <c r="HS70" s="37" t="s">
        <v>1050</v>
      </c>
      <c r="HT70" s="37" t="s">
        <v>1051</v>
      </c>
      <c r="HU70" s="37" t="s">
        <v>1052</v>
      </c>
      <c r="HV70" s="37" t="s">
        <v>1053</v>
      </c>
      <c r="HW70" s="37" t="s">
        <v>1054</v>
      </c>
      <c r="HX70" s="37" t="s">
        <v>1055</v>
      </c>
      <c r="HY70" s="37" t="s">
        <v>1056</v>
      </c>
      <c r="HZ70" s="37" t="s">
        <v>1057</v>
      </c>
      <c r="IA70" s="37" t="s">
        <v>1058</v>
      </c>
      <c r="IB70" s="37" t="s">
        <v>1059</v>
      </c>
      <c r="IC70" s="37" t="s">
        <v>1060</v>
      </c>
      <c r="ID70" s="37" t="s">
        <v>1061</v>
      </c>
      <c r="IE70" s="37" t="s">
        <v>1062</v>
      </c>
      <c r="IF70" s="37" t="s">
        <v>1063</v>
      </c>
      <c r="IG70" s="37" t="s">
        <v>1064</v>
      </c>
      <c r="IH70" s="37" t="s">
        <v>1065</v>
      </c>
      <c r="II70" s="37" t="s">
        <v>1066</v>
      </c>
      <c r="IJ70" s="37" t="s">
        <v>1067</v>
      </c>
      <c r="IK70" s="37" t="s">
        <v>1068</v>
      </c>
      <c r="IL70" s="37" t="s">
        <v>1069</v>
      </c>
      <c r="IM70" s="37" t="s">
        <v>1070</v>
      </c>
      <c r="IN70" s="37" t="s">
        <v>1071</v>
      </c>
      <c r="IO70" s="37" t="s">
        <v>1072</v>
      </c>
      <c r="IP70" s="37" t="s">
        <v>1073</v>
      </c>
      <c r="IQ70" s="37" t="s">
        <v>1074</v>
      </c>
      <c r="IR70" s="37" t="s">
        <v>1075</v>
      </c>
      <c r="IS70" s="37" t="s">
        <v>1076</v>
      </c>
      <c r="IT70" s="37" t="s">
        <v>1077</v>
      </c>
      <c r="IU70" s="37" t="s">
        <v>1078</v>
      </c>
      <c r="IV70" s="37" t="s">
        <v>1079</v>
      </c>
      <c r="IW70" s="37" t="s">
        <v>1080</v>
      </c>
      <c r="IX70" s="37" t="s">
        <v>1081</v>
      </c>
      <c r="IY70" s="37" t="s">
        <v>1082</v>
      </c>
      <c r="IZ70" s="37" t="s">
        <v>1083</v>
      </c>
      <c r="JA70" s="37" t="s">
        <v>1084</v>
      </c>
      <c r="JB70" s="37" t="s">
        <v>1085</v>
      </c>
      <c r="JC70" s="37" t="s">
        <v>1086</v>
      </c>
      <c r="JD70" s="37" t="s">
        <v>1087</v>
      </c>
      <c r="JE70" s="37" t="s">
        <v>1088</v>
      </c>
      <c r="JF70" s="37" t="s">
        <v>1089</v>
      </c>
      <c r="JG70" s="37" t="s">
        <v>1090</v>
      </c>
      <c r="JH70" s="37" t="s">
        <v>1091</v>
      </c>
      <c r="JI70" s="37" t="s">
        <v>1092</v>
      </c>
      <c r="JJ70" s="37" t="s">
        <v>1093</v>
      </c>
      <c r="JK70" s="37" t="s">
        <v>1094</v>
      </c>
      <c r="JL70" s="37" t="s">
        <v>1095</v>
      </c>
      <c r="JM70" s="37" t="s">
        <v>1096</v>
      </c>
      <c r="JN70" s="37" t="s">
        <v>1097</v>
      </c>
      <c r="JO70" s="37" t="s">
        <v>1098</v>
      </c>
      <c r="JP70" s="37" t="s">
        <v>1099</v>
      </c>
      <c r="JQ70" s="37" t="s">
        <v>1100</v>
      </c>
      <c r="JR70" s="37" t="s">
        <v>1101</v>
      </c>
      <c r="JS70" s="37" t="s">
        <v>1102</v>
      </c>
      <c r="JT70" s="37" t="s">
        <v>1103</v>
      </c>
      <c r="JU70" s="37" t="s">
        <v>1104</v>
      </c>
      <c r="JV70" s="37" t="s">
        <v>1105</v>
      </c>
      <c r="JW70" s="37" t="s">
        <v>1106</v>
      </c>
      <c r="JX70" s="37" t="s">
        <v>1107</v>
      </c>
      <c r="JY70" s="37" t="s">
        <v>1108</v>
      </c>
      <c r="JZ70" s="37" t="s">
        <v>1109</v>
      </c>
      <c r="KA70" s="37" t="s">
        <v>1110</v>
      </c>
      <c r="KB70" s="37" t="s">
        <v>1111</v>
      </c>
      <c r="KC70" s="37" t="s">
        <v>1112</v>
      </c>
      <c r="KD70" s="37" t="s">
        <v>1113</v>
      </c>
      <c r="KE70" s="37" t="s">
        <v>1114</v>
      </c>
      <c r="KF70" s="37" t="s">
        <v>1115</v>
      </c>
      <c r="KG70" s="37" t="s">
        <v>1116</v>
      </c>
      <c r="KH70" s="37" t="s">
        <v>1117</v>
      </c>
      <c r="KI70" s="37" t="s">
        <v>1118</v>
      </c>
    </row>
    <row r="71" ht="29" customHeight="1" spans="1:295">
      <c r="A71" s="37"/>
      <c r="B71" s="37"/>
      <c r="C71" s="68" t="s">
        <v>729</v>
      </c>
      <c r="D71" s="68" t="s">
        <v>730</v>
      </c>
      <c r="E71" s="68" t="s">
        <v>729</v>
      </c>
      <c r="F71" s="68" t="s">
        <v>730</v>
      </c>
      <c r="G71" s="68"/>
      <c r="H71" s="68"/>
      <c r="I71" s="68" t="s">
        <v>729</v>
      </c>
      <c r="J71" s="68" t="s">
        <v>730</v>
      </c>
      <c r="K71" s="68" t="s">
        <v>729</v>
      </c>
      <c r="L71" s="68" t="s">
        <v>730</v>
      </c>
      <c r="M71" s="68"/>
      <c r="N71" s="68"/>
      <c r="O71" s="68" t="s">
        <v>729</v>
      </c>
      <c r="P71" s="68" t="s">
        <v>730</v>
      </c>
      <c r="Q71" s="68" t="s">
        <v>729</v>
      </c>
      <c r="R71" s="68" t="s">
        <v>730</v>
      </c>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c r="BJ71" s="68"/>
      <c r="BK71" s="68"/>
      <c r="BL71" s="68"/>
      <c r="BM71" s="68"/>
      <c r="BN71" s="68"/>
      <c r="BO71" s="68"/>
      <c r="BP71" s="68"/>
      <c r="BQ71" s="68"/>
      <c r="BR71" s="68"/>
      <c r="BS71" s="68"/>
      <c r="BT71" s="68"/>
      <c r="BU71" s="68"/>
      <c r="BV71" s="68"/>
      <c r="BW71" s="68"/>
      <c r="BX71" s="68"/>
      <c r="BY71" s="68"/>
      <c r="BZ71" s="68"/>
      <c r="CA71" s="68"/>
      <c r="CB71" s="68"/>
      <c r="CC71" s="68"/>
      <c r="CD71" s="68"/>
      <c r="CE71" s="68"/>
      <c r="CF71" s="68"/>
      <c r="CG71" s="68"/>
      <c r="CH71" s="68"/>
      <c r="CI71" s="68"/>
      <c r="CJ71" s="68"/>
      <c r="CK71" s="68"/>
      <c r="CL71" s="68"/>
      <c r="CM71" s="68"/>
      <c r="CN71" s="68"/>
      <c r="CO71" s="68"/>
      <c r="CP71" s="68"/>
      <c r="CQ71" s="68"/>
      <c r="CR71" s="68"/>
      <c r="CS71" s="68"/>
      <c r="CT71" s="68"/>
      <c r="CU71" s="68"/>
      <c r="CV71" s="68"/>
      <c r="CW71" s="68"/>
      <c r="CX71" s="68"/>
      <c r="CY71" s="68"/>
      <c r="CZ71" s="68"/>
      <c r="DA71" s="68"/>
      <c r="DB71" s="68"/>
      <c r="DC71" s="68"/>
      <c r="DD71" s="68"/>
      <c r="DE71" s="68"/>
      <c r="DF71" s="68"/>
      <c r="DG71" s="68"/>
      <c r="DH71" s="68"/>
      <c r="DI71" s="68"/>
      <c r="DJ71" s="68"/>
      <c r="DK71" s="68"/>
      <c r="DL71" s="68"/>
      <c r="DM71" s="68"/>
      <c r="DN71" s="68"/>
      <c r="DO71" s="68"/>
      <c r="DP71" s="68"/>
      <c r="DQ71" s="68"/>
      <c r="DR71" s="68"/>
      <c r="DS71" s="68"/>
      <c r="DT71" s="68"/>
      <c r="DU71" s="68"/>
      <c r="DV71" s="68"/>
      <c r="DW71" s="68"/>
      <c r="DX71" s="68"/>
      <c r="DY71" s="68"/>
      <c r="DZ71" s="68"/>
      <c r="EA71" s="68"/>
      <c r="EB71" s="68"/>
      <c r="EC71" s="68"/>
      <c r="ED71" s="68"/>
      <c r="EE71" s="68"/>
      <c r="EF71" s="68"/>
      <c r="EG71" s="68"/>
      <c r="EH71" s="68"/>
      <c r="EI71" s="68"/>
      <c r="EJ71" s="68"/>
      <c r="EK71" s="68"/>
      <c r="EL71" s="68"/>
      <c r="EM71" s="68"/>
      <c r="EN71" s="68"/>
      <c r="EO71" s="68"/>
      <c r="EP71" s="68"/>
      <c r="EQ71" s="68"/>
      <c r="ER71" s="68"/>
      <c r="ES71" s="68"/>
      <c r="ET71" s="68"/>
      <c r="EU71" s="68"/>
      <c r="EV71" s="68"/>
      <c r="EW71" s="68"/>
      <c r="EX71" s="68"/>
      <c r="EY71" s="68"/>
      <c r="EZ71" s="68"/>
      <c r="FA71" s="68"/>
      <c r="FB71" s="68"/>
      <c r="FC71" s="68"/>
      <c r="FD71" s="68"/>
      <c r="FE71" s="68"/>
      <c r="FF71" s="68"/>
      <c r="FG71" s="68"/>
      <c r="FH71" s="68"/>
      <c r="FI71" s="68"/>
      <c r="FJ71" s="68"/>
      <c r="FK71" s="68"/>
      <c r="FL71" s="68"/>
      <c r="FM71" s="68"/>
      <c r="FN71" s="68"/>
      <c r="FO71" s="68"/>
      <c r="FP71" s="68"/>
      <c r="FQ71" s="68"/>
      <c r="FR71" s="68"/>
      <c r="FS71" s="68"/>
      <c r="FT71" s="68"/>
      <c r="FU71" s="68"/>
      <c r="FV71" s="68"/>
      <c r="FW71" s="68"/>
      <c r="FX71" s="68"/>
      <c r="FY71" s="68"/>
      <c r="FZ71" s="68"/>
      <c r="GA71" s="68"/>
      <c r="GB71" s="68"/>
      <c r="GC71" s="68"/>
      <c r="GD71" s="68"/>
      <c r="GE71" s="68"/>
      <c r="GF71" s="68"/>
      <c r="GG71" s="68"/>
      <c r="GH71" s="68"/>
      <c r="GI71" s="68"/>
      <c r="GJ71" s="68"/>
      <c r="GK71" s="68"/>
      <c r="GL71" s="68"/>
      <c r="GM71" s="68"/>
      <c r="GN71" s="68"/>
      <c r="GO71" s="68"/>
      <c r="GP71" s="68"/>
      <c r="GQ71" s="68"/>
      <c r="GR71" s="68"/>
      <c r="GS71" s="68"/>
      <c r="GT71" s="68"/>
      <c r="GU71" s="68"/>
      <c r="GV71" s="68"/>
      <c r="GW71" s="68"/>
      <c r="GX71" s="68"/>
      <c r="GY71" s="68"/>
      <c r="GZ71" s="68"/>
      <c r="HA71" s="68"/>
      <c r="HB71" s="68"/>
      <c r="HC71" s="68"/>
      <c r="HD71" s="68"/>
      <c r="HE71" s="68"/>
      <c r="HF71" s="68"/>
      <c r="HG71" s="68"/>
      <c r="HH71" s="68"/>
      <c r="HI71" s="68"/>
      <c r="HJ71" s="68"/>
      <c r="HK71" s="68"/>
      <c r="HL71" s="68"/>
      <c r="HM71" s="68"/>
      <c r="HN71" s="68"/>
      <c r="HO71" s="68"/>
      <c r="HP71" s="68"/>
      <c r="HQ71" s="68"/>
      <c r="HR71" s="68"/>
      <c r="HS71" s="68"/>
      <c r="HT71" s="68"/>
      <c r="HU71" s="68"/>
      <c r="HV71" s="68"/>
      <c r="HW71" s="68"/>
      <c r="HX71" s="68"/>
      <c r="HY71" s="68"/>
      <c r="HZ71" s="68"/>
      <c r="IA71" s="68"/>
      <c r="IB71" s="68"/>
      <c r="IC71" s="68"/>
      <c r="ID71" s="68"/>
      <c r="IE71" s="68"/>
      <c r="IF71" s="68"/>
      <c r="IG71" s="68"/>
      <c r="IH71" s="68"/>
      <c r="II71" s="68"/>
      <c r="IJ71" s="68"/>
      <c r="IK71" s="68"/>
      <c r="IL71" s="68"/>
      <c r="IM71" s="68"/>
      <c r="IN71" s="68"/>
      <c r="IO71" s="68"/>
      <c r="IP71" s="68"/>
      <c r="IQ71" s="68"/>
      <c r="IR71" s="68"/>
      <c r="IS71" s="68"/>
      <c r="IT71" s="68"/>
      <c r="IU71" s="68"/>
      <c r="IV71" s="68"/>
      <c r="IW71" s="68"/>
      <c r="IX71" s="68"/>
      <c r="IY71" s="68"/>
      <c r="IZ71" s="68"/>
      <c r="JA71" s="68"/>
      <c r="JB71" s="68"/>
      <c r="JC71" s="68"/>
      <c r="JD71" s="68"/>
      <c r="JE71" s="68"/>
      <c r="JF71" s="68"/>
      <c r="JG71" s="68"/>
      <c r="JH71" s="68"/>
      <c r="JI71" s="68"/>
      <c r="JJ71" s="68"/>
      <c r="JK71" s="68"/>
      <c r="JL71" s="68"/>
      <c r="JM71" s="68"/>
      <c r="JN71" s="68"/>
      <c r="JO71" s="68"/>
      <c r="JP71" s="68"/>
      <c r="JQ71" s="68"/>
      <c r="JR71" s="68"/>
      <c r="JS71" s="68"/>
      <c r="JT71" s="68"/>
      <c r="JU71" s="68"/>
      <c r="JV71" s="68"/>
      <c r="JW71" s="68"/>
      <c r="JX71" s="68"/>
      <c r="JY71" s="68"/>
      <c r="JZ71" s="68"/>
      <c r="KA71" s="68"/>
      <c r="KB71" s="68"/>
      <c r="KC71" s="68"/>
      <c r="KD71" s="68"/>
      <c r="KE71" s="68"/>
      <c r="KF71" s="68"/>
      <c r="KG71" s="68"/>
      <c r="KH71" s="68"/>
      <c r="KI71" s="68"/>
    </row>
    <row r="72" ht="29" customHeight="1" spans="1:295">
      <c r="A72" s="37" t="s">
        <v>1119</v>
      </c>
      <c r="B72" s="44" t="s">
        <v>253</v>
      </c>
      <c r="C72" s="69">
        <v>8.4</v>
      </c>
      <c r="D72" s="70">
        <v>1448</v>
      </c>
      <c r="E72" s="69">
        <v>8.4</v>
      </c>
      <c r="F72" s="70">
        <v>1448</v>
      </c>
      <c r="G72" s="70">
        <v>32</v>
      </c>
      <c r="H72" s="70" t="s">
        <v>253</v>
      </c>
      <c r="I72" s="69">
        <v>14.6</v>
      </c>
      <c r="J72" s="70">
        <v>2410</v>
      </c>
      <c r="K72" s="69">
        <v>14.6</v>
      </c>
      <c r="L72" s="70">
        <v>2410</v>
      </c>
      <c r="M72" s="70" t="s">
        <v>1120</v>
      </c>
      <c r="N72" s="70" t="s">
        <v>253</v>
      </c>
      <c r="O72" s="69">
        <v>12.6</v>
      </c>
      <c r="P72" s="70">
        <v>2100</v>
      </c>
      <c r="Q72" s="69">
        <v>12.6</v>
      </c>
      <c r="R72" s="70">
        <v>2100</v>
      </c>
      <c r="S72" s="70" t="s">
        <v>1121</v>
      </c>
      <c r="T72" s="70" t="s">
        <v>253</v>
      </c>
      <c r="U72" s="71"/>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c r="DE72" s="72"/>
      <c r="DF72" s="72"/>
      <c r="DG72" s="72"/>
      <c r="DH72" s="72"/>
      <c r="DI72" s="72"/>
      <c r="DJ72" s="72"/>
      <c r="DK72" s="72"/>
      <c r="DL72" s="72"/>
      <c r="DM72" s="72"/>
      <c r="DN72" s="72"/>
      <c r="DO72" s="72"/>
      <c r="DP72" s="72"/>
      <c r="DQ72" s="72"/>
      <c r="DR72" s="72"/>
      <c r="DS72" s="72"/>
      <c r="DT72" s="72"/>
      <c r="DU72" s="72"/>
      <c r="DV72" s="72"/>
      <c r="DW72" s="72"/>
      <c r="DX72" s="72"/>
      <c r="DY72" s="72"/>
      <c r="DZ72" s="72"/>
      <c r="EA72" s="72"/>
      <c r="EB72" s="72"/>
      <c r="EC72" s="72"/>
      <c r="ED72" s="72"/>
      <c r="EE72" s="72"/>
      <c r="EF72" s="72"/>
      <c r="EG72" s="72"/>
      <c r="EH72" s="72"/>
      <c r="EI72" s="72"/>
      <c r="EJ72" s="72"/>
      <c r="EK72" s="72"/>
      <c r="EL72" s="72"/>
      <c r="EM72" s="72"/>
      <c r="EN72" s="72"/>
      <c r="EO72" s="72"/>
      <c r="EP72" s="72"/>
      <c r="EQ72" s="72"/>
      <c r="ER72" s="72"/>
      <c r="ES72" s="72"/>
      <c r="ET72" s="72"/>
      <c r="EU72" s="72"/>
      <c r="EV72" s="72"/>
      <c r="EW72" s="72"/>
      <c r="EX72" s="72"/>
      <c r="EY72" s="72"/>
      <c r="EZ72" s="72"/>
      <c r="FA72" s="72"/>
      <c r="FB72" s="72"/>
      <c r="FC72" s="72"/>
      <c r="FD72" s="72"/>
      <c r="FE72" s="72"/>
      <c r="FF72" s="72"/>
      <c r="FG72" s="72"/>
      <c r="FH72" s="72"/>
      <c r="FI72" s="72"/>
      <c r="FJ72" s="72"/>
      <c r="FK72" s="72"/>
      <c r="FL72" s="72"/>
      <c r="FM72" s="72"/>
      <c r="FN72" s="72"/>
      <c r="FO72" s="72"/>
      <c r="FP72" s="72"/>
      <c r="FQ72" s="72"/>
      <c r="FR72" s="72"/>
      <c r="FS72" s="72"/>
      <c r="FT72" s="72"/>
      <c r="FU72" s="72"/>
      <c r="FV72" s="72"/>
      <c r="FW72" s="72"/>
      <c r="FX72" s="72"/>
      <c r="FY72" s="72"/>
      <c r="FZ72" s="72"/>
      <c r="GA72" s="72"/>
      <c r="GB72" s="72"/>
      <c r="GC72" s="72"/>
      <c r="GD72" s="72"/>
      <c r="GE72" s="72"/>
      <c r="GF72" s="72"/>
      <c r="GG72" s="72"/>
      <c r="GH72" s="72"/>
      <c r="GI72" s="72"/>
      <c r="GJ72" s="72"/>
      <c r="GK72" s="72"/>
      <c r="GL72" s="72"/>
      <c r="GM72" s="72"/>
      <c r="GN72" s="72"/>
      <c r="GO72" s="72"/>
      <c r="GP72" s="72"/>
      <c r="GQ72" s="72"/>
      <c r="GR72" s="72"/>
      <c r="GS72" s="72"/>
      <c r="GT72" s="72"/>
      <c r="GU72" s="72"/>
      <c r="GV72" s="72"/>
      <c r="GW72" s="72"/>
      <c r="GX72" s="72"/>
      <c r="GY72" s="72"/>
      <c r="GZ72" s="72"/>
      <c r="HA72" s="72"/>
      <c r="HB72" s="72"/>
      <c r="HC72" s="72"/>
      <c r="HD72" s="72"/>
      <c r="HE72" s="72"/>
      <c r="HF72" s="72"/>
      <c r="HG72" s="72"/>
      <c r="HH72" s="72"/>
      <c r="HI72" s="72"/>
      <c r="HJ72" s="72"/>
      <c r="HK72" s="72"/>
      <c r="HL72" s="72"/>
      <c r="HM72" s="72"/>
      <c r="HN72" s="72"/>
      <c r="HO72" s="72"/>
      <c r="HP72" s="72"/>
      <c r="HQ72" s="72"/>
      <c r="HR72" s="72"/>
      <c r="HS72" s="72"/>
      <c r="HT72" s="72"/>
      <c r="HU72" s="72"/>
      <c r="HV72" s="72"/>
      <c r="HW72" s="72"/>
      <c r="HX72" s="72"/>
      <c r="HY72" s="72"/>
      <c r="HZ72" s="72"/>
      <c r="IA72" s="72"/>
      <c r="IB72" s="72"/>
      <c r="IC72" s="72"/>
      <c r="ID72" s="72"/>
      <c r="IE72" s="72"/>
      <c r="IF72" s="72"/>
      <c r="IG72" s="72"/>
      <c r="IH72" s="72"/>
      <c r="II72" s="72"/>
      <c r="IJ72" s="72"/>
      <c r="IK72" s="72"/>
      <c r="IL72" s="72"/>
      <c r="IM72" s="72"/>
      <c r="IN72" s="72"/>
      <c r="IO72" s="72"/>
      <c r="IP72" s="72"/>
      <c r="IQ72" s="72"/>
      <c r="IR72" s="72"/>
      <c r="IS72" s="72"/>
      <c r="IT72" s="72"/>
      <c r="IU72" s="72"/>
      <c r="IV72" s="72"/>
      <c r="IW72" s="72"/>
      <c r="IX72" s="72"/>
      <c r="IY72" s="72"/>
      <c r="IZ72" s="72"/>
      <c r="JA72" s="72"/>
      <c r="JB72" s="72"/>
      <c r="JC72" s="72"/>
      <c r="JD72" s="72"/>
      <c r="JE72" s="72"/>
      <c r="JF72" s="72"/>
      <c r="JG72" s="72"/>
      <c r="JH72" s="72"/>
      <c r="JI72" s="72"/>
      <c r="JJ72" s="72"/>
      <c r="JK72" s="72"/>
      <c r="JL72" s="72"/>
      <c r="JM72" s="72"/>
      <c r="JN72" s="72"/>
      <c r="JO72" s="72"/>
      <c r="JP72" s="72"/>
      <c r="JQ72" s="72"/>
      <c r="JR72" s="72"/>
      <c r="JS72" s="72"/>
      <c r="JT72" s="72"/>
      <c r="JU72" s="72"/>
      <c r="JV72" s="72"/>
      <c r="JW72" s="72"/>
      <c r="JX72" s="72"/>
      <c r="JY72" s="72"/>
      <c r="JZ72" s="72"/>
      <c r="KA72" s="72"/>
      <c r="KB72" s="72"/>
      <c r="KC72" s="72"/>
      <c r="KD72" s="72"/>
      <c r="KE72" s="72"/>
      <c r="KF72" s="72"/>
      <c r="KG72" s="72"/>
      <c r="KH72" s="72"/>
      <c r="KI72" s="72"/>
    </row>
    <row r="73" ht="29" customHeight="1" spans="1:295">
      <c r="A73" s="37" t="s">
        <v>1122</v>
      </c>
      <c r="B73" s="747" t="s">
        <v>1123</v>
      </c>
      <c r="C73" s="69">
        <v>8.9</v>
      </c>
      <c r="D73" s="70">
        <v>1548</v>
      </c>
      <c r="E73" s="69">
        <v>8.9</v>
      </c>
      <c r="F73" s="70">
        <v>1548</v>
      </c>
      <c r="G73" s="70">
        <v>32</v>
      </c>
      <c r="H73" s="70" t="s">
        <v>405</v>
      </c>
      <c r="I73" s="69">
        <v>15.1</v>
      </c>
      <c r="J73" s="70">
        <v>2510</v>
      </c>
      <c r="K73" s="69">
        <v>15.1</v>
      </c>
      <c r="L73" s="70">
        <v>2510</v>
      </c>
      <c r="M73" s="70" t="s">
        <v>1120</v>
      </c>
      <c r="N73" s="70" t="s">
        <v>457</v>
      </c>
      <c r="O73" s="69">
        <v>13.1</v>
      </c>
      <c r="P73" s="70">
        <v>2200</v>
      </c>
      <c r="Q73" s="69">
        <v>13.1</v>
      </c>
      <c r="R73" s="70">
        <v>2200</v>
      </c>
      <c r="S73" s="70" t="s">
        <v>1121</v>
      </c>
      <c r="T73" s="70" t="s">
        <v>1124</v>
      </c>
      <c r="U73" s="71"/>
      <c r="V73" s="72"/>
      <c r="W73" s="72"/>
      <c r="X73" s="72"/>
      <c r="Y73" s="72"/>
      <c r="Z73" s="72"/>
      <c r="AA73" s="72"/>
      <c r="AB73" s="72"/>
      <c r="AC73" s="72"/>
      <c r="AD73" s="72"/>
      <c r="AE73" s="72"/>
      <c r="AF73" s="72"/>
      <c r="AG73" s="72"/>
      <c r="AH73" s="72"/>
      <c r="AI73" s="72"/>
      <c r="AJ73" s="72"/>
      <c r="AK73" s="72"/>
      <c r="AL73" s="72"/>
      <c r="AM73" s="72"/>
      <c r="AN73" s="72"/>
      <c r="AO73" s="72"/>
      <c r="AP73" s="72"/>
      <c r="AQ73" s="72"/>
      <c r="AR73" s="72"/>
      <c r="AS73" s="72"/>
      <c r="AT73" s="72"/>
      <c r="AU73" s="72"/>
      <c r="AV73" s="72"/>
      <c r="AW73" s="72"/>
      <c r="AX73" s="72"/>
      <c r="AY73" s="72"/>
      <c r="AZ73" s="72"/>
      <c r="BA73" s="72"/>
      <c r="BB73" s="72"/>
      <c r="BC73" s="72"/>
      <c r="BD73" s="72"/>
      <c r="BE73" s="72"/>
      <c r="BF73" s="72"/>
      <c r="BG73" s="72"/>
      <c r="BH73" s="72"/>
      <c r="BI73" s="72"/>
      <c r="BJ73" s="72"/>
      <c r="BK73" s="72"/>
      <c r="BL73" s="72"/>
      <c r="BM73" s="72"/>
      <c r="BN73" s="72"/>
      <c r="BO73" s="72"/>
      <c r="BP73" s="72"/>
      <c r="BQ73" s="72"/>
      <c r="BR73" s="72"/>
      <c r="BS73" s="72"/>
      <c r="BT73" s="72"/>
      <c r="BU73" s="72"/>
      <c r="BV73" s="72"/>
      <c r="BW73" s="72"/>
      <c r="BX73" s="72"/>
      <c r="BY73" s="72"/>
      <c r="BZ73" s="72"/>
      <c r="CA73" s="72"/>
      <c r="CB73" s="72"/>
      <c r="CC73" s="72"/>
      <c r="CD73" s="72"/>
      <c r="CE73" s="72"/>
      <c r="CF73" s="72"/>
      <c r="CG73" s="72"/>
      <c r="CH73" s="72"/>
      <c r="CI73" s="72"/>
      <c r="CJ73" s="72"/>
      <c r="CK73" s="72"/>
      <c r="CL73" s="72"/>
      <c r="CM73" s="72"/>
      <c r="CN73" s="72"/>
      <c r="CO73" s="72"/>
      <c r="CP73" s="72"/>
      <c r="CQ73" s="72"/>
      <c r="CR73" s="72"/>
      <c r="CS73" s="72"/>
      <c r="CT73" s="72"/>
      <c r="CU73" s="72"/>
      <c r="CV73" s="72"/>
      <c r="CW73" s="72"/>
      <c r="CX73" s="72"/>
      <c r="CY73" s="72"/>
      <c r="CZ73" s="72"/>
      <c r="DA73" s="72"/>
      <c r="DB73" s="72"/>
      <c r="DC73" s="72"/>
      <c r="DD73" s="72"/>
      <c r="DE73" s="72"/>
      <c r="DF73" s="72"/>
      <c r="DG73" s="72"/>
      <c r="DH73" s="72"/>
      <c r="DI73" s="72"/>
      <c r="DJ73" s="72"/>
      <c r="DK73" s="72"/>
      <c r="DL73" s="72"/>
      <c r="DM73" s="72"/>
      <c r="DN73" s="72"/>
      <c r="DO73" s="72"/>
      <c r="DP73" s="72"/>
      <c r="DQ73" s="72"/>
      <c r="DR73" s="72"/>
      <c r="DS73" s="72"/>
      <c r="DT73" s="72"/>
      <c r="DU73" s="72"/>
      <c r="DV73" s="72"/>
      <c r="DW73" s="72"/>
      <c r="DX73" s="72"/>
      <c r="DY73" s="72"/>
      <c r="DZ73" s="72"/>
      <c r="EA73" s="72"/>
      <c r="EB73" s="72"/>
      <c r="EC73" s="72"/>
      <c r="ED73" s="72"/>
      <c r="EE73" s="72"/>
      <c r="EF73" s="72"/>
      <c r="EG73" s="72"/>
      <c r="EH73" s="72"/>
      <c r="EI73" s="72"/>
      <c r="EJ73" s="72"/>
      <c r="EK73" s="72"/>
      <c r="EL73" s="72"/>
      <c r="EM73" s="72"/>
      <c r="EN73" s="72"/>
      <c r="EO73" s="72"/>
      <c r="EP73" s="72"/>
      <c r="EQ73" s="72"/>
      <c r="ER73" s="72"/>
      <c r="ES73" s="72"/>
      <c r="ET73" s="72"/>
      <c r="EU73" s="72"/>
      <c r="EV73" s="72"/>
      <c r="EW73" s="72"/>
      <c r="EX73" s="72"/>
      <c r="EY73" s="72"/>
      <c r="EZ73" s="72"/>
      <c r="FA73" s="72"/>
      <c r="FB73" s="72"/>
      <c r="FC73" s="72"/>
      <c r="FD73" s="72"/>
      <c r="FE73" s="72"/>
      <c r="FF73" s="72"/>
      <c r="FG73" s="72"/>
      <c r="FH73" s="72"/>
      <c r="FI73" s="72"/>
      <c r="FJ73" s="72"/>
      <c r="FK73" s="72"/>
      <c r="FL73" s="72"/>
      <c r="FM73" s="72"/>
      <c r="FN73" s="72"/>
      <c r="FO73" s="72"/>
      <c r="FP73" s="72"/>
      <c r="FQ73" s="72"/>
      <c r="FR73" s="72"/>
      <c r="FS73" s="72"/>
      <c r="FT73" s="72"/>
      <c r="FU73" s="72"/>
      <c r="FV73" s="72"/>
      <c r="FW73" s="72"/>
      <c r="FX73" s="72"/>
      <c r="FY73" s="72"/>
      <c r="FZ73" s="72"/>
      <c r="GA73" s="72"/>
      <c r="GB73" s="72"/>
      <c r="GC73" s="72"/>
      <c r="GD73" s="72"/>
      <c r="GE73" s="72"/>
      <c r="GF73" s="72"/>
      <c r="GG73" s="72"/>
      <c r="GH73" s="72"/>
      <c r="GI73" s="72"/>
      <c r="GJ73" s="72"/>
      <c r="GK73" s="72"/>
      <c r="GL73" s="72"/>
      <c r="GM73" s="72"/>
      <c r="GN73" s="72"/>
      <c r="GO73" s="72"/>
      <c r="GP73" s="72"/>
      <c r="GQ73" s="72"/>
      <c r="GR73" s="72"/>
      <c r="GS73" s="72"/>
      <c r="GT73" s="72"/>
      <c r="GU73" s="72"/>
      <c r="GV73" s="72"/>
      <c r="GW73" s="72"/>
      <c r="GX73" s="72"/>
      <c r="GY73" s="72"/>
      <c r="GZ73" s="72"/>
      <c r="HA73" s="72"/>
      <c r="HB73" s="72"/>
      <c r="HC73" s="72"/>
      <c r="HD73" s="72"/>
      <c r="HE73" s="72"/>
      <c r="HF73" s="72"/>
      <c r="HG73" s="72"/>
      <c r="HH73" s="72"/>
      <c r="HI73" s="72"/>
      <c r="HJ73" s="72"/>
      <c r="HK73" s="72"/>
      <c r="HL73" s="72"/>
      <c r="HM73" s="72"/>
      <c r="HN73" s="72"/>
      <c r="HO73" s="72"/>
      <c r="HP73" s="72"/>
      <c r="HQ73" s="72"/>
      <c r="HR73" s="72"/>
      <c r="HS73" s="72"/>
      <c r="HT73" s="72"/>
      <c r="HU73" s="72"/>
      <c r="HV73" s="72"/>
      <c r="HW73" s="72"/>
      <c r="HX73" s="72"/>
      <c r="HY73" s="72"/>
      <c r="HZ73" s="72"/>
      <c r="IA73" s="72"/>
      <c r="IB73" s="72"/>
      <c r="IC73" s="72"/>
      <c r="ID73" s="72"/>
      <c r="IE73" s="72"/>
      <c r="IF73" s="72"/>
      <c r="IG73" s="72"/>
      <c r="IH73" s="72"/>
      <c r="II73" s="72"/>
      <c r="IJ73" s="72"/>
      <c r="IK73" s="72"/>
      <c r="IL73" s="72"/>
      <c r="IM73" s="72"/>
      <c r="IN73" s="72"/>
      <c r="IO73" s="72"/>
      <c r="IP73" s="72"/>
      <c r="IQ73" s="72"/>
      <c r="IR73" s="72"/>
      <c r="IS73" s="72"/>
      <c r="IT73" s="72"/>
      <c r="IU73" s="72"/>
      <c r="IV73" s="72"/>
      <c r="IW73" s="72"/>
      <c r="IX73" s="72"/>
      <c r="IY73" s="72"/>
      <c r="IZ73" s="72"/>
      <c r="JA73" s="72"/>
      <c r="JB73" s="72"/>
      <c r="JC73" s="72"/>
      <c r="JD73" s="72"/>
      <c r="JE73" s="72"/>
      <c r="JF73" s="72"/>
      <c r="JG73" s="72"/>
      <c r="JH73" s="72"/>
      <c r="JI73" s="72"/>
      <c r="JJ73" s="72"/>
      <c r="JK73" s="72"/>
      <c r="JL73" s="72"/>
      <c r="JM73" s="72"/>
      <c r="JN73" s="72"/>
      <c r="JO73" s="72"/>
      <c r="JP73" s="72"/>
      <c r="JQ73" s="72"/>
      <c r="JR73" s="72"/>
      <c r="JS73" s="72"/>
      <c r="JT73" s="72"/>
      <c r="JU73" s="72"/>
      <c r="JV73" s="72"/>
      <c r="JW73" s="72"/>
      <c r="JX73" s="72"/>
      <c r="JY73" s="72"/>
      <c r="JZ73" s="72"/>
      <c r="KA73" s="72"/>
      <c r="KB73" s="72"/>
      <c r="KC73" s="72"/>
      <c r="KD73" s="72"/>
      <c r="KE73" s="72"/>
      <c r="KF73" s="72"/>
      <c r="KG73" s="72"/>
      <c r="KH73" s="72"/>
      <c r="KI73" s="72"/>
    </row>
    <row r="74" ht="29" customHeight="1" spans="1:295">
      <c r="A74" s="37" t="s">
        <v>1125</v>
      </c>
      <c r="B74" s="748" t="s">
        <v>1126</v>
      </c>
      <c r="C74" s="69">
        <v>10.5</v>
      </c>
      <c r="D74" s="70">
        <v>1845</v>
      </c>
      <c r="E74" s="69">
        <v>10.5</v>
      </c>
      <c r="F74" s="70">
        <v>1845</v>
      </c>
      <c r="G74" s="70">
        <v>32</v>
      </c>
      <c r="H74" s="70" t="s">
        <v>405</v>
      </c>
      <c r="I74" s="69">
        <v>16.3</v>
      </c>
      <c r="J74" s="70">
        <v>2860</v>
      </c>
      <c r="K74" s="69">
        <v>16.3</v>
      </c>
      <c r="L74" s="70">
        <v>2860</v>
      </c>
      <c r="M74" s="70" t="s">
        <v>1120</v>
      </c>
      <c r="N74" s="70" t="s">
        <v>457</v>
      </c>
      <c r="O74" s="69">
        <v>14.3</v>
      </c>
      <c r="P74" s="70">
        <v>2440</v>
      </c>
      <c r="Q74" s="69">
        <v>14.3</v>
      </c>
      <c r="R74" s="70">
        <v>2440</v>
      </c>
      <c r="S74" s="70" t="s">
        <v>1121</v>
      </c>
      <c r="T74" s="70" t="s">
        <v>1124</v>
      </c>
      <c r="U74" s="71"/>
      <c r="V74" s="72"/>
      <c r="W74" s="72"/>
      <c r="X74" s="72"/>
      <c r="Y74" s="72"/>
      <c r="Z74" s="72"/>
      <c r="AA74" s="72"/>
      <c r="AB74" s="72"/>
      <c r="AC74" s="72"/>
      <c r="AD74" s="72"/>
      <c r="AE74" s="72"/>
      <c r="AF74" s="72"/>
      <c r="AG74" s="72"/>
      <c r="AH74" s="72"/>
      <c r="AI74" s="72"/>
      <c r="AJ74" s="72"/>
      <c r="AK74" s="72"/>
      <c r="AL74" s="72"/>
      <c r="AM74" s="72"/>
      <c r="AN74" s="72"/>
      <c r="AO74" s="72"/>
      <c r="AP74" s="72"/>
      <c r="AQ74" s="72"/>
      <c r="AR74" s="72"/>
      <c r="AS74" s="72"/>
      <c r="AT74" s="72"/>
      <c r="AU74" s="72"/>
      <c r="AV74" s="72"/>
      <c r="AW74" s="72"/>
      <c r="AX74" s="72"/>
      <c r="AY74" s="72"/>
      <c r="AZ74" s="72"/>
      <c r="BA74" s="72"/>
      <c r="BB74" s="72"/>
      <c r="BC74" s="72"/>
      <c r="BD74" s="72"/>
      <c r="BE74" s="72"/>
      <c r="BF74" s="72"/>
      <c r="BG74" s="72"/>
      <c r="BH74" s="72"/>
      <c r="BI74" s="72"/>
      <c r="BJ74" s="72"/>
      <c r="BK74" s="72"/>
      <c r="BL74" s="72"/>
      <c r="BM74" s="72"/>
      <c r="BN74" s="72"/>
      <c r="BO74" s="72"/>
      <c r="BP74" s="72"/>
      <c r="BQ74" s="72"/>
      <c r="BR74" s="72"/>
      <c r="BS74" s="72"/>
      <c r="BT74" s="72"/>
      <c r="BU74" s="72"/>
      <c r="BV74" s="72"/>
      <c r="BW74" s="72"/>
      <c r="BX74" s="72"/>
      <c r="BY74" s="72"/>
      <c r="BZ74" s="72"/>
      <c r="CA74" s="72"/>
      <c r="CB74" s="72"/>
      <c r="CC74" s="72"/>
      <c r="CD74" s="72"/>
      <c r="CE74" s="72"/>
      <c r="CF74" s="72"/>
      <c r="CG74" s="72"/>
      <c r="CH74" s="72"/>
      <c r="CI74" s="72"/>
      <c r="CJ74" s="72"/>
      <c r="CK74" s="72"/>
      <c r="CL74" s="72"/>
      <c r="CM74" s="72"/>
      <c r="CN74" s="72"/>
      <c r="CO74" s="72"/>
      <c r="CP74" s="72"/>
      <c r="CQ74" s="72"/>
      <c r="CR74" s="72"/>
      <c r="CS74" s="72"/>
      <c r="CT74" s="72"/>
      <c r="CU74" s="72"/>
      <c r="CV74" s="72"/>
      <c r="CW74" s="72"/>
      <c r="CX74" s="72"/>
      <c r="CY74" s="72"/>
      <c r="CZ74" s="72"/>
      <c r="DA74" s="72"/>
      <c r="DB74" s="72"/>
      <c r="DC74" s="72"/>
      <c r="DD74" s="72"/>
      <c r="DE74" s="72"/>
      <c r="DF74" s="72"/>
      <c r="DG74" s="72"/>
      <c r="DH74" s="72"/>
      <c r="DI74" s="72"/>
      <c r="DJ74" s="72"/>
      <c r="DK74" s="72"/>
      <c r="DL74" s="72"/>
      <c r="DM74" s="72"/>
      <c r="DN74" s="72"/>
      <c r="DO74" s="72"/>
      <c r="DP74" s="72"/>
      <c r="DQ74" s="72"/>
      <c r="DR74" s="72"/>
      <c r="DS74" s="72"/>
      <c r="DT74" s="72"/>
      <c r="DU74" s="72"/>
      <c r="DV74" s="72"/>
      <c r="DW74" s="72"/>
      <c r="DX74" s="72"/>
      <c r="DY74" s="72"/>
      <c r="DZ74" s="72"/>
      <c r="EA74" s="72"/>
      <c r="EB74" s="72"/>
      <c r="EC74" s="72"/>
      <c r="ED74" s="72"/>
      <c r="EE74" s="72"/>
      <c r="EF74" s="72"/>
      <c r="EG74" s="72"/>
      <c r="EH74" s="72"/>
      <c r="EI74" s="72"/>
      <c r="EJ74" s="72"/>
      <c r="EK74" s="72"/>
      <c r="EL74" s="72"/>
      <c r="EM74" s="72"/>
      <c r="EN74" s="72"/>
      <c r="EO74" s="72"/>
      <c r="EP74" s="72"/>
      <c r="EQ74" s="72"/>
      <c r="ER74" s="72"/>
      <c r="ES74" s="72"/>
      <c r="ET74" s="72"/>
      <c r="EU74" s="72"/>
      <c r="EV74" s="72"/>
      <c r="EW74" s="72"/>
      <c r="EX74" s="72"/>
      <c r="EY74" s="72"/>
      <c r="EZ74" s="72"/>
      <c r="FA74" s="72"/>
      <c r="FB74" s="72"/>
      <c r="FC74" s="72"/>
      <c r="FD74" s="72"/>
      <c r="FE74" s="72"/>
      <c r="FF74" s="72"/>
      <c r="FG74" s="72"/>
      <c r="FH74" s="72"/>
      <c r="FI74" s="72"/>
      <c r="FJ74" s="72"/>
      <c r="FK74" s="72"/>
      <c r="FL74" s="72"/>
      <c r="FM74" s="72"/>
      <c r="FN74" s="72"/>
      <c r="FO74" s="72"/>
      <c r="FP74" s="72"/>
      <c r="FQ74" s="72"/>
      <c r="FR74" s="72"/>
      <c r="FS74" s="72"/>
      <c r="FT74" s="72"/>
      <c r="FU74" s="72"/>
      <c r="FV74" s="72"/>
      <c r="FW74" s="72"/>
      <c r="FX74" s="72"/>
      <c r="FY74" s="72"/>
      <c r="FZ74" s="72"/>
      <c r="GA74" s="72"/>
      <c r="GB74" s="72"/>
      <c r="GC74" s="72"/>
      <c r="GD74" s="72"/>
      <c r="GE74" s="72"/>
      <c r="GF74" s="72"/>
      <c r="GG74" s="72"/>
      <c r="GH74" s="72"/>
      <c r="GI74" s="72"/>
      <c r="GJ74" s="72"/>
      <c r="GK74" s="72"/>
      <c r="GL74" s="72"/>
      <c r="GM74" s="72"/>
      <c r="GN74" s="72"/>
      <c r="GO74" s="72"/>
      <c r="GP74" s="72"/>
      <c r="GQ74" s="72"/>
      <c r="GR74" s="72"/>
      <c r="GS74" s="72"/>
      <c r="GT74" s="72"/>
      <c r="GU74" s="72"/>
      <c r="GV74" s="72"/>
      <c r="GW74" s="72"/>
      <c r="GX74" s="72"/>
      <c r="GY74" s="72"/>
      <c r="GZ74" s="72"/>
      <c r="HA74" s="72"/>
      <c r="HB74" s="72"/>
      <c r="HC74" s="72"/>
      <c r="HD74" s="72"/>
      <c r="HE74" s="72"/>
      <c r="HF74" s="72"/>
      <c r="HG74" s="72"/>
      <c r="HH74" s="72"/>
      <c r="HI74" s="72"/>
      <c r="HJ74" s="72"/>
      <c r="HK74" s="72"/>
      <c r="HL74" s="72"/>
      <c r="HM74" s="72"/>
      <c r="HN74" s="72"/>
      <c r="HO74" s="72"/>
      <c r="HP74" s="72"/>
      <c r="HQ74" s="72"/>
      <c r="HR74" s="72"/>
      <c r="HS74" s="72"/>
      <c r="HT74" s="72"/>
      <c r="HU74" s="72"/>
      <c r="HV74" s="72"/>
      <c r="HW74" s="72"/>
      <c r="HX74" s="72"/>
      <c r="HY74" s="72"/>
      <c r="HZ74" s="72"/>
      <c r="IA74" s="72"/>
      <c r="IB74" s="72"/>
      <c r="IC74" s="72"/>
      <c r="ID74" s="72"/>
      <c r="IE74" s="72"/>
      <c r="IF74" s="72"/>
      <c r="IG74" s="72"/>
      <c r="IH74" s="72"/>
      <c r="II74" s="72"/>
      <c r="IJ74" s="72"/>
      <c r="IK74" s="72"/>
      <c r="IL74" s="72"/>
      <c r="IM74" s="72"/>
      <c r="IN74" s="72"/>
      <c r="IO74" s="72"/>
      <c r="IP74" s="72"/>
      <c r="IQ74" s="72"/>
      <c r="IR74" s="72"/>
      <c r="IS74" s="72"/>
      <c r="IT74" s="72"/>
      <c r="IU74" s="72"/>
      <c r="IV74" s="72"/>
      <c r="IW74" s="72"/>
      <c r="IX74" s="72"/>
      <c r="IY74" s="72"/>
      <c r="IZ74" s="72"/>
      <c r="JA74" s="72"/>
      <c r="JB74" s="72"/>
      <c r="JC74" s="72"/>
      <c r="JD74" s="72"/>
      <c r="JE74" s="72"/>
      <c r="JF74" s="72"/>
      <c r="JG74" s="72"/>
      <c r="JH74" s="72"/>
      <c r="JI74" s="72"/>
      <c r="JJ74" s="72"/>
      <c r="JK74" s="72"/>
      <c r="JL74" s="72"/>
      <c r="JM74" s="72"/>
      <c r="JN74" s="72"/>
      <c r="JO74" s="72"/>
      <c r="JP74" s="72"/>
      <c r="JQ74" s="72"/>
      <c r="JR74" s="72"/>
      <c r="JS74" s="72"/>
      <c r="JT74" s="72"/>
      <c r="JU74" s="72"/>
      <c r="JV74" s="72"/>
      <c r="JW74" s="72"/>
      <c r="JX74" s="72"/>
      <c r="JY74" s="72"/>
      <c r="JZ74" s="72"/>
      <c r="KA74" s="72"/>
      <c r="KB74" s="72"/>
      <c r="KC74" s="72"/>
      <c r="KD74" s="72"/>
      <c r="KE74" s="72"/>
      <c r="KF74" s="72"/>
      <c r="KG74" s="72"/>
      <c r="KH74" s="72"/>
      <c r="KI74" s="72"/>
    </row>
    <row r="75" ht="29" customHeight="1" spans="1:295">
      <c r="A75" s="37" t="s">
        <v>1127</v>
      </c>
      <c r="B75" s="747" t="s">
        <v>1128</v>
      </c>
      <c r="C75" s="69">
        <v>10.5</v>
      </c>
      <c r="D75" s="70">
        <v>1845</v>
      </c>
      <c r="E75" s="69">
        <v>10.5</v>
      </c>
      <c r="F75" s="70">
        <v>1845</v>
      </c>
      <c r="G75" s="70">
        <v>32</v>
      </c>
      <c r="H75" s="70" t="s">
        <v>405</v>
      </c>
      <c r="I75" s="69">
        <v>16.3</v>
      </c>
      <c r="J75" s="70">
        <v>2860</v>
      </c>
      <c r="K75" s="69">
        <v>16.3</v>
      </c>
      <c r="L75" s="70">
        <v>2860</v>
      </c>
      <c r="M75" s="70" t="s">
        <v>1120</v>
      </c>
      <c r="N75" s="70" t="s">
        <v>457</v>
      </c>
      <c r="O75" s="69">
        <v>14.3</v>
      </c>
      <c r="P75" s="70">
        <v>2440</v>
      </c>
      <c r="Q75" s="69">
        <v>14.3</v>
      </c>
      <c r="R75" s="70">
        <v>2440</v>
      </c>
      <c r="S75" s="70" t="s">
        <v>1121</v>
      </c>
      <c r="T75" s="70" t="s">
        <v>1124</v>
      </c>
      <c r="U75" s="71"/>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2"/>
      <c r="CA75" s="72"/>
      <c r="CB75" s="72"/>
      <c r="CC75" s="72"/>
      <c r="CD75" s="72"/>
      <c r="CE75" s="72"/>
      <c r="CF75" s="72"/>
      <c r="CG75" s="72"/>
      <c r="CH75" s="72"/>
      <c r="CI75" s="72"/>
      <c r="CJ75" s="72"/>
      <c r="CK75" s="72"/>
      <c r="CL75" s="72"/>
      <c r="CM75" s="72"/>
      <c r="CN75" s="72"/>
      <c r="CO75" s="72"/>
      <c r="CP75" s="72"/>
      <c r="CQ75" s="72"/>
      <c r="CR75" s="72"/>
      <c r="CS75" s="72"/>
      <c r="CT75" s="72"/>
      <c r="CU75" s="72"/>
      <c r="CV75" s="72"/>
      <c r="CW75" s="72"/>
      <c r="CX75" s="72"/>
      <c r="CY75" s="72"/>
      <c r="CZ75" s="72"/>
      <c r="DA75" s="72"/>
      <c r="DB75" s="72"/>
      <c r="DC75" s="72"/>
      <c r="DD75" s="72"/>
      <c r="DE75" s="72"/>
      <c r="DF75" s="72"/>
      <c r="DG75" s="72"/>
      <c r="DH75" s="72"/>
      <c r="DI75" s="72"/>
      <c r="DJ75" s="72"/>
      <c r="DK75" s="72"/>
      <c r="DL75" s="72"/>
      <c r="DM75" s="72"/>
      <c r="DN75" s="72"/>
      <c r="DO75" s="72"/>
      <c r="DP75" s="72"/>
      <c r="DQ75" s="72"/>
      <c r="DR75" s="72"/>
      <c r="DS75" s="72"/>
      <c r="DT75" s="72"/>
      <c r="DU75" s="72"/>
      <c r="DV75" s="72"/>
      <c r="DW75" s="72"/>
      <c r="DX75" s="72"/>
      <c r="DY75" s="72"/>
      <c r="DZ75" s="72"/>
      <c r="EA75" s="72"/>
      <c r="EB75" s="72"/>
      <c r="EC75" s="72"/>
      <c r="ED75" s="72"/>
      <c r="EE75" s="72"/>
      <c r="EF75" s="72"/>
      <c r="EG75" s="72"/>
      <c r="EH75" s="72"/>
      <c r="EI75" s="72"/>
      <c r="EJ75" s="72"/>
      <c r="EK75" s="72"/>
      <c r="EL75" s="72"/>
      <c r="EM75" s="72"/>
      <c r="EN75" s="72"/>
      <c r="EO75" s="72"/>
      <c r="EP75" s="72"/>
      <c r="EQ75" s="72"/>
      <c r="ER75" s="72"/>
      <c r="ES75" s="72"/>
      <c r="ET75" s="72"/>
      <c r="EU75" s="72"/>
      <c r="EV75" s="72"/>
      <c r="EW75" s="72"/>
      <c r="EX75" s="72"/>
      <c r="EY75" s="72"/>
      <c r="EZ75" s="72"/>
      <c r="FA75" s="72"/>
      <c r="FB75" s="72"/>
      <c r="FC75" s="72"/>
      <c r="FD75" s="72"/>
      <c r="FE75" s="72"/>
      <c r="FF75" s="72"/>
      <c r="FG75" s="72"/>
      <c r="FH75" s="72"/>
      <c r="FI75" s="72"/>
      <c r="FJ75" s="72"/>
      <c r="FK75" s="72"/>
      <c r="FL75" s="72"/>
      <c r="FM75" s="72"/>
      <c r="FN75" s="72"/>
      <c r="FO75" s="72"/>
      <c r="FP75" s="72"/>
      <c r="FQ75" s="72"/>
      <c r="FR75" s="72"/>
      <c r="FS75" s="72"/>
      <c r="FT75" s="72"/>
      <c r="FU75" s="72"/>
      <c r="FV75" s="72"/>
      <c r="FW75" s="72"/>
      <c r="FX75" s="72"/>
      <c r="FY75" s="72"/>
      <c r="FZ75" s="72"/>
      <c r="GA75" s="72"/>
      <c r="GB75" s="72"/>
      <c r="GC75" s="72"/>
      <c r="GD75" s="72"/>
      <c r="GE75" s="72"/>
      <c r="GF75" s="72"/>
      <c r="GG75" s="72"/>
      <c r="GH75" s="72"/>
      <c r="GI75" s="72"/>
      <c r="GJ75" s="72"/>
      <c r="GK75" s="72"/>
      <c r="GL75" s="72"/>
      <c r="GM75" s="72"/>
      <c r="GN75" s="72"/>
      <c r="GO75" s="72"/>
      <c r="GP75" s="72"/>
      <c r="GQ75" s="72"/>
      <c r="GR75" s="72"/>
      <c r="GS75" s="72"/>
      <c r="GT75" s="72"/>
      <c r="GU75" s="72"/>
      <c r="GV75" s="72"/>
      <c r="GW75" s="72"/>
      <c r="GX75" s="72"/>
      <c r="GY75" s="72"/>
      <c r="GZ75" s="72"/>
      <c r="HA75" s="72"/>
      <c r="HB75" s="72"/>
      <c r="HC75" s="72"/>
      <c r="HD75" s="72"/>
      <c r="HE75" s="72"/>
      <c r="HF75" s="72"/>
      <c r="HG75" s="72"/>
      <c r="HH75" s="72"/>
      <c r="HI75" s="72"/>
      <c r="HJ75" s="72"/>
      <c r="HK75" s="72"/>
      <c r="HL75" s="72"/>
      <c r="HM75" s="72"/>
      <c r="HN75" s="72"/>
      <c r="HO75" s="72"/>
      <c r="HP75" s="72"/>
      <c r="HQ75" s="72"/>
      <c r="HR75" s="72"/>
      <c r="HS75" s="72"/>
      <c r="HT75" s="72"/>
      <c r="HU75" s="72"/>
      <c r="HV75" s="72"/>
      <c r="HW75" s="72"/>
      <c r="HX75" s="72"/>
      <c r="HY75" s="72"/>
      <c r="HZ75" s="72"/>
      <c r="IA75" s="72"/>
      <c r="IB75" s="72"/>
      <c r="IC75" s="72"/>
      <c r="ID75" s="72"/>
      <c r="IE75" s="72"/>
      <c r="IF75" s="72"/>
      <c r="IG75" s="72"/>
      <c r="IH75" s="72"/>
      <c r="II75" s="72"/>
      <c r="IJ75" s="72"/>
      <c r="IK75" s="72"/>
      <c r="IL75" s="72"/>
      <c r="IM75" s="72"/>
      <c r="IN75" s="72"/>
      <c r="IO75" s="72"/>
      <c r="IP75" s="72"/>
      <c r="IQ75" s="72"/>
      <c r="IR75" s="72"/>
      <c r="IS75" s="72"/>
      <c r="IT75" s="72"/>
      <c r="IU75" s="72"/>
      <c r="IV75" s="72"/>
      <c r="IW75" s="72"/>
      <c r="IX75" s="72"/>
      <c r="IY75" s="72"/>
      <c r="IZ75" s="72"/>
      <c r="JA75" s="72"/>
      <c r="JB75" s="72"/>
      <c r="JC75" s="72"/>
      <c r="JD75" s="72"/>
      <c r="JE75" s="72"/>
      <c r="JF75" s="72"/>
      <c r="JG75" s="72"/>
      <c r="JH75" s="72"/>
      <c r="JI75" s="72"/>
      <c r="JJ75" s="72"/>
      <c r="JK75" s="72"/>
      <c r="JL75" s="72"/>
      <c r="JM75" s="72"/>
      <c r="JN75" s="72"/>
      <c r="JO75" s="72"/>
      <c r="JP75" s="72"/>
      <c r="JQ75" s="72"/>
      <c r="JR75" s="72"/>
      <c r="JS75" s="72"/>
      <c r="JT75" s="72"/>
      <c r="JU75" s="72"/>
      <c r="JV75" s="72"/>
      <c r="JW75" s="72"/>
      <c r="JX75" s="72"/>
      <c r="JY75" s="72"/>
      <c r="JZ75" s="72"/>
      <c r="KA75" s="72"/>
      <c r="KB75" s="72"/>
      <c r="KC75" s="72"/>
      <c r="KD75" s="72"/>
      <c r="KE75" s="72"/>
      <c r="KF75" s="72"/>
      <c r="KG75" s="72"/>
      <c r="KH75" s="72"/>
      <c r="KI75" s="72"/>
    </row>
    <row r="76" ht="29" customHeight="1" spans="1:295">
      <c r="A76" s="37" t="s">
        <v>1129</v>
      </c>
      <c r="B76" s="748" t="s">
        <v>1130</v>
      </c>
      <c r="C76" s="69">
        <v>10.5</v>
      </c>
      <c r="D76" s="70">
        <v>1845</v>
      </c>
      <c r="E76" s="69">
        <v>10.5</v>
      </c>
      <c r="F76" s="70">
        <v>1845</v>
      </c>
      <c r="G76" s="70">
        <v>32</v>
      </c>
      <c r="H76" s="70" t="s">
        <v>405</v>
      </c>
      <c r="I76" s="69">
        <v>16.3</v>
      </c>
      <c r="J76" s="70">
        <v>2860</v>
      </c>
      <c r="K76" s="69">
        <v>16.3</v>
      </c>
      <c r="L76" s="70">
        <v>2860</v>
      </c>
      <c r="M76" s="70" t="s">
        <v>1120</v>
      </c>
      <c r="N76" s="70" t="s">
        <v>457</v>
      </c>
      <c r="O76" s="69">
        <v>14.3</v>
      </c>
      <c r="P76" s="70">
        <v>2440</v>
      </c>
      <c r="Q76" s="69">
        <v>14.3</v>
      </c>
      <c r="R76" s="70">
        <v>2440</v>
      </c>
      <c r="S76" s="70" t="s">
        <v>1121</v>
      </c>
      <c r="T76" s="70" t="s">
        <v>1124</v>
      </c>
      <c r="U76" s="71"/>
      <c r="V76" s="72"/>
      <c r="W76" s="72"/>
      <c r="X76" s="72"/>
      <c r="Y76" s="72"/>
      <c r="Z76" s="72"/>
      <c r="AA76" s="72"/>
      <c r="AB76" s="72"/>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2"/>
      <c r="BA76" s="72"/>
      <c r="BB76" s="72"/>
      <c r="BC76" s="72"/>
      <c r="BD76" s="72"/>
      <c r="BE76" s="72"/>
      <c r="BF76" s="72"/>
      <c r="BG76" s="72"/>
      <c r="BH76" s="72"/>
      <c r="BI76" s="72"/>
      <c r="BJ76" s="72"/>
      <c r="BK76" s="72"/>
      <c r="BL76" s="72"/>
      <c r="BM76" s="72"/>
      <c r="BN76" s="72"/>
      <c r="BO76" s="72"/>
      <c r="BP76" s="72"/>
      <c r="BQ76" s="72"/>
      <c r="BR76" s="72"/>
      <c r="BS76" s="72"/>
      <c r="BT76" s="72"/>
      <c r="BU76" s="72"/>
      <c r="BV76" s="72"/>
      <c r="BW76" s="72"/>
      <c r="BX76" s="72"/>
      <c r="BY76" s="72"/>
      <c r="BZ76" s="72"/>
      <c r="CA76" s="72"/>
      <c r="CB76" s="72"/>
      <c r="CC76" s="72"/>
      <c r="CD76" s="72"/>
      <c r="CE76" s="72"/>
      <c r="CF76" s="72"/>
      <c r="CG76" s="72"/>
      <c r="CH76" s="72"/>
      <c r="CI76" s="72"/>
      <c r="CJ76" s="72"/>
      <c r="CK76" s="72"/>
      <c r="CL76" s="72"/>
      <c r="CM76" s="72"/>
      <c r="CN76" s="72"/>
      <c r="CO76" s="72"/>
      <c r="CP76" s="72"/>
      <c r="CQ76" s="72"/>
      <c r="CR76" s="72"/>
      <c r="CS76" s="72"/>
      <c r="CT76" s="72"/>
      <c r="CU76" s="72"/>
      <c r="CV76" s="72"/>
      <c r="CW76" s="72"/>
      <c r="CX76" s="72"/>
      <c r="CY76" s="72"/>
      <c r="CZ76" s="72"/>
      <c r="DA76" s="72"/>
      <c r="DB76" s="72"/>
      <c r="DC76" s="72"/>
      <c r="DD76" s="72"/>
      <c r="DE76" s="72"/>
      <c r="DF76" s="72"/>
      <c r="DG76" s="72"/>
      <c r="DH76" s="72"/>
      <c r="DI76" s="72"/>
      <c r="DJ76" s="72"/>
      <c r="DK76" s="72"/>
      <c r="DL76" s="72"/>
      <c r="DM76" s="72"/>
      <c r="DN76" s="72"/>
      <c r="DO76" s="72"/>
      <c r="DP76" s="72"/>
      <c r="DQ76" s="72"/>
      <c r="DR76" s="72"/>
      <c r="DS76" s="72"/>
      <c r="DT76" s="72"/>
      <c r="DU76" s="72"/>
      <c r="DV76" s="72"/>
      <c r="DW76" s="72"/>
      <c r="DX76" s="72"/>
      <c r="DY76" s="72"/>
      <c r="DZ76" s="72"/>
      <c r="EA76" s="72"/>
      <c r="EB76" s="72"/>
      <c r="EC76" s="72"/>
      <c r="ED76" s="72"/>
      <c r="EE76" s="72"/>
      <c r="EF76" s="72"/>
      <c r="EG76" s="72"/>
      <c r="EH76" s="72"/>
      <c r="EI76" s="72"/>
      <c r="EJ76" s="72"/>
      <c r="EK76" s="72"/>
      <c r="EL76" s="72"/>
      <c r="EM76" s="72"/>
      <c r="EN76" s="72"/>
      <c r="EO76" s="72"/>
      <c r="EP76" s="72"/>
      <c r="EQ76" s="72"/>
      <c r="ER76" s="72"/>
      <c r="ES76" s="72"/>
      <c r="ET76" s="72"/>
      <c r="EU76" s="72"/>
      <c r="EV76" s="72"/>
      <c r="EW76" s="72"/>
      <c r="EX76" s="72"/>
      <c r="EY76" s="72"/>
      <c r="EZ76" s="72"/>
      <c r="FA76" s="72"/>
      <c r="FB76" s="72"/>
      <c r="FC76" s="72"/>
      <c r="FD76" s="72"/>
      <c r="FE76" s="72"/>
      <c r="FF76" s="72"/>
      <c r="FG76" s="72"/>
      <c r="FH76" s="72"/>
      <c r="FI76" s="72"/>
      <c r="FJ76" s="72"/>
      <c r="FK76" s="72"/>
      <c r="FL76" s="72"/>
      <c r="FM76" s="72"/>
      <c r="FN76" s="72"/>
      <c r="FO76" s="72"/>
      <c r="FP76" s="72"/>
      <c r="FQ76" s="72"/>
      <c r="FR76" s="72"/>
      <c r="FS76" s="72"/>
      <c r="FT76" s="72"/>
      <c r="FU76" s="72"/>
      <c r="FV76" s="72"/>
      <c r="FW76" s="72"/>
      <c r="FX76" s="72"/>
      <c r="FY76" s="72"/>
      <c r="FZ76" s="72"/>
      <c r="GA76" s="72"/>
      <c r="GB76" s="72"/>
      <c r="GC76" s="72"/>
      <c r="GD76" s="72"/>
      <c r="GE76" s="72"/>
      <c r="GF76" s="72"/>
      <c r="GG76" s="72"/>
      <c r="GH76" s="72"/>
      <c r="GI76" s="72"/>
      <c r="GJ76" s="72"/>
      <c r="GK76" s="72"/>
      <c r="GL76" s="72"/>
      <c r="GM76" s="72"/>
      <c r="GN76" s="72"/>
      <c r="GO76" s="72"/>
      <c r="GP76" s="72"/>
      <c r="GQ76" s="72"/>
      <c r="GR76" s="72"/>
      <c r="GS76" s="72"/>
      <c r="GT76" s="72"/>
      <c r="GU76" s="72"/>
      <c r="GV76" s="72"/>
      <c r="GW76" s="72"/>
      <c r="GX76" s="72"/>
      <c r="GY76" s="72"/>
      <c r="GZ76" s="72"/>
      <c r="HA76" s="72"/>
      <c r="HB76" s="72"/>
      <c r="HC76" s="72"/>
      <c r="HD76" s="72"/>
      <c r="HE76" s="72"/>
      <c r="HF76" s="72"/>
      <c r="HG76" s="72"/>
      <c r="HH76" s="72"/>
      <c r="HI76" s="72"/>
      <c r="HJ76" s="72"/>
      <c r="HK76" s="72"/>
      <c r="HL76" s="72"/>
      <c r="HM76" s="72"/>
      <c r="HN76" s="72"/>
      <c r="HO76" s="72"/>
      <c r="HP76" s="72"/>
      <c r="HQ76" s="72"/>
      <c r="HR76" s="72"/>
      <c r="HS76" s="72"/>
      <c r="HT76" s="72"/>
      <c r="HU76" s="72"/>
      <c r="HV76" s="72"/>
      <c r="HW76" s="72"/>
      <c r="HX76" s="72"/>
      <c r="HY76" s="72"/>
      <c r="HZ76" s="72"/>
      <c r="IA76" s="72"/>
      <c r="IB76" s="72"/>
      <c r="IC76" s="72"/>
      <c r="ID76" s="72"/>
      <c r="IE76" s="72"/>
      <c r="IF76" s="72"/>
      <c r="IG76" s="72"/>
      <c r="IH76" s="72"/>
      <c r="II76" s="72"/>
      <c r="IJ76" s="72"/>
      <c r="IK76" s="72"/>
      <c r="IL76" s="72"/>
      <c r="IM76" s="72"/>
      <c r="IN76" s="72"/>
      <c r="IO76" s="72"/>
      <c r="IP76" s="72"/>
      <c r="IQ76" s="72"/>
      <c r="IR76" s="72"/>
      <c r="IS76" s="72"/>
      <c r="IT76" s="72"/>
      <c r="IU76" s="72"/>
      <c r="IV76" s="72"/>
      <c r="IW76" s="72"/>
      <c r="IX76" s="72"/>
      <c r="IY76" s="72"/>
      <c r="IZ76" s="72"/>
      <c r="JA76" s="72"/>
      <c r="JB76" s="72"/>
      <c r="JC76" s="72"/>
      <c r="JD76" s="72"/>
      <c r="JE76" s="72"/>
      <c r="JF76" s="72"/>
      <c r="JG76" s="72"/>
      <c r="JH76" s="72"/>
      <c r="JI76" s="72"/>
      <c r="JJ76" s="72"/>
      <c r="JK76" s="72"/>
      <c r="JL76" s="72"/>
      <c r="JM76" s="72"/>
      <c r="JN76" s="72"/>
      <c r="JO76" s="72"/>
      <c r="JP76" s="72"/>
      <c r="JQ76" s="72"/>
      <c r="JR76" s="72"/>
      <c r="JS76" s="72"/>
      <c r="JT76" s="72"/>
      <c r="JU76" s="72"/>
      <c r="JV76" s="72"/>
      <c r="JW76" s="72"/>
      <c r="JX76" s="72"/>
      <c r="JY76" s="72"/>
      <c r="JZ76" s="72"/>
      <c r="KA76" s="72"/>
      <c r="KB76" s="72"/>
      <c r="KC76" s="72"/>
      <c r="KD76" s="72"/>
      <c r="KE76" s="72"/>
      <c r="KF76" s="72"/>
      <c r="KG76" s="72"/>
      <c r="KH76" s="72"/>
      <c r="KI76" s="72"/>
    </row>
    <row r="77" ht="29" customHeight="1" spans="1:295">
      <c r="A77" s="37" t="s">
        <v>1131</v>
      </c>
      <c r="B77" s="747" t="s">
        <v>1132</v>
      </c>
      <c r="C77" s="69">
        <v>10.5</v>
      </c>
      <c r="D77" s="70">
        <v>1845</v>
      </c>
      <c r="E77" s="69">
        <v>10.5</v>
      </c>
      <c r="F77" s="70">
        <v>1845</v>
      </c>
      <c r="G77" s="70">
        <v>32</v>
      </c>
      <c r="H77" s="70" t="s">
        <v>405</v>
      </c>
      <c r="I77" s="69">
        <v>16.3</v>
      </c>
      <c r="J77" s="70">
        <v>2860</v>
      </c>
      <c r="K77" s="69">
        <v>16.3</v>
      </c>
      <c r="L77" s="70">
        <v>2860</v>
      </c>
      <c r="M77" s="70" t="s">
        <v>1120</v>
      </c>
      <c r="N77" s="70" t="s">
        <v>457</v>
      </c>
      <c r="O77" s="69">
        <v>14.3</v>
      </c>
      <c r="P77" s="70">
        <v>2440</v>
      </c>
      <c r="Q77" s="69">
        <v>14.3</v>
      </c>
      <c r="R77" s="70">
        <v>2440</v>
      </c>
      <c r="S77" s="70" t="s">
        <v>1121</v>
      </c>
      <c r="T77" s="70" t="s">
        <v>1124</v>
      </c>
      <c r="U77" s="71"/>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2"/>
      <c r="CA77" s="72"/>
      <c r="CB77" s="72"/>
      <c r="CC77" s="72"/>
      <c r="CD77" s="72"/>
      <c r="CE77" s="72"/>
      <c r="CF77" s="72"/>
      <c r="CG77" s="72"/>
      <c r="CH77" s="72"/>
      <c r="CI77" s="72"/>
      <c r="CJ77" s="72"/>
      <c r="CK77" s="72"/>
      <c r="CL77" s="72"/>
      <c r="CM77" s="72"/>
      <c r="CN77" s="72"/>
      <c r="CO77" s="72"/>
      <c r="CP77" s="72"/>
      <c r="CQ77" s="72"/>
      <c r="CR77" s="72"/>
      <c r="CS77" s="72"/>
      <c r="CT77" s="72"/>
      <c r="CU77" s="72"/>
      <c r="CV77" s="72"/>
      <c r="CW77" s="72"/>
      <c r="CX77" s="72"/>
      <c r="CY77" s="72"/>
      <c r="CZ77" s="72"/>
      <c r="DA77" s="72"/>
      <c r="DB77" s="72"/>
      <c r="DC77" s="72"/>
      <c r="DD77" s="72"/>
      <c r="DE77" s="72"/>
      <c r="DF77" s="72"/>
      <c r="DG77" s="72"/>
      <c r="DH77" s="72"/>
      <c r="DI77" s="72"/>
      <c r="DJ77" s="72"/>
      <c r="DK77" s="72"/>
      <c r="DL77" s="72"/>
      <c r="DM77" s="72"/>
      <c r="DN77" s="72"/>
      <c r="DO77" s="72"/>
      <c r="DP77" s="72"/>
      <c r="DQ77" s="72"/>
      <c r="DR77" s="72"/>
      <c r="DS77" s="72"/>
      <c r="DT77" s="72"/>
      <c r="DU77" s="72"/>
      <c r="DV77" s="72"/>
      <c r="DW77" s="72"/>
      <c r="DX77" s="72"/>
      <c r="DY77" s="72"/>
      <c r="DZ77" s="72"/>
      <c r="EA77" s="72"/>
      <c r="EB77" s="72"/>
      <c r="EC77" s="72"/>
      <c r="ED77" s="72"/>
      <c r="EE77" s="72"/>
      <c r="EF77" s="72"/>
      <c r="EG77" s="72"/>
      <c r="EH77" s="72"/>
      <c r="EI77" s="72"/>
      <c r="EJ77" s="72"/>
      <c r="EK77" s="72"/>
      <c r="EL77" s="72"/>
      <c r="EM77" s="72"/>
      <c r="EN77" s="72"/>
      <c r="EO77" s="72"/>
      <c r="EP77" s="72"/>
      <c r="EQ77" s="72"/>
      <c r="ER77" s="72"/>
      <c r="ES77" s="72"/>
      <c r="ET77" s="72"/>
      <c r="EU77" s="72"/>
      <c r="EV77" s="72"/>
      <c r="EW77" s="72"/>
      <c r="EX77" s="72"/>
      <c r="EY77" s="72"/>
      <c r="EZ77" s="72"/>
      <c r="FA77" s="72"/>
      <c r="FB77" s="72"/>
      <c r="FC77" s="72"/>
      <c r="FD77" s="72"/>
      <c r="FE77" s="72"/>
      <c r="FF77" s="72"/>
      <c r="FG77" s="72"/>
      <c r="FH77" s="72"/>
      <c r="FI77" s="72"/>
      <c r="FJ77" s="72"/>
      <c r="FK77" s="72"/>
      <c r="FL77" s="72"/>
      <c r="FM77" s="72"/>
      <c r="FN77" s="72"/>
      <c r="FO77" s="72"/>
      <c r="FP77" s="72"/>
      <c r="FQ77" s="72"/>
      <c r="FR77" s="72"/>
      <c r="FS77" s="72"/>
      <c r="FT77" s="72"/>
      <c r="FU77" s="72"/>
      <c r="FV77" s="72"/>
      <c r="FW77" s="72"/>
      <c r="FX77" s="72"/>
      <c r="FY77" s="72"/>
      <c r="FZ77" s="72"/>
      <c r="GA77" s="72"/>
      <c r="GB77" s="72"/>
      <c r="GC77" s="72"/>
      <c r="GD77" s="72"/>
      <c r="GE77" s="72"/>
      <c r="GF77" s="72"/>
      <c r="GG77" s="72"/>
      <c r="GH77" s="72"/>
      <c r="GI77" s="72"/>
      <c r="GJ77" s="72"/>
      <c r="GK77" s="72"/>
      <c r="GL77" s="72"/>
      <c r="GM77" s="72"/>
      <c r="GN77" s="72"/>
      <c r="GO77" s="72"/>
      <c r="GP77" s="72"/>
      <c r="GQ77" s="72"/>
      <c r="GR77" s="72"/>
      <c r="GS77" s="72"/>
      <c r="GT77" s="72"/>
      <c r="GU77" s="72"/>
      <c r="GV77" s="72"/>
      <c r="GW77" s="72"/>
      <c r="GX77" s="72"/>
      <c r="GY77" s="72"/>
      <c r="GZ77" s="72"/>
      <c r="HA77" s="72"/>
      <c r="HB77" s="72"/>
      <c r="HC77" s="72"/>
      <c r="HD77" s="72"/>
      <c r="HE77" s="72"/>
      <c r="HF77" s="72"/>
      <c r="HG77" s="72"/>
      <c r="HH77" s="72"/>
      <c r="HI77" s="72"/>
      <c r="HJ77" s="72"/>
      <c r="HK77" s="72"/>
      <c r="HL77" s="72"/>
      <c r="HM77" s="72"/>
      <c r="HN77" s="72"/>
      <c r="HO77" s="72"/>
      <c r="HP77" s="72"/>
      <c r="HQ77" s="72"/>
      <c r="HR77" s="72"/>
      <c r="HS77" s="72"/>
      <c r="HT77" s="72"/>
      <c r="HU77" s="72"/>
      <c r="HV77" s="72"/>
      <c r="HW77" s="72"/>
      <c r="HX77" s="72"/>
      <c r="HY77" s="72"/>
      <c r="HZ77" s="72"/>
      <c r="IA77" s="72"/>
      <c r="IB77" s="72"/>
      <c r="IC77" s="72"/>
      <c r="ID77" s="72"/>
      <c r="IE77" s="72"/>
      <c r="IF77" s="72"/>
      <c r="IG77" s="72"/>
      <c r="IH77" s="72"/>
      <c r="II77" s="72"/>
      <c r="IJ77" s="72"/>
      <c r="IK77" s="72"/>
      <c r="IL77" s="72"/>
      <c r="IM77" s="72"/>
      <c r="IN77" s="72"/>
      <c r="IO77" s="72"/>
      <c r="IP77" s="72"/>
      <c r="IQ77" s="72"/>
      <c r="IR77" s="72"/>
      <c r="IS77" s="72"/>
      <c r="IT77" s="72"/>
      <c r="IU77" s="72"/>
      <c r="IV77" s="72"/>
      <c r="IW77" s="72"/>
      <c r="IX77" s="72"/>
      <c r="IY77" s="72"/>
      <c r="IZ77" s="72"/>
      <c r="JA77" s="72"/>
      <c r="JB77" s="72"/>
      <c r="JC77" s="72"/>
      <c r="JD77" s="72"/>
      <c r="JE77" s="72"/>
      <c r="JF77" s="72"/>
      <c r="JG77" s="72"/>
      <c r="JH77" s="72"/>
      <c r="JI77" s="72"/>
      <c r="JJ77" s="72"/>
      <c r="JK77" s="72"/>
      <c r="JL77" s="72"/>
      <c r="JM77" s="72"/>
      <c r="JN77" s="72"/>
      <c r="JO77" s="72"/>
      <c r="JP77" s="72"/>
      <c r="JQ77" s="72"/>
      <c r="JR77" s="72"/>
      <c r="JS77" s="72"/>
      <c r="JT77" s="72"/>
      <c r="JU77" s="72"/>
      <c r="JV77" s="72"/>
      <c r="JW77" s="72"/>
      <c r="JX77" s="72"/>
      <c r="JY77" s="72"/>
      <c r="JZ77" s="72"/>
      <c r="KA77" s="72"/>
      <c r="KB77" s="72"/>
      <c r="KC77" s="72"/>
      <c r="KD77" s="72"/>
      <c r="KE77" s="72"/>
      <c r="KF77" s="72"/>
      <c r="KG77" s="72"/>
      <c r="KH77" s="72"/>
      <c r="KI77" s="72"/>
    </row>
    <row r="78" ht="29" customHeight="1" spans="1:295">
      <c r="A78" s="37" t="s">
        <v>1133</v>
      </c>
      <c r="B78" s="748" t="s">
        <v>1132</v>
      </c>
      <c r="C78" s="69">
        <v>10.5</v>
      </c>
      <c r="D78" s="70">
        <v>1845</v>
      </c>
      <c r="E78" s="69">
        <v>10.5</v>
      </c>
      <c r="F78" s="70">
        <v>1845</v>
      </c>
      <c r="G78" s="70">
        <v>32</v>
      </c>
      <c r="H78" s="70" t="s">
        <v>405</v>
      </c>
      <c r="I78" s="69">
        <v>16.3</v>
      </c>
      <c r="J78" s="70">
        <v>2860</v>
      </c>
      <c r="K78" s="69">
        <v>16.3</v>
      </c>
      <c r="L78" s="70">
        <v>2860</v>
      </c>
      <c r="M78" s="70" t="s">
        <v>1120</v>
      </c>
      <c r="N78" s="70" t="s">
        <v>457</v>
      </c>
      <c r="O78" s="69">
        <v>14.3</v>
      </c>
      <c r="P78" s="70">
        <v>2440</v>
      </c>
      <c r="Q78" s="69">
        <v>14.3</v>
      </c>
      <c r="R78" s="70">
        <v>2440</v>
      </c>
      <c r="S78" s="70" t="s">
        <v>1121</v>
      </c>
      <c r="T78" s="70" t="s">
        <v>1124</v>
      </c>
      <c r="U78" s="71"/>
      <c r="V78" s="72"/>
      <c r="W78" s="72"/>
      <c r="X78" s="72"/>
      <c r="Y78" s="72"/>
      <c r="Z78" s="72"/>
      <c r="AA78" s="72"/>
      <c r="AB78" s="72"/>
      <c r="AC78" s="72"/>
      <c r="AD78" s="72"/>
      <c r="AE78" s="72"/>
      <c r="AF78" s="72"/>
      <c r="AG78" s="72"/>
      <c r="AH78" s="72"/>
      <c r="AI78" s="72"/>
      <c r="AJ78" s="72"/>
      <c r="AK78" s="72"/>
      <c r="AL78" s="72"/>
      <c r="AM78" s="72"/>
      <c r="AN78" s="72"/>
      <c r="AO78" s="72"/>
      <c r="AP78" s="72"/>
      <c r="AQ78" s="72"/>
      <c r="AR78" s="72"/>
      <c r="AS78" s="72"/>
      <c r="AT78" s="72"/>
      <c r="AU78" s="72"/>
      <c r="AV78" s="72"/>
      <c r="AW78" s="72"/>
      <c r="AX78" s="72"/>
      <c r="AY78" s="72"/>
      <c r="AZ78" s="72"/>
      <c r="BA78" s="72"/>
      <c r="BB78" s="72"/>
      <c r="BC78" s="72"/>
      <c r="BD78" s="72"/>
      <c r="BE78" s="72"/>
      <c r="BF78" s="72"/>
      <c r="BG78" s="72"/>
      <c r="BH78" s="72"/>
      <c r="BI78" s="72"/>
      <c r="BJ78" s="72"/>
      <c r="BK78" s="72"/>
      <c r="BL78" s="72"/>
      <c r="BM78" s="72"/>
      <c r="BN78" s="72"/>
      <c r="BO78" s="72"/>
      <c r="BP78" s="72"/>
      <c r="BQ78" s="72"/>
      <c r="BR78" s="72"/>
      <c r="BS78" s="72"/>
      <c r="BT78" s="72"/>
      <c r="BU78" s="72"/>
      <c r="BV78" s="72"/>
      <c r="BW78" s="72"/>
      <c r="BX78" s="72"/>
      <c r="BY78" s="72"/>
      <c r="BZ78" s="72"/>
      <c r="CA78" s="72"/>
      <c r="CB78" s="72"/>
      <c r="CC78" s="72"/>
      <c r="CD78" s="72"/>
      <c r="CE78" s="72"/>
      <c r="CF78" s="72"/>
      <c r="CG78" s="72"/>
      <c r="CH78" s="72"/>
      <c r="CI78" s="72"/>
      <c r="CJ78" s="72"/>
      <c r="CK78" s="72"/>
      <c r="CL78" s="72"/>
      <c r="CM78" s="72"/>
      <c r="CN78" s="72"/>
      <c r="CO78" s="72"/>
      <c r="CP78" s="72"/>
      <c r="CQ78" s="72"/>
      <c r="CR78" s="72"/>
      <c r="CS78" s="72"/>
      <c r="CT78" s="72"/>
      <c r="CU78" s="72"/>
      <c r="CV78" s="72"/>
      <c r="CW78" s="72"/>
      <c r="CX78" s="72"/>
      <c r="CY78" s="72"/>
      <c r="CZ78" s="72"/>
      <c r="DA78" s="72"/>
      <c r="DB78" s="72"/>
      <c r="DC78" s="72"/>
      <c r="DD78" s="72"/>
      <c r="DE78" s="72"/>
      <c r="DF78" s="72"/>
      <c r="DG78" s="72"/>
      <c r="DH78" s="72"/>
      <c r="DI78" s="72"/>
      <c r="DJ78" s="72"/>
      <c r="DK78" s="72"/>
      <c r="DL78" s="72"/>
      <c r="DM78" s="72"/>
      <c r="DN78" s="72"/>
      <c r="DO78" s="72"/>
      <c r="DP78" s="72"/>
      <c r="DQ78" s="72"/>
      <c r="DR78" s="72"/>
      <c r="DS78" s="72"/>
      <c r="DT78" s="72"/>
      <c r="DU78" s="72"/>
      <c r="DV78" s="72"/>
      <c r="DW78" s="72"/>
      <c r="DX78" s="72"/>
      <c r="DY78" s="72"/>
      <c r="DZ78" s="72"/>
      <c r="EA78" s="72"/>
      <c r="EB78" s="72"/>
      <c r="EC78" s="72"/>
      <c r="ED78" s="72"/>
      <c r="EE78" s="72"/>
      <c r="EF78" s="72"/>
      <c r="EG78" s="72"/>
      <c r="EH78" s="72"/>
      <c r="EI78" s="72"/>
      <c r="EJ78" s="72"/>
      <c r="EK78" s="72"/>
      <c r="EL78" s="72"/>
      <c r="EM78" s="72"/>
      <c r="EN78" s="72"/>
      <c r="EO78" s="72"/>
      <c r="EP78" s="72"/>
      <c r="EQ78" s="72"/>
      <c r="ER78" s="72"/>
      <c r="ES78" s="72"/>
      <c r="ET78" s="72"/>
      <c r="EU78" s="72"/>
      <c r="EV78" s="72"/>
      <c r="EW78" s="72"/>
      <c r="EX78" s="72"/>
      <c r="EY78" s="72"/>
      <c r="EZ78" s="72"/>
      <c r="FA78" s="72"/>
      <c r="FB78" s="72"/>
      <c r="FC78" s="72"/>
      <c r="FD78" s="72"/>
      <c r="FE78" s="72"/>
      <c r="FF78" s="72"/>
      <c r="FG78" s="72"/>
      <c r="FH78" s="72"/>
      <c r="FI78" s="72"/>
      <c r="FJ78" s="72"/>
      <c r="FK78" s="72"/>
      <c r="FL78" s="72"/>
      <c r="FM78" s="72"/>
      <c r="FN78" s="72"/>
      <c r="FO78" s="72"/>
      <c r="FP78" s="72"/>
      <c r="FQ78" s="72"/>
      <c r="FR78" s="72"/>
      <c r="FS78" s="72"/>
      <c r="FT78" s="72"/>
      <c r="FU78" s="72"/>
      <c r="FV78" s="72"/>
      <c r="FW78" s="72"/>
      <c r="FX78" s="72"/>
      <c r="FY78" s="72"/>
      <c r="FZ78" s="72"/>
      <c r="GA78" s="72"/>
      <c r="GB78" s="72"/>
      <c r="GC78" s="72"/>
      <c r="GD78" s="72"/>
      <c r="GE78" s="72"/>
      <c r="GF78" s="72"/>
      <c r="GG78" s="72"/>
      <c r="GH78" s="72"/>
      <c r="GI78" s="72"/>
      <c r="GJ78" s="72"/>
      <c r="GK78" s="72"/>
      <c r="GL78" s="72"/>
      <c r="GM78" s="72"/>
      <c r="GN78" s="72"/>
      <c r="GO78" s="72"/>
      <c r="GP78" s="72"/>
      <c r="GQ78" s="72"/>
      <c r="GR78" s="72"/>
      <c r="GS78" s="72"/>
      <c r="GT78" s="72"/>
      <c r="GU78" s="72"/>
      <c r="GV78" s="72"/>
      <c r="GW78" s="72"/>
      <c r="GX78" s="72"/>
      <c r="GY78" s="72"/>
      <c r="GZ78" s="72"/>
      <c r="HA78" s="72"/>
      <c r="HB78" s="72"/>
      <c r="HC78" s="72"/>
      <c r="HD78" s="72"/>
      <c r="HE78" s="72"/>
      <c r="HF78" s="72"/>
      <c r="HG78" s="72"/>
      <c r="HH78" s="72"/>
      <c r="HI78" s="72"/>
      <c r="HJ78" s="72"/>
      <c r="HK78" s="72"/>
      <c r="HL78" s="72"/>
      <c r="HM78" s="72"/>
      <c r="HN78" s="72"/>
      <c r="HO78" s="72"/>
      <c r="HP78" s="72"/>
      <c r="HQ78" s="72"/>
      <c r="HR78" s="72"/>
      <c r="HS78" s="72"/>
      <c r="HT78" s="72"/>
      <c r="HU78" s="72"/>
      <c r="HV78" s="72"/>
      <c r="HW78" s="72"/>
      <c r="HX78" s="72"/>
      <c r="HY78" s="72"/>
      <c r="HZ78" s="72"/>
      <c r="IA78" s="72"/>
      <c r="IB78" s="72"/>
      <c r="IC78" s="72"/>
      <c r="ID78" s="72"/>
      <c r="IE78" s="72"/>
      <c r="IF78" s="72"/>
      <c r="IG78" s="72"/>
      <c r="IH78" s="72"/>
      <c r="II78" s="72"/>
      <c r="IJ78" s="72"/>
      <c r="IK78" s="72"/>
      <c r="IL78" s="72"/>
      <c r="IM78" s="72"/>
      <c r="IN78" s="72"/>
      <c r="IO78" s="72"/>
      <c r="IP78" s="72"/>
      <c r="IQ78" s="72"/>
      <c r="IR78" s="72"/>
      <c r="IS78" s="72"/>
      <c r="IT78" s="72"/>
      <c r="IU78" s="72"/>
      <c r="IV78" s="72"/>
      <c r="IW78" s="72"/>
      <c r="IX78" s="72"/>
      <c r="IY78" s="72"/>
      <c r="IZ78" s="72"/>
      <c r="JA78" s="72"/>
      <c r="JB78" s="72"/>
      <c r="JC78" s="72"/>
      <c r="JD78" s="72"/>
      <c r="JE78" s="72"/>
      <c r="JF78" s="72"/>
      <c r="JG78" s="72"/>
      <c r="JH78" s="72"/>
      <c r="JI78" s="72"/>
      <c r="JJ78" s="72"/>
      <c r="JK78" s="72"/>
      <c r="JL78" s="72"/>
      <c r="JM78" s="72"/>
      <c r="JN78" s="72"/>
      <c r="JO78" s="72"/>
      <c r="JP78" s="72"/>
      <c r="JQ78" s="72"/>
      <c r="JR78" s="72"/>
      <c r="JS78" s="72"/>
      <c r="JT78" s="72"/>
      <c r="JU78" s="72"/>
      <c r="JV78" s="72"/>
      <c r="JW78" s="72"/>
      <c r="JX78" s="72"/>
      <c r="JY78" s="72"/>
      <c r="JZ78" s="72"/>
      <c r="KA78" s="72"/>
      <c r="KB78" s="72"/>
      <c r="KC78" s="72"/>
      <c r="KD78" s="72"/>
      <c r="KE78" s="72"/>
      <c r="KF78" s="72"/>
      <c r="KG78" s="72"/>
      <c r="KH78" s="72"/>
      <c r="KI78" s="72"/>
    </row>
    <row r="79" ht="29" customHeight="1" spans="1:295">
      <c r="A79" s="37" t="s">
        <v>1134</v>
      </c>
      <c r="B79" s="747" t="s">
        <v>1135</v>
      </c>
      <c r="C79" s="69">
        <v>10.5</v>
      </c>
      <c r="D79" s="70">
        <v>1845</v>
      </c>
      <c r="E79" s="69">
        <v>10.5</v>
      </c>
      <c r="F79" s="70">
        <v>1845</v>
      </c>
      <c r="G79" s="70">
        <v>32</v>
      </c>
      <c r="H79" s="70" t="s">
        <v>405</v>
      </c>
      <c r="I79" s="69">
        <v>16.3</v>
      </c>
      <c r="J79" s="70">
        <v>2860</v>
      </c>
      <c r="K79" s="69">
        <v>16.3</v>
      </c>
      <c r="L79" s="70">
        <v>2860</v>
      </c>
      <c r="M79" s="70" t="s">
        <v>1120</v>
      </c>
      <c r="N79" s="70" t="s">
        <v>457</v>
      </c>
      <c r="O79" s="69">
        <v>14.3</v>
      </c>
      <c r="P79" s="70">
        <v>2440</v>
      </c>
      <c r="Q79" s="69">
        <v>14.3</v>
      </c>
      <c r="R79" s="70">
        <v>2440</v>
      </c>
      <c r="S79" s="70" t="s">
        <v>1121</v>
      </c>
      <c r="T79" s="70" t="s">
        <v>1124</v>
      </c>
      <c r="U79" s="71"/>
      <c r="V79" s="72"/>
      <c r="W79" s="72"/>
      <c r="X79" s="72"/>
      <c r="Y79" s="72"/>
      <c r="Z79" s="72"/>
      <c r="AA79" s="72"/>
      <c r="AB79" s="72"/>
      <c r="AC79" s="72"/>
      <c r="AD79" s="72"/>
      <c r="AE79" s="72"/>
      <c r="AF79" s="72"/>
      <c r="AG79" s="72"/>
      <c r="AH79" s="72"/>
      <c r="AI79" s="72"/>
      <c r="AJ79" s="72"/>
      <c r="AK79" s="72"/>
      <c r="AL79" s="72"/>
      <c r="AM79" s="72"/>
      <c r="AN79" s="72"/>
      <c r="AO79" s="72"/>
      <c r="AP79" s="72"/>
      <c r="AQ79" s="72"/>
      <c r="AR79" s="72"/>
      <c r="AS79" s="72"/>
      <c r="AT79" s="72"/>
      <c r="AU79" s="72"/>
      <c r="AV79" s="72"/>
      <c r="AW79" s="72"/>
      <c r="AX79" s="72"/>
      <c r="AY79" s="72"/>
      <c r="AZ79" s="72"/>
      <c r="BA79" s="72"/>
      <c r="BB79" s="72"/>
      <c r="BC79" s="72"/>
      <c r="BD79" s="72"/>
      <c r="BE79" s="72"/>
      <c r="BF79" s="72"/>
      <c r="BG79" s="72"/>
      <c r="BH79" s="72"/>
      <c r="BI79" s="72"/>
      <c r="BJ79" s="72"/>
      <c r="BK79" s="72"/>
      <c r="BL79" s="72"/>
      <c r="BM79" s="72"/>
      <c r="BN79" s="72"/>
      <c r="BO79" s="72"/>
      <c r="BP79" s="72"/>
      <c r="BQ79" s="72"/>
      <c r="BR79" s="72"/>
      <c r="BS79" s="72"/>
      <c r="BT79" s="72"/>
      <c r="BU79" s="72"/>
      <c r="BV79" s="72"/>
      <c r="BW79" s="72"/>
      <c r="BX79" s="72"/>
      <c r="BY79" s="72"/>
      <c r="BZ79" s="72"/>
      <c r="CA79" s="72"/>
      <c r="CB79" s="72"/>
      <c r="CC79" s="72"/>
      <c r="CD79" s="72"/>
      <c r="CE79" s="72"/>
      <c r="CF79" s="72"/>
      <c r="CG79" s="72"/>
      <c r="CH79" s="72"/>
      <c r="CI79" s="72"/>
      <c r="CJ79" s="72"/>
      <c r="CK79" s="72"/>
      <c r="CL79" s="72"/>
      <c r="CM79" s="72"/>
      <c r="CN79" s="72"/>
      <c r="CO79" s="72"/>
      <c r="CP79" s="72"/>
      <c r="CQ79" s="72"/>
      <c r="CR79" s="72"/>
      <c r="CS79" s="72"/>
      <c r="CT79" s="72"/>
      <c r="CU79" s="72"/>
      <c r="CV79" s="72"/>
      <c r="CW79" s="72"/>
      <c r="CX79" s="72"/>
      <c r="CY79" s="72"/>
      <c r="CZ79" s="72"/>
      <c r="DA79" s="72"/>
      <c r="DB79" s="72"/>
      <c r="DC79" s="72"/>
      <c r="DD79" s="72"/>
      <c r="DE79" s="72"/>
      <c r="DF79" s="72"/>
      <c r="DG79" s="72"/>
      <c r="DH79" s="72"/>
      <c r="DI79" s="72"/>
      <c r="DJ79" s="72"/>
      <c r="DK79" s="72"/>
      <c r="DL79" s="72"/>
      <c r="DM79" s="72"/>
      <c r="DN79" s="72"/>
      <c r="DO79" s="72"/>
      <c r="DP79" s="72"/>
      <c r="DQ79" s="72"/>
      <c r="DR79" s="72"/>
      <c r="DS79" s="72"/>
      <c r="DT79" s="72"/>
      <c r="DU79" s="72"/>
      <c r="DV79" s="72"/>
      <c r="DW79" s="72"/>
      <c r="DX79" s="72"/>
      <c r="DY79" s="72"/>
      <c r="DZ79" s="72"/>
      <c r="EA79" s="72"/>
      <c r="EB79" s="72"/>
      <c r="EC79" s="72"/>
      <c r="ED79" s="72"/>
      <c r="EE79" s="72"/>
      <c r="EF79" s="72"/>
      <c r="EG79" s="72"/>
      <c r="EH79" s="72"/>
      <c r="EI79" s="72"/>
      <c r="EJ79" s="72"/>
      <c r="EK79" s="72"/>
      <c r="EL79" s="72"/>
      <c r="EM79" s="72"/>
      <c r="EN79" s="72"/>
      <c r="EO79" s="72"/>
      <c r="EP79" s="72"/>
      <c r="EQ79" s="72"/>
      <c r="ER79" s="72"/>
      <c r="ES79" s="72"/>
      <c r="ET79" s="72"/>
      <c r="EU79" s="72"/>
      <c r="EV79" s="72"/>
      <c r="EW79" s="72"/>
      <c r="EX79" s="72"/>
      <c r="EY79" s="72"/>
      <c r="EZ79" s="72"/>
      <c r="FA79" s="72"/>
      <c r="FB79" s="72"/>
      <c r="FC79" s="72"/>
      <c r="FD79" s="72"/>
      <c r="FE79" s="72"/>
      <c r="FF79" s="72"/>
      <c r="FG79" s="72"/>
      <c r="FH79" s="72"/>
      <c r="FI79" s="72"/>
      <c r="FJ79" s="72"/>
      <c r="FK79" s="72"/>
      <c r="FL79" s="72"/>
      <c r="FM79" s="72"/>
      <c r="FN79" s="72"/>
      <c r="FO79" s="72"/>
      <c r="FP79" s="72"/>
      <c r="FQ79" s="72"/>
      <c r="FR79" s="72"/>
      <c r="FS79" s="72"/>
      <c r="FT79" s="72"/>
      <c r="FU79" s="72"/>
      <c r="FV79" s="72"/>
      <c r="FW79" s="72"/>
      <c r="FX79" s="72"/>
      <c r="FY79" s="72"/>
      <c r="FZ79" s="72"/>
      <c r="GA79" s="72"/>
      <c r="GB79" s="72"/>
      <c r="GC79" s="72"/>
      <c r="GD79" s="72"/>
      <c r="GE79" s="72"/>
      <c r="GF79" s="72"/>
      <c r="GG79" s="72"/>
      <c r="GH79" s="72"/>
      <c r="GI79" s="72"/>
      <c r="GJ79" s="72"/>
      <c r="GK79" s="72"/>
      <c r="GL79" s="72"/>
      <c r="GM79" s="72"/>
      <c r="GN79" s="72"/>
      <c r="GO79" s="72"/>
      <c r="GP79" s="72"/>
      <c r="GQ79" s="72"/>
      <c r="GR79" s="72"/>
      <c r="GS79" s="72"/>
      <c r="GT79" s="72"/>
      <c r="GU79" s="72"/>
      <c r="GV79" s="72"/>
      <c r="GW79" s="72"/>
      <c r="GX79" s="72"/>
      <c r="GY79" s="72"/>
      <c r="GZ79" s="72"/>
      <c r="HA79" s="72"/>
      <c r="HB79" s="72"/>
      <c r="HC79" s="72"/>
      <c r="HD79" s="72"/>
      <c r="HE79" s="72"/>
      <c r="HF79" s="72"/>
      <c r="HG79" s="72"/>
      <c r="HH79" s="72"/>
      <c r="HI79" s="72"/>
      <c r="HJ79" s="72"/>
      <c r="HK79" s="72"/>
      <c r="HL79" s="72"/>
      <c r="HM79" s="72"/>
      <c r="HN79" s="72"/>
      <c r="HO79" s="72"/>
      <c r="HP79" s="72"/>
      <c r="HQ79" s="72"/>
      <c r="HR79" s="72"/>
      <c r="HS79" s="72"/>
      <c r="HT79" s="72"/>
      <c r="HU79" s="72"/>
      <c r="HV79" s="72"/>
      <c r="HW79" s="72"/>
      <c r="HX79" s="72"/>
      <c r="HY79" s="72"/>
      <c r="HZ79" s="72"/>
      <c r="IA79" s="72"/>
      <c r="IB79" s="72"/>
      <c r="IC79" s="72"/>
      <c r="ID79" s="72"/>
      <c r="IE79" s="72"/>
      <c r="IF79" s="72"/>
      <c r="IG79" s="72"/>
      <c r="IH79" s="72"/>
      <c r="II79" s="72"/>
      <c r="IJ79" s="72"/>
      <c r="IK79" s="72"/>
      <c r="IL79" s="72"/>
      <c r="IM79" s="72"/>
      <c r="IN79" s="72"/>
      <c r="IO79" s="72"/>
      <c r="IP79" s="72"/>
      <c r="IQ79" s="72"/>
      <c r="IR79" s="72"/>
      <c r="IS79" s="72"/>
      <c r="IT79" s="72"/>
      <c r="IU79" s="72"/>
      <c r="IV79" s="72"/>
      <c r="IW79" s="72"/>
      <c r="IX79" s="72"/>
      <c r="IY79" s="72"/>
      <c r="IZ79" s="72"/>
      <c r="JA79" s="72"/>
      <c r="JB79" s="72"/>
      <c r="JC79" s="72"/>
      <c r="JD79" s="72"/>
      <c r="JE79" s="72"/>
      <c r="JF79" s="72"/>
      <c r="JG79" s="72"/>
      <c r="JH79" s="72"/>
      <c r="JI79" s="72"/>
      <c r="JJ79" s="72"/>
      <c r="JK79" s="72"/>
      <c r="JL79" s="72"/>
      <c r="JM79" s="72"/>
      <c r="JN79" s="72"/>
      <c r="JO79" s="72"/>
      <c r="JP79" s="72"/>
      <c r="JQ79" s="72"/>
      <c r="JR79" s="72"/>
      <c r="JS79" s="72"/>
      <c r="JT79" s="72"/>
      <c r="JU79" s="72"/>
      <c r="JV79" s="72"/>
      <c r="JW79" s="72"/>
      <c r="JX79" s="72"/>
      <c r="JY79" s="72"/>
      <c r="JZ79" s="72"/>
      <c r="KA79" s="72"/>
      <c r="KB79" s="72"/>
      <c r="KC79" s="72"/>
      <c r="KD79" s="72"/>
      <c r="KE79" s="72"/>
      <c r="KF79" s="72"/>
      <c r="KG79" s="72"/>
      <c r="KH79" s="72"/>
      <c r="KI79" s="72"/>
    </row>
    <row r="80" ht="29" customHeight="1" spans="1:295">
      <c r="A80" s="37" t="s">
        <v>1136</v>
      </c>
      <c r="B80" s="748" t="s">
        <v>1137</v>
      </c>
      <c r="C80" s="69">
        <v>10.5</v>
      </c>
      <c r="D80" s="70">
        <v>1845</v>
      </c>
      <c r="E80" s="69">
        <v>10.5</v>
      </c>
      <c r="F80" s="70">
        <v>1845</v>
      </c>
      <c r="G80" s="70">
        <v>32</v>
      </c>
      <c r="H80" s="70" t="s">
        <v>405</v>
      </c>
      <c r="I80" s="69">
        <v>16.3</v>
      </c>
      <c r="J80" s="70">
        <v>2860</v>
      </c>
      <c r="K80" s="69">
        <v>16.3</v>
      </c>
      <c r="L80" s="70">
        <v>2860</v>
      </c>
      <c r="M80" s="70" t="s">
        <v>1120</v>
      </c>
      <c r="N80" s="70" t="s">
        <v>457</v>
      </c>
      <c r="O80" s="69">
        <v>14.3</v>
      </c>
      <c r="P80" s="70">
        <v>2440</v>
      </c>
      <c r="Q80" s="69">
        <v>14.3</v>
      </c>
      <c r="R80" s="70">
        <v>2440</v>
      </c>
      <c r="S80" s="70" t="s">
        <v>1121</v>
      </c>
      <c r="T80" s="70" t="s">
        <v>1124</v>
      </c>
      <c r="U80" s="71"/>
      <c r="V80" s="72"/>
      <c r="W80" s="72"/>
      <c r="X80" s="72"/>
      <c r="Y80" s="72"/>
      <c r="Z80" s="72"/>
      <c r="AA80" s="72"/>
      <c r="AB80" s="72"/>
      <c r="AC80" s="72"/>
      <c r="AD80" s="72"/>
      <c r="AE80" s="72"/>
      <c r="AF80" s="72"/>
      <c r="AG80" s="72"/>
      <c r="AH80" s="72"/>
      <c r="AI80" s="72"/>
      <c r="AJ80" s="72"/>
      <c r="AK80" s="72"/>
      <c r="AL80" s="72"/>
      <c r="AM80" s="72"/>
      <c r="AN80" s="72"/>
      <c r="AO80" s="72"/>
      <c r="AP80" s="72"/>
      <c r="AQ80" s="72"/>
      <c r="AR80" s="72"/>
      <c r="AS80" s="72"/>
      <c r="AT80" s="72"/>
      <c r="AU80" s="72"/>
      <c r="AV80" s="72"/>
      <c r="AW80" s="72"/>
      <c r="AX80" s="72"/>
      <c r="AY80" s="72"/>
      <c r="AZ80" s="72"/>
      <c r="BA80" s="72"/>
      <c r="BB80" s="72"/>
      <c r="BC80" s="72"/>
      <c r="BD80" s="72"/>
      <c r="BE80" s="72"/>
      <c r="BF80" s="72"/>
      <c r="BG80" s="72"/>
      <c r="BH80" s="72"/>
      <c r="BI80" s="72"/>
      <c r="BJ80" s="72"/>
      <c r="BK80" s="72"/>
      <c r="BL80" s="72"/>
      <c r="BM80" s="72"/>
      <c r="BN80" s="72"/>
      <c r="BO80" s="72"/>
      <c r="BP80" s="72"/>
      <c r="BQ80" s="72"/>
      <c r="BR80" s="72"/>
      <c r="BS80" s="72"/>
      <c r="BT80" s="72"/>
      <c r="BU80" s="72"/>
      <c r="BV80" s="72"/>
      <c r="BW80" s="72"/>
      <c r="BX80" s="72"/>
      <c r="BY80" s="72"/>
      <c r="BZ80" s="72"/>
      <c r="CA80" s="72"/>
      <c r="CB80" s="72"/>
      <c r="CC80" s="72"/>
      <c r="CD80" s="72"/>
      <c r="CE80" s="72"/>
      <c r="CF80" s="72"/>
      <c r="CG80" s="72"/>
      <c r="CH80" s="72"/>
      <c r="CI80" s="72"/>
      <c r="CJ80" s="72"/>
      <c r="CK80" s="72"/>
      <c r="CL80" s="72"/>
      <c r="CM80" s="72"/>
      <c r="CN80" s="72"/>
      <c r="CO80" s="72"/>
      <c r="CP80" s="72"/>
      <c r="CQ80" s="72"/>
      <c r="CR80" s="72"/>
      <c r="CS80" s="72"/>
      <c r="CT80" s="72"/>
      <c r="CU80" s="72"/>
      <c r="CV80" s="72"/>
      <c r="CW80" s="72"/>
      <c r="CX80" s="72"/>
      <c r="CY80" s="72"/>
      <c r="CZ80" s="72"/>
      <c r="DA80" s="72"/>
      <c r="DB80" s="72"/>
      <c r="DC80" s="72"/>
      <c r="DD80" s="72"/>
      <c r="DE80" s="72"/>
      <c r="DF80" s="72"/>
      <c r="DG80" s="72"/>
      <c r="DH80" s="72"/>
      <c r="DI80" s="72"/>
      <c r="DJ80" s="72"/>
      <c r="DK80" s="72"/>
      <c r="DL80" s="72"/>
      <c r="DM80" s="72"/>
      <c r="DN80" s="72"/>
      <c r="DO80" s="72"/>
      <c r="DP80" s="72"/>
      <c r="DQ80" s="72"/>
      <c r="DR80" s="72"/>
      <c r="DS80" s="72"/>
      <c r="DT80" s="72"/>
      <c r="DU80" s="72"/>
      <c r="DV80" s="72"/>
      <c r="DW80" s="72"/>
      <c r="DX80" s="72"/>
      <c r="DY80" s="72"/>
      <c r="DZ80" s="72"/>
      <c r="EA80" s="72"/>
      <c r="EB80" s="72"/>
      <c r="EC80" s="72"/>
      <c r="ED80" s="72"/>
      <c r="EE80" s="72"/>
      <c r="EF80" s="72"/>
      <c r="EG80" s="72"/>
      <c r="EH80" s="72"/>
      <c r="EI80" s="72"/>
      <c r="EJ80" s="72"/>
      <c r="EK80" s="72"/>
      <c r="EL80" s="72"/>
      <c r="EM80" s="72"/>
      <c r="EN80" s="72"/>
      <c r="EO80" s="72"/>
      <c r="EP80" s="72"/>
      <c r="EQ80" s="72"/>
      <c r="ER80" s="72"/>
      <c r="ES80" s="72"/>
      <c r="ET80" s="72"/>
      <c r="EU80" s="72"/>
      <c r="EV80" s="72"/>
      <c r="EW80" s="72"/>
      <c r="EX80" s="72"/>
      <c r="EY80" s="72"/>
      <c r="EZ80" s="72"/>
      <c r="FA80" s="72"/>
      <c r="FB80" s="72"/>
      <c r="FC80" s="72"/>
      <c r="FD80" s="72"/>
      <c r="FE80" s="72"/>
      <c r="FF80" s="72"/>
      <c r="FG80" s="72"/>
      <c r="FH80" s="72"/>
      <c r="FI80" s="72"/>
      <c r="FJ80" s="72"/>
      <c r="FK80" s="72"/>
      <c r="FL80" s="72"/>
      <c r="FM80" s="72"/>
      <c r="FN80" s="72"/>
      <c r="FO80" s="72"/>
      <c r="FP80" s="72"/>
      <c r="FQ80" s="72"/>
      <c r="FR80" s="72"/>
      <c r="FS80" s="72"/>
      <c r="FT80" s="72"/>
      <c r="FU80" s="72"/>
      <c r="FV80" s="72"/>
      <c r="FW80" s="72"/>
      <c r="FX80" s="72"/>
      <c r="FY80" s="72"/>
      <c r="FZ80" s="72"/>
      <c r="GA80" s="72"/>
      <c r="GB80" s="72"/>
      <c r="GC80" s="72"/>
      <c r="GD80" s="72"/>
      <c r="GE80" s="72"/>
      <c r="GF80" s="72"/>
      <c r="GG80" s="72"/>
      <c r="GH80" s="72"/>
      <c r="GI80" s="72"/>
      <c r="GJ80" s="72"/>
      <c r="GK80" s="72"/>
      <c r="GL80" s="72"/>
      <c r="GM80" s="72"/>
      <c r="GN80" s="72"/>
      <c r="GO80" s="72"/>
      <c r="GP80" s="72"/>
      <c r="GQ80" s="72"/>
      <c r="GR80" s="72"/>
      <c r="GS80" s="72"/>
      <c r="GT80" s="72"/>
      <c r="GU80" s="72"/>
      <c r="GV80" s="72"/>
      <c r="GW80" s="72"/>
      <c r="GX80" s="72"/>
      <c r="GY80" s="72"/>
      <c r="GZ80" s="72"/>
      <c r="HA80" s="72"/>
      <c r="HB80" s="72"/>
      <c r="HC80" s="72"/>
      <c r="HD80" s="72"/>
      <c r="HE80" s="72"/>
      <c r="HF80" s="72"/>
      <c r="HG80" s="72"/>
      <c r="HH80" s="72"/>
      <c r="HI80" s="72"/>
      <c r="HJ80" s="72"/>
      <c r="HK80" s="72"/>
      <c r="HL80" s="72"/>
      <c r="HM80" s="72"/>
      <c r="HN80" s="72"/>
      <c r="HO80" s="72"/>
      <c r="HP80" s="72"/>
      <c r="HQ80" s="72"/>
      <c r="HR80" s="72"/>
      <c r="HS80" s="72"/>
      <c r="HT80" s="72"/>
      <c r="HU80" s="72"/>
      <c r="HV80" s="72"/>
      <c r="HW80" s="72"/>
      <c r="HX80" s="72"/>
      <c r="HY80" s="72"/>
      <c r="HZ80" s="72"/>
      <c r="IA80" s="72"/>
      <c r="IB80" s="72"/>
      <c r="IC80" s="72"/>
      <c r="ID80" s="72"/>
      <c r="IE80" s="72"/>
      <c r="IF80" s="72"/>
      <c r="IG80" s="72"/>
      <c r="IH80" s="72"/>
      <c r="II80" s="72"/>
      <c r="IJ80" s="72"/>
      <c r="IK80" s="72"/>
      <c r="IL80" s="72"/>
      <c r="IM80" s="72"/>
      <c r="IN80" s="72"/>
      <c r="IO80" s="72"/>
      <c r="IP80" s="72"/>
      <c r="IQ80" s="72"/>
      <c r="IR80" s="72"/>
      <c r="IS80" s="72"/>
      <c r="IT80" s="72"/>
      <c r="IU80" s="72"/>
      <c r="IV80" s="72"/>
      <c r="IW80" s="72"/>
      <c r="IX80" s="72"/>
      <c r="IY80" s="72"/>
      <c r="IZ80" s="72"/>
      <c r="JA80" s="72"/>
      <c r="JB80" s="72"/>
      <c r="JC80" s="72"/>
      <c r="JD80" s="72"/>
      <c r="JE80" s="72"/>
      <c r="JF80" s="72"/>
      <c r="JG80" s="72"/>
      <c r="JH80" s="72"/>
      <c r="JI80" s="72"/>
      <c r="JJ80" s="72"/>
      <c r="JK80" s="72"/>
      <c r="JL80" s="72"/>
      <c r="JM80" s="72"/>
      <c r="JN80" s="72"/>
      <c r="JO80" s="72"/>
      <c r="JP80" s="72"/>
      <c r="JQ80" s="72"/>
      <c r="JR80" s="72"/>
      <c r="JS80" s="72"/>
      <c r="JT80" s="72"/>
      <c r="JU80" s="72"/>
      <c r="JV80" s="72"/>
      <c r="JW80" s="72"/>
      <c r="JX80" s="72"/>
      <c r="JY80" s="72"/>
      <c r="JZ80" s="72"/>
      <c r="KA80" s="72"/>
      <c r="KB80" s="72"/>
      <c r="KC80" s="72"/>
      <c r="KD80" s="72"/>
      <c r="KE80" s="72"/>
      <c r="KF80" s="72"/>
      <c r="KG80" s="72"/>
      <c r="KH80" s="72"/>
      <c r="KI80" s="72"/>
    </row>
    <row r="81" ht="29" customHeight="1" spans="1:295">
      <c r="A81" s="37" t="s">
        <v>1138</v>
      </c>
      <c r="B81" s="747" t="s">
        <v>1139</v>
      </c>
      <c r="C81" s="69">
        <v>10.5</v>
      </c>
      <c r="D81" s="70">
        <v>1845</v>
      </c>
      <c r="E81" s="69">
        <v>10.5</v>
      </c>
      <c r="F81" s="70">
        <v>1845</v>
      </c>
      <c r="G81" s="70">
        <v>32</v>
      </c>
      <c r="H81" s="70" t="s">
        <v>405</v>
      </c>
      <c r="I81" s="69">
        <v>16.3</v>
      </c>
      <c r="J81" s="70">
        <v>2860</v>
      </c>
      <c r="K81" s="69">
        <v>16.3</v>
      </c>
      <c r="L81" s="70">
        <v>2860</v>
      </c>
      <c r="M81" s="70" t="s">
        <v>1120</v>
      </c>
      <c r="N81" s="70" t="s">
        <v>457</v>
      </c>
      <c r="O81" s="69">
        <v>14.3</v>
      </c>
      <c r="P81" s="70">
        <v>2440</v>
      </c>
      <c r="Q81" s="69">
        <v>14.3</v>
      </c>
      <c r="R81" s="70">
        <v>2440</v>
      </c>
      <c r="S81" s="70" t="s">
        <v>1121</v>
      </c>
      <c r="T81" s="70" t="s">
        <v>1124</v>
      </c>
      <c r="U81" s="71"/>
      <c r="V81" s="72"/>
      <c r="W81" s="72"/>
      <c r="X81" s="72"/>
      <c r="Y81" s="72"/>
      <c r="Z81" s="72"/>
      <c r="AA81" s="72"/>
      <c r="AB81" s="72"/>
      <c r="AC81" s="72"/>
      <c r="AD81" s="72"/>
      <c r="AE81" s="72"/>
      <c r="AF81" s="72"/>
      <c r="AG81" s="72"/>
      <c r="AH81" s="72"/>
      <c r="AI81" s="72"/>
      <c r="AJ81" s="72"/>
      <c r="AK81" s="72"/>
      <c r="AL81" s="72"/>
      <c r="AM81" s="72"/>
      <c r="AN81" s="72"/>
      <c r="AO81" s="72"/>
      <c r="AP81" s="72"/>
      <c r="AQ81" s="72"/>
      <c r="AR81" s="72"/>
      <c r="AS81" s="72"/>
      <c r="AT81" s="72"/>
      <c r="AU81" s="72"/>
      <c r="AV81" s="72"/>
      <c r="AW81" s="72"/>
      <c r="AX81" s="72"/>
      <c r="AY81" s="72"/>
      <c r="AZ81" s="72"/>
      <c r="BA81" s="72"/>
      <c r="BB81" s="72"/>
      <c r="BC81" s="72"/>
      <c r="BD81" s="72"/>
      <c r="BE81" s="72"/>
      <c r="BF81" s="72"/>
      <c r="BG81" s="72"/>
      <c r="BH81" s="72"/>
      <c r="BI81" s="72"/>
      <c r="BJ81" s="72"/>
      <c r="BK81" s="72"/>
      <c r="BL81" s="72"/>
      <c r="BM81" s="72"/>
      <c r="BN81" s="72"/>
      <c r="BO81" s="72"/>
      <c r="BP81" s="72"/>
      <c r="BQ81" s="72"/>
      <c r="BR81" s="72"/>
      <c r="BS81" s="72"/>
      <c r="BT81" s="72"/>
      <c r="BU81" s="72"/>
      <c r="BV81" s="72"/>
      <c r="BW81" s="72"/>
      <c r="BX81" s="72"/>
      <c r="BY81" s="72"/>
      <c r="BZ81" s="72"/>
      <c r="CA81" s="72"/>
      <c r="CB81" s="72"/>
      <c r="CC81" s="72"/>
      <c r="CD81" s="72"/>
      <c r="CE81" s="72"/>
      <c r="CF81" s="72"/>
      <c r="CG81" s="72"/>
      <c r="CH81" s="72"/>
      <c r="CI81" s="72"/>
      <c r="CJ81" s="72"/>
      <c r="CK81" s="72"/>
      <c r="CL81" s="72"/>
      <c r="CM81" s="72"/>
      <c r="CN81" s="72"/>
      <c r="CO81" s="72"/>
      <c r="CP81" s="72"/>
      <c r="CQ81" s="72"/>
      <c r="CR81" s="72"/>
      <c r="CS81" s="72"/>
      <c r="CT81" s="72"/>
      <c r="CU81" s="72"/>
      <c r="CV81" s="72"/>
      <c r="CW81" s="72"/>
      <c r="CX81" s="72"/>
      <c r="CY81" s="72"/>
      <c r="CZ81" s="72"/>
      <c r="DA81" s="72"/>
      <c r="DB81" s="72"/>
      <c r="DC81" s="72"/>
      <c r="DD81" s="72"/>
      <c r="DE81" s="72"/>
      <c r="DF81" s="72"/>
      <c r="DG81" s="72"/>
      <c r="DH81" s="72"/>
      <c r="DI81" s="72"/>
      <c r="DJ81" s="72"/>
      <c r="DK81" s="72"/>
      <c r="DL81" s="72"/>
      <c r="DM81" s="72"/>
      <c r="DN81" s="72"/>
      <c r="DO81" s="72"/>
      <c r="DP81" s="72"/>
      <c r="DQ81" s="72"/>
      <c r="DR81" s="72"/>
      <c r="DS81" s="72"/>
      <c r="DT81" s="72"/>
      <c r="DU81" s="72"/>
      <c r="DV81" s="72"/>
      <c r="DW81" s="72"/>
      <c r="DX81" s="72"/>
      <c r="DY81" s="72"/>
      <c r="DZ81" s="72"/>
      <c r="EA81" s="72"/>
      <c r="EB81" s="72"/>
      <c r="EC81" s="72"/>
      <c r="ED81" s="72"/>
      <c r="EE81" s="72"/>
      <c r="EF81" s="72"/>
      <c r="EG81" s="72"/>
      <c r="EH81" s="72"/>
      <c r="EI81" s="72"/>
      <c r="EJ81" s="72"/>
      <c r="EK81" s="72"/>
      <c r="EL81" s="72"/>
      <c r="EM81" s="72"/>
      <c r="EN81" s="72"/>
      <c r="EO81" s="72"/>
      <c r="EP81" s="72"/>
      <c r="EQ81" s="72"/>
      <c r="ER81" s="72"/>
      <c r="ES81" s="72"/>
      <c r="ET81" s="72"/>
      <c r="EU81" s="72"/>
      <c r="EV81" s="72"/>
      <c r="EW81" s="72"/>
      <c r="EX81" s="72"/>
      <c r="EY81" s="72"/>
      <c r="EZ81" s="72"/>
      <c r="FA81" s="72"/>
      <c r="FB81" s="72"/>
      <c r="FC81" s="72"/>
      <c r="FD81" s="72"/>
      <c r="FE81" s="72"/>
      <c r="FF81" s="72"/>
      <c r="FG81" s="72"/>
      <c r="FH81" s="72"/>
      <c r="FI81" s="72"/>
      <c r="FJ81" s="72"/>
      <c r="FK81" s="72"/>
      <c r="FL81" s="72"/>
      <c r="FM81" s="72"/>
      <c r="FN81" s="72"/>
      <c r="FO81" s="72"/>
      <c r="FP81" s="72"/>
      <c r="FQ81" s="72"/>
      <c r="FR81" s="72"/>
      <c r="FS81" s="72"/>
      <c r="FT81" s="72"/>
      <c r="FU81" s="72"/>
      <c r="FV81" s="72"/>
      <c r="FW81" s="72"/>
      <c r="FX81" s="72"/>
      <c r="FY81" s="72"/>
      <c r="FZ81" s="72"/>
      <c r="GA81" s="72"/>
      <c r="GB81" s="72"/>
      <c r="GC81" s="72"/>
      <c r="GD81" s="72"/>
      <c r="GE81" s="72"/>
      <c r="GF81" s="72"/>
      <c r="GG81" s="72"/>
      <c r="GH81" s="72"/>
      <c r="GI81" s="72"/>
      <c r="GJ81" s="72"/>
      <c r="GK81" s="72"/>
      <c r="GL81" s="72"/>
      <c r="GM81" s="72"/>
      <c r="GN81" s="72"/>
      <c r="GO81" s="72"/>
      <c r="GP81" s="72"/>
      <c r="GQ81" s="72"/>
      <c r="GR81" s="72"/>
      <c r="GS81" s="72"/>
      <c r="GT81" s="72"/>
      <c r="GU81" s="72"/>
      <c r="GV81" s="72"/>
      <c r="GW81" s="72"/>
      <c r="GX81" s="72"/>
      <c r="GY81" s="72"/>
      <c r="GZ81" s="72"/>
      <c r="HA81" s="72"/>
      <c r="HB81" s="72"/>
      <c r="HC81" s="72"/>
      <c r="HD81" s="72"/>
      <c r="HE81" s="72"/>
      <c r="HF81" s="72"/>
      <c r="HG81" s="72"/>
      <c r="HH81" s="72"/>
      <c r="HI81" s="72"/>
      <c r="HJ81" s="72"/>
      <c r="HK81" s="72"/>
      <c r="HL81" s="72"/>
      <c r="HM81" s="72"/>
      <c r="HN81" s="72"/>
      <c r="HO81" s="72"/>
      <c r="HP81" s="72"/>
      <c r="HQ81" s="72"/>
      <c r="HR81" s="72"/>
      <c r="HS81" s="72"/>
      <c r="HT81" s="72"/>
      <c r="HU81" s="72"/>
      <c r="HV81" s="72"/>
      <c r="HW81" s="72"/>
      <c r="HX81" s="72"/>
      <c r="HY81" s="72"/>
      <c r="HZ81" s="72"/>
      <c r="IA81" s="72"/>
      <c r="IB81" s="72"/>
      <c r="IC81" s="72"/>
      <c r="ID81" s="72"/>
      <c r="IE81" s="72"/>
      <c r="IF81" s="72"/>
      <c r="IG81" s="72"/>
      <c r="IH81" s="72"/>
      <c r="II81" s="72"/>
      <c r="IJ81" s="72"/>
      <c r="IK81" s="72"/>
      <c r="IL81" s="72"/>
      <c r="IM81" s="72"/>
      <c r="IN81" s="72"/>
      <c r="IO81" s="72"/>
      <c r="IP81" s="72"/>
      <c r="IQ81" s="72"/>
      <c r="IR81" s="72"/>
      <c r="IS81" s="72"/>
      <c r="IT81" s="72"/>
      <c r="IU81" s="72"/>
      <c r="IV81" s="72"/>
      <c r="IW81" s="72"/>
      <c r="IX81" s="72"/>
      <c r="IY81" s="72"/>
      <c r="IZ81" s="72"/>
      <c r="JA81" s="72"/>
      <c r="JB81" s="72"/>
      <c r="JC81" s="72"/>
      <c r="JD81" s="72"/>
      <c r="JE81" s="72"/>
      <c r="JF81" s="72"/>
      <c r="JG81" s="72"/>
      <c r="JH81" s="72"/>
      <c r="JI81" s="72"/>
      <c r="JJ81" s="72"/>
      <c r="JK81" s="72"/>
      <c r="JL81" s="72"/>
      <c r="JM81" s="72"/>
      <c r="JN81" s="72"/>
      <c r="JO81" s="72"/>
      <c r="JP81" s="72"/>
      <c r="JQ81" s="72"/>
      <c r="JR81" s="72"/>
      <c r="JS81" s="72"/>
      <c r="JT81" s="72"/>
      <c r="JU81" s="72"/>
      <c r="JV81" s="72"/>
      <c r="JW81" s="72"/>
      <c r="JX81" s="72"/>
      <c r="JY81" s="72"/>
      <c r="JZ81" s="72"/>
      <c r="KA81" s="72"/>
      <c r="KB81" s="72"/>
      <c r="KC81" s="72"/>
      <c r="KD81" s="72"/>
      <c r="KE81" s="72"/>
      <c r="KF81" s="72"/>
      <c r="KG81" s="72"/>
      <c r="KH81" s="72"/>
      <c r="KI81" s="72"/>
    </row>
    <row r="82" ht="29" customHeight="1" spans="1:295">
      <c r="A82" s="37" t="s">
        <v>1140</v>
      </c>
      <c r="B82" s="748" t="s">
        <v>1141</v>
      </c>
      <c r="C82" s="69">
        <v>10.5</v>
      </c>
      <c r="D82" s="70">
        <v>1845</v>
      </c>
      <c r="E82" s="69">
        <v>10.5</v>
      </c>
      <c r="F82" s="70">
        <v>1845</v>
      </c>
      <c r="G82" s="70">
        <v>32</v>
      </c>
      <c r="H82" s="70" t="s">
        <v>405</v>
      </c>
      <c r="I82" s="69">
        <v>16.3</v>
      </c>
      <c r="J82" s="70">
        <v>2860</v>
      </c>
      <c r="K82" s="69">
        <v>16.3</v>
      </c>
      <c r="L82" s="70">
        <v>2860</v>
      </c>
      <c r="M82" s="70" t="s">
        <v>1120</v>
      </c>
      <c r="N82" s="70" t="s">
        <v>457</v>
      </c>
      <c r="O82" s="69">
        <v>14.3</v>
      </c>
      <c r="P82" s="70">
        <v>2440</v>
      </c>
      <c r="Q82" s="69">
        <v>14.3</v>
      </c>
      <c r="R82" s="70">
        <v>2440</v>
      </c>
      <c r="S82" s="70" t="s">
        <v>1121</v>
      </c>
      <c r="T82" s="70" t="s">
        <v>1124</v>
      </c>
      <c r="U82" s="71"/>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2"/>
      <c r="CA82" s="72"/>
      <c r="CB82" s="72"/>
      <c r="CC82" s="72"/>
      <c r="CD82" s="72"/>
      <c r="CE82" s="72"/>
      <c r="CF82" s="72"/>
      <c r="CG82" s="72"/>
      <c r="CH82" s="72"/>
      <c r="CI82" s="72"/>
      <c r="CJ82" s="72"/>
      <c r="CK82" s="72"/>
      <c r="CL82" s="72"/>
      <c r="CM82" s="72"/>
      <c r="CN82" s="72"/>
      <c r="CO82" s="72"/>
      <c r="CP82" s="72"/>
      <c r="CQ82" s="72"/>
      <c r="CR82" s="72"/>
      <c r="CS82" s="72"/>
      <c r="CT82" s="72"/>
      <c r="CU82" s="72"/>
      <c r="CV82" s="72"/>
      <c r="CW82" s="72"/>
      <c r="CX82" s="72"/>
      <c r="CY82" s="72"/>
      <c r="CZ82" s="72"/>
      <c r="DA82" s="72"/>
      <c r="DB82" s="72"/>
      <c r="DC82" s="72"/>
      <c r="DD82" s="72"/>
      <c r="DE82" s="72"/>
      <c r="DF82" s="72"/>
      <c r="DG82" s="72"/>
      <c r="DH82" s="72"/>
      <c r="DI82" s="72"/>
      <c r="DJ82" s="72"/>
      <c r="DK82" s="72"/>
      <c r="DL82" s="72"/>
      <c r="DM82" s="72"/>
      <c r="DN82" s="72"/>
      <c r="DO82" s="72"/>
      <c r="DP82" s="72"/>
      <c r="DQ82" s="72"/>
      <c r="DR82" s="72"/>
      <c r="DS82" s="72"/>
      <c r="DT82" s="72"/>
      <c r="DU82" s="72"/>
      <c r="DV82" s="72"/>
      <c r="DW82" s="72"/>
      <c r="DX82" s="72"/>
      <c r="DY82" s="72"/>
      <c r="DZ82" s="72"/>
      <c r="EA82" s="72"/>
      <c r="EB82" s="72"/>
      <c r="EC82" s="72"/>
      <c r="ED82" s="72"/>
      <c r="EE82" s="72"/>
      <c r="EF82" s="72"/>
      <c r="EG82" s="72"/>
      <c r="EH82" s="72"/>
      <c r="EI82" s="72"/>
      <c r="EJ82" s="72"/>
      <c r="EK82" s="72"/>
      <c r="EL82" s="72"/>
      <c r="EM82" s="72"/>
      <c r="EN82" s="72"/>
      <c r="EO82" s="72"/>
      <c r="EP82" s="72"/>
      <c r="EQ82" s="72"/>
      <c r="ER82" s="72"/>
      <c r="ES82" s="72"/>
      <c r="ET82" s="72"/>
      <c r="EU82" s="72"/>
      <c r="EV82" s="72"/>
      <c r="EW82" s="72"/>
      <c r="EX82" s="72"/>
      <c r="EY82" s="72"/>
      <c r="EZ82" s="72"/>
      <c r="FA82" s="72"/>
      <c r="FB82" s="72"/>
      <c r="FC82" s="72"/>
      <c r="FD82" s="72"/>
      <c r="FE82" s="72"/>
      <c r="FF82" s="72"/>
      <c r="FG82" s="72"/>
      <c r="FH82" s="72"/>
      <c r="FI82" s="72"/>
      <c r="FJ82" s="72"/>
      <c r="FK82" s="72"/>
      <c r="FL82" s="72"/>
      <c r="FM82" s="72"/>
      <c r="FN82" s="72"/>
      <c r="FO82" s="72"/>
      <c r="FP82" s="72"/>
      <c r="FQ82" s="72"/>
      <c r="FR82" s="72"/>
      <c r="FS82" s="72"/>
      <c r="FT82" s="72"/>
      <c r="FU82" s="72"/>
      <c r="FV82" s="72"/>
      <c r="FW82" s="72"/>
      <c r="FX82" s="72"/>
      <c r="FY82" s="72"/>
      <c r="FZ82" s="72"/>
      <c r="GA82" s="72"/>
      <c r="GB82" s="72"/>
      <c r="GC82" s="72"/>
      <c r="GD82" s="72"/>
      <c r="GE82" s="72"/>
      <c r="GF82" s="72"/>
      <c r="GG82" s="72"/>
      <c r="GH82" s="72"/>
      <c r="GI82" s="72"/>
      <c r="GJ82" s="72"/>
      <c r="GK82" s="72"/>
      <c r="GL82" s="72"/>
      <c r="GM82" s="72"/>
      <c r="GN82" s="72"/>
      <c r="GO82" s="72"/>
      <c r="GP82" s="72"/>
      <c r="GQ82" s="72"/>
      <c r="GR82" s="72"/>
      <c r="GS82" s="72"/>
      <c r="GT82" s="72"/>
      <c r="GU82" s="72"/>
      <c r="GV82" s="72"/>
      <c r="GW82" s="72"/>
      <c r="GX82" s="72"/>
      <c r="GY82" s="72"/>
      <c r="GZ82" s="72"/>
      <c r="HA82" s="72"/>
      <c r="HB82" s="72"/>
      <c r="HC82" s="72"/>
      <c r="HD82" s="72"/>
      <c r="HE82" s="72"/>
      <c r="HF82" s="72"/>
      <c r="HG82" s="72"/>
      <c r="HH82" s="72"/>
      <c r="HI82" s="72"/>
      <c r="HJ82" s="72"/>
      <c r="HK82" s="72"/>
      <c r="HL82" s="72"/>
      <c r="HM82" s="72"/>
      <c r="HN82" s="72"/>
      <c r="HO82" s="72"/>
      <c r="HP82" s="72"/>
      <c r="HQ82" s="72"/>
      <c r="HR82" s="72"/>
      <c r="HS82" s="72"/>
      <c r="HT82" s="72"/>
      <c r="HU82" s="72"/>
      <c r="HV82" s="72"/>
      <c r="HW82" s="72"/>
      <c r="HX82" s="72"/>
      <c r="HY82" s="72"/>
      <c r="HZ82" s="72"/>
      <c r="IA82" s="72"/>
      <c r="IB82" s="72"/>
      <c r="IC82" s="72"/>
      <c r="ID82" s="72"/>
      <c r="IE82" s="72"/>
      <c r="IF82" s="72"/>
      <c r="IG82" s="72"/>
      <c r="IH82" s="72"/>
      <c r="II82" s="72"/>
      <c r="IJ82" s="72"/>
      <c r="IK82" s="72"/>
      <c r="IL82" s="72"/>
      <c r="IM82" s="72"/>
      <c r="IN82" s="72"/>
      <c r="IO82" s="72"/>
      <c r="IP82" s="72"/>
      <c r="IQ82" s="72"/>
      <c r="IR82" s="72"/>
      <c r="IS82" s="72"/>
      <c r="IT82" s="72"/>
      <c r="IU82" s="72"/>
      <c r="IV82" s="72"/>
      <c r="IW82" s="72"/>
      <c r="IX82" s="72"/>
      <c r="IY82" s="72"/>
      <c r="IZ82" s="72"/>
      <c r="JA82" s="72"/>
      <c r="JB82" s="72"/>
      <c r="JC82" s="72"/>
      <c r="JD82" s="72"/>
      <c r="JE82" s="72"/>
      <c r="JF82" s="72"/>
      <c r="JG82" s="72"/>
      <c r="JH82" s="72"/>
      <c r="JI82" s="72"/>
      <c r="JJ82" s="72"/>
      <c r="JK82" s="72"/>
      <c r="JL82" s="72"/>
      <c r="JM82" s="72"/>
      <c r="JN82" s="72"/>
      <c r="JO82" s="72"/>
      <c r="JP82" s="72"/>
      <c r="JQ82" s="72"/>
      <c r="JR82" s="72"/>
      <c r="JS82" s="72"/>
      <c r="JT82" s="72"/>
      <c r="JU82" s="72"/>
      <c r="JV82" s="72"/>
      <c r="JW82" s="72"/>
      <c r="JX82" s="72"/>
      <c r="JY82" s="72"/>
      <c r="JZ82" s="72"/>
      <c r="KA82" s="72"/>
      <c r="KB82" s="72"/>
      <c r="KC82" s="72"/>
      <c r="KD82" s="72"/>
      <c r="KE82" s="72"/>
      <c r="KF82" s="72"/>
      <c r="KG82" s="72"/>
      <c r="KH82" s="72"/>
      <c r="KI82" s="72"/>
    </row>
    <row r="83" ht="29" customHeight="1" spans="1:295">
      <c r="A83" s="37" t="s">
        <v>1142</v>
      </c>
      <c r="B83" s="747" t="s">
        <v>1143</v>
      </c>
      <c r="C83" s="69">
        <v>9.6</v>
      </c>
      <c r="D83" s="70">
        <v>1668</v>
      </c>
      <c r="E83" s="69">
        <v>9.6</v>
      </c>
      <c r="F83" s="70">
        <v>1668</v>
      </c>
      <c r="G83" s="70">
        <v>32</v>
      </c>
      <c r="H83" s="70" t="s">
        <v>405</v>
      </c>
      <c r="I83" s="69">
        <v>15.4</v>
      </c>
      <c r="J83" s="70">
        <v>2680</v>
      </c>
      <c r="K83" s="69">
        <v>15.4</v>
      </c>
      <c r="L83" s="70">
        <v>2680</v>
      </c>
      <c r="M83" s="70" t="s">
        <v>1120</v>
      </c>
      <c r="N83" s="70" t="s">
        <v>457</v>
      </c>
      <c r="O83" s="69">
        <v>13.4</v>
      </c>
      <c r="P83" s="70">
        <v>2270</v>
      </c>
      <c r="Q83" s="69">
        <v>13.4</v>
      </c>
      <c r="R83" s="70">
        <v>2270</v>
      </c>
      <c r="S83" s="70" t="s">
        <v>1121</v>
      </c>
      <c r="T83" s="70" t="s">
        <v>1124</v>
      </c>
      <c r="U83" s="74"/>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75"/>
      <c r="CC83" s="75"/>
      <c r="CD83" s="75"/>
      <c r="CE83" s="75"/>
      <c r="CF83" s="75"/>
      <c r="CG83" s="75"/>
      <c r="CH83" s="75"/>
      <c r="CI83" s="75"/>
      <c r="CJ83" s="75"/>
      <c r="CK83" s="75"/>
      <c r="CL83" s="75"/>
      <c r="CM83" s="75"/>
      <c r="CN83" s="75"/>
      <c r="CO83" s="75"/>
      <c r="CP83" s="75"/>
      <c r="CQ83" s="75"/>
      <c r="CR83" s="75"/>
      <c r="CS83" s="75"/>
      <c r="CT83" s="75"/>
      <c r="CU83" s="75"/>
      <c r="CV83" s="75"/>
      <c r="CW83" s="75"/>
      <c r="CX83" s="75"/>
      <c r="CY83" s="75"/>
      <c r="CZ83" s="75"/>
      <c r="DA83" s="75"/>
      <c r="DB83" s="75"/>
      <c r="DC83" s="75"/>
      <c r="DD83" s="75"/>
      <c r="DE83" s="75"/>
      <c r="DF83" s="75"/>
      <c r="DG83" s="75"/>
      <c r="DH83" s="75"/>
      <c r="DI83" s="75"/>
      <c r="DJ83" s="75"/>
      <c r="DK83" s="75"/>
      <c r="DL83" s="75"/>
      <c r="DM83" s="75"/>
      <c r="DN83" s="75"/>
      <c r="DO83" s="75"/>
      <c r="DP83" s="75"/>
      <c r="DQ83" s="75"/>
      <c r="DR83" s="75"/>
      <c r="DS83" s="75"/>
      <c r="DT83" s="75"/>
      <c r="DU83" s="75"/>
      <c r="DV83" s="75"/>
      <c r="DW83" s="75"/>
      <c r="DX83" s="75"/>
      <c r="DY83" s="75"/>
      <c r="DZ83" s="75"/>
      <c r="EA83" s="75"/>
      <c r="EB83" s="75"/>
      <c r="EC83" s="75"/>
      <c r="ED83" s="75"/>
      <c r="EE83" s="75"/>
      <c r="EF83" s="75"/>
      <c r="EG83" s="75"/>
      <c r="EH83" s="75"/>
      <c r="EI83" s="75"/>
      <c r="EJ83" s="75"/>
      <c r="EK83" s="75"/>
      <c r="EL83" s="75"/>
      <c r="EM83" s="75"/>
      <c r="EN83" s="75"/>
      <c r="EO83" s="75"/>
      <c r="EP83" s="75"/>
      <c r="EQ83" s="75"/>
      <c r="ER83" s="75"/>
      <c r="ES83" s="75"/>
      <c r="ET83" s="75"/>
      <c r="EU83" s="75"/>
      <c r="EV83" s="75"/>
      <c r="EW83" s="75"/>
      <c r="EX83" s="75"/>
      <c r="EY83" s="75"/>
      <c r="EZ83" s="75"/>
      <c r="FA83" s="75"/>
      <c r="FB83" s="75"/>
      <c r="FC83" s="75"/>
      <c r="FD83" s="75"/>
      <c r="FE83" s="75"/>
      <c r="FF83" s="75"/>
      <c r="FG83" s="75"/>
      <c r="FH83" s="75"/>
      <c r="FI83" s="75"/>
      <c r="FJ83" s="75"/>
      <c r="FK83" s="75"/>
      <c r="FL83" s="75"/>
      <c r="FM83" s="75"/>
      <c r="FN83" s="75"/>
      <c r="FO83" s="75"/>
      <c r="FP83" s="75"/>
      <c r="FQ83" s="75"/>
      <c r="FR83" s="75"/>
      <c r="FS83" s="75"/>
      <c r="FT83" s="75"/>
      <c r="FU83" s="75"/>
      <c r="FV83" s="75"/>
      <c r="FW83" s="75"/>
      <c r="FX83" s="75"/>
      <c r="FY83" s="75"/>
      <c r="FZ83" s="75"/>
      <c r="GA83" s="75"/>
      <c r="GB83" s="75"/>
      <c r="GC83" s="75"/>
      <c r="GD83" s="75"/>
      <c r="GE83" s="75"/>
      <c r="GF83" s="75"/>
      <c r="GG83" s="75"/>
      <c r="GH83" s="75"/>
      <c r="GI83" s="75"/>
      <c r="GJ83" s="75"/>
      <c r="GK83" s="75"/>
      <c r="GL83" s="75"/>
      <c r="GM83" s="75"/>
      <c r="GN83" s="75"/>
      <c r="GO83" s="75"/>
      <c r="GP83" s="75"/>
      <c r="GQ83" s="75"/>
      <c r="GR83" s="75"/>
      <c r="GS83" s="75"/>
      <c r="GT83" s="75"/>
      <c r="GU83" s="75"/>
      <c r="GV83" s="75"/>
      <c r="GW83" s="75"/>
      <c r="GX83" s="75"/>
      <c r="GY83" s="75"/>
      <c r="GZ83" s="75"/>
      <c r="HA83" s="75"/>
      <c r="HB83" s="75"/>
      <c r="HC83" s="75"/>
      <c r="HD83" s="75"/>
      <c r="HE83" s="75"/>
      <c r="HF83" s="75"/>
      <c r="HG83" s="75"/>
      <c r="HH83" s="75"/>
      <c r="HI83" s="75"/>
      <c r="HJ83" s="75"/>
      <c r="HK83" s="75"/>
      <c r="HL83" s="75"/>
      <c r="HM83" s="75"/>
      <c r="HN83" s="75"/>
      <c r="HO83" s="75"/>
      <c r="HP83" s="75"/>
      <c r="HQ83" s="75"/>
      <c r="HR83" s="75"/>
      <c r="HS83" s="75"/>
      <c r="HT83" s="75"/>
      <c r="HU83" s="75"/>
      <c r="HV83" s="75"/>
      <c r="HW83" s="75"/>
      <c r="HX83" s="75"/>
      <c r="HY83" s="75"/>
      <c r="HZ83" s="75"/>
      <c r="IA83" s="75"/>
      <c r="IB83" s="75"/>
      <c r="IC83" s="75"/>
      <c r="ID83" s="75"/>
      <c r="IE83" s="75"/>
      <c r="IF83" s="75"/>
      <c r="IG83" s="75"/>
      <c r="IH83" s="75"/>
      <c r="II83" s="75"/>
      <c r="IJ83" s="75"/>
      <c r="IK83" s="75"/>
      <c r="IL83" s="75"/>
      <c r="IM83" s="75"/>
      <c r="IN83" s="75"/>
      <c r="IO83" s="75"/>
      <c r="IP83" s="75"/>
      <c r="IQ83" s="75"/>
      <c r="IR83" s="75"/>
      <c r="IS83" s="75"/>
      <c r="IT83" s="75"/>
      <c r="IU83" s="75"/>
      <c r="IV83" s="75"/>
      <c r="IW83" s="75"/>
      <c r="IX83" s="75"/>
      <c r="IY83" s="75"/>
      <c r="IZ83" s="75"/>
      <c r="JA83" s="75"/>
      <c r="JB83" s="75"/>
      <c r="JC83" s="75"/>
      <c r="JD83" s="75"/>
      <c r="JE83" s="75"/>
      <c r="JF83" s="75"/>
      <c r="JG83" s="75"/>
      <c r="JH83" s="75"/>
      <c r="JI83" s="75"/>
      <c r="JJ83" s="75"/>
      <c r="JK83" s="75"/>
      <c r="JL83" s="75"/>
      <c r="JM83" s="75"/>
      <c r="JN83" s="75"/>
      <c r="JO83" s="75"/>
      <c r="JP83" s="75"/>
      <c r="JQ83" s="75"/>
      <c r="JR83" s="75"/>
      <c r="JS83" s="75"/>
      <c r="JT83" s="75"/>
      <c r="JU83" s="75"/>
      <c r="JV83" s="75"/>
      <c r="JW83" s="75"/>
      <c r="JX83" s="75"/>
      <c r="JY83" s="75"/>
      <c r="JZ83" s="75"/>
      <c r="KA83" s="75"/>
      <c r="KB83" s="75"/>
      <c r="KC83" s="75"/>
      <c r="KD83" s="75"/>
      <c r="KE83" s="75"/>
      <c r="KF83" s="75"/>
      <c r="KG83" s="75"/>
      <c r="KH83" s="75"/>
      <c r="KI83" s="75"/>
    </row>
    <row r="84" ht="16.5" spans="1:295">
      <c r="A84" s="37" t="s">
        <v>1144</v>
      </c>
      <c r="B84" s="44" t="s">
        <v>1145</v>
      </c>
      <c r="C84" s="69">
        <v>9.3</v>
      </c>
      <c r="D84" s="70">
        <v>1602</v>
      </c>
      <c r="E84" s="69">
        <v>9.3</v>
      </c>
      <c r="F84" s="70">
        <v>1602</v>
      </c>
      <c r="G84" s="70">
        <v>32</v>
      </c>
      <c r="H84" s="70" t="s">
        <v>405</v>
      </c>
      <c r="I84" s="69">
        <v>15.1</v>
      </c>
      <c r="J84" s="70">
        <v>2720</v>
      </c>
      <c r="K84" s="69">
        <v>15.1</v>
      </c>
      <c r="L84" s="70">
        <v>2720</v>
      </c>
      <c r="M84" s="70" t="s">
        <v>1120</v>
      </c>
      <c r="N84" s="70" t="s">
        <v>457</v>
      </c>
      <c r="O84" s="69">
        <v>13.1</v>
      </c>
      <c r="P84" s="70">
        <v>2200</v>
      </c>
      <c r="Q84" s="69">
        <v>13.1</v>
      </c>
      <c r="R84" s="70">
        <v>2200</v>
      </c>
      <c r="S84" s="70" t="s">
        <v>1121</v>
      </c>
      <c r="T84" s="70" t="s">
        <v>1124</v>
      </c>
      <c r="U84" s="76">
        <v>8837</v>
      </c>
      <c r="V84" s="77"/>
      <c r="W84" s="77"/>
      <c r="X84" s="77"/>
      <c r="Y84" s="77"/>
      <c r="Z84" s="77"/>
      <c r="AA84" s="77"/>
      <c r="AB84" s="77"/>
      <c r="AC84" s="77"/>
      <c r="AD84" s="77"/>
      <c r="AE84" s="77"/>
      <c r="AF84" s="77"/>
      <c r="AG84" s="77"/>
      <c r="AH84" s="77"/>
      <c r="AI84" s="77"/>
      <c r="AJ84" s="77"/>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c r="BN84" s="77"/>
      <c r="BO84" s="77"/>
      <c r="BP84" s="77"/>
      <c r="BQ84" s="77"/>
      <c r="BR84" s="77"/>
      <c r="BS84" s="77"/>
      <c r="BT84" s="77"/>
      <c r="BU84" s="77"/>
      <c r="BV84" s="77"/>
      <c r="BW84" s="77"/>
      <c r="BX84" s="77"/>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c r="CZ84" s="77"/>
      <c r="DA84" s="77"/>
      <c r="DB84" s="77"/>
      <c r="DC84" s="77"/>
      <c r="DD84" s="77"/>
      <c r="DE84" s="77"/>
      <c r="DF84" s="77"/>
      <c r="DG84" s="77"/>
      <c r="DH84" s="77"/>
      <c r="DI84" s="77"/>
      <c r="DJ84" s="77"/>
      <c r="DK84" s="77"/>
      <c r="DL84" s="77"/>
      <c r="DM84" s="77"/>
      <c r="DN84" s="77"/>
      <c r="DO84" s="77"/>
      <c r="DP84" s="77"/>
      <c r="DQ84" s="77"/>
      <c r="DR84" s="77"/>
      <c r="DS84" s="77"/>
      <c r="DT84" s="77"/>
      <c r="DU84" s="77"/>
      <c r="DV84" s="77"/>
      <c r="DW84" s="77"/>
      <c r="DX84" s="77"/>
      <c r="DY84" s="77"/>
      <c r="DZ84" s="77"/>
      <c r="EA84" s="77"/>
      <c r="EB84" s="77"/>
      <c r="EC84" s="77"/>
      <c r="ED84" s="77"/>
      <c r="EE84" s="77"/>
      <c r="EF84" s="77"/>
      <c r="EG84" s="77"/>
      <c r="EH84" s="77"/>
      <c r="EI84" s="77"/>
      <c r="EJ84" s="77"/>
      <c r="EK84" s="77"/>
      <c r="EL84" s="77"/>
      <c r="EM84" s="77"/>
      <c r="EN84" s="77"/>
      <c r="EO84" s="77"/>
      <c r="EP84" s="77"/>
      <c r="EQ84" s="77"/>
      <c r="ER84" s="77"/>
      <c r="ES84" s="77"/>
      <c r="ET84" s="77"/>
      <c r="EU84" s="77"/>
      <c r="EV84" s="77"/>
      <c r="EW84" s="77"/>
      <c r="EX84" s="77"/>
      <c r="EY84" s="77"/>
      <c r="EZ84" s="77"/>
      <c r="FA84" s="77"/>
      <c r="FB84" s="77"/>
      <c r="FC84" s="77"/>
      <c r="FD84" s="77"/>
      <c r="FE84" s="77"/>
      <c r="FF84" s="77"/>
      <c r="FG84" s="77"/>
      <c r="FH84" s="77"/>
      <c r="FI84" s="77"/>
      <c r="FJ84" s="77"/>
      <c r="FK84" s="77"/>
      <c r="FL84" s="77"/>
      <c r="FM84" s="77"/>
      <c r="FN84" s="77"/>
      <c r="FO84" s="77"/>
      <c r="FP84" s="77"/>
      <c r="FQ84" s="77"/>
      <c r="FR84" s="77"/>
      <c r="FS84" s="77"/>
      <c r="FT84" s="77"/>
      <c r="FU84" s="77"/>
      <c r="FV84" s="77"/>
      <c r="FW84" s="77"/>
      <c r="FX84" s="77"/>
      <c r="FY84" s="77"/>
      <c r="FZ84" s="77"/>
      <c r="GA84" s="77"/>
      <c r="GB84" s="77"/>
      <c r="GC84" s="77"/>
      <c r="GD84" s="77"/>
      <c r="GE84" s="77"/>
      <c r="GF84" s="77"/>
      <c r="GG84" s="77"/>
      <c r="GH84" s="77"/>
      <c r="GI84" s="77"/>
      <c r="GJ84" s="77"/>
      <c r="GK84" s="77"/>
      <c r="GL84" s="77"/>
      <c r="GM84" s="77"/>
      <c r="GN84" s="77"/>
      <c r="GO84" s="77"/>
      <c r="GP84" s="77"/>
      <c r="GQ84" s="77"/>
      <c r="GR84" s="77"/>
      <c r="GS84" s="77"/>
      <c r="GT84" s="77"/>
      <c r="GU84" s="77"/>
      <c r="GV84" s="77"/>
      <c r="GW84" s="77"/>
      <c r="GX84" s="77"/>
      <c r="GY84" s="77"/>
      <c r="GZ84" s="77"/>
      <c r="HA84" s="77"/>
      <c r="HB84" s="77"/>
      <c r="HC84" s="77"/>
      <c r="HD84" s="77"/>
      <c r="HE84" s="77"/>
      <c r="HF84" s="77"/>
      <c r="HG84" s="77"/>
      <c r="HH84" s="77"/>
      <c r="HI84" s="77"/>
      <c r="HJ84" s="77"/>
      <c r="HK84" s="77"/>
      <c r="HL84" s="77"/>
      <c r="HM84" s="77"/>
      <c r="HN84" s="77"/>
      <c r="HO84" s="77"/>
      <c r="HP84" s="77"/>
      <c r="HQ84" s="77"/>
      <c r="HR84" s="77"/>
      <c r="HS84" s="77"/>
      <c r="HT84" s="77"/>
      <c r="HU84" s="77"/>
      <c r="HV84" s="77"/>
      <c r="HW84" s="77"/>
      <c r="HX84" s="77"/>
      <c r="HY84" s="77"/>
      <c r="HZ84" s="77"/>
      <c r="IA84" s="77"/>
      <c r="IB84" s="77"/>
      <c r="IC84" s="77"/>
      <c r="ID84" s="77"/>
      <c r="IE84" s="77"/>
      <c r="IF84" s="77"/>
      <c r="IG84" s="77"/>
      <c r="IH84" s="77"/>
      <c r="II84" s="77"/>
      <c r="IJ84" s="77"/>
      <c r="IK84" s="77"/>
      <c r="IL84" s="77"/>
      <c r="IM84" s="77"/>
      <c r="IN84" s="77"/>
      <c r="IO84" s="77"/>
      <c r="IP84" s="77"/>
      <c r="IQ84" s="77"/>
      <c r="IR84" s="77"/>
      <c r="IS84" s="77"/>
      <c r="IT84" s="77"/>
      <c r="IU84" s="77"/>
      <c r="IV84" s="77"/>
      <c r="IW84" s="77"/>
      <c r="IX84" s="77"/>
      <c r="IY84" s="77"/>
      <c r="IZ84" s="77"/>
      <c r="JA84" s="77"/>
      <c r="JB84" s="77"/>
      <c r="JC84" s="77"/>
      <c r="JD84" s="77"/>
      <c r="JE84" s="77"/>
      <c r="JF84" s="77"/>
      <c r="JG84" s="77"/>
      <c r="JH84" s="77"/>
      <c r="JI84" s="77"/>
      <c r="JJ84" s="77"/>
      <c r="JK84" s="77"/>
      <c r="JL84" s="77"/>
      <c r="JM84" s="77"/>
      <c r="JN84" s="77"/>
      <c r="JO84" s="77"/>
      <c r="JP84" s="77"/>
      <c r="JQ84" s="77"/>
      <c r="JR84" s="77"/>
      <c r="JS84" s="77"/>
      <c r="JT84" s="77"/>
      <c r="JU84" s="77"/>
      <c r="JV84" s="77"/>
      <c r="JW84" s="77"/>
      <c r="JX84" s="77"/>
      <c r="JY84" s="77"/>
      <c r="JZ84" s="77"/>
      <c r="KA84" s="77"/>
      <c r="KB84" s="77"/>
      <c r="KC84" s="77"/>
      <c r="KD84" s="77"/>
      <c r="KE84" s="77"/>
      <c r="KF84" s="77"/>
      <c r="KG84" s="77"/>
      <c r="KH84" s="77"/>
      <c r="KI84" s="77"/>
    </row>
    <row r="85" ht="16.5" spans="1:295">
      <c r="A85" s="37" t="s">
        <v>1146</v>
      </c>
      <c r="B85" s="73" t="s">
        <v>1145</v>
      </c>
      <c r="C85" s="69">
        <v>9.4</v>
      </c>
      <c r="D85" s="70">
        <v>1624</v>
      </c>
      <c r="E85" s="69">
        <v>9.4</v>
      </c>
      <c r="F85" s="70">
        <v>1624</v>
      </c>
      <c r="G85" s="70">
        <v>32</v>
      </c>
      <c r="H85" s="70" t="s">
        <v>405</v>
      </c>
      <c r="I85" s="69">
        <v>15.2</v>
      </c>
      <c r="J85" s="70">
        <v>2740</v>
      </c>
      <c r="K85" s="69">
        <v>15.2</v>
      </c>
      <c r="L85" s="70">
        <v>2740</v>
      </c>
      <c r="M85" s="70" t="s">
        <v>1120</v>
      </c>
      <c r="N85" s="70" t="s">
        <v>457</v>
      </c>
      <c r="O85" s="69">
        <v>13.2</v>
      </c>
      <c r="P85" s="70">
        <v>2220</v>
      </c>
      <c r="Q85" s="69">
        <v>13.2</v>
      </c>
      <c r="R85" s="70">
        <v>2220</v>
      </c>
      <c r="S85" s="70" t="s">
        <v>1121</v>
      </c>
      <c r="T85" s="70" t="s">
        <v>1124</v>
      </c>
      <c r="U85" s="76">
        <v>8818</v>
      </c>
      <c r="V85" s="77">
        <v>8817</v>
      </c>
      <c r="W85" s="77">
        <v>8832</v>
      </c>
      <c r="X85" s="77">
        <v>8840</v>
      </c>
      <c r="Y85" s="77">
        <v>7080</v>
      </c>
      <c r="Z85" s="77">
        <v>8830</v>
      </c>
      <c r="AA85" s="77">
        <v>8861</v>
      </c>
      <c r="AB85" s="77">
        <v>8862</v>
      </c>
      <c r="AC85" s="77">
        <v>8854</v>
      </c>
      <c r="AD85" s="77">
        <v>8055</v>
      </c>
      <c r="AE85" s="77">
        <v>8859</v>
      </c>
      <c r="AF85" s="77">
        <v>8989</v>
      </c>
      <c r="AG85" s="77">
        <v>8902</v>
      </c>
      <c r="AH85" s="77">
        <v>8846</v>
      </c>
      <c r="AI85" s="77">
        <v>8880</v>
      </c>
      <c r="AJ85" s="77">
        <v>7027</v>
      </c>
      <c r="AK85" s="77">
        <v>7091</v>
      </c>
      <c r="AL85" s="77">
        <v>7203</v>
      </c>
      <c r="AM85" s="77">
        <v>8828</v>
      </c>
      <c r="AN85" s="77">
        <v>7033</v>
      </c>
      <c r="AO85" s="77">
        <v>7023</v>
      </c>
      <c r="AP85" s="77">
        <v>7036</v>
      </c>
      <c r="AQ85" s="77">
        <v>8872</v>
      </c>
      <c r="AR85" s="77">
        <v>7016</v>
      </c>
      <c r="AS85" s="77">
        <v>7204</v>
      </c>
      <c r="AT85" s="77">
        <v>7059</v>
      </c>
      <c r="AU85" s="77">
        <v>8805</v>
      </c>
      <c r="AV85" s="77">
        <v>8875</v>
      </c>
      <c r="AW85" s="77">
        <v>8857</v>
      </c>
      <c r="AX85" s="77">
        <v>7747</v>
      </c>
      <c r="AY85" s="77">
        <v>7206</v>
      </c>
      <c r="AZ85" s="77">
        <v>8823</v>
      </c>
      <c r="BA85" s="77">
        <v>7069</v>
      </c>
      <c r="BB85" s="77">
        <v>8852</v>
      </c>
      <c r="BC85" s="77">
        <v>7735</v>
      </c>
      <c r="BD85" s="77">
        <v>8824</v>
      </c>
      <c r="BE85" s="77">
        <v>7207</v>
      </c>
      <c r="BF85" s="77">
        <v>7208</v>
      </c>
      <c r="BG85" s="77">
        <v>7201</v>
      </c>
      <c r="BH85" s="77">
        <v>8904</v>
      </c>
      <c r="BI85" s="77">
        <v>7095</v>
      </c>
      <c r="BJ85" s="77">
        <v>7067</v>
      </c>
      <c r="BK85" s="77">
        <v>8906</v>
      </c>
      <c r="BL85" s="77">
        <v>7077</v>
      </c>
      <c r="BM85" s="77">
        <v>8901</v>
      </c>
      <c r="BN85" s="77">
        <v>7001</v>
      </c>
      <c r="BO85" s="77">
        <v>8879</v>
      </c>
      <c r="BP85" s="77">
        <v>8850</v>
      </c>
      <c r="BQ85" s="77">
        <v>7064</v>
      </c>
      <c r="BR85" s="77">
        <v>7061</v>
      </c>
      <c r="BS85" s="77">
        <v>7065</v>
      </c>
      <c r="BT85" s="77">
        <v>8882</v>
      </c>
      <c r="BU85" s="77">
        <v>8855</v>
      </c>
      <c r="BV85" s="77">
        <v>7076</v>
      </c>
      <c r="BW85" s="77">
        <v>7063</v>
      </c>
      <c r="BX85" s="77">
        <v>7060</v>
      </c>
      <c r="BY85" s="77">
        <v>8816</v>
      </c>
      <c r="BZ85" s="77">
        <v>7066</v>
      </c>
      <c r="CA85" s="77">
        <v>8871</v>
      </c>
      <c r="CB85" s="77">
        <v>8933</v>
      </c>
      <c r="CC85" s="77">
        <v>7062</v>
      </c>
      <c r="CD85" s="77"/>
      <c r="CE85" s="77"/>
      <c r="CF85" s="77"/>
      <c r="CG85" s="77"/>
      <c r="CH85" s="77"/>
      <c r="CI85" s="77"/>
      <c r="CJ85" s="77"/>
      <c r="CK85" s="77"/>
      <c r="CL85" s="77"/>
      <c r="CM85" s="77"/>
      <c r="CN85" s="77"/>
      <c r="CO85" s="77"/>
      <c r="CP85" s="77"/>
      <c r="CQ85" s="77"/>
      <c r="CR85" s="77"/>
      <c r="CS85" s="77"/>
      <c r="CT85" s="77"/>
      <c r="CU85" s="77"/>
      <c r="CV85" s="77"/>
      <c r="CW85" s="77"/>
      <c r="CX85" s="77"/>
      <c r="CY85" s="77"/>
      <c r="CZ85" s="77"/>
      <c r="DA85" s="77"/>
      <c r="DB85" s="77"/>
      <c r="DC85" s="77"/>
      <c r="DD85" s="77"/>
      <c r="DE85" s="77"/>
      <c r="DF85" s="77"/>
      <c r="DG85" s="77"/>
      <c r="DH85" s="77"/>
      <c r="DI85" s="77"/>
      <c r="DJ85" s="77"/>
      <c r="DK85" s="77"/>
      <c r="DL85" s="77"/>
      <c r="DM85" s="77"/>
      <c r="DN85" s="77"/>
      <c r="DO85" s="77"/>
      <c r="DP85" s="77"/>
      <c r="DQ85" s="77"/>
      <c r="DR85" s="77"/>
      <c r="DS85" s="77"/>
      <c r="DT85" s="77"/>
      <c r="DU85" s="77"/>
      <c r="DV85" s="77"/>
      <c r="DW85" s="77"/>
      <c r="DX85" s="77"/>
      <c r="DY85" s="77"/>
      <c r="DZ85" s="77"/>
      <c r="EA85" s="77"/>
      <c r="EB85" s="77"/>
      <c r="EC85" s="77"/>
      <c r="ED85" s="77"/>
      <c r="EE85" s="77"/>
      <c r="EF85" s="77"/>
      <c r="EG85" s="77"/>
      <c r="EH85" s="77"/>
      <c r="EI85" s="77"/>
      <c r="EJ85" s="77"/>
      <c r="EK85" s="77"/>
      <c r="EL85" s="77"/>
      <c r="EM85" s="77"/>
      <c r="EN85" s="77"/>
      <c r="EO85" s="77"/>
      <c r="EP85" s="77"/>
      <c r="EQ85" s="77"/>
      <c r="ER85" s="77"/>
      <c r="ES85" s="77"/>
      <c r="ET85" s="77"/>
      <c r="EU85" s="77"/>
      <c r="EV85" s="77"/>
      <c r="EW85" s="77"/>
      <c r="EX85" s="77"/>
      <c r="EY85" s="77"/>
      <c r="EZ85" s="77"/>
      <c r="FA85" s="77"/>
      <c r="FB85" s="77"/>
      <c r="FC85" s="77"/>
      <c r="FD85" s="77"/>
      <c r="FE85" s="77"/>
      <c r="FF85" s="77"/>
      <c r="FG85" s="77"/>
      <c r="FH85" s="77"/>
      <c r="FI85" s="77"/>
      <c r="FJ85" s="77"/>
      <c r="FK85" s="77"/>
      <c r="FL85" s="77"/>
      <c r="FM85" s="77"/>
      <c r="FN85" s="77"/>
      <c r="FO85" s="77"/>
      <c r="FP85" s="77"/>
      <c r="FQ85" s="77"/>
      <c r="FR85" s="77"/>
      <c r="FS85" s="77"/>
      <c r="FT85" s="77"/>
      <c r="FU85" s="77"/>
      <c r="FV85" s="77"/>
      <c r="FW85" s="77"/>
      <c r="FX85" s="77"/>
      <c r="FY85" s="77"/>
      <c r="FZ85" s="77"/>
      <c r="GA85" s="77"/>
      <c r="GB85" s="77"/>
      <c r="GC85" s="77"/>
      <c r="GD85" s="77"/>
      <c r="GE85" s="77"/>
      <c r="GF85" s="77"/>
      <c r="GG85" s="77"/>
      <c r="GH85" s="77"/>
      <c r="GI85" s="77"/>
      <c r="GJ85" s="77"/>
      <c r="GK85" s="77"/>
      <c r="GL85" s="77"/>
      <c r="GM85" s="77"/>
      <c r="GN85" s="77"/>
      <c r="GO85" s="77"/>
      <c r="GP85" s="77"/>
      <c r="GQ85" s="77"/>
      <c r="GR85" s="77"/>
      <c r="GS85" s="77"/>
      <c r="GT85" s="77"/>
      <c r="GU85" s="77"/>
      <c r="GV85" s="77"/>
      <c r="GW85" s="77"/>
      <c r="GX85" s="77"/>
      <c r="GY85" s="77"/>
      <c r="GZ85" s="77"/>
      <c r="HA85" s="77"/>
      <c r="HB85" s="77"/>
      <c r="HC85" s="77"/>
      <c r="HD85" s="77"/>
      <c r="HE85" s="77"/>
      <c r="HF85" s="77"/>
      <c r="HG85" s="77"/>
      <c r="HH85" s="77"/>
      <c r="HI85" s="77"/>
      <c r="HJ85" s="77"/>
      <c r="HK85" s="77"/>
      <c r="HL85" s="77"/>
      <c r="HM85" s="77"/>
      <c r="HN85" s="77"/>
      <c r="HO85" s="77"/>
      <c r="HP85" s="77"/>
      <c r="HQ85" s="77"/>
      <c r="HR85" s="77"/>
      <c r="HS85" s="77"/>
      <c r="HT85" s="77"/>
      <c r="HU85" s="77"/>
      <c r="HV85" s="77"/>
      <c r="HW85" s="77"/>
      <c r="HX85" s="77"/>
      <c r="HY85" s="77"/>
      <c r="HZ85" s="77"/>
      <c r="IA85" s="77"/>
      <c r="IB85" s="77"/>
      <c r="IC85" s="77"/>
      <c r="ID85" s="77"/>
      <c r="IE85" s="77"/>
      <c r="IF85" s="77"/>
      <c r="IG85" s="77"/>
      <c r="IH85" s="77"/>
      <c r="II85" s="77"/>
      <c r="IJ85" s="77"/>
      <c r="IK85" s="77"/>
      <c r="IL85" s="77"/>
      <c r="IM85" s="77"/>
      <c r="IN85" s="77"/>
      <c r="IO85" s="77"/>
      <c r="IP85" s="77"/>
      <c r="IQ85" s="77"/>
      <c r="IR85" s="77"/>
      <c r="IS85" s="77"/>
      <c r="IT85" s="77"/>
      <c r="IU85" s="77"/>
      <c r="IV85" s="77"/>
      <c r="IW85" s="77"/>
      <c r="IX85" s="77"/>
      <c r="IY85" s="77"/>
      <c r="IZ85" s="77"/>
      <c r="JA85" s="77"/>
      <c r="JB85" s="77"/>
      <c r="JC85" s="77"/>
      <c r="JD85" s="77"/>
      <c r="JE85" s="77"/>
      <c r="JF85" s="77"/>
      <c r="JG85" s="77"/>
      <c r="JH85" s="77"/>
      <c r="JI85" s="77"/>
      <c r="JJ85" s="77"/>
      <c r="JK85" s="77"/>
      <c r="JL85" s="77"/>
      <c r="JM85" s="77"/>
      <c r="JN85" s="77"/>
      <c r="JO85" s="77"/>
      <c r="JP85" s="77"/>
      <c r="JQ85" s="77"/>
      <c r="JR85" s="77"/>
      <c r="JS85" s="77"/>
      <c r="JT85" s="77"/>
      <c r="JU85" s="77"/>
      <c r="JV85" s="77"/>
      <c r="JW85" s="77"/>
      <c r="JX85" s="77"/>
      <c r="JY85" s="77"/>
      <c r="JZ85" s="77"/>
      <c r="KA85" s="77"/>
      <c r="KB85" s="77"/>
      <c r="KC85" s="77"/>
      <c r="KD85" s="77"/>
      <c r="KE85" s="77"/>
      <c r="KF85" s="77"/>
      <c r="KG85" s="77"/>
      <c r="KH85" s="77"/>
      <c r="KI85" s="78"/>
    </row>
    <row r="86" ht="16.5" spans="1:295">
      <c r="A86" s="37" t="s">
        <v>1147</v>
      </c>
      <c r="B86" s="44" t="s">
        <v>1145</v>
      </c>
      <c r="C86" s="69">
        <v>9.6</v>
      </c>
      <c r="D86" s="70">
        <v>1668</v>
      </c>
      <c r="E86" s="69">
        <v>9.6</v>
      </c>
      <c r="F86" s="70">
        <v>1668</v>
      </c>
      <c r="G86" s="70">
        <v>32</v>
      </c>
      <c r="H86" s="70" t="s">
        <v>405</v>
      </c>
      <c r="I86" s="69">
        <v>15.4</v>
      </c>
      <c r="J86" s="70">
        <v>2680</v>
      </c>
      <c r="K86" s="69">
        <v>15.4</v>
      </c>
      <c r="L86" s="70">
        <v>2680</v>
      </c>
      <c r="M86" s="70" t="s">
        <v>1120</v>
      </c>
      <c r="N86" s="70" t="s">
        <v>457</v>
      </c>
      <c r="O86" s="69">
        <v>13.4</v>
      </c>
      <c r="P86" s="70">
        <v>2270</v>
      </c>
      <c r="Q86" s="69">
        <v>13.4</v>
      </c>
      <c r="R86" s="70">
        <v>2270</v>
      </c>
      <c r="S86" s="70" t="s">
        <v>1121</v>
      </c>
      <c r="T86" s="70" t="s">
        <v>1124</v>
      </c>
      <c r="U86" s="76">
        <v>7083</v>
      </c>
      <c r="V86" s="77">
        <v>7090</v>
      </c>
      <c r="W86" s="77">
        <v>8873</v>
      </c>
      <c r="X86" s="77">
        <v>7730</v>
      </c>
      <c r="Y86" s="77">
        <v>7202</v>
      </c>
      <c r="Z86" s="77">
        <v>8810</v>
      </c>
      <c r="AA86" s="77">
        <v>7205</v>
      </c>
      <c r="AB86" s="77">
        <v>7111</v>
      </c>
      <c r="AC86" s="77">
        <v>7980</v>
      </c>
      <c r="AD86" s="77">
        <v>7112</v>
      </c>
      <c r="AE86" s="77">
        <v>8812</v>
      </c>
      <c r="AF86" s="77">
        <v>7019</v>
      </c>
      <c r="AG86" s="77">
        <v>7902</v>
      </c>
      <c r="AH86" s="77">
        <v>7921</v>
      </c>
      <c r="AI86" s="77">
        <v>8544</v>
      </c>
      <c r="AJ86" s="77">
        <v>7051</v>
      </c>
      <c r="AK86" s="77">
        <v>7738</v>
      </c>
      <c r="AL86" s="77">
        <v>7003</v>
      </c>
      <c r="AM86" s="77">
        <v>7028</v>
      </c>
      <c r="AN86" s="77">
        <v>7701</v>
      </c>
      <c r="AO86" s="77">
        <v>8836</v>
      </c>
      <c r="AP86" s="77">
        <v>7092</v>
      </c>
      <c r="AQ86" s="77">
        <v>8835</v>
      </c>
      <c r="AR86" s="77">
        <v>7922</v>
      </c>
      <c r="AS86" s="77">
        <v>7733</v>
      </c>
      <c r="AT86" s="77">
        <v>8890</v>
      </c>
      <c r="AU86" s="77">
        <v>7946</v>
      </c>
      <c r="AV86" s="77">
        <v>7734</v>
      </c>
      <c r="AW86" s="77">
        <v>7765</v>
      </c>
      <c r="AX86" s="77">
        <v>7081</v>
      </c>
      <c r="AY86" s="77">
        <v>7088</v>
      </c>
      <c r="AZ86" s="77">
        <v>7933</v>
      </c>
      <c r="BA86" s="77">
        <v>7974</v>
      </c>
      <c r="BB86" s="77">
        <v>7939</v>
      </c>
      <c r="BC86" s="77">
        <v>8528</v>
      </c>
      <c r="BD86" s="77">
        <v>8512</v>
      </c>
      <c r="BE86" s="77">
        <v>8831</v>
      </c>
      <c r="BF86" s="77">
        <v>7751</v>
      </c>
      <c r="BG86" s="77">
        <v>7746</v>
      </c>
      <c r="BH86" s="77">
        <v>7758</v>
      </c>
      <c r="BI86" s="77">
        <v>7040</v>
      </c>
      <c r="BJ86" s="77">
        <v>7748</v>
      </c>
      <c r="BK86" s="77">
        <v>7103</v>
      </c>
      <c r="BL86" s="77">
        <v>8807</v>
      </c>
      <c r="BM86" s="77">
        <v>8869</v>
      </c>
      <c r="BN86" s="77">
        <v>8553</v>
      </c>
      <c r="BO86" s="77">
        <v>7928</v>
      </c>
      <c r="BP86" s="77">
        <v>8536</v>
      </c>
      <c r="BQ86" s="77">
        <v>7002</v>
      </c>
      <c r="BR86" s="77">
        <v>7018</v>
      </c>
      <c r="BS86" s="77">
        <v>8844</v>
      </c>
      <c r="BT86" s="77">
        <v>7718</v>
      </c>
      <c r="BU86" s="77">
        <v>7726</v>
      </c>
      <c r="BV86" s="77">
        <v>7108</v>
      </c>
      <c r="BW86" s="77">
        <v>7106</v>
      </c>
      <c r="BX86" s="77">
        <v>7041</v>
      </c>
      <c r="BY86" s="77">
        <v>7976</v>
      </c>
      <c r="BZ86" s="77">
        <v>8542</v>
      </c>
      <c r="CA86" s="77">
        <v>8540</v>
      </c>
      <c r="CB86" s="77">
        <v>7101</v>
      </c>
      <c r="CC86" s="77">
        <v>7192</v>
      </c>
      <c r="CD86" s="77">
        <v>7193</v>
      </c>
      <c r="CE86" s="77">
        <v>7175</v>
      </c>
      <c r="CF86" s="77">
        <v>7184</v>
      </c>
      <c r="CG86" s="77">
        <v>7188</v>
      </c>
      <c r="CH86" s="77">
        <v>7191</v>
      </c>
      <c r="CI86" s="77">
        <v>7198</v>
      </c>
      <c r="CJ86" s="77">
        <v>7195</v>
      </c>
      <c r="CK86" s="77">
        <v>7017</v>
      </c>
      <c r="CL86" s="77">
        <v>7978</v>
      </c>
      <c r="CM86" s="77">
        <v>7102</v>
      </c>
      <c r="CN86" s="77">
        <v>7105</v>
      </c>
      <c r="CO86" s="77">
        <v>7901</v>
      </c>
      <c r="CP86" s="77">
        <v>8541</v>
      </c>
      <c r="CQ86" s="77">
        <v>8543</v>
      </c>
      <c r="CR86" s="77">
        <v>8502</v>
      </c>
      <c r="CS86" s="77">
        <v>7114</v>
      </c>
      <c r="CT86" s="77">
        <v>7029</v>
      </c>
      <c r="CU86" s="77">
        <v>7920</v>
      </c>
      <c r="CV86" s="77">
        <v>7737</v>
      </c>
      <c r="CW86" s="77">
        <v>8876</v>
      </c>
      <c r="CX86" s="77">
        <v>8821</v>
      </c>
      <c r="CY86" s="77">
        <v>7477</v>
      </c>
      <c r="CZ86" s="77">
        <v>7107</v>
      </c>
      <c r="DA86" s="77">
        <v>7050</v>
      </c>
      <c r="DB86" s="77">
        <v>7039</v>
      </c>
      <c r="DC86" s="77">
        <v>7752</v>
      </c>
      <c r="DD86" s="77">
        <v>8520</v>
      </c>
      <c r="DE86" s="77">
        <v>8504</v>
      </c>
      <c r="DF86" s="77">
        <v>7395</v>
      </c>
      <c r="DG86" s="77">
        <v>7032</v>
      </c>
      <c r="DH86" s="77">
        <v>7189</v>
      </c>
      <c r="DI86" s="77">
        <v>7763</v>
      </c>
      <c r="DJ86" s="77">
        <v>7716</v>
      </c>
      <c r="DK86" s="77">
        <v>7104</v>
      </c>
      <c r="DL86" s="77">
        <v>7099</v>
      </c>
      <c r="DM86" s="77">
        <v>7305</v>
      </c>
      <c r="DN86" s="77">
        <v>8558</v>
      </c>
      <c r="DO86" s="77">
        <v>7728</v>
      </c>
      <c r="DP86" s="77"/>
      <c r="DQ86" s="77"/>
      <c r="DR86" s="77"/>
      <c r="DS86" s="77"/>
      <c r="DT86" s="77"/>
      <c r="DU86" s="77"/>
      <c r="DV86" s="77"/>
      <c r="DW86" s="77"/>
      <c r="DX86" s="77"/>
      <c r="DY86" s="77"/>
      <c r="DZ86" s="77"/>
      <c r="EA86" s="77"/>
      <c r="EB86" s="77"/>
      <c r="EC86" s="77"/>
      <c r="ED86" s="77"/>
      <c r="EE86" s="77"/>
      <c r="EF86" s="77"/>
      <c r="EG86" s="77"/>
      <c r="EH86" s="77"/>
      <c r="EI86" s="77"/>
      <c r="EJ86" s="77"/>
      <c r="EK86" s="77"/>
      <c r="EL86" s="77"/>
      <c r="EM86" s="77"/>
      <c r="EN86" s="77"/>
      <c r="EO86" s="77"/>
      <c r="EP86" s="77"/>
      <c r="EQ86" s="77"/>
      <c r="ER86" s="77"/>
      <c r="ES86" s="77"/>
      <c r="ET86" s="77"/>
      <c r="EU86" s="77"/>
      <c r="EV86" s="77"/>
      <c r="EW86" s="77"/>
      <c r="EX86" s="77"/>
      <c r="EY86" s="77"/>
      <c r="EZ86" s="77"/>
      <c r="FA86" s="77"/>
      <c r="FB86" s="77"/>
      <c r="FC86" s="77"/>
      <c r="FD86" s="77"/>
      <c r="FE86" s="77"/>
      <c r="FF86" s="77"/>
      <c r="FG86" s="77"/>
      <c r="FH86" s="77"/>
      <c r="FI86" s="77"/>
      <c r="FJ86" s="77"/>
      <c r="FK86" s="77"/>
      <c r="FL86" s="77"/>
      <c r="FM86" s="77"/>
      <c r="FN86" s="77"/>
      <c r="FO86" s="77"/>
      <c r="FP86" s="77"/>
      <c r="FQ86" s="77"/>
      <c r="FR86" s="77"/>
      <c r="FS86" s="77"/>
      <c r="FT86" s="77"/>
      <c r="FU86" s="77"/>
      <c r="FV86" s="77"/>
      <c r="FW86" s="78"/>
      <c r="FX86" s="78"/>
      <c r="FY86" s="78"/>
      <c r="FZ86" s="78"/>
      <c r="GA86" s="78"/>
      <c r="GB86" s="78"/>
      <c r="GC86" s="78"/>
      <c r="GD86" s="78"/>
      <c r="GE86" s="78"/>
      <c r="GF86" s="78"/>
      <c r="GG86" s="78"/>
      <c r="GH86" s="78"/>
      <c r="GI86" s="78"/>
      <c r="GJ86" s="78"/>
      <c r="GK86" s="78"/>
      <c r="GL86" s="78"/>
      <c r="GM86" s="78"/>
      <c r="GN86" s="78"/>
      <c r="GO86" s="78"/>
      <c r="GP86" s="78"/>
      <c r="GQ86" s="78"/>
      <c r="GR86" s="78"/>
      <c r="GS86" s="78"/>
      <c r="GT86" s="78"/>
      <c r="GU86" s="78"/>
      <c r="GV86" s="78"/>
      <c r="GW86" s="78"/>
      <c r="GX86" s="78"/>
      <c r="GY86" s="78"/>
      <c r="GZ86" s="78"/>
      <c r="HA86" s="78"/>
      <c r="HB86" s="78"/>
      <c r="HC86" s="78"/>
      <c r="HD86" s="78"/>
      <c r="HE86" s="78"/>
      <c r="HF86" s="78"/>
      <c r="HG86" s="78"/>
      <c r="HH86" s="78"/>
      <c r="HI86" s="78"/>
      <c r="HJ86" s="78"/>
      <c r="HK86" s="78"/>
      <c r="HL86" s="78"/>
      <c r="HM86" s="78"/>
      <c r="HN86" s="78"/>
      <c r="HO86" s="78"/>
      <c r="HP86" s="78"/>
      <c r="HQ86" s="78"/>
      <c r="HR86" s="78"/>
      <c r="HS86" s="78"/>
      <c r="HT86" s="78"/>
      <c r="HU86" s="78"/>
      <c r="HV86" s="78"/>
      <c r="HW86" s="78"/>
      <c r="HX86" s="78"/>
      <c r="HY86" s="78"/>
      <c r="HZ86" s="78"/>
      <c r="IA86" s="78"/>
      <c r="IB86" s="78"/>
      <c r="IC86" s="78"/>
      <c r="ID86" s="78"/>
      <c r="IE86" s="78"/>
      <c r="IF86" s="78"/>
      <c r="IG86" s="78"/>
      <c r="IH86" s="78"/>
      <c r="II86" s="78"/>
      <c r="IJ86" s="78"/>
      <c r="IK86" s="78"/>
      <c r="IL86" s="78"/>
      <c r="IM86" s="78"/>
      <c r="IN86" s="78"/>
      <c r="IO86" s="78"/>
      <c r="IP86" s="78"/>
      <c r="IQ86" s="78"/>
      <c r="IR86" s="78"/>
      <c r="IS86" s="78"/>
      <c r="IT86" s="78"/>
      <c r="IU86" s="78"/>
      <c r="IV86" s="78"/>
      <c r="IW86" s="78"/>
      <c r="IX86" s="78"/>
      <c r="IY86" s="78"/>
      <c r="IZ86" s="78"/>
      <c r="JA86" s="78"/>
      <c r="JB86" s="78"/>
      <c r="JC86" s="78"/>
      <c r="JD86" s="78"/>
      <c r="JE86" s="78"/>
      <c r="JF86" s="78"/>
      <c r="JG86" s="78"/>
      <c r="JH86" s="78"/>
      <c r="JI86" s="78"/>
      <c r="JJ86" s="78"/>
      <c r="JK86" s="78"/>
      <c r="JL86" s="78"/>
      <c r="JM86" s="78"/>
      <c r="JN86" s="78"/>
      <c r="JO86" s="78"/>
      <c r="JP86" s="78"/>
      <c r="JQ86" s="78"/>
      <c r="JR86" s="78"/>
      <c r="JS86" s="78"/>
      <c r="JT86" s="78"/>
      <c r="JU86" s="78"/>
      <c r="JV86" s="78"/>
      <c r="JW86" s="78"/>
      <c r="JX86" s="78"/>
      <c r="JY86" s="78"/>
      <c r="JZ86" s="78"/>
      <c r="KA86" s="78"/>
      <c r="KB86" s="78"/>
      <c r="KC86" s="78"/>
      <c r="KD86" s="78"/>
      <c r="KE86" s="78"/>
      <c r="KF86" s="78"/>
      <c r="KG86" s="78"/>
      <c r="KH86" s="78"/>
      <c r="KI86" s="78"/>
    </row>
    <row r="87" ht="16.5" spans="1:295">
      <c r="A87" s="37" t="s">
        <v>1148</v>
      </c>
      <c r="B87" s="73" t="s">
        <v>1145</v>
      </c>
      <c r="C87" s="69">
        <v>9.9</v>
      </c>
      <c r="D87" s="70">
        <v>1712</v>
      </c>
      <c r="E87" s="69">
        <v>9.9</v>
      </c>
      <c r="F87" s="70">
        <v>1712</v>
      </c>
      <c r="G87" s="70">
        <v>32</v>
      </c>
      <c r="H87" s="70" t="s">
        <v>405</v>
      </c>
      <c r="I87" s="69">
        <v>15.7</v>
      </c>
      <c r="J87" s="70">
        <v>2730</v>
      </c>
      <c r="K87" s="69">
        <v>15.7</v>
      </c>
      <c r="L87" s="70">
        <v>2730</v>
      </c>
      <c r="M87" s="70" t="s">
        <v>1120</v>
      </c>
      <c r="N87" s="70" t="s">
        <v>457</v>
      </c>
      <c r="O87" s="69">
        <v>13.7</v>
      </c>
      <c r="P87" s="70">
        <v>2310</v>
      </c>
      <c r="Q87" s="69">
        <v>13.7</v>
      </c>
      <c r="R87" s="70">
        <v>2310</v>
      </c>
      <c r="S87" s="70" t="s">
        <v>1121</v>
      </c>
      <c r="T87" s="70" t="s">
        <v>1124</v>
      </c>
      <c r="U87" s="76">
        <v>7702</v>
      </c>
      <c r="V87" s="77">
        <v>7977</v>
      </c>
      <c r="W87" s="77">
        <v>7704</v>
      </c>
      <c r="X87" s="77">
        <v>8619</v>
      </c>
      <c r="Y87" s="77">
        <v>8648</v>
      </c>
      <c r="Z87" s="77">
        <v>7934</v>
      </c>
      <c r="AA87" s="77">
        <v>7979</v>
      </c>
      <c r="AB87" s="77">
        <v>8638</v>
      </c>
      <c r="AC87" s="77">
        <v>8691</v>
      </c>
      <c r="AD87" s="77">
        <v>7930</v>
      </c>
      <c r="AE87" s="77">
        <v>8628</v>
      </c>
      <c r="AF87" s="77">
        <v>8801</v>
      </c>
      <c r="AG87" s="77">
        <v>7109</v>
      </c>
      <c r="AH87" s="77">
        <v>8550</v>
      </c>
      <c r="AI87" s="77">
        <v>7303</v>
      </c>
      <c r="AJ87" s="77">
        <v>7304</v>
      </c>
      <c r="AK87" s="77">
        <v>7306</v>
      </c>
      <c r="AL87" s="77">
        <v>8888</v>
      </c>
      <c r="AM87" s="77">
        <v>7052</v>
      </c>
      <c r="AN87" s="77">
        <v>7960</v>
      </c>
      <c r="AO87" s="77">
        <v>7710</v>
      </c>
      <c r="AP87" s="77">
        <v>7938</v>
      </c>
      <c r="AQ87" s="77">
        <v>7311</v>
      </c>
      <c r="AR87" s="77">
        <v>7931</v>
      </c>
      <c r="AS87" s="77">
        <v>7940</v>
      </c>
      <c r="AT87" s="77">
        <v>7110</v>
      </c>
      <c r="AU87" s="77">
        <v>8535</v>
      </c>
      <c r="AV87" s="77">
        <v>7031</v>
      </c>
      <c r="AW87" s="77">
        <v>7302</v>
      </c>
      <c r="AX87" s="77">
        <v>8853</v>
      </c>
      <c r="AY87" s="77">
        <v>7308</v>
      </c>
      <c r="AZ87" s="77">
        <v>7739</v>
      </c>
      <c r="BA87" s="77">
        <v>7042</v>
      </c>
      <c r="BB87" s="77">
        <v>7087</v>
      </c>
      <c r="BC87" s="77">
        <v>7945</v>
      </c>
      <c r="BD87" s="77">
        <v>7310</v>
      </c>
      <c r="BE87" s="77">
        <v>7935</v>
      </c>
      <c r="BF87" s="77">
        <v>7932</v>
      </c>
      <c r="BG87" s="77">
        <v>7307</v>
      </c>
      <c r="BH87" s="77">
        <v>8887</v>
      </c>
      <c r="BI87" s="77">
        <v>7760</v>
      </c>
      <c r="BJ87" s="77">
        <v>8889</v>
      </c>
      <c r="BK87" s="77">
        <v>7724</v>
      </c>
      <c r="BL87" s="77">
        <v>7044</v>
      </c>
      <c r="BM87" s="77">
        <v>7703</v>
      </c>
      <c r="BN87" s="77">
        <v>7068</v>
      </c>
      <c r="BO87" s="77">
        <v>8858</v>
      </c>
      <c r="BP87" s="77">
        <v>7096</v>
      </c>
      <c r="BQ87" s="77">
        <v>7013</v>
      </c>
      <c r="BR87" s="77">
        <v>8525</v>
      </c>
      <c r="BS87" s="77">
        <v>7097</v>
      </c>
      <c r="BT87" s="77">
        <v>7926</v>
      </c>
      <c r="BU87" s="77">
        <v>7030</v>
      </c>
      <c r="BV87" s="77">
        <v>7012</v>
      </c>
      <c r="BW87" s="77">
        <v>7086</v>
      </c>
      <c r="BX87" s="77">
        <v>7043</v>
      </c>
      <c r="BY87" s="77">
        <v>8555</v>
      </c>
      <c r="BZ87" s="77">
        <v>7094</v>
      </c>
      <c r="CA87" s="77">
        <v>7055</v>
      </c>
      <c r="CB87" s="77">
        <v>7009</v>
      </c>
      <c r="CC87" s="77">
        <v>7073</v>
      </c>
      <c r="CD87" s="77">
        <v>8561</v>
      </c>
      <c r="CE87" s="77">
        <v>7732</v>
      </c>
      <c r="CF87" s="77">
        <v>7764</v>
      </c>
      <c r="CG87" s="77">
        <v>8690</v>
      </c>
      <c r="CH87" s="77">
        <v>7047</v>
      </c>
      <c r="CI87" s="77">
        <v>7021</v>
      </c>
      <c r="CJ87" s="77">
        <v>7750</v>
      </c>
      <c r="CK87" s="77">
        <v>8833</v>
      </c>
      <c r="CL87" s="77">
        <v>7799</v>
      </c>
      <c r="CM87" s="77">
        <v>8863</v>
      </c>
      <c r="CN87" s="77">
        <v>7015</v>
      </c>
      <c r="CO87" s="77">
        <v>7007</v>
      </c>
      <c r="CP87" s="77">
        <v>7011</v>
      </c>
      <c r="CQ87" s="77">
        <v>7533</v>
      </c>
      <c r="CR87" s="77">
        <v>7093</v>
      </c>
      <c r="CS87" s="77">
        <v>7070</v>
      </c>
      <c r="CT87" s="77">
        <v>7924</v>
      </c>
      <c r="CU87" s="77">
        <v>7072</v>
      </c>
      <c r="CV87" s="77">
        <v>7014</v>
      </c>
      <c r="CW87" s="77">
        <v>7424</v>
      </c>
      <c r="CX87" s="77">
        <v>8602</v>
      </c>
      <c r="CY87" s="77">
        <v>8603</v>
      </c>
      <c r="CZ87" s="77">
        <v>7927</v>
      </c>
      <c r="DA87" s="77">
        <v>8625</v>
      </c>
      <c r="DB87" s="77">
        <v>7755</v>
      </c>
      <c r="DC87" s="77">
        <v>7753</v>
      </c>
      <c r="DD87" s="77">
        <v>7936</v>
      </c>
      <c r="DE87" s="77">
        <v>7006</v>
      </c>
      <c r="DF87" s="77">
        <v>7071</v>
      </c>
      <c r="DG87" s="77">
        <v>7057</v>
      </c>
      <c r="DH87" s="77">
        <v>8695</v>
      </c>
      <c r="DI87" s="77">
        <v>7740</v>
      </c>
      <c r="DJ87" s="77">
        <v>8666</v>
      </c>
      <c r="DK87" s="77">
        <v>7544</v>
      </c>
      <c r="DL87" s="77">
        <v>7962</v>
      </c>
      <c r="DM87" s="77">
        <v>7963</v>
      </c>
      <c r="DN87" s="77">
        <v>8646</v>
      </c>
      <c r="DO87" s="77">
        <v>8647</v>
      </c>
      <c r="DP87" s="77">
        <v>7731</v>
      </c>
      <c r="DQ87" s="77">
        <v>8650</v>
      </c>
      <c r="DR87" s="77">
        <v>7712</v>
      </c>
      <c r="DS87" s="77">
        <v>7503</v>
      </c>
      <c r="DT87" s="77">
        <v>8629</v>
      </c>
      <c r="DU87" s="77">
        <v>8604</v>
      </c>
      <c r="DV87" s="77">
        <v>8605</v>
      </c>
      <c r="DW87" s="77">
        <v>8606</v>
      </c>
      <c r="DX87" s="77">
        <v>8607</v>
      </c>
      <c r="DY87" s="77">
        <v>8645</v>
      </c>
      <c r="DZ87" s="77">
        <v>7999</v>
      </c>
      <c r="EA87" s="77">
        <v>8609</v>
      </c>
      <c r="EB87" s="77">
        <v>7961</v>
      </c>
      <c r="EC87" s="77">
        <v>7522</v>
      </c>
      <c r="ED87" s="77">
        <v>8551</v>
      </c>
      <c r="EE87" s="77">
        <v>7512</v>
      </c>
      <c r="EF87" s="77">
        <v>8610</v>
      </c>
      <c r="EG87" s="77">
        <v>7022</v>
      </c>
      <c r="EH87" s="77">
        <v>8601</v>
      </c>
      <c r="EI87" s="77">
        <v>7513</v>
      </c>
      <c r="EJ87" s="77">
        <v>8510</v>
      </c>
      <c r="EK87" s="77">
        <v>7543</v>
      </c>
      <c r="EL87" s="77">
        <v>7074</v>
      </c>
      <c r="EM87" s="77">
        <v>7660</v>
      </c>
      <c r="EN87" s="77">
        <v>7075</v>
      </c>
      <c r="EO87" s="77">
        <v>8822</v>
      </c>
      <c r="EP87" s="77">
        <v>7505</v>
      </c>
      <c r="EQ87" s="77">
        <v>7510</v>
      </c>
      <c r="ER87" s="77">
        <v>8608</v>
      </c>
      <c r="ES87" s="77">
        <v>7981</v>
      </c>
      <c r="ET87" s="77">
        <v>7754</v>
      </c>
      <c r="EU87" s="77">
        <v>8534</v>
      </c>
      <c r="EV87" s="77">
        <v>7524</v>
      </c>
      <c r="EW87" s="77">
        <v>7504</v>
      </c>
      <c r="EX87" s="77">
        <v>7538</v>
      </c>
      <c r="EY87" s="77">
        <v>7058</v>
      </c>
      <c r="EZ87" s="77">
        <v>7514</v>
      </c>
      <c r="FA87" s="77">
        <v>7010</v>
      </c>
      <c r="FB87" s="77">
        <v>8530</v>
      </c>
      <c r="FC87" s="77">
        <v>7650</v>
      </c>
      <c r="FD87" s="77">
        <v>7657</v>
      </c>
      <c r="FE87" s="77">
        <v>7407</v>
      </c>
      <c r="FF87" s="77">
        <v>7699</v>
      </c>
      <c r="FG87" s="77">
        <v>7509</v>
      </c>
      <c r="FH87" s="77">
        <v>7723</v>
      </c>
      <c r="FI87" s="77">
        <v>7950</v>
      </c>
      <c r="FJ87" s="77">
        <v>7502</v>
      </c>
      <c r="FK87" s="77">
        <v>7511</v>
      </c>
      <c r="FL87" s="77">
        <v>7501</v>
      </c>
      <c r="FM87" s="77">
        <v>7026</v>
      </c>
      <c r="FN87" s="77">
        <v>8620</v>
      </c>
      <c r="FO87" s="77">
        <v>7606</v>
      </c>
      <c r="FP87" s="77">
        <v>7604</v>
      </c>
      <c r="FQ87" s="77">
        <v>7034</v>
      </c>
      <c r="FR87" s="77">
        <v>7727</v>
      </c>
      <c r="FS87" s="77">
        <v>7608</v>
      </c>
      <c r="FT87" s="77">
        <v>7711</v>
      </c>
      <c r="FU87" s="77">
        <v>7720</v>
      </c>
      <c r="FV87" s="77">
        <v>7663</v>
      </c>
      <c r="FW87" s="78"/>
      <c r="FX87" s="78"/>
      <c r="FY87" s="78"/>
      <c r="FZ87" s="78"/>
      <c r="GA87" s="78"/>
      <c r="GB87" s="78"/>
      <c r="GC87" s="78"/>
      <c r="GD87" s="78"/>
      <c r="GE87" s="78"/>
      <c r="GF87" s="78"/>
      <c r="GG87" s="78"/>
      <c r="GH87" s="78"/>
      <c r="GI87" s="78"/>
      <c r="GJ87" s="78"/>
      <c r="GK87" s="78"/>
      <c r="GL87" s="78"/>
      <c r="GM87" s="78"/>
      <c r="GN87" s="78"/>
      <c r="GO87" s="78"/>
      <c r="GP87" s="78"/>
      <c r="GQ87" s="78"/>
      <c r="GR87" s="78"/>
      <c r="GS87" s="78"/>
      <c r="GT87" s="78"/>
      <c r="GU87" s="78"/>
      <c r="GV87" s="78"/>
      <c r="GW87" s="78"/>
      <c r="GX87" s="78"/>
      <c r="GY87" s="78"/>
      <c r="GZ87" s="78"/>
      <c r="HA87" s="78"/>
      <c r="HB87" s="78"/>
      <c r="HC87" s="78"/>
      <c r="HD87" s="78"/>
      <c r="HE87" s="78"/>
      <c r="HF87" s="78"/>
      <c r="HG87" s="78"/>
      <c r="HH87" s="78"/>
      <c r="HI87" s="78"/>
      <c r="HJ87" s="78"/>
      <c r="HK87" s="78"/>
      <c r="HL87" s="78"/>
      <c r="HM87" s="78"/>
      <c r="HN87" s="78"/>
      <c r="HO87" s="78"/>
      <c r="HP87" s="78"/>
      <c r="HQ87" s="78"/>
      <c r="HR87" s="78"/>
      <c r="HS87" s="78"/>
      <c r="HT87" s="78"/>
      <c r="HU87" s="78"/>
      <c r="HV87" s="78"/>
      <c r="HW87" s="78"/>
      <c r="HX87" s="78"/>
      <c r="HY87" s="78"/>
      <c r="HZ87" s="78"/>
      <c r="IA87" s="78"/>
      <c r="IB87" s="78"/>
      <c r="IC87" s="78"/>
      <c r="ID87" s="78"/>
      <c r="IE87" s="78"/>
      <c r="IF87" s="78"/>
      <c r="IG87" s="78"/>
      <c r="IH87" s="78"/>
      <c r="II87" s="78"/>
      <c r="IJ87" s="78"/>
      <c r="IK87" s="78"/>
      <c r="IL87" s="78"/>
      <c r="IM87" s="78"/>
      <c r="IN87" s="78"/>
      <c r="IO87" s="78"/>
      <c r="IP87" s="78"/>
      <c r="IQ87" s="78"/>
      <c r="IR87" s="78"/>
      <c r="IS87" s="78"/>
      <c r="IT87" s="78"/>
      <c r="IU87" s="78"/>
      <c r="IV87" s="78"/>
      <c r="IW87" s="78"/>
      <c r="IX87" s="78"/>
      <c r="IY87" s="78"/>
      <c r="IZ87" s="78"/>
      <c r="JA87" s="78"/>
      <c r="JB87" s="78"/>
      <c r="JC87" s="78"/>
      <c r="JD87" s="78"/>
      <c r="JE87" s="78"/>
      <c r="JF87" s="78"/>
      <c r="JG87" s="78"/>
      <c r="JH87" s="78"/>
      <c r="JI87" s="78"/>
      <c r="JJ87" s="78"/>
      <c r="JK87" s="78"/>
      <c r="JL87" s="78"/>
      <c r="JM87" s="78"/>
      <c r="JN87" s="78"/>
      <c r="JO87" s="78"/>
      <c r="JP87" s="78"/>
      <c r="JQ87" s="78"/>
      <c r="JR87" s="78"/>
      <c r="JS87" s="78"/>
      <c r="JT87" s="78"/>
      <c r="JU87" s="78"/>
      <c r="JV87" s="78"/>
      <c r="JW87" s="78"/>
      <c r="JX87" s="78"/>
      <c r="JY87" s="78"/>
      <c r="JZ87" s="78"/>
      <c r="KA87" s="78"/>
      <c r="KB87" s="78"/>
      <c r="KC87" s="78"/>
      <c r="KD87" s="78"/>
      <c r="KE87" s="78"/>
      <c r="KF87" s="78"/>
      <c r="KG87" s="78"/>
      <c r="KH87" s="78"/>
      <c r="KI87" s="78"/>
    </row>
    <row r="88" ht="16.5" spans="1:295">
      <c r="A88" s="37" t="s">
        <v>1149</v>
      </c>
      <c r="B88" s="44" t="s">
        <v>1145</v>
      </c>
      <c r="C88" s="69">
        <v>10.1</v>
      </c>
      <c r="D88" s="70">
        <v>1756</v>
      </c>
      <c r="E88" s="69">
        <v>10.1</v>
      </c>
      <c r="F88" s="70">
        <v>1756</v>
      </c>
      <c r="G88" s="70">
        <v>32</v>
      </c>
      <c r="H88" s="70" t="s">
        <v>405</v>
      </c>
      <c r="I88" s="69">
        <v>15.9</v>
      </c>
      <c r="J88" s="70">
        <v>2770</v>
      </c>
      <c r="K88" s="69">
        <v>15.9</v>
      </c>
      <c r="L88" s="70">
        <v>2770</v>
      </c>
      <c r="M88" s="70" t="s">
        <v>1120</v>
      </c>
      <c r="N88" s="70" t="s">
        <v>457</v>
      </c>
      <c r="O88" s="69">
        <v>13.9</v>
      </c>
      <c r="P88" s="70">
        <v>2360</v>
      </c>
      <c r="Q88" s="69">
        <v>13.9</v>
      </c>
      <c r="R88" s="70">
        <v>2360</v>
      </c>
      <c r="S88" s="70" t="s">
        <v>1121</v>
      </c>
      <c r="T88" s="70" t="s">
        <v>1124</v>
      </c>
      <c r="U88" s="76">
        <v>8829</v>
      </c>
      <c r="V88" s="77">
        <v>8501</v>
      </c>
      <c r="W88" s="77">
        <v>7836</v>
      </c>
      <c r="X88" s="77">
        <v>7853</v>
      </c>
      <c r="Y88" s="77">
        <v>7870</v>
      </c>
      <c r="Z88" s="77">
        <v>8730</v>
      </c>
      <c r="AA88" s="77">
        <v>8809</v>
      </c>
      <c r="AB88" s="77">
        <v>8827</v>
      </c>
      <c r="AC88" s="77">
        <v>8724</v>
      </c>
      <c r="AD88" s="77">
        <v>7803</v>
      </c>
      <c r="AE88" s="77">
        <v>8826</v>
      </c>
      <c r="AF88" s="77">
        <v>8738</v>
      </c>
      <c r="AG88" s="77">
        <v>7020</v>
      </c>
      <c r="AH88" s="77">
        <v>7605</v>
      </c>
      <c r="AI88" s="77">
        <v>7004</v>
      </c>
      <c r="AJ88" s="77">
        <v>7878</v>
      </c>
      <c r="AK88" s="77">
        <v>7603</v>
      </c>
      <c r="AL88" s="77">
        <v>7054</v>
      </c>
      <c r="AM88" s="77">
        <v>7719</v>
      </c>
      <c r="AN88" s="77">
        <v>7666</v>
      </c>
      <c r="AO88" s="77">
        <v>7662</v>
      </c>
      <c r="AP88" s="77">
        <v>7607</v>
      </c>
      <c r="AQ88" s="77">
        <v>8527</v>
      </c>
      <c r="AR88" s="77">
        <v>7035</v>
      </c>
      <c r="AS88" s="77">
        <v>8720</v>
      </c>
      <c r="AT88" s="77">
        <v>7602</v>
      </c>
      <c r="AU88" s="77">
        <v>7024</v>
      </c>
      <c r="AV88" s="77">
        <v>8560</v>
      </c>
      <c r="AW88" s="77">
        <v>7507</v>
      </c>
      <c r="AX88" s="77">
        <v>8701</v>
      </c>
      <c r="AY88" s="77">
        <v>7715</v>
      </c>
      <c r="AZ88" s="77">
        <v>7644</v>
      </c>
      <c r="BA88" s="77">
        <v>7717</v>
      </c>
      <c r="BB88" s="77">
        <v>7474</v>
      </c>
      <c r="BC88" s="77">
        <v>7508</v>
      </c>
      <c r="BD88" s="77">
        <v>7440</v>
      </c>
      <c r="BE88" s="77">
        <v>7452</v>
      </c>
      <c r="BF88" s="77">
        <v>8559</v>
      </c>
      <c r="BG88" s="77">
        <v>7845</v>
      </c>
      <c r="BH88" s="77">
        <v>7876</v>
      </c>
      <c r="BI88" s="77">
        <v>7631</v>
      </c>
      <c r="BJ88" s="77">
        <v>7970</v>
      </c>
      <c r="BK88" s="77">
        <v>8736</v>
      </c>
      <c r="BL88" s="77">
        <v>7653</v>
      </c>
      <c r="BM88" s="77">
        <v>7410</v>
      </c>
      <c r="BN88" s="77">
        <v>7470</v>
      </c>
      <c r="BO88" s="77">
        <v>7046</v>
      </c>
      <c r="BP88" s="77">
        <v>8526</v>
      </c>
      <c r="BQ88" s="77">
        <v>7506</v>
      </c>
      <c r="BR88" s="77">
        <v>8557</v>
      </c>
      <c r="BS88" s="77">
        <v>8514</v>
      </c>
      <c r="BT88" s="77">
        <v>7444</v>
      </c>
      <c r="BU88" s="77">
        <v>8803</v>
      </c>
      <c r="BV88" s="77">
        <v>8868</v>
      </c>
      <c r="BW88" s="77">
        <v>7670</v>
      </c>
      <c r="BX88" s="77">
        <v>7661</v>
      </c>
      <c r="BY88" s="77">
        <v>7762</v>
      </c>
      <c r="BZ88" s="77">
        <v>7646</v>
      </c>
      <c r="CA88" s="77">
        <v>7621</v>
      </c>
      <c r="CB88" s="77">
        <v>7005</v>
      </c>
      <c r="CC88" s="77">
        <v>7045</v>
      </c>
      <c r="CD88" s="77">
        <v>7865</v>
      </c>
      <c r="CE88" s="77">
        <v>7649</v>
      </c>
      <c r="CF88" s="77">
        <v>8750</v>
      </c>
      <c r="CG88" s="77">
        <v>7601</v>
      </c>
      <c r="CH88" s="77">
        <v>8562</v>
      </c>
      <c r="CI88" s="77">
        <v>7652</v>
      </c>
      <c r="CJ88" s="77">
        <v>8903</v>
      </c>
      <c r="CK88" s="77">
        <v>8820</v>
      </c>
      <c r="CL88" s="77">
        <v>7442</v>
      </c>
      <c r="CM88" s="77">
        <v>7869</v>
      </c>
      <c r="CN88" s="77">
        <v>8867</v>
      </c>
      <c r="CO88" s="77">
        <v>8742</v>
      </c>
      <c r="CP88" s="77">
        <v>7628</v>
      </c>
      <c r="CQ88" s="77">
        <v>8505</v>
      </c>
      <c r="CR88" s="77">
        <v>8515</v>
      </c>
      <c r="CS88" s="77">
        <v>7834</v>
      </c>
      <c r="CT88" s="77">
        <v>8511</v>
      </c>
      <c r="CU88" s="77">
        <v>7626</v>
      </c>
      <c r="CV88" s="77">
        <v>7630</v>
      </c>
      <c r="CW88" s="77">
        <v>7457</v>
      </c>
      <c r="CX88" s="77">
        <v>8022</v>
      </c>
      <c r="CY88" s="77">
        <v>8755</v>
      </c>
      <c r="CZ88" s="77">
        <v>7423</v>
      </c>
      <c r="DA88" s="77">
        <v>7676</v>
      </c>
      <c r="DB88" s="77">
        <v>7806</v>
      </c>
      <c r="DC88" s="77">
        <v>8556</v>
      </c>
      <c r="DD88" s="77">
        <v>7481</v>
      </c>
      <c r="DE88" s="77">
        <v>7641</v>
      </c>
      <c r="DF88" s="77">
        <v>7866</v>
      </c>
      <c r="DG88" s="77">
        <v>7620</v>
      </c>
      <c r="DH88" s="77">
        <v>8802</v>
      </c>
      <c r="DI88" s="77">
        <v>8518</v>
      </c>
      <c r="DJ88" s="77">
        <v>7852</v>
      </c>
      <c r="DK88" s="77">
        <v>7847</v>
      </c>
      <c r="DL88" s="77">
        <v>8825</v>
      </c>
      <c r="DM88" s="77">
        <v>7677</v>
      </c>
      <c r="DN88" s="77">
        <v>7857</v>
      </c>
      <c r="DO88" s="77">
        <v>7417</v>
      </c>
      <c r="DP88" s="77">
        <v>8533</v>
      </c>
      <c r="DQ88" s="77">
        <v>7831</v>
      </c>
      <c r="DR88" s="77">
        <v>7885</v>
      </c>
      <c r="DS88" s="77">
        <v>7420</v>
      </c>
      <c r="DT88" s="77">
        <v>7850</v>
      </c>
      <c r="DU88" s="77">
        <v>7627</v>
      </c>
      <c r="DV88" s="77">
        <v>7432</v>
      </c>
      <c r="DW88" s="77">
        <v>7828</v>
      </c>
      <c r="DX88" s="77">
        <v>8041</v>
      </c>
      <c r="DY88" s="77">
        <v>7840</v>
      </c>
      <c r="DZ88" s="77">
        <v>7436</v>
      </c>
      <c r="EA88" s="77">
        <v>7463</v>
      </c>
      <c r="EB88" s="77">
        <v>7656</v>
      </c>
      <c r="EC88" s="77">
        <v>7842</v>
      </c>
      <c r="ED88" s="77">
        <v>8733</v>
      </c>
      <c r="EE88" s="77">
        <v>7458</v>
      </c>
      <c r="EF88" s="77">
        <v>7880</v>
      </c>
      <c r="EG88" s="77">
        <v>8723</v>
      </c>
      <c r="EH88" s="77">
        <v>7645</v>
      </c>
      <c r="EI88" s="77">
        <v>8804</v>
      </c>
      <c r="EJ88" s="77">
        <v>7802</v>
      </c>
      <c r="EK88" s="77">
        <v>7401</v>
      </c>
      <c r="EL88" s="77">
        <v>7675</v>
      </c>
      <c r="EM88" s="77">
        <v>7874</v>
      </c>
      <c r="EN88" s="77">
        <v>7465</v>
      </c>
      <c r="EO88" s="77">
        <v>7403</v>
      </c>
      <c r="EP88" s="77">
        <v>7821</v>
      </c>
      <c r="EQ88" s="77">
        <v>7446</v>
      </c>
      <c r="ER88" s="77">
        <v>8739</v>
      </c>
      <c r="ES88" s="77">
        <v>8834</v>
      </c>
      <c r="ET88" s="77">
        <v>8016</v>
      </c>
      <c r="EU88" s="77">
        <v>8848</v>
      </c>
      <c r="EV88" s="77">
        <v>7820</v>
      </c>
      <c r="EW88" s="77">
        <v>7640</v>
      </c>
      <c r="EX88" s="77">
        <v>7624</v>
      </c>
      <c r="EY88" s="77">
        <v>8641</v>
      </c>
      <c r="EZ88" s="77">
        <v>8042</v>
      </c>
      <c r="FA88" s="77">
        <v>8640</v>
      </c>
      <c r="FB88" s="77">
        <v>7882</v>
      </c>
      <c r="FC88" s="77">
        <v>7856</v>
      </c>
      <c r="FD88" s="77">
        <v>7843</v>
      </c>
      <c r="FE88" s="77">
        <v>7648</v>
      </c>
      <c r="FF88" s="77">
        <v>8757</v>
      </c>
      <c r="FG88" s="77">
        <v>8722</v>
      </c>
      <c r="FH88" s="77">
        <v>8735</v>
      </c>
      <c r="FI88" s="77">
        <v>8060</v>
      </c>
      <c r="FJ88" s="77">
        <v>7801</v>
      </c>
      <c r="FK88" s="77">
        <v>7435</v>
      </c>
      <c r="FL88" s="77">
        <v>7647</v>
      </c>
      <c r="FM88" s="77">
        <v>8011</v>
      </c>
      <c r="FN88" s="77">
        <v>7456</v>
      </c>
      <c r="FO88" s="77">
        <v>7632</v>
      </c>
      <c r="FP88" s="77">
        <v>7838</v>
      </c>
      <c r="FQ88" s="77">
        <v>8808</v>
      </c>
      <c r="FR88" s="77">
        <v>8073</v>
      </c>
      <c r="FS88" s="77">
        <v>8886</v>
      </c>
      <c r="FT88" s="77">
        <v>7495</v>
      </c>
      <c r="FU88" s="77"/>
      <c r="FV88" s="77"/>
      <c r="FW88" s="78"/>
      <c r="FX88" s="78"/>
      <c r="FY88" s="78"/>
      <c r="FZ88" s="78"/>
      <c r="GA88" s="78"/>
      <c r="GB88" s="78"/>
      <c r="GC88" s="78"/>
      <c r="GD88" s="78"/>
      <c r="GE88" s="78"/>
      <c r="GF88" s="78"/>
      <c r="GG88" s="78"/>
      <c r="GH88" s="78"/>
      <c r="GI88" s="78"/>
      <c r="GJ88" s="78"/>
      <c r="GK88" s="78"/>
      <c r="GL88" s="78"/>
      <c r="GM88" s="78"/>
      <c r="GN88" s="78"/>
      <c r="GO88" s="78"/>
      <c r="GP88" s="78"/>
      <c r="GQ88" s="78"/>
      <c r="GR88" s="78"/>
      <c r="GS88" s="78"/>
      <c r="GT88" s="78"/>
      <c r="GU88" s="78"/>
      <c r="GV88" s="78"/>
      <c r="GW88" s="78"/>
      <c r="GX88" s="78"/>
      <c r="GY88" s="78"/>
      <c r="GZ88" s="78"/>
      <c r="HA88" s="78"/>
      <c r="HB88" s="78"/>
      <c r="HC88" s="78"/>
      <c r="HD88" s="78"/>
      <c r="HE88" s="78"/>
      <c r="HF88" s="78"/>
      <c r="HG88" s="78"/>
      <c r="HH88" s="78"/>
      <c r="HI88" s="78"/>
      <c r="HJ88" s="78"/>
      <c r="HK88" s="78"/>
      <c r="HL88" s="78"/>
      <c r="HM88" s="78"/>
      <c r="HN88" s="78"/>
      <c r="HO88" s="78"/>
      <c r="HP88" s="78"/>
      <c r="HQ88" s="78"/>
      <c r="HR88" s="78"/>
      <c r="HS88" s="78"/>
      <c r="HT88" s="78"/>
      <c r="HU88" s="78"/>
      <c r="HV88" s="78"/>
      <c r="HW88" s="78"/>
      <c r="HX88" s="78"/>
      <c r="HY88" s="78"/>
      <c r="HZ88" s="78"/>
      <c r="IA88" s="78"/>
      <c r="IB88" s="78"/>
      <c r="IC88" s="78"/>
      <c r="ID88" s="78"/>
      <c r="IE88" s="78"/>
      <c r="IF88" s="78"/>
      <c r="IG88" s="78"/>
      <c r="IH88" s="78"/>
      <c r="II88" s="78"/>
      <c r="IJ88" s="78"/>
      <c r="IK88" s="78"/>
      <c r="IL88" s="78"/>
      <c r="IM88" s="78"/>
      <c r="IN88" s="78"/>
      <c r="IO88" s="78"/>
      <c r="IP88" s="78"/>
      <c r="IQ88" s="78"/>
      <c r="IR88" s="78"/>
      <c r="IS88" s="78"/>
      <c r="IT88" s="78"/>
      <c r="IU88" s="78"/>
      <c r="IV88" s="78"/>
      <c r="IW88" s="78"/>
      <c r="IX88" s="78"/>
      <c r="IY88" s="78"/>
      <c r="IZ88" s="78"/>
      <c r="JA88" s="78"/>
      <c r="JB88" s="78"/>
      <c r="JC88" s="78"/>
      <c r="JD88" s="78"/>
      <c r="JE88" s="78"/>
      <c r="JF88" s="78"/>
      <c r="JG88" s="78"/>
      <c r="JH88" s="78"/>
      <c r="JI88" s="78"/>
      <c r="JJ88" s="78"/>
      <c r="JK88" s="78"/>
      <c r="JL88" s="78"/>
      <c r="JM88" s="78"/>
      <c r="JN88" s="78"/>
      <c r="JO88" s="78"/>
      <c r="JP88" s="78"/>
      <c r="JQ88" s="78"/>
      <c r="JR88" s="78"/>
      <c r="JS88" s="78"/>
      <c r="JT88" s="78"/>
      <c r="JU88" s="78"/>
      <c r="JV88" s="78"/>
      <c r="JW88" s="78"/>
      <c r="JX88" s="78"/>
      <c r="JY88" s="78"/>
      <c r="JZ88" s="78"/>
      <c r="KA88" s="78"/>
      <c r="KB88" s="78"/>
      <c r="KC88" s="78"/>
      <c r="KD88" s="78"/>
      <c r="KE88" s="78"/>
      <c r="KF88" s="78"/>
      <c r="KG88" s="78"/>
      <c r="KH88" s="78"/>
      <c r="KI88" s="78"/>
    </row>
    <row r="89" ht="16.5" spans="1:295">
      <c r="A89" s="37" t="s">
        <v>1150</v>
      </c>
      <c r="B89" s="73" t="s">
        <v>1145</v>
      </c>
      <c r="C89" s="69">
        <v>10.3</v>
      </c>
      <c r="D89" s="70">
        <v>1801</v>
      </c>
      <c r="E89" s="69">
        <v>10.3</v>
      </c>
      <c r="F89" s="70">
        <v>1801</v>
      </c>
      <c r="G89" s="70">
        <v>32</v>
      </c>
      <c r="H89" s="70" t="s">
        <v>405</v>
      </c>
      <c r="I89" s="69">
        <v>16.1</v>
      </c>
      <c r="J89" s="70">
        <v>2820</v>
      </c>
      <c r="K89" s="69">
        <v>16.1</v>
      </c>
      <c r="L89" s="70">
        <v>2820</v>
      </c>
      <c r="M89" s="70" t="s">
        <v>1120</v>
      </c>
      <c r="N89" s="70" t="s">
        <v>457</v>
      </c>
      <c r="O89" s="69">
        <v>14.1</v>
      </c>
      <c r="P89" s="70">
        <v>2400</v>
      </c>
      <c r="Q89" s="69">
        <v>14.1</v>
      </c>
      <c r="R89" s="70">
        <v>2400</v>
      </c>
      <c r="S89" s="70" t="s">
        <v>1121</v>
      </c>
      <c r="T89" s="70" t="s">
        <v>1124</v>
      </c>
      <c r="U89" s="79">
        <v>10307</v>
      </c>
      <c r="V89" s="80">
        <v>10309</v>
      </c>
      <c r="W89" s="80">
        <v>10312</v>
      </c>
      <c r="X89" s="80">
        <v>10308</v>
      </c>
      <c r="Y89" s="80">
        <v>10313</v>
      </c>
      <c r="Z89" s="80">
        <v>10314</v>
      </c>
      <c r="AA89" s="80">
        <v>10306</v>
      </c>
      <c r="AB89" s="80">
        <v>10311</v>
      </c>
      <c r="AC89" s="80">
        <v>10303</v>
      </c>
      <c r="AD89" s="80">
        <v>10302</v>
      </c>
      <c r="AE89" s="80">
        <v>10304</v>
      </c>
      <c r="AF89" s="80">
        <v>10310</v>
      </c>
      <c r="AG89" s="80">
        <v>10301</v>
      </c>
      <c r="AH89" s="80">
        <v>10305</v>
      </c>
      <c r="AI89" s="81">
        <v>11252</v>
      </c>
      <c r="AJ89" s="81">
        <v>11209</v>
      </c>
      <c r="AK89" s="81">
        <v>11209</v>
      </c>
      <c r="AL89" s="81">
        <v>11228</v>
      </c>
      <c r="AM89" s="82"/>
      <c r="AN89" s="82"/>
      <c r="AO89" s="82"/>
      <c r="AP89" s="82"/>
      <c r="AQ89" s="82"/>
      <c r="AR89" s="82"/>
      <c r="AS89" s="82"/>
      <c r="AT89" s="82"/>
      <c r="AU89" s="82"/>
      <c r="AV89" s="82"/>
      <c r="AW89" s="82"/>
      <c r="AX89" s="82"/>
      <c r="AY89" s="82"/>
      <c r="AZ89" s="82"/>
      <c r="BA89" s="82"/>
      <c r="BB89" s="82"/>
      <c r="BC89" s="82"/>
      <c r="BD89" s="82"/>
      <c r="BE89" s="82"/>
      <c r="BF89" s="82"/>
      <c r="BG89" s="82"/>
      <c r="BH89" s="82"/>
      <c r="BI89" s="82"/>
      <c r="BJ89" s="82"/>
      <c r="BK89" s="82"/>
      <c r="BL89" s="82"/>
      <c r="BM89" s="82"/>
      <c r="BN89" s="82"/>
      <c r="BO89" s="82"/>
      <c r="BP89" s="82"/>
      <c r="BQ89" s="82"/>
      <c r="BR89" s="82"/>
      <c r="BS89" s="82"/>
      <c r="BT89" s="82"/>
      <c r="BU89" s="82"/>
      <c r="BV89" s="82"/>
      <c r="BW89" s="82"/>
      <c r="BX89" s="82"/>
      <c r="BY89" s="82"/>
      <c r="BZ89" s="82"/>
      <c r="CA89" s="82"/>
      <c r="CB89" s="82"/>
      <c r="CC89" s="82"/>
      <c r="CD89" s="82"/>
      <c r="CE89" s="82"/>
      <c r="CF89" s="82"/>
      <c r="CG89" s="82"/>
      <c r="CH89" s="82"/>
      <c r="CI89" s="82"/>
      <c r="CJ89" s="82"/>
      <c r="CK89" s="82"/>
      <c r="CL89" s="82"/>
      <c r="CM89" s="82"/>
      <c r="CN89" s="82"/>
      <c r="CO89" s="82"/>
      <c r="CP89" s="82"/>
      <c r="CQ89" s="82"/>
      <c r="CR89" s="82"/>
      <c r="CS89" s="82"/>
      <c r="CT89" s="82"/>
      <c r="CU89" s="75"/>
      <c r="CV89" s="75"/>
      <c r="CW89" s="75"/>
      <c r="CX89" s="75"/>
      <c r="CY89" s="75"/>
      <c r="CZ89" s="75"/>
      <c r="DA89" s="75"/>
      <c r="DB89" s="75"/>
      <c r="DC89" s="75"/>
      <c r="DD89" s="75"/>
      <c r="DE89" s="75"/>
      <c r="DF89" s="75"/>
      <c r="DG89" s="75"/>
      <c r="DH89" s="75"/>
      <c r="DI89" s="75"/>
      <c r="DJ89" s="75"/>
      <c r="DK89" s="75"/>
      <c r="DL89" s="75"/>
      <c r="DM89" s="75"/>
      <c r="DN89" s="75"/>
      <c r="DO89" s="75"/>
      <c r="DP89" s="75"/>
      <c r="DQ89" s="75"/>
      <c r="DR89" s="75"/>
      <c r="DS89" s="75"/>
      <c r="DT89" s="75"/>
      <c r="DU89" s="75"/>
      <c r="DV89" s="75"/>
      <c r="DW89" s="75"/>
      <c r="DX89" s="75"/>
      <c r="DY89" s="75"/>
      <c r="DZ89" s="75"/>
      <c r="EA89" s="75"/>
      <c r="EB89" s="75"/>
      <c r="EC89" s="75"/>
      <c r="ED89" s="75"/>
      <c r="EE89" s="75"/>
      <c r="EF89" s="75"/>
      <c r="EG89" s="75"/>
      <c r="EH89" s="75"/>
      <c r="EI89" s="75"/>
      <c r="EJ89" s="75"/>
      <c r="EK89" s="75"/>
      <c r="EL89" s="75"/>
      <c r="EM89" s="75"/>
      <c r="EN89" s="75"/>
      <c r="EO89" s="75"/>
      <c r="EP89" s="75"/>
      <c r="EQ89" s="75"/>
      <c r="ER89" s="75"/>
      <c r="ES89" s="75"/>
      <c r="ET89" s="75"/>
      <c r="EU89" s="75"/>
      <c r="EV89" s="75"/>
      <c r="EW89" s="75"/>
      <c r="EX89" s="75"/>
      <c r="EY89" s="75"/>
      <c r="EZ89" s="75"/>
      <c r="FA89" s="75"/>
      <c r="FB89" s="75"/>
      <c r="FC89" s="75"/>
      <c r="FD89" s="75"/>
      <c r="FE89" s="75"/>
      <c r="FF89" s="75"/>
      <c r="FG89" s="75"/>
      <c r="FH89" s="75"/>
      <c r="FI89" s="75"/>
      <c r="FJ89" s="75"/>
      <c r="FK89" s="75"/>
      <c r="FL89" s="75"/>
      <c r="FM89" s="75"/>
      <c r="FN89" s="75"/>
      <c r="FO89" s="75"/>
      <c r="FP89" s="75"/>
      <c r="FQ89" s="75"/>
      <c r="FR89" s="75"/>
      <c r="FS89" s="75"/>
      <c r="FT89" s="75"/>
      <c r="FU89" s="75"/>
      <c r="FV89" s="75"/>
      <c r="FW89" s="75"/>
      <c r="FX89" s="75"/>
      <c r="FY89" s="75"/>
      <c r="FZ89" s="75"/>
      <c r="GA89" s="75"/>
      <c r="GB89" s="75"/>
      <c r="GC89" s="75"/>
      <c r="GD89" s="75"/>
      <c r="GE89" s="75"/>
      <c r="GF89" s="75"/>
      <c r="GG89" s="75"/>
      <c r="GH89" s="75"/>
      <c r="GI89" s="75"/>
      <c r="GJ89" s="75"/>
      <c r="GK89" s="75"/>
      <c r="GL89" s="75"/>
      <c r="GM89" s="75"/>
      <c r="GN89" s="75"/>
      <c r="GO89" s="75"/>
      <c r="GP89" s="75"/>
      <c r="GQ89" s="75"/>
      <c r="GR89" s="75"/>
      <c r="GS89" s="75"/>
      <c r="GT89" s="75"/>
      <c r="GU89" s="75"/>
      <c r="GV89" s="75"/>
      <c r="GW89" s="75"/>
      <c r="GX89" s="75"/>
      <c r="GY89" s="75"/>
      <c r="GZ89" s="75"/>
      <c r="HA89" s="75"/>
      <c r="HB89" s="75"/>
      <c r="HC89" s="75"/>
      <c r="HD89" s="75"/>
      <c r="HE89" s="75"/>
      <c r="HF89" s="75"/>
      <c r="HG89" s="75"/>
      <c r="HH89" s="75"/>
      <c r="HI89" s="75"/>
      <c r="HJ89" s="75"/>
      <c r="HK89" s="75"/>
      <c r="HL89" s="75"/>
      <c r="HM89" s="75"/>
      <c r="HN89" s="75"/>
      <c r="HO89" s="75"/>
      <c r="HP89" s="75"/>
      <c r="HQ89" s="75"/>
      <c r="HR89" s="75"/>
      <c r="HS89" s="75"/>
      <c r="HT89" s="75"/>
      <c r="HU89" s="75"/>
      <c r="HV89" s="75"/>
      <c r="HW89" s="75"/>
      <c r="HX89" s="75"/>
      <c r="HY89" s="75"/>
      <c r="HZ89" s="75"/>
      <c r="IA89" s="75"/>
      <c r="IB89" s="75"/>
      <c r="IC89" s="75"/>
      <c r="ID89" s="75"/>
      <c r="IE89" s="75"/>
      <c r="IF89" s="75"/>
      <c r="IG89" s="75"/>
      <c r="IH89" s="75"/>
      <c r="II89" s="75"/>
      <c r="IJ89" s="75"/>
      <c r="IK89" s="75"/>
      <c r="IL89" s="75"/>
      <c r="IM89" s="75"/>
      <c r="IN89" s="75"/>
      <c r="IO89" s="75"/>
      <c r="IP89" s="75"/>
      <c r="IQ89" s="75"/>
      <c r="IR89" s="75"/>
      <c r="IS89" s="75"/>
      <c r="IT89" s="75"/>
      <c r="IU89" s="75"/>
      <c r="IV89" s="75"/>
      <c r="IW89" s="75"/>
      <c r="IX89" s="75"/>
      <c r="IY89" s="75"/>
      <c r="IZ89" s="75"/>
      <c r="JA89" s="75"/>
      <c r="JB89" s="75"/>
      <c r="JC89" s="75"/>
      <c r="JD89" s="75"/>
      <c r="JE89" s="75"/>
      <c r="JF89" s="75"/>
      <c r="JG89" s="75"/>
      <c r="JH89" s="75"/>
      <c r="JI89" s="75"/>
      <c r="JJ89" s="75"/>
      <c r="JK89" s="75"/>
      <c r="JL89" s="75"/>
      <c r="JM89" s="75"/>
      <c r="JN89" s="75"/>
      <c r="JO89" s="75"/>
      <c r="JP89" s="75"/>
      <c r="JQ89" s="75"/>
      <c r="JR89" s="75"/>
      <c r="JS89" s="75"/>
      <c r="JT89" s="75"/>
      <c r="JU89" s="75"/>
      <c r="JV89" s="75"/>
      <c r="JW89" s="75"/>
      <c r="JX89" s="75"/>
      <c r="JY89" s="75"/>
      <c r="JZ89" s="75"/>
      <c r="KA89" s="75"/>
      <c r="KB89" s="75"/>
      <c r="KC89" s="75"/>
      <c r="KD89" s="75"/>
      <c r="KE89" s="75"/>
      <c r="KF89" s="75"/>
      <c r="KG89" s="75"/>
      <c r="KH89" s="75"/>
      <c r="KI89" s="75"/>
    </row>
    <row r="90" ht="16.5" spans="1:295">
      <c r="A90" s="37" t="s">
        <v>1151</v>
      </c>
      <c r="B90" s="44" t="s">
        <v>1145</v>
      </c>
      <c r="C90" s="69">
        <v>10.5</v>
      </c>
      <c r="D90" s="70">
        <v>1845</v>
      </c>
      <c r="E90" s="69">
        <v>10.5</v>
      </c>
      <c r="F90" s="70">
        <v>1845</v>
      </c>
      <c r="G90" s="70">
        <v>32</v>
      </c>
      <c r="H90" s="70" t="s">
        <v>405</v>
      </c>
      <c r="I90" s="69">
        <v>16.3</v>
      </c>
      <c r="J90" s="70">
        <v>2860</v>
      </c>
      <c r="K90" s="69">
        <v>16.3</v>
      </c>
      <c r="L90" s="70">
        <v>2860</v>
      </c>
      <c r="M90" s="70" t="s">
        <v>1120</v>
      </c>
      <c r="N90" s="70" t="s">
        <v>457</v>
      </c>
      <c r="O90" s="69">
        <v>14.3</v>
      </c>
      <c r="P90" s="70">
        <v>2440</v>
      </c>
      <c r="Q90" s="69">
        <v>14.3</v>
      </c>
      <c r="R90" s="70">
        <v>2440</v>
      </c>
      <c r="S90" s="70" t="s">
        <v>1121</v>
      </c>
      <c r="T90" s="70" t="s">
        <v>1124</v>
      </c>
      <c r="U90" s="76">
        <v>11214</v>
      </c>
      <c r="V90" s="77">
        <v>11204</v>
      </c>
      <c r="W90" s="77">
        <v>11232</v>
      </c>
      <c r="X90" s="77">
        <v>11224</v>
      </c>
      <c r="Y90" s="77">
        <v>11223</v>
      </c>
      <c r="Z90" s="77">
        <v>11218</v>
      </c>
      <c r="AA90" s="80">
        <v>10007</v>
      </c>
      <c r="AB90" s="77">
        <v>11231</v>
      </c>
      <c r="AC90" s="77">
        <v>11242</v>
      </c>
      <c r="AD90" s="77">
        <v>11215</v>
      </c>
      <c r="AE90" s="77">
        <v>11241</v>
      </c>
      <c r="AF90" s="77">
        <v>11202</v>
      </c>
      <c r="AG90" s="80">
        <v>10013</v>
      </c>
      <c r="AH90" s="80">
        <v>10081</v>
      </c>
      <c r="AI90" s="80">
        <v>10090</v>
      </c>
      <c r="AJ90" s="77">
        <v>11217</v>
      </c>
      <c r="AK90" s="80">
        <v>10004</v>
      </c>
      <c r="AL90" s="80">
        <v>10006</v>
      </c>
      <c r="AM90" s="80">
        <v>10008</v>
      </c>
      <c r="AN90" s="80">
        <v>10045</v>
      </c>
      <c r="AO90" s="80">
        <v>10080</v>
      </c>
      <c r="AP90" s="80">
        <v>10113</v>
      </c>
      <c r="AQ90" s="80">
        <v>10114</v>
      </c>
      <c r="AR90" s="80">
        <v>10002</v>
      </c>
      <c r="AS90" s="77">
        <v>11235</v>
      </c>
      <c r="AT90" s="77">
        <v>11226</v>
      </c>
      <c r="AU90" s="77">
        <v>11225</v>
      </c>
      <c r="AV90" s="80">
        <v>10014</v>
      </c>
      <c r="AW90" s="80">
        <v>10159</v>
      </c>
      <c r="AX90" s="80">
        <v>10003</v>
      </c>
      <c r="AY90" s="80">
        <v>10005</v>
      </c>
      <c r="AZ90" s="80">
        <v>10123</v>
      </c>
      <c r="BA90" s="80">
        <v>10160</v>
      </c>
      <c r="BB90" s="80">
        <v>10001</v>
      </c>
      <c r="BC90" s="80">
        <v>10018</v>
      </c>
      <c r="BD90" s="80">
        <v>10109</v>
      </c>
      <c r="BE90" s="80">
        <v>10110</v>
      </c>
      <c r="BF90" s="80">
        <v>10116</v>
      </c>
      <c r="BG90" s="80">
        <v>10117</v>
      </c>
      <c r="BH90" s="80">
        <v>10118</v>
      </c>
      <c r="BI90" s="80">
        <v>10119</v>
      </c>
      <c r="BJ90" s="80">
        <v>10121</v>
      </c>
      <c r="BK90" s="80">
        <v>10122</v>
      </c>
      <c r="BL90" s="80">
        <v>10156</v>
      </c>
      <c r="BM90" s="80">
        <v>10009</v>
      </c>
      <c r="BN90" s="77">
        <v>11201</v>
      </c>
      <c r="BO90" s="77">
        <v>11229</v>
      </c>
      <c r="BP90" s="77">
        <v>11238</v>
      </c>
      <c r="BQ90" s="77">
        <v>11245</v>
      </c>
      <c r="BR90" s="77">
        <v>11230</v>
      </c>
      <c r="BS90" s="77">
        <v>11243</v>
      </c>
      <c r="BT90" s="77">
        <v>11213</v>
      </c>
      <c r="BU90" s="80">
        <v>10041</v>
      </c>
      <c r="BV90" s="80">
        <v>10043</v>
      </c>
      <c r="BW90" s="80">
        <v>10150</v>
      </c>
      <c r="BX90" s="80">
        <v>10152</v>
      </c>
      <c r="BY90" s="80">
        <v>10154</v>
      </c>
      <c r="BZ90" s="80">
        <v>10020</v>
      </c>
      <c r="CA90" s="80">
        <v>10101</v>
      </c>
      <c r="CB90" s="80">
        <v>10103</v>
      </c>
      <c r="CC90" s="80">
        <v>10104</v>
      </c>
      <c r="CD90" s="80">
        <v>10106</v>
      </c>
      <c r="CE90" s="80">
        <v>10111</v>
      </c>
      <c r="CF90" s="80">
        <v>10112</v>
      </c>
      <c r="CG90" s="80">
        <v>10129</v>
      </c>
      <c r="CH90" s="80">
        <v>10138</v>
      </c>
      <c r="CI90" s="80">
        <v>10163</v>
      </c>
      <c r="CJ90" s="80">
        <v>10164</v>
      </c>
      <c r="CK90" s="80">
        <v>10171</v>
      </c>
      <c r="CL90" s="80">
        <v>10173</v>
      </c>
      <c r="CM90" s="80">
        <v>10174</v>
      </c>
      <c r="CN90" s="80">
        <v>10060</v>
      </c>
      <c r="CO90" s="80">
        <v>10087</v>
      </c>
      <c r="CP90" s="80">
        <v>10105</v>
      </c>
      <c r="CQ90" s="80">
        <v>10107</v>
      </c>
      <c r="CR90" s="80">
        <v>10108</v>
      </c>
      <c r="CS90" s="80">
        <v>10120</v>
      </c>
      <c r="CT90" s="80">
        <v>10133</v>
      </c>
      <c r="CU90" s="80">
        <v>10151</v>
      </c>
      <c r="CV90" s="80">
        <v>10153</v>
      </c>
      <c r="CW90" s="80">
        <v>10157</v>
      </c>
      <c r="CX90" s="80">
        <v>10168</v>
      </c>
      <c r="CY90" s="80">
        <v>10169</v>
      </c>
      <c r="CZ90" s="80">
        <v>10170</v>
      </c>
      <c r="DA90" s="80">
        <v>10172</v>
      </c>
      <c r="DB90" s="80">
        <v>10016</v>
      </c>
      <c r="DC90" s="80">
        <v>10017</v>
      </c>
      <c r="DD90" s="80">
        <v>10019</v>
      </c>
      <c r="DE90" s="80">
        <v>10055</v>
      </c>
      <c r="DF90" s="80">
        <v>10102</v>
      </c>
      <c r="DG90" s="77">
        <v>11216</v>
      </c>
      <c r="DH90" s="77">
        <v>11251</v>
      </c>
      <c r="DI90" s="77">
        <v>11205</v>
      </c>
      <c r="DJ90" s="77">
        <v>11211</v>
      </c>
      <c r="DK90" s="80">
        <v>10158</v>
      </c>
      <c r="DL90" s="80">
        <v>10132</v>
      </c>
      <c r="DM90" s="80">
        <v>10023</v>
      </c>
      <c r="DN90" s="80">
        <v>10155</v>
      </c>
      <c r="DO90" s="80">
        <v>10024</v>
      </c>
      <c r="DP90" s="80">
        <v>10065</v>
      </c>
      <c r="DQ90" s="80">
        <v>10022</v>
      </c>
      <c r="DR90" s="80">
        <v>10131</v>
      </c>
      <c r="DS90" s="77">
        <v>11233</v>
      </c>
      <c r="DT90" s="77">
        <v>11210</v>
      </c>
      <c r="DU90" s="80">
        <v>10162</v>
      </c>
      <c r="DV90" s="80">
        <v>10021</v>
      </c>
      <c r="DW90" s="80">
        <v>10075</v>
      </c>
      <c r="DX90" s="80">
        <v>10028</v>
      </c>
      <c r="DY90" s="77">
        <v>11206</v>
      </c>
      <c r="DZ90" s="77">
        <v>11695</v>
      </c>
      <c r="EA90" s="77">
        <v>11109</v>
      </c>
      <c r="EB90" s="77">
        <v>11101</v>
      </c>
      <c r="EC90" s="77">
        <v>11222</v>
      </c>
      <c r="ED90" s="77">
        <v>11236</v>
      </c>
      <c r="EE90" s="77">
        <v>11694</v>
      </c>
      <c r="EF90" s="80">
        <v>10128</v>
      </c>
      <c r="EG90" s="80">
        <v>10130</v>
      </c>
      <c r="EH90" s="77">
        <v>11104</v>
      </c>
      <c r="EI90" s="77">
        <v>11237</v>
      </c>
      <c r="EJ90" s="80">
        <v>10025</v>
      </c>
      <c r="EK90" s="80">
        <v>10069</v>
      </c>
      <c r="EL90" s="80">
        <v>10026</v>
      </c>
      <c r="EM90" s="80">
        <v>10027</v>
      </c>
      <c r="EN90" s="80">
        <v>10029</v>
      </c>
      <c r="EO90" s="77">
        <v>11212</v>
      </c>
      <c r="EP90" s="77">
        <v>11239</v>
      </c>
      <c r="EQ90" s="77">
        <v>11234</v>
      </c>
      <c r="ER90" s="80">
        <v>10115</v>
      </c>
      <c r="ES90" s="80">
        <v>10030</v>
      </c>
      <c r="ET90" s="80">
        <v>10044</v>
      </c>
      <c r="EU90" s="77">
        <v>11378</v>
      </c>
      <c r="EV90" s="77">
        <v>11207</v>
      </c>
      <c r="EW90" s="77">
        <v>11377</v>
      </c>
      <c r="EX90" s="77">
        <v>11373</v>
      </c>
      <c r="EY90" s="77">
        <v>11256</v>
      </c>
      <c r="EZ90" s="77">
        <v>11414</v>
      </c>
      <c r="FA90" s="77">
        <v>11379</v>
      </c>
      <c r="FB90" s="77">
        <v>11417</v>
      </c>
      <c r="FC90" s="77">
        <v>11692</v>
      </c>
      <c r="FD90" s="77">
        <v>11374</v>
      </c>
      <c r="FE90" s="77">
        <v>11372</v>
      </c>
      <c r="FF90" s="77">
        <v>11120</v>
      </c>
      <c r="FG90" s="80">
        <v>10032</v>
      </c>
      <c r="FH90" s="80">
        <v>10040</v>
      </c>
      <c r="FI90" s="77">
        <v>11380</v>
      </c>
      <c r="FJ90" s="77">
        <v>11370</v>
      </c>
      <c r="FK90" s="77">
        <v>11416</v>
      </c>
      <c r="FL90" s="77">
        <v>11208</v>
      </c>
      <c r="FM90" s="77">
        <v>11106</v>
      </c>
      <c r="FN90" s="77">
        <v>11103</v>
      </c>
      <c r="FO90" s="77">
        <v>11385</v>
      </c>
      <c r="FP90" s="80">
        <v>10031</v>
      </c>
      <c r="FQ90" s="80">
        <v>10039</v>
      </c>
      <c r="FR90" s="77">
        <v>10453</v>
      </c>
      <c r="FS90" s="80">
        <v>10034</v>
      </c>
      <c r="FT90" s="77">
        <v>11421</v>
      </c>
      <c r="FU90" s="77">
        <v>11105</v>
      </c>
      <c r="FV90" s="77">
        <v>11371</v>
      </c>
      <c r="FW90" s="77">
        <v>11375</v>
      </c>
      <c r="FX90" s="77">
        <v>11418</v>
      </c>
      <c r="FY90" s="77">
        <v>11102</v>
      </c>
      <c r="FZ90" s="77">
        <v>11419</v>
      </c>
      <c r="GA90" s="77">
        <v>11690</v>
      </c>
      <c r="GB90" s="77">
        <v>11368</v>
      </c>
      <c r="GC90" s="77">
        <v>11369</v>
      </c>
      <c r="GD90" s="80">
        <v>10161</v>
      </c>
      <c r="GE90" s="77">
        <v>10456</v>
      </c>
      <c r="GF90" s="77">
        <v>10468</v>
      </c>
      <c r="GG90" s="77">
        <v>10451</v>
      </c>
      <c r="GH90" s="80">
        <v>10033</v>
      </c>
      <c r="GI90" s="77">
        <v>11381</v>
      </c>
      <c r="GJ90" s="77">
        <v>11693</v>
      </c>
      <c r="GK90" s="77">
        <v>11386</v>
      </c>
      <c r="GL90" s="77">
        <v>11436</v>
      </c>
      <c r="GM90" s="77">
        <v>11244</v>
      </c>
      <c r="GN90" s="77">
        <v>11352</v>
      </c>
      <c r="GO90" s="77">
        <v>10471</v>
      </c>
      <c r="GP90" s="77">
        <v>11355</v>
      </c>
      <c r="GQ90" s="77">
        <v>11434</v>
      </c>
      <c r="GR90" s="77">
        <v>11430</v>
      </c>
      <c r="GS90" s="77">
        <v>10463</v>
      </c>
      <c r="GT90" s="77">
        <v>10472</v>
      </c>
      <c r="GU90" s="77">
        <v>10459</v>
      </c>
      <c r="GV90" s="77">
        <v>10454</v>
      </c>
      <c r="GW90" s="77">
        <v>10460</v>
      </c>
      <c r="GX90" s="77">
        <v>11367</v>
      </c>
      <c r="GY90" s="77">
        <v>11499</v>
      </c>
      <c r="GZ90" s="77">
        <v>11691</v>
      </c>
      <c r="HA90" s="77">
        <v>11413</v>
      </c>
      <c r="HB90" s="77">
        <v>11415</v>
      </c>
      <c r="HC90" s="77">
        <v>10455</v>
      </c>
      <c r="HD90" s="77">
        <v>10457</v>
      </c>
      <c r="HE90" s="77">
        <v>10462</v>
      </c>
      <c r="HF90" s="77">
        <v>10474</v>
      </c>
      <c r="HG90" s="77">
        <v>11365</v>
      </c>
      <c r="HH90" s="77">
        <v>11451</v>
      </c>
      <c r="HI90" s="77">
        <v>11366</v>
      </c>
      <c r="HJ90" s="77">
        <v>11435</v>
      </c>
      <c r="HK90" s="77">
        <v>11354</v>
      </c>
      <c r="HL90" s="77">
        <v>10705</v>
      </c>
      <c r="HM90" s="77">
        <v>11432</v>
      </c>
      <c r="HN90" s="77">
        <v>11422</v>
      </c>
      <c r="HO90" s="77">
        <v>11425</v>
      </c>
      <c r="HP90" s="77">
        <v>11412</v>
      </c>
      <c r="HQ90" s="77">
        <v>11433</v>
      </c>
      <c r="HR90" s="77">
        <v>11439</v>
      </c>
      <c r="HS90" s="77">
        <v>11255</v>
      </c>
      <c r="HT90" s="77">
        <v>10702</v>
      </c>
      <c r="HU90" s="80">
        <v>10035</v>
      </c>
      <c r="HV90" s="77">
        <v>10473</v>
      </c>
      <c r="HW90" s="77">
        <v>10470</v>
      </c>
      <c r="HX90" s="77">
        <v>10467</v>
      </c>
      <c r="HY90" s="77">
        <v>10467</v>
      </c>
      <c r="HZ90" s="77">
        <v>10465</v>
      </c>
      <c r="IA90" s="77">
        <v>10458</v>
      </c>
      <c r="IB90" s="77">
        <v>11424</v>
      </c>
      <c r="IC90" s="77">
        <v>11351</v>
      </c>
      <c r="ID90" s="77">
        <v>11431</v>
      </c>
      <c r="IE90" s="77">
        <v>11405</v>
      </c>
      <c r="IF90" s="77">
        <v>11358</v>
      </c>
      <c r="IG90" s="77">
        <v>11582</v>
      </c>
      <c r="IH90" s="77">
        <v>10466</v>
      </c>
      <c r="II90" s="77">
        <v>10704</v>
      </c>
      <c r="IJ90" s="77">
        <v>11357</v>
      </c>
      <c r="IK90" s="77">
        <v>11581</v>
      </c>
      <c r="IL90" s="77">
        <v>11592</v>
      </c>
      <c r="IM90" s="77">
        <v>11356</v>
      </c>
      <c r="IN90" s="77">
        <v>11096</v>
      </c>
      <c r="IO90" s="77">
        <v>11411</v>
      </c>
      <c r="IP90" s="77">
        <v>10461</v>
      </c>
      <c r="IQ90" s="77">
        <v>11423</v>
      </c>
      <c r="IR90" s="77">
        <v>11364</v>
      </c>
      <c r="IS90" s="77">
        <v>11362</v>
      </c>
      <c r="IT90" s="77">
        <v>11428</v>
      </c>
      <c r="IU90" s="77">
        <v>11240</v>
      </c>
      <c r="IV90" s="77">
        <v>11427</v>
      </c>
      <c r="IW90" s="77">
        <v>10475</v>
      </c>
      <c r="IX90" s="77">
        <v>10469</v>
      </c>
      <c r="IY90" s="77">
        <v>10701</v>
      </c>
      <c r="IZ90" s="77">
        <v>11429</v>
      </c>
      <c r="JA90" s="77">
        <v>11594</v>
      </c>
      <c r="JB90" s="77">
        <v>10703</v>
      </c>
      <c r="JC90" s="77">
        <v>11595</v>
      </c>
      <c r="JD90" s="77">
        <v>11598</v>
      </c>
      <c r="JE90" s="77">
        <v>11426</v>
      </c>
      <c r="JF90" s="77">
        <v>10964</v>
      </c>
      <c r="JG90" s="77">
        <v>11020</v>
      </c>
      <c r="JH90" s="77">
        <v>11003</v>
      </c>
      <c r="JI90" s="77">
        <v>11363</v>
      </c>
      <c r="JJ90" s="77">
        <v>11580</v>
      </c>
      <c r="JK90" s="77">
        <v>11004</v>
      </c>
      <c r="JL90" s="77">
        <v>10965</v>
      </c>
      <c r="JM90" s="77">
        <v>10464</v>
      </c>
      <c r="JN90" s="77">
        <v>11559</v>
      </c>
      <c r="JO90" s="77">
        <v>10708</v>
      </c>
      <c r="JP90" s="77">
        <v>11563</v>
      </c>
      <c r="JQ90" s="77">
        <v>10552</v>
      </c>
      <c r="JR90" s="77">
        <v>10976</v>
      </c>
      <c r="JS90" s="77">
        <v>11557</v>
      </c>
      <c r="JT90" s="77">
        <v>10551</v>
      </c>
      <c r="JU90" s="77">
        <v>11002</v>
      </c>
      <c r="JV90" s="77">
        <v>11005</v>
      </c>
      <c r="JW90" s="77">
        <v>10710</v>
      </c>
      <c r="JX90" s="77">
        <v>10803</v>
      </c>
      <c r="JY90" s="77">
        <v>11001</v>
      </c>
      <c r="JZ90" s="77">
        <v>10553</v>
      </c>
      <c r="KA90" s="77">
        <v>11509</v>
      </c>
      <c r="KB90" s="77">
        <v>10550</v>
      </c>
      <c r="KC90" s="77">
        <v>11027</v>
      </c>
      <c r="KD90" s="77">
        <v>10968</v>
      </c>
      <c r="KE90" s="77">
        <v>10954</v>
      </c>
      <c r="KF90" s="77">
        <v>10977</v>
      </c>
      <c r="KG90" s="77">
        <v>11042</v>
      </c>
      <c r="KH90" s="77">
        <v>11254</v>
      </c>
      <c r="KI90" s="77">
        <v>11597</v>
      </c>
    </row>
    <row r="91" ht="16.5" spans="1:295">
      <c r="A91" s="37" t="s">
        <v>1152</v>
      </c>
      <c r="B91" s="73" t="s">
        <v>1145</v>
      </c>
      <c r="C91" s="69">
        <v>10.7</v>
      </c>
      <c r="D91" s="70">
        <v>1889</v>
      </c>
      <c r="E91" s="69">
        <v>10.7</v>
      </c>
      <c r="F91" s="70">
        <v>1889</v>
      </c>
      <c r="G91" s="70">
        <v>32</v>
      </c>
      <c r="H91" s="70" t="s">
        <v>405</v>
      </c>
      <c r="I91" s="69">
        <v>16.5</v>
      </c>
      <c r="J91" s="70">
        <v>2900</v>
      </c>
      <c r="K91" s="69">
        <v>16.5</v>
      </c>
      <c r="L91" s="70">
        <v>2900</v>
      </c>
      <c r="M91" s="70" t="s">
        <v>1120</v>
      </c>
      <c r="N91" s="70" t="s">
        <v>457</v>
      </c>
      <c r="O91" s="69">
        <v>14.5</v>
      </c>
      <c r="P91" s="70">
        <v>2490</v>
      </c>
      <c r="Q91" s="69">
        <v>14.5</v>
      </c>
      <c r="R91" s="70">
        <v>2490</v>
      </c>
      <c r="S91" s="70" t="s">
        <v>1121</v>
      </c>
      <c r="T91" s="70" t="s">
        <v>1124</v>
      </c>
      <c r="U91" s="76">
        <v>10982</v>
      </c>
      <c r="V91" s="77">
        <v>11040</v>
      </c>
      <c r="W91" s="77">
        <v>11010</v>
      </c>
      <c r="X91" s="77">
        <v>11010</v>
      </c>
      <c r="Y91" s="77">
        <v>11565</v>
      </c>
      <c r="Z91" s="77">
        <v>10707</v>
      </c>
      <c r="AA91" s="77">
        <v>11026</v>
      </c>
      <c r="AB91" s="77">
        <v>10801</v>
      </c>
      <c r="AC91" s="77">
        <v>10706</v>
      </c>
      <c r="AD91" s="77">
        <v>10522</v>
      </c>
      <c r="AE91" s="77">
        <v>10962</v>
      </c>
      <c r="AF91" s="77">
        <v>10983</v>
      </c>
      <c r="AG91" s="77">
        <v>10805</v>
      </c>
      <c r="AH91" s="77">
        <v>11507</v>
      </c>
      <c r="AI91" s="77">
        <v>11024</v>
      </c>
      <c r="AJ91" s="77">
        <v>11552</v>
      </c>
      <c r="AK91" s="77">
        <v>10709</v>
      </c>
      <c r="AL91" s="77">
        <v>11577</v>
      </c>
      <c r="AM91" s="77">
        <v>10901</v>
      </c>
      <c r="AN91" s="77">
        <v>10804</v>
      </c>
      <c r="AO91" s="77">
        <v>10994</v>
      </c>
      <c r="AP91" s="77">
        <v>11596</v>
      </c>
      <c r="AQ91" s="77">
        <v>10502</v>
      </c>
      <c r="AR91" s="77">
        <v>11550</v>
      </c>
      <c r="AS91" s="77">
        <v>11571</v>
      </c>
      <c r="AT91" s="77">
        <v>11551</v>
      </c>
      <c r="AU91" s="77">
        <v>11576</v>
      </c>
      <c r="AV91" s="77">
        <v>11558</v>
      </c>
      <c r="AW91" s="77">
        <v>11570</v>
      </c>
      <c r="AX91" s="77">
        <v>10913</v>
      </c>
      <c r="AY91" s="77">
        <v>10931</v>
      </c>
      <c r="AZ91" s="77">
        <v>11530</v>
      </c>
      <c r="BA91" s="77">
        <v>10960</v>
      </c>
      <c r="BB91" s="77">
        <v>11549</v>
      </c>
      <c r="BC91" s="77">
        <v>11501</v>
      </c>
      <c r="BD91" s="77">
        <v>11531</v>
      </c>
      <c r="BE91" s="77">
        <v>11572</v>
      </c>
      <c r="BF91" s="77">
        <v>10503</v>
      </c>
      <c r="BG91" s="77">
        <v>10538</v>
      </c>
      <c r="BH91" s="77">
        <v>10530</v>
      </c>
      <c r="BI91" s="77">
        <v>10974</v>
      </c>
      <c r="BJ91" s="77">
        <v>11575</v>
      </c>
      <c r="BK91" s="77">
        <v>11051</v>
      </c>
      <c r="BL91" s="77">
        <v>11052</v>
      </c>
      <c r="BM91" s="77">
        <v>11599</v>
      </c>
      <c r="BN91" s="77">
        <v>10533</v>
      </c>
      <c r="BO91" s="77">
        <v>11553</v>
      </c>
      <c r="BP91" s="77">
        <v>10583</v>
      </c>
      <c r="BQ91" s="77">
        <v>10989</v>
      </c>
      <c r="BR91" s="77">
        <v>11556</v>
      </c>
      <c r="BS91" s="77">
        <v>11548</v>
      </c>
      <c r="BT91" s="77">
        <v>11055</v>
      </c>
      <c r="BU91" s="77">
        <v>11053</v>
      </c>
      <c r="BV91" s="77">
        <v>11050</v>
      </c>
      <c r="BW91" s="77">
        <v>10523</v>
      </c>
      <c r="BX91" s="77">
        <v>10956</v>
      </c>
      <c r="BY91" s="77">
        <v>10543</v>
      </c>
      <c r="BZ91" s="77">
        <v>10528</v>
      </c>
      <c r="CA91" s="77">
        <v>11514</v>
      </c>
      <c r="CB91" s="77">
        <v>11054</v>
      </c>
      <c r="CC91" s="77">
        <v>11547</v>
      </c>
      <c r="CD91" s="77">
        <v>10606</v>
      </c>
      <c r="CE91" s="77">
        <v>11510</v>
      </c>
      <c r="CF91" s="77">
        <v>11555</v>
      </c>
      <c r="CG91" s="77">
        <v>10920</v>
      </c>
      <c r="CH91" s="77">
        <v>10601</v>
      </c>
      <c r="CI91" s="77">
        <v>11853</v>
      </c>
      <c r="CJ91" s="77">
        <v>11545</v>
      </c>
      <c r="CK91" s="77">
        <v>10602</v>
      </c>
      <c r="CL91" s="77">
        <v>10605</v>
      </c>
      <c r="CM91" s="77">
        <v>11579</v>
      </c>
      <c r="CN91" s="77">
        <v>10979</v>
      </c>
      <c r="CO91" s="77">
        <v>11554</v>
      </c>
      <c r="CP91" s="77">
        <v>10607</v>
      </c>
      <c r="CQ91" s="77">
        <v>11590</v>
      </c>
      <c r="CR91" s="77">
        <v>11520</v>
      </c>
      <c r="CS91" s="77">
        <v>10532</v>
      </c>
      <c r="CT91" s="77">
        <v>11542</v>
      </c>
      <c r="CU91" s="77">
        <v>10580</v>
      </c>
      <c r="CV91" s="77">
        <v>10595</v>
      </c>
      <c r="CW91" s="77">
        <v>11802</v>
      </c>
      <c r="CX91" s="77">
        <v>11801</v>
      </c>
      <c r="CY91" s="77">
        <v>10577</v>
      </c>
      <c r="CZ91" s="77">
        <v>10573</v>
      </c>
      <c r="DA91" s="77">
        <v>10927</v>
      </c>
      <c r="DB91" s="77">
        <v>11710</v>
      </c>
      <c r="DC91" s="77">
        <v>10925</v>
      </c>
      <c r="DD91" s="77">
        <v>11815</v>
      </c>
      <c r="DE91" s="77">
        <v>11793</v>
      </c>
      <c r="DF91" s="77">
        <v>10970</v>
      </c>
      <c r="DG91" s="77">
        <v>10923</v>
      </c>
      <c r="DH91" s="77">
        <v>10984</v>
      </c>
      <c r="DI91" s="77">
        <v>10591</v>
      </c>
      <c r="DJ91" s="77">
        <v>10603</v>
      </c>
      <c r="DK91" s="77">
        <v>11756</v>
      </c>
      <c r="DL91" s="77">
        <v>10987</v>
      </c>
      <c r="DM91" s="77">
        <v>10610</v>
      </c>
      <c r="DN91" s="77">
        <v>10604</v>
      </c>
      <c r="DO91" s="77">
        <v>11560</v>
      </c>
      <c r="DP91" s="77">
        <v>11732</v>
      </c>
      <c r="DQ91" s="77">
        <v>11773</v>
      </c>
      <c r="DR91" s="77">
        <v>11803</v>
      </c>
      <c r="DS91" s="77">
        <v>11791</v>
      </c>
      <c r="DT91" s="77">
        <v>11797</v>
      </c>
      <c r="DU91" s="77">
        <v>11783</v>
      </c>
      <c r="DV91" s="77">
        <v>10975</v>
      </c>
      <c r="DW91" s="77">
        <v>10594</v>
      </c>
      <c r="DX91" s="77">
        <v>10993</v>
      </c>
      <c r="DY91" s="77">
        <v>11758</v>
      </c>
      <c r="DZ91" s="77">
        <v>11762</v>
      </c>
      <c r="EA91" s="77">
        <v>10910</v>
      </c>
      <c r="EB91" s="77">
        <v>10570</v>
      </c>
      <c r="EC91" s="77">
        <v>11771</v>
      </c>
      <c r="ED91" s="77">
        <v>11747</v>
      </c>
      <c r="EE91" s="77">
        <v>11714</v>
      </c>
      <c r="EF91" s="77">
        <v>11775</v>
      </c>
      <c r="EG91" s="77">
        <v>10510</v>
      </c>
      <c r="EH91" s="77">
        <v>11735</v>
      </c>
      <c r="EI91" s="77">
        <v>11804</v>
      </c>
      <c r="EJ91" s="77">
        <v>11701</v>
      </c>
      <c r="EK91" s="77">
        <v>11709</v>
      </c>
      <c r="EL91" s="77">
        <v>11765</v>
      </c>
      <c r="EM91" s="77">
        <v>10986</v>
      </c>
      <c r="EN91" s="77">
        <v>10562</v>
      </c>
      <c r="EO91" s="77">
        <v>11561</v>
      </c>
      <c r="EP91" s="77">
        <v>11724</v>
      </c>
      <c r="EQ91" s="77">
        <v>11726</v>
      </c>
      <c r="ER91" s="77">
        <v>10514</v>
      </c>
      <c r="ES91" s="77">
        <v>10990</v>
      </c>
      <c r="ET91" s="77">
        <v>10950</v>
      </c>
      <c r="EU91" s="77">
        <v>10959</v>
      </c>
      <c r="EV91" s="77">
        <v>11757</v>
      </c>
      <c r="EW91" s="77">
        <v>11746</v>
      </c>
      <c r="EX91" s="77">
        <v>11707</v>
      </c>
      <c r="EY91" s="77">
        <v>11798</v>
      </c>
      <c r="EZ91" s="77">
        <v>10917</v>
      </c>
      <c r="FA91" s="77">
        <v>10560</v>
      </c>
      <c r="FB91" s="77">
        <v>11703</v>
      </c>
      <c r="FC91" s="77">
        <v>10545</v>
      </c>
      <c r="FD91" s="77">
        <v>10520</v>
      </c>
      <c r="FE91" s="77">
        <v>10912</v>
      </c>
      <c r="FF91" s="77">
        <v>10911</v>
      </c>
      <c r="FG91" s="77">
        <v>11743</v>
      </c>
      <c r="FH91" s="77">
        <v>10969</v>
      </c>
      <c r="FI91" s="77">
        <v>10926</v>
      </c>
      <c r="FJ91" s="77">
        <v>10922</v>
      </c>
      <c r="FK91" s="77">
        <v>11721</v>
      </c>
      <c r="FL91" s="77">
        <v>11729</v>
      </c>
      <c r="FM91" s="77">
        <v>11740</v>
      </c>
      <c r="FN91" s="77">
        <v>11702</v>
      </c>
      <c r="FO91" s="77">
        <v>10980</v>
      </c>
      <c r="FP91" s="77">
        <v>11795</v>
      </c>
      <c r="FQ91" s="77">
        <v>10949</v>
      </c>
      <c r="FR91" s="77">
        <v>11718</v>
      </c>
      <c r="FS91" s="77">
        <v>10549</v>
      </c>
      <c r="FT91" s="77">
        <v>10521</v>
      </c>
      <c r="FU91" s="77">
        <v>10507</v>
      </c>
      <c r="FV91" s="77">
        <v>10928</v>
      </c>
      <c r="FW91" s="77">
        <v>11731</v>
      </c>
      <c r="FX91" s="77">
        <v>11706</v>
      </c>
      <c r="FY91" s="77">
        <v>10918</v>
      </c>
      <c r="FZ91" s="77">
        <v>10598</v>
      </c>
      <c r="GA91" s="77">
        <v>11725</v>
      </c>
      <c r="GB91" s="77">
        <v>11717</v>
      </c>
      <c r="GC91" s="77">
        <v>10988</v>
      </c>
      <c r="GD91" s="77">
        <v>10548</v>
      </c>
      <c r="GE91" s="77">
        <v>10566</v>
      </c>
      <c r="GF91" s="75"/>
      <c r="GG91" s="75"/>
      <c r="GH91" s="75"/>
      <c r="GI91" s="75"/>
      <c r="GJ91" s="75"/>
      <c r="GK91" s="75"/>
      <c r="GL91" s="75"/>
      <c r="GM91" s="75"/>
      <c r="GN91" s="75"/>
      <c r="GO91" s="75"/>
      <c r="GP91" s="75"/>
      <c r="GQ91" s="75"/>
      <c r="GR91" s="75"/>
      <c r="GS91" s="75"/>
      <c r="GT91" s="75"/>
      <c r="GU91" s="75"/>
      <c r="GV91" s="75"/>
      <c r="GW91" s="75"/>
      <c r="GX91" s="75"/>
      <c r="GY91" s="75"/>
      <c r="GZ91" s="75"/>
      <c r="HA91" s="75"/>
      <c r="HB91" s="75"/>
      <c r="HC91" s="75"/>
      <c r="HD91" s="75"/>
      <c r="HE91" s="75"/>
      <c r="HF91" s="75"/>
      <c r="HG91" s="75"/>
      <c r="HH91" s="75"/>
      <c r="HI91" s="75"/>
      <c r="HJ91" s="75"/>
      <c r="HK91" s="75"/>
      <c r="HL91" s="75"/>
      <c r="HM91" s="75"/>
      <c r="HN91" s="75"/>
      <c r="HO91" s="75"/>
      <c r="HP91" s="75"/>
      <c r="HQ91" s="75"/>
      <c r="HR91" s="75"/>
      <c r="HS91" s="75"/>
      <c r="HT91" s="75"/>
      <c r="HU91" s="75"/>
      <c r="HV91" s="75"/>
      <c r="HW91" s="75"/>
      <c r="HX91" s="75"/>
      <c r="HY91" s="75"/>
      <c r="HZ91" s="75"/>
      <c r="IA91" s="75"/>
      <c r="IB91" s="75"/>
      <c r="IC91" s="75"/>
      <c r="ID91" s="75"/>
      <c r="IE91" s="75"/>
      <c r="IF91" s="75"/>
      <c r="IG91" s="75"/>
      <c r="IH91" s="75"/>
      <c r="II91" s="75"/>
      <c r="IJ91" s="75"/>
      <c r="IK91" s="75"/>
      <c r="IL91" s="75"/>
      <c r="IM91" s="75"/>
      <c r="IN91" s="75"/>
      <c r="IO91" s="75"/>
      <c r="IP91" s="75"/>
      <c r="IQ91" s="75"/>
      <c r="IR91" s="75"/>
      <c r="IS91" s="75"/>
      <c r="IT91" s="75"/>
      <c r="IU91" s="75"/>
      <c r="IV91" s="75"/>
      <c r="IW91" s="75"/>
      <c r="IX91" s="75"/>
      <c r="IY91" s="75"/>
      <c r="IZ91" s="75"/>
      <c r="JA91" s="75"/>
      <c r="JB91" s="75"/>
      <c r="JC91" s="75"/>
      <c r="JD91" s="75"/>
      <c r="JE91" s="75"/>
      <c r="JF91" s="75"/>
      <c r="JG91" s="75"/>
      <c r="JH91" s="75"/>
      <c r="JI91" s="75"/>
      <c r="JJ91" s="75"/>
      <c r="JK91" s="75"/>
      <c r="JL91" s="75"/>
      <c r="JM91" s="75"/>
      <c r="JN91" s="75"/>
      <c r="JO91" s="75"/>
      <c r="JP91" s="75"/>
      <c r="JQ91" s="75"/>
      <c r="JR91" s="75"/>
      <c r="JS91" s="75"/>
      <c r="JT91" s="75"/>
      <c r="JU91" s="75"/>
      <c r="JV91" s="75"/>
      <c r="JW91" s="75"/>
      <c r="JX91" s="75"/>
      <c r="JY91" s="75"/>
      <c r="JZ91" s="75"/>
      <c r="KA91" s="75"/>
      <c r="KB91" s="75"/>
      <c r="KC91" s="75"/>
      <c r="KD91" s="75"/>
      <c r="KE91" s="75"/>
      <c r="KF91" s="75"/>
      <c r="KG91" s="75"/>
      <c r="KH91" s="75"/>
      <c r="KI91" s="75"/>
    </row>
    <row r="92" ht="15" spans="1:295">
      <c r="A92" s="83" t="s">
        <v>819</v>
      </c>
      <c r="B92" s="84"/>
      <c r="C92" s="85" t="s">
        <v>820</v>
      </c>
      <c r="D92" s="86"/>
      <c r="E92" s="86"/>
      <c r="F92" s="86"/>
      <c r="G92" s="86"/>
      <c r="H92" s="85"/>
      <c r="I92" s="85" t="s">
        <v>59</v>
      </c>
      <c r="J92" s="86"/>
      <c r="K92" s="86"/>
      <c r="L92" s="86"/>
      <c r="M92" s="86"/>
      <c r="N92" s="86"/>
      <c r="O92" s="87" t="s">
        <v>61</v>
      </c>
      <c r="P92" s="84"/>
      <c r="Q92" s="84"/>
      <c r="R92" s="84"/>
      <c r="S92" s="84"/>
      <c r="T92" s="84"/>
    </row>
    <row r="93" s="26" customFormat="1" ht="20" customHeight="1" spans="1:295">
      <c r="A93" s="53" t="s">
        <v>821</v>
      </c>
      <c r="B93" s="53"/>
      <c r="C93" s="88">
        <v>85</v>
      </c>
      <c r="D93" s="88"/>
      <c r="E93" s="88"/>
      <c r="F93" s="88"/>
      <c r="G93" s="88"/>
      <c r="H93" s="88"/>
      <c r="I93" s="88" t="s">
        <v>822</v>
      </c>
      <c r="J93" s="88"/>
      <c r="K93" s="88"/>
      <c r="L93" s="88"/>
      <c r="M93" s="88"/>
      <c r="N93" s="88"/>
      <c r="O93" s="88" t="s">
        <v>823</v>
      </c>
      <c r="P93" s="88"/>
      <c r="Q93" s="88"/>
      <c r="R93" s="88"/>
      <c r="S93" s="88"/>
      <c r="T93" s="88"/>
    </row>
    <row r="94" s="26" customFormat="1" ht="20" customHeight="1" spans="1:295">
      <c r="A94" s="55" t="s">
        <v>824</v>
      </c>
      <c r="B94" s="55"/>
      <c r="C94" s="88" t="s">
        <v>825</v>
      </c>
      <c r="D94" s="88"/>
      <c r="E94" s="88"/>
      <c r="F94" s="88"/>
      <c r="G94" s="88"/>
      <c r="H94" s="88"/>
      <c r="I94" s="88" t="s">
        <v>826</v>
      </c>
      <c r="J94" s="88"/>
      <c r="K94" s="88"/>
      <c r="L94" s="88"/>
      <c r="M94" s="88"/>
      <c r="N94" s="88"/>
      <c r="O94" s="88" t="s">
        <v>827</v>
      </c>
      <c r="P94" s="88"/>
      <c r="Q94" s="88"/>
      <c r="R94" s="88"/>
      <c r="S94" s="88"/>
      <c r="T94" s="88"/>
    </row>
    <row r="95" s="26" customFormat="1" ht="20" customHeight="1" spans="1:295">
      <c r="A95" s="53" t="s">
        <v>828</v>
      </c>
      <c r="B95" s="53"/>
      <c r="C95" s="88" t="s">
        <v>829</v>
      </c>
      <c r="D95" s="88"/>
      <c r="E95" s="88"/>
      <c r="F95" s="88"/>
      <c r="G95" s="88"/>
      <c r="H95" s="88"/>
      <c r="I95" s="88" t="s">
        <v>826</v>
      </c>
      <c r="J95" s="88"/>
      <c r="K95" s="88"/>
      <c r="L95" s="88"/>
      <c r="M95" s="88"/>
      <c r="N95" s="88"/>
      <c r="O95" s="88" t="s">
        <v>830</v>
      </c>
      <c r="P95" s="88"/>
      <c r="Q95" s="88"/>
      <c r="R95" s="88"/>
      <c r="S95" s="88"/>
      <c r="T95" s="88"/>
    </row>
    <row r="96" s="26" customFormat="1" ht="20" customHeight="1" spans="1:295">
      <c r="A96" s="55" t="s">
        <v>831</v>
      </c>
      <c r="B96" s="55"/>
      <c r="C96" s="88">
        <v>20</v>
      </c>
      <c r="D96" s="88"/>
      <c r="E96" s="88"/>
      <c r="F96" s="88"/>
      <c r="G96" s="88"/>
      <c r="H96" s="88"/>
      <c r="I96" s="88" t="s">
        <v>832</v>
      </c>
      <c r="J96" s="88"/>
      <c r="K96" s="88"/>
      <c r="L96" s="88"/>
      <c r="M96" s="88"/>
      <c r="N96" s="88"/>
      <c r="O96" s="88" t="s">
        <v>833</v>
      </c>
      <c r="P96" s="88"/>
      <c r="Q96" s="88"/>
      <c r="R96" s="88"/>
      <c r="S96" s="88"/>
      <c r="T96" s="88"/>
    </row>
    <row r="97" s="26" customFormat="1" ht="20" customHeight="1" spans="1:94">
      <c r="A97" s="53" t="s">
        <v>834</v>
      </c>
      <c r="B97" s="53"/>
      <c r="C97" s="88">
        <v>75</v>
      </c>
      <c r="D97" s="88"/>
      <c r="E97" s="88"/>
      <c r="F97" s="88"/>
      <c r="G97" s="88"/>
      <c r="H97" s="88"/>
      <c r="I97" s="88" t="s">
        <v>835</v>
      </c>
      <c r="J97" s="88"/>
      <c r="K97" s="88"/>
      <c r="L97" s="88"/>
      <c r="M97" s="88"/>
      <c r="N97" s="88"/>
      <c r="O97" s="88" t="s">
        <v>836</v>
      </c>
      <c r="P97" s="88"/>
      <c r="Q97" s="88"/>
      <c r="R97" s="88"/>
      <c r="S97" s="88"/>
      <c r="T97" s="88"/>
    </row>
    <row r="98" s="26" customFormat="1" ht="20" customHeight="1" spans="1:94">
      <c r="A98" s="55" t="s">
        <v>837</v>
      </c>
      <c r="B98" s="55"/>
      <c r="C98" s="88" t="s">
        <v>838</v>
      </c>
      <c r="D98" s="88"/>
      <c r="E98" s="88"/>
      <c r="F98" s="88"/>
      <c r="G98" s="88"/>
      <c r="H98" s="88"/>
      <c r="I98" s="88" t="s">
        <v>835</v>
      </c>
      <c r="J98" s="88"/>
      <c r="K98" s="88"/>
      <c r="L98" s="88"/>
      <c r="M98" s="88"/>
      <c r="N98" s="88"/>
      <c r="O98" s="88" t="s">
        <v>839</v>
      </c>
      <c r="P98" s="88"/>
      <c r="Q98" s="88"/>
      <c r="R98" s="88"/>
      <c r="S98" s="88"/>
      <c r="T98" s="88"/>
    </row>
    <row r="99" ht="69" customHeight="1" spans="1:94">
      <c r="A99" s="89" t="s">
        <v>840</v>
      </c>
      <c r="B99" s="90" t="s">
        <v>1153</v>
      </c>
      <c r="C99" s="91"/>
      <c r="D99" s="92"/>
      <c r="E99" s="92"/>
      <c r="F99" s="92"/>
      <c r="G99" s="92"/>
      <c r="H99" s="92"/>
      <c r="I99" s="90"/>
      <c r="J99" s="90"/>
      <c r="K99" s="90"/>
      <c r="L99" s="93"/>
      <c r="M99" s="94"/>
      <c r="N99" s="94"/>
      <c r="O99" s="94"/>
      <c r="P99" s="94"/>
      <c r="Q99" s="94"/>
      <c r="R99" s="94"/>
      <c r="S99" s="94"/>
      <c r="T99" s="95"/>
    </row>
    <row r="100" ht="69" customHeight="1" spans="1:94">
      <c r="A100" s="96" t="s">
        <v>842</v>
      </c>
      <c r="B100" s="97" t="s">
        <v>843</v>
      </c>
      <c r="C100" s="98"/>
      <c r="D100" s="99"/>
      <c r="E100" s="99"/>
      <c r="F100" s="99"/>
      <c r="G100" s="99"/>
      <c r="H100" s="99"/>
      <c r="I100" s="97"/>
      <c r="J100" s="97"/>
      <c r="K100" s="97"/>
      <c r="L100" s="100"/>
      <c r="M100" s="101"/>
      <c r="N100" s="101"/>
      <c r="O100" s="101"/>
      <c r="P100" s="101"/>
      <c r="Q100" s="101"/>
      <c r="R100" s="101"/>
      <c r="S100" s="101"/>
      <c r="T100" s="102"/>
    </row>
    <row r="101" ht="15" spans="1:94">
      <c r="A101" s="103"/>
      <c r="B101" s="103"/>
      <c r="C101" s="104"/>
      <c r="D101" s="104"/>
      <c r="E101" s="104"/>
      <c r="F101" s="104"/>
      <c r="G101" s="104"/>
      <c r="H101" s="104"/>
      <c r="I101" s="104"/>
      <c r="J101" s="104"/>
      <c r="K101" s="104"/>
      <c r="L101" s="104"/>
      <c r="M101" s="104"/>
      <c r="N101" s="104"/>
      <c r="O101" s="104"/>
      <c r="P101" s="104"/>
      <c r="Q101" s="104"/>
      <c r="R101" s="104"/>
      <c r="S101" s="104"/>
      <c r="T101" s="104"/>
      <c r="X101" s="105"/>
      <c r="Y101" s="105"/>
      <c r="Z101" s="105"/>
      <c r="AA101" s="105"/>
      <c r="AB101" s="105"/>
      <c r="AC101" s="105"/>
    </row>
    <row r="102" ht="42" customHeight="1" spans="1:94">
      <c r="A102" s="106" t="s">
        <v>202</v>
      </c>
      <c r="B102" s="107"/>
      <c r="C102" s="108"/>
      <c r="D102" s="106"/>
      <c r="E102" s="107"/>
      <c r="F102" s="108"/>
      <c r="G102" s="109"/>
      <c r="H102" s="110"/>
      <c r="I102" s="111" t="s">
        <v>206</v>
      </c>
      <c r="J102" s="112"/>
      <c r="K102" s="113"/>
      <c r="L102" s="111"/>
      <c r="M102" s="112"/>
      <c r="N102" s="113"/>
      <c r="O102" s="114"/>
      <c r="P102" s="115"/>
      <c r="S102" s="105"/>
      <c r="T102" s="105"/>
      <c r="X102" s="105"/>
      <c r="Y102" s="105"/>
      <c r="Z102" s="105"/>
      <c r="AA102" s="105"/>
      <c r="AB102" s="105"/>
      <c r="AC102" s="105"/>
    </row>
    <row r="103" ht="43" customHeight="1" spans="1:94">
      <c r="A103" s="37" t="s">
        <v>287</v>
      </c>
      <c r="B103" s="37" t="s">
        <v>728</v>
      </c>
      <c r="C103" s="116" t="s">
        <v>184</v>
      </c>
      <c r="D103" s="116"/>
      <c r="E103" s="116" t="s">
        <v>260</v>
      </c>
      <c r="F103" s="116"/>
      <c r="G103" s="117" t="s">
        <v>376</v>
      </c>
      <c r="H103" s="117" t="s">
        <v>288</v>
      </c>
      <c r="I103" s="116" t="s">
        <v>184</v>
      </c>
      <c r="J103" s="116"/>
      <c r="K103" s="116" t="s">
        <v>260</v>
      </c>
      <c r="L103" s="116"/>
      <c r="M103" s="117" t="s">
        <v>376</v>
      </c>
      <c r="N103" s="117" t="s">
        <v>288</v>
      </c>
      <c r="O103" s="37" t="s">
        <v>844</v>
      </c>
      <c r="P103" s="37" t="s">
        <v>845</v>
      </c>
      <c r="Q103" s="37" t="s">
        <v>846</v>
      </c>
      <c r="R103" s="37" t="s">
        <v>847</v>
      </c>
      <c r="S103" s="37" t="s">
        <v>848</v>
      </c>
      <c r="T103" s="37" t="s">
        <v>849</v>
      </c>
      <c r="U103" s="37" t="s">
        <v>850</v>
      </c>
      <c r="V103" s="37" t="s">
        <v>851</v>
      </c>
      <c r="W103" s="37" t="s">
        <v>852</v>
      </c>
      <c r="X103" s="37" t="s">
        <v>853</v>
      </c>
      <c r="Y103" s="37" t="s">
        <v>854</v>
      </c>
      <c r="Z103" s="37" t="s">
        <v>855</v>
      </c>
      <c r="AA103" s="37" t="s">
        <v>856</v>
      </c>
      <c r="AB103" s="37" t="s">
        <v>857</v>
      </c>
      <c r="AC103" s="37" t="s">
        <v>858</v>
      </c>
      <c r="AD103" s="37" t="s">
        <v>859</v>
      </c>
      <c r="AE103" s="37" t="s">
        <v>860</v>
      </c>
      <c r="AF103" s="37" t="s">
        <v>861</v>
      </c>
      <c r="AG103" s="37" t="s">
        <v>862</v>
      </c>
      <c r="AH103" s="37" t="s">
        <v>863</v>
      </c>
      <c r="AI103" s="37" t="s">
        <v>864</v>
      </c>
      <c r="AJ103" s="37" t="s">
        <v>865</v>
      </c>
      <c r="AK103" s="37" t="s">
        <v>866</v>
      </c>
      <c r="AL103" s="37" t="s">
        <v>867</v>
      </c>
      <c r="AM103" s="37" t="s">
        <v>868</v>
      </c>
      <c r="AN103" s="37" t="s">
        <v>869</v>
      </c>
      <c r="AO103" s="37" t="s">
        <v>870</v>
      </c>
      <c r="AP103" s="37" t="s">
        <v>871</v>
      </c>
      <c r="AQ103" s="37" t="s">
        <v>872</v>
      </c>
      <c r="AR103" s="37" t="s">
        <v>873</v>
      </c>
      <c r="AS103" s="37" t="s">
        <v>874</v>
      </c>
      <c r="AT103" s="37" t="s">
        <v>875</v>
      </c>
      <c r="AU103" s="37" t="s">
        <v>876</v>
      </c>
      <c r="AV103" s="37" t="s">
        <v>877</v>
      </c>
      <c r="AW103" s="37" t="s">
        <v>878</v>
      </c>
      <c r="AX103" s="37" t="s">
        <v>879</v>
      </c>
      <c r="AY103" s="37" t="s">
        <v>880</v>
      </c>
      <c r="AZ103" s="37" t="s">
        <v>881</v>
      </c>
      <c r="BA103" s="37" t="s">
        <v>882</v>
      </c>
      <c r="BB103" s="37" t="s">
        <v>883</v>
      </c>
      <c r="BC103" s="37" t="s">
        <v>884</v>
      </c>
      <c r="BD103" s="37" t="s">
        <v>885</v>
      </c>
      <c r="BE103" s="37" t="s">
        <v>886</v>
      </c>
      <c r="BF103" s="37" t="s">
        <v>887</v>
      </c>
      <c r="BG103" s="37" t="s">
        <v>888</v>
      </c>
      <c r="BH103" s="37" t="s">
        <v>889</v>
      </c>
      <c r="BI103" s="37" t="s">
        <v>890</v>
      </c>
      <c r="BJ103" s="37" t="s">
        <v>891</v>
      </c>
      <c r="BK103" s="37" t="s">
        <v>892</v>
      </c>
      <c r="BL103" s="37" t="s">
        <v>893</v>
      </c>
      <c r="BM103" s="37" t="s">
        <v>894</v>
      </c>
      <c r="BN103" s="37" t="s">
        <v>895</v>
      </c>
      <c r="BO103" s="37" t="s">
        <v>896</v>
      </c>
      <c r="BP103" s="37" t="s">
        <v>897</v>
      </c>
      <c r="BQ103" s="37" t="s">
        <v>898</v>
      </c>
      <c r="BR103" s="37" t="s">
        <v>899</v>
      </c>
      <c r="BS103" s="37" t="s">
        <v>900</v>
      </c>
      <c r="BT103" s="37" t="s">
        <v>901</v>
      </c>
      <c r="BU103" s="37" t="s">
        <v>902</v>
      </c>
      <c r="BV103" s="37" t="s">
        <v>903</v>
      </c>
      <c r="BW103" s="37" t="s">
        <v>904</v>
      </c>
      <c r="BX103" s="37" t="s">
        <v>905</v>
      </c>
      <c r="BY103" s="37" t="s">
        <v>906</v>
      </c>
      <c r="BZ103" s="37" t="s">
        <v>907</v>
      </c>
      <c r="CA103" s="37" t="s">
        <v>908</v>
      </c>
      <c r="CB103" s="37" t="s">
        <v>909</v>
      </c>
      <c r="CC103" s="37" t="s">
        <v>910</v>
      </c>
      <c r="CD103" s="37" t="s">
        <v>911</v>
      </c>
      <c r="CE103" s="37" t="s">
        <v>912</v>
      </c>
      <c r="CF103" s="37" t="s">
        <v>913</v>
      </c>
      <c r="CG103" s="37" t="s">
        <v>914</v>
      </c>
      <c r="CH103" s="37" t="s">
        <v>915</v>
      </c>
      <c r="CI103" s="37" t="s">
        <v>916</v>
      </c>
      <c r="CJ103" s="37" t="s">
        <v>917</v>
      </c>
      <c r="CK103" s="37" t="s">
        <v>918</v>
      </c>
    </row>
    <row r="104" ht="43" customHeight="1" spans="1:94">
      <c r="A104" s="37"/>
      <c r="B104" s="68"/>
      <c r="C104" s="37" t="s">
        <v>729</v>
      </c>
      <c r="D104" s="37" t="s">
        <v>730</v>
      </c>
      <c r="E104" s="37" t="s">
        <v>729</v>
      </c>
      <c r="F104" s="37" t="s">
        <v>730</v>
      </c>
      <c r="G104" s="118"/>
      <c r="H104" s="118"/>
      <c r="I104" s="37" t="s">
        <v>729</v>
      </c>
      <c r="J104" s="37" t="s">
        <v>730</v>
      </c>
      <c r="K104" s="37" t="s">
        <v>729</v>
      </c>
      <c r="L104" s="37" t="s">
        <v>730</v>
      </c>
      <c r="M104" s="118"/>
      <c r="N104" s="11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68"/>
      <c r="BR104" s="68"/>
      <c r="BS104" s="68"/>
      <c r="BT104" s="68"/>
      <c r="BU104" s="68"/>
      <c r="BV104" s="68"/>
      <c r="BW104" s="68"/>
      <c r="BX104" s="68"/>
      <c r="BY104" s="68"/>
      <c r="BZ104" s="68"/>
      <c r="CA104" s="68"/>
      <c r="CB104" s="68"/>
      <c r="CC104" s="68"/>
      <c r="CD104" s="68"/>
      <c r="CE104" s="68"/>
      <c r="CF104" s="68"/>
      <c r="CG104" s="68"/>
      <c r="CH104" s="68"/>
      <c r="CI104" s="68"/>
      <c r="CJ104" s="68"/>
      <c r="CK104" s="68"/>
    </row>
    <row r="105" ht="43" customHeight="1" spans="1:94">
      <c r="A105" s="119" t="s">
        <v>1154</v>
      </c>
      <c r="B105" s="120" t="s">
        <v>253</v>
      </c>
      <c r="C105" s="121">
        <v>8.9</v>
      </c>
      <c r="D105" s="121">
        <v>1470</v>
      </c>
      <c r="E105" s="121">
        <v>8.9</v>
      </c>
      <c r="F105" s="121">
        <v>1470</v>
      </c>
      <c r="G105" s="121" t="s">
        <v>400</v>
      </c>
      <c r="H105" s="121" t="s">
        <v>699</v>
      </c>
      <c r="I105" s="121">
        <v>12.2</v>
      </c>
      <c r="J105" s="121">
        <v>2130</v>
      </c>
      <c r="K105" s="121">
        <v>12.2</v>
      </c>
      <c r="L105" s="121">
        <v>2130</v>
      </c>
      <c r="M105" s="121">
        <v>20</v>
      </c>
      <c r="N105" s="121" t="s">
        <v>709</v>
      </c>
      <c r="O105" s="122"/>
      <c r="P105" s="122"/>
      <c r="Q105" s="122"/>
      <c r="R105" s="122"/>
      <c r="S105" s="122"/>
      <c r="T105" s="122"/>
      <c r="U105" s="122"/>
      <c r="V105" s="122"/>
      <c r="W105" s="122"/>
      <c r="X105" s="122"/>
      <c r="Y105" s="123"/>
      <c r="Z105" s="123"/>
      <c r="AA105" s="122"/>
      <c r="AB105" s="122"/>
      <c r="AC105" s="122"/>
      <c r="AD105" s="123"/>
      <c r="AE105" s="123"/>
      <c r="AF105" s="123"/>
      <c r="AG105" s="123"/>
      <c r="AH105" s="123"/>
      <c r="AI105" s="123"/>
      <c r="AJ105" s="122"/>
      <c r="AK105" s="122"/>
      <c r="AL105" s="122"/>
      <c r="AM105" s="122"/>
      <c r="AN105" s="122"/>
      <c r="AO105" s="122"/>
      <c r="AP105" s="122"/>
      <c r="AQ105" s="122"/>
      <c r="AR105" s="122"/>
      <c r="AS105" s="122"/>
      <c r="AT105" s="122"/>
      <c r="AU105" s="122"/>
      <c r="AV105" s="122"/>
      <c r="AW105" s="122"/>
      <c r="AX105" s="122"/>
      <c r="AY105" s="122"/>
      <c r="AZ105" s="122"/>
      <c r="BA105" s="122"/>
      <c r="BB105" s="122"/>
      <c r="BC105" s="122"/>
      <c r="BD105" s="122"/>
      <c r="BE105" s="122"/>
      <c r="BF105" s="122"/>
      <c r="BG105" s="122"/>
      <c r="BH105" s="122"/>
      <c r="BI105" s="122"/>
      <c r="BJ105" s="122"/>
      <c r="BK105" s="122"/>
      <c r="BL105" s="122"/>
      <c r="BM105" s="122"/>
      <c r="BN105" s="122"/>
      <c r="BO105" s="122"/>
      <c r="BP105" s="122"/>
      <c r="BQ105" s="122"/>
      <c r="BR105" s="122"/>
      <c r="BS105" s="122"/>
      <c r="BT105" s="122"/>
      <c r="BU105" s="122"/>
      <c r="BV105" s="122"/>
      <c r="BW105" s="122"/>
      <c r="BX105" s="122"/>
      <c r="BY105" s="122"/>
      <c r="BZ105" s="122"/>
      <c r="CA105" s="122"/>
      <c r="CB105" s="122"/>
      <c r="CC105" s="122"/>
      <c r="CD105" s="122"/>
      <c r="CE105" s="122"/>
      <c r="CF105" s="122"/>
      <c r="CG105" s="122"/>
      <c r="CH105" s="122"/>
      <c r="CI105" s="122"/>
      <c r="CJ105" s="122"/>
      <c r="CK105" s="122"/>
      <c r="CN105" s="124"/>
      <c r="CO105" s="124"/>
      <c r="CP105" s="124"/>
    </row>
    <row r="106" ht="43" customHeight="1" spans="1:94">
      <c r="A106" s="119" t="s">
        <v>1155</v>
      </c>
      <c r="B106" s="120">
        <v>60188</v>
      </c>
      <c r="C106" s="121">
        <v>9.6</v>
      </c>
      <c r="D106" s="121">
        <v>1700</v>
      </c>
      <c r="E106" s="121">
        <v>9.6</v>
      </c>
      <c r="F106" s="121">
        <v>1700</v>
      </c>
      <c r="G106" s="121" t="s">
        <v>400</v>
      </c>
      <c r="H106" s="121" t="s">
        <v>699</v>
      </c>
      <c r="I106" s="121">
        <v>12.9</v>
      </c>
      <c r="J106" s="121">
        <v>2360</v>
      </c>
      <c r="K106" s="121">
        <v>12.9</v>
      </c>
      <c r="L106" s="121">
        <v>2360</v>
      </c>
      <c r="M106" s="121">
        <v>20</v>
      </c>
      <c r="N106" s="121" t="s">
        <v>709</v>
      </c>
      <c r="O106" s="122"/>
      <c r="P106" s="122"/>
      <c r="Q106" s="122"/>
      <c r="R106" s="122"/>
      <c r="S106" s="122"/>
      <c r="T106" s="122"/>
      <c r="U106" s="122"/>
      <c r="V106" s="122"/>
      <c r="W106" s="122"/>
      <c r="X106" s="122"/>
      <c r="Y106" s="123"/>
      <c r="Z106" s="123"/>
      <c r="AA106" s="122"/>
      <c r="AB106" s="122"/>
      <c r="AC106" s="122"/>
      <c r="AD106" s="123"/>
      <c r="AE106" s="123"/>
      <c r="AF106" s="123"/>
      <c r="AG106" s="123"/>
      <c r="AH106" s="123"/>
      <c r="AI106" s="123"/>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2"/>
      <c r="BQ106" s="122"/>
      <c r="BR106" s="122"/>
      <c r="BS106" s="122"/>
      <c r="BT106" s="122"/>
      <c r="BU106" s="122"/>
      <c r="BV106" s="122"/>
      <c r="BW106" s="122"/>
      <c r="BX106" s="122"/>
      <c r="BY106" s="122"/>
      <c r="BZ106" s="122"/>
      <c r="CA106" s="122"/>
      <c r="CB106" s="122"/>
      <c r="CC106" s="122"/>
      <c r="CD106" s="122"/>
      <c r="CE106" s="122"/>
      <c r="CF106" s="122"/>
      <c r="CG106" s="122"/>
      <c r="CH106" s="122"/>
      <c r="CI106" s="122"/>
      <c r="CJ106" s="122"/>
      <c r="CK106" s="122"/>
      <c r="CN106" s="124"/>
      <c r="CO106" s="124"/>
      <c r="CP106" s="124"/>
    </row>
    <row r="107" ht="43" customHeight="1" spans="1:94">
      <c r="A107" s="119" t="s">
        <v>1156</v>
      </c>
      <c r="B107" s="120">
        <v>46241</v>
      </c>
      <c r="C107" s="121">
        <v>10.3</v>
      </c>
      <c r="D107" s="121">
        <v>1850</v>
      </c>
      <c r="E107" s="121">
        <v>10.3</v>
      </c>
      <c r="F107" s="121">
        <v>1850</v>
      </c>
      <c r="G107" s="121" t="s">
        <v>400</v>
      </c>
      <c r="H107" s="121" t="s">
        <v>699</v>
      </c>
      <c r="I107" s="121">
        <v>13.6</v>
      </c>
      <c r="J107" s="121">
        <v>2510</v>
      </c>
      <c r="K107" s="121">
        <v>13.6</v>
      </c>
      <c r="L107" s="121">
        <v>2510</v>
      </c>
      <c r="M107" s="121">
        <v>20</v>
      </c>
      <c r="N107" s="121" t="s">
        <v>709</v>
      </c>
      <c r="O107" s="122"/>
      <c r="P107" s="122"/>
      <c r="Q107" s="122"/>
      <c r="R107" s="122"/>
      <c r="S107" s="122"/>
      <c r="T107" s="122"/>
      <c r="U107" s="122"/>
      <c r="V107" s="122"/>
      <c r="W107" s="122"/>
      <c r="X107" s="122"/>
      <c r="Y107" s="122"/>
      <c r="Z107" s="122"/>
      <c r="AA107" s="122"/>
      <c r="AB107" s="122"/>
      <c r="AC107" s="122"/>
      <c r="AD107" s="122"/>
      <c r="AE107" s="122"/>
      <c r="AF107" s="123"/>
      <c r="AG107" s="123"/>
      <c r="AH107" s="123"/>
      <c r="AI107" s="123"/>
      <c r="AJ107" s="122"/>
      <c r="AK107" s="122"/>
      <c r="AL107" s="122"/>
      <c r="AM107" s="122"/>
      <c r="AN107" s="122"/>
      <c r="AO107" s="122"/>
      <c r="AP107" s="122"/>
      <c r="AQ107" s="122"/>
      <c r="AR107" s="122"/>
      <c r="AS107" s="122"/>
      <c r="AT107" s="122"/>
      <c r="AU107" s="122"/>
      <c r="AV107" s="122"/>
      <c r="AW107" s="122"/>
      <c r="AX107" s="122"/>
      <c r="AY107" s="122"/>
      <c r="AZ107" s="122"/>
      <c r="BA107" s="122"/>
      <c r="BB107" s="122"/>
      <c r="BC107" s="122"/>
      <c r="BD107" s="122"/>
      <c r="BE107" s="122"/>
      <c r="BF107" s="122"/>
      <c r="BG107" s="122"/>
      <c r="BH107" s="122"/>
      <c r="BI107" s="122"/>
      <c r="BJ107" s="122"/>
      <c r="BK107" s="122"/>
      <c r="BL107" s="122"/>
      <c r="BM107" s="122"/>
      <c r="BN107" s="122"/>
      <c r="BO107" s="122"/>
      <c r="BP107" s="122"/>
      <c r="BQ107" s="122"/>
      <c r="BR107" s="122"/>
      <c r="BS107" s="122"/>
      <c r="BT107" s="122"/>
      <c r="BU107" s="122"/>
      <c r="BV107" s="122"/>
      <c r="BW107" s="122"/>
      <c r="BX107" s="122"/>
      <c r="BY107" s="122"/>
      <c r="BZ107" s="122"/>
      <c r="CA107" s="122"/>
      <c r="CB107" s="122"/>
      <c r="CC107" s="122"/>
      <c r="CD107" s="122"/>
      <c r="CE107" s="122"/>
      <c r="CF107" s="122"/>
      <c r="CG107" s="122"/>
      <c r="CH107" s="122"/>
      <c r="CI107" s="122"/>
      <c r="CJ107" s="122"/>
      <c r="CK107" s="122"/>
      <c r="CN107" s="124"/>
      <c r="CO107" s="124"/>
      <c r="CP107" s="124"/>
    </row>
    <row r="108" ht="43" customHeight="1" spans="1:94">
      <c r="A108" s="119" t="s">
        <v>1157</v>
      </c>
      <c r="B108" s="120" t="s">
        <v>1145</v>
      </c>
      <c r="C108" s="121">
        <v>9.9</v>
      </c>
      <c r="D108" s="121">
        <v>1760</v>
      </c>
      <c r="E108" s="121">
        <v>9.9</v>
      </c>
      <c r="F108" s="121">
        <v>1760</v>
      </c>
      <c r="G108" s="121" t="s">
        <v>400</v>
      </c>
      <c r="H108" s="121" t="s">
        <v>699</v>
      </c>
      <c r="I108" s="121">
        <v>13.2</v>
      </c>
      <c r="J108" s="121">
        <v>2420</v>
      </c>
      <c r="K108" s="121">
        <v>13.2</v>
      </c>
      <c r="L108" s="121">
        <v>2420</v>
      </c>
      <c r="M108" s="121">
        <v>20</v>
      </c>
      <c r="N108" s="121" t="s">
        <v>709</v>
      </c>
      <c r="O108" s="72">
        <v>60490</v>
      </c>
      <c r="P108" s="72">
        <v>60440</v>
      </c>
      <c r="Q108" s="72">
        <v>60446</v>
      </c>
      <c r="R108" s="72">
        <v>60564</v>
      </c>
      <c r="S108" s="72">
        <v>60403</v>
      </c>
      <c r="T108" s="72">
        <v>60441</v>
      </c>
      <c r="U108" s="72">
        <v>60544</v>
      </c>
      <c r="V108" s="72"/>
      <c r="W108" s="72"/>
      <c r="X108" s="72"/>
      <c r="Y108" s="72"/>
      <c r="Z108" s="72"/>
      <c r="AA108" s="72"/>
      <c r="AB108" s="72"/>
      <c r="AC108" s="72"/>
      <c r="AD108" s="72"/>
      <c r="AE108" s="72"/>
      <c r="AF108" s="72"/>
      <c r="AG108" s="72"/>
      <c r="AH108" s="72"/>
      <c r="AI108" s="72"/>
      <c r="AJ108" s="72"/>
      <c r="AK108" s="72"/>
      <c r="AL108" s="72"/>
      <c r="AM108" s="72"/>
      <c r="AN108" s="72"/>
      <c r="AO108" s="72"/>
      <c r="AP108" s="72"/>
      <c r="AQ108" s="72"/>
      <c r="AR108" s="72"/>
      <c r="AS108" s="72"/>
      <c r="AT108" s="72"/>
      <c r="AU108" s="72"/>
      <c r="AV108" s="72"/>
      <c r="AW108" s="72"/>
      <c r="AX108" s="72"/>
      <c r="AY108" s="72"/>
      <c r="AZ108" s="72"/>
      <c r="BA108" s="72"/>
      <c r="BB108" s="72"/>
      <c r="BC108" s="72"/>
      <c r="BD108" s="72"/>
      <c r="BE108" s="72"/>
      <c r="BF108" s="72"/>
      <c r="BG108" s="72"/>
      <c r="BH108" s="72"/>
      <c r="BI108" s="72"/>
      <c r="BJ108" s="72"/>
      <c r="BK108" s="72"/>
      <c r="BL108" s="72"/>
      <c r="BM108" s="72"/>
      <c r="BN108" s="72"/>
      <c r="BO108" s="72"/>
      <c r="BP108" s="72"/>
      <c r="BQ108" s="72"/>
      <c r="BR108" s="72"/>
      <c r="BS108" s="72"/>
      <c r="BT108" s="72"/>
      <c r="BU108" s="72"/>
      <c r="BV108" s="72"/>
      <c r="BW108" s="72"/>
      <c r="BX108" s="72"/>
      <c r="BY108" s="72"/>
      <c r="BZ108" s="72"/>
      <c r="CA108" s="72"/>
      <c r="CB108" s="72"/>
      <c r="CC108" s="72"/>
      <c r="CD108" s="72"/>
      <c r="CE108" s="72"/>
      <c r="CF108" s="72"/>
      <c r="CG108" s="72"/>
      <c r="CH108" s="72"/>
      <c r="CI108" s="72"/>
      <c r="CJ108" s="72"/>
      <c r="CK108" s="72"/>
      <c r="CN108" s="124"/>
      <c r="CO108" s="124"/>
      <c r="CP108" s="124"/>
    </row>
    <row r="109" ht="43" customHeight="1" spans="1:94">
      <c r="A109" s="119" t="s">
        <v>1158</v>
      </c>
      <c r="B109" s="120" t="s">
        <v>1145</v>
      </c>
      <c r="C109" s="121">
        <v>10</v>
      </c>
      <c r="D109" s="121">
        <v>1780</v>
      </c>
      <c r="E109" s="121">
        <v>10</v>
      </c>
      <c r="F109" s="121">
        <v>1780</v>
      </c>
      <c r="G109" s="121" t="s">
        <v>400</v>
      </c>
      <c r="H109" s="121" t="s">
        <v>699</v>
      </c>
      <c r="I109" s="121">
        <v>13.3</v>
      </c>
      <c r="J109" s="121">
        <v>2440</v>
      </c>
      <c r="K109" s="121">
        <v>13.3</v>
      </c>
      <c r="L109" s="121">
        <v>2440</v>
      </c>
      <c r="M109" s="121">
        <v>20</v>
      </c>
      <c r="N109" s="121" t="s">
        <v>709</v>
      </c>
      <c r="O109" s="72">
        <v>60435</v>
      </c>
      <c r="P109" s="72">
        <v>60439</v>
      </c>
      <c r="Q109" s="72">
        <v>60432</v>
      </c>
      <c r="R109" s="72">
        <v>60503</v>
      </c>
      <c r="S109" s="72">
        <v>60491</v>
      </c>
      <c r="T109" s="72">
        <v>60434</v>
      </c>
      <c r="U109" s="72">
        <v>60507</v>
      </c>
      <c r="V109" s="72">
        <v>60598</v>
      </c>
      <c r="W109" s="72">
        <v>60543</v>
      </c>
      <c r="X109" s="72">
        <v>60572</v>
      </c>
      <c r="Y109" s="72">
        <v>60464</v>
      </c>
      <c r="Z109" s="72">
        <v>60436</v>
      </c>
      <c r="AA109" s="72">
        <v>60431</v>
      </c>
      <c r="AB109" s="72">
        <v>60189</v>
      </c>
      <c r="AC109" s="72">
        <v>60433</v>
      </c>
      <c r="AD109" s="72">
        <v>60404</v>
      </c>
      <c r="AE109" s="72">
        <v>60505</v>
      </c>
      <c r="AF109" s="72">
        <v>60137</v>
      </c>
      <c r="AG109" s="72">
        <v>60538</v>
      </c>
      <c r="AH109" s="72">
        <v>60480</v>
      </c>
      <c r="AI109" s="72">
        <v>60568</v>
      </c>
      <c r="AJ109" s="72">
        <v>60138</v>
      </c>
      <c r="AK109" s="72">
        <v>60502</v>
      </c>
      <c r="AL109" s="72">
        <v>60465</v>
      </c>
      <c r="AM109" s="72">
        <v>60525</v>
      </c>
      <c r="AN109" s="72">
        <v>60458</v>
      </c>
      <c r="AO109" s="72">
        <v>60451</v>
      </c>
      <c r="AP109" s="72">
        <v>60190</v>
      </c>
      <c r="AQ109" s="72">
        <v>60462</v>
      </c>
      <c r="AR109" s="72">
        <v>60467</v>
      </c>
      <c r="AS109" s="72">
        <v>60482</v>
      </c>
      <c r="AT109" s="72">
        <v>60463</v>
      </c>
      <c r="AU109" s="72">
        <v>60455</v>
      </c>
      <c r="AV109" s="72">
        <v>60154</v>
      </c>
      <c r="AW109" s="72">
        <v>60560</v>
      </c>
      <c r="AX109" s="72"/>
      <c r="AY109" s="72"/>
      <c r="AZ109" s="72"/>
      <c r="BA109" s="72"/>
      <c r="BB109" s="72"/>
      <c r="BC109" s="72"/>
      <c r="BD109" s="72"/>
      <c r="BE109" s="72"/>
      <c r="BF109" s="72"/>
      <c r="BG109" s="72"/>
      <c r="BH109" s="72"/>
      <c r="BI109" s="72"/>
      <c r="BJ109" s="72"/>
      <c r="BK109" s="72"/>
      <c r="BL109" s="72"/>
      <c r="BM109" s="72"/>
      <c r="BN109" s="72"/>
      <c r="BO109" s="72"/>
      <c r="BP109" s="72"/>
      <c r="BQ109" s="72"/>
      <c r="BR109" s="72"/>
      <c r="BS109" s="72"/>
      <c r="BT109" s="72"/>
      <c r="BU109" s="72"/>
      <c r="BV109" s="72"/>
      <c r="BW109" s="72"/>
      <c r="BX109" s="72"/>
      <c r="BY109" s="72"/>
      <c r="BZ109" s="72"/>
      <c r="CA109" s="72"/>
      <c r="CB109" s="72"/>
      <c r="CC109" s="72"/>
      <c r="CD109" s="72"/>
      <c r="CE109" s="72"/>
      <c r="CF109" s="72"/>
      <c r="CG109" s="72"/>
      <c r="CH109" s="72"/>
      <c r="CI109" s="72"/>
      <c r="CJ109" s="72"/>
      <c r="CK109" s="72"/>
      <c r="CN109" s="124"/>
      <c r="CO109" s="124"/>
      <c r="CP109" s="124"/>
    </row>
    <row r="110" ht="43" customHeight="1" spans="1:94">
      <c r="A110" s="119" t="s">
        <v>1159</v>
      </c>
      <c r="B110" s="120" t="s">
        <v>1145</v>
      </c>
      <c r="C110" s="121">
        <v>10.1</v>
      </c>
      <c r="D110" s="121">
        <v>1800</v>
      </c>
      <c r="E110" s="121">
        <v>10.1</v>
      </c>
      <c r="F110" s="121">
        <v>1800</v>
      </c>
      <c r="G110" s="121" t="s">
        <v>400</v>
      </c>
      <c r="H110" s="121" t="s">
        <v>699</v>
      </c>
      <c r="I110" s="121">
        <v>13.4</v>
      </c>
      <c r="J110" s="121">
        <v>2460</v>
      </c>
      <c r="K110" s="121">
        <v>13.4</v>
      </c>
      <c r="L110" s="121">
        <v>2460</v>
      </c>
      <c r="M110" s="121">
        <v>20</v>
      </c>
      <c r="N110" s="121" t="s">
        <v>709</v>
      </c>
      <c r="O110" s="72">
        <v>60186</v>
      </c>
      <c r="P110" s="72">
        <v>60512</v>
      </c>
      <c r="Q110" s="72">
        <v>60542</v>
      </c>
      <c r="R110" s="72">
        <v>60506</v>
      </c>
      <c r="S110" s="72">
        <v>60501</v>
      </c>
      <c r="T110" s="72">
        <v>60148</v>
      </c>
      <c r="U110" s="72">
        <v>60448</v>
      </c>
      <c r="V110" s="72">
        <v>60499</v>
      </c>
      <c r="W110" s="72">
        <v>60181</v>
      </c>
      <c r="X110" s="72">
        <v>60454</v>
      </c>
      <c r="Y110" s="72">
        <v>60415</v>
      </c>
      <c r="Z110" s="72">
        <v>60539</v>
      </c>
      <c r="AA110" s="72">
        <v>60421</v>
      </c>
      <c r="AB110" s="72">
        <v>60459</v>
      </c>
      <c r="AC110" s="72">
        <v>60447</v>
      </c>
      <c r="AD110" s="72">
        <v>60513</v>
      </c>
      <c r="AE110" s="72">
        <v>60126</v>
      </c>
      <c r="AF110" s="72">
        <v>60185</v>
      </c>
      <c r="AG110" s="72">
        <v>60546</v>
      </c>
      <c r="AH110" s="72">
        <v>60487</v>
      </c>
      <c r="AI110" s="72">
        <v>60162</v>
      </c>
      <c r="AJ110" s="72">
        <v>60402</v>
      </c>
      <c r="AK110" s="72">
        <v>60445</v>
      </c>
      <c r="AL110" s="72">
        <v>60442</v>
      </c>
      <c r="AM110" s="72">
        <v>60163</v>
      </c>
      <c r="AN110" s="72">
        <v>60141</v>
      </c>
      <c r="AO110" s="72">
        <v>60453</v>
      </c>
      <c r="AP110" s="72">
        <v>60452</v>
      </c>
      <c r="AQ110" s="72">
        <v>60130</v>
      </c>
      <c r="AR110" s="72">
        <v>60472</v>
      </c>
      <c r="AS110" s="72">
        <v>60187</v>
      </c>
      <c r="AT110" s="72">
        <v>60104</v>
      </c>
      <c r="AU110" s="72">
        <v>60153</v>
      </c>
      <c r="AV110" s="72">
        <v>60101</v>
      </c>
      <c r="AW110" s="72">
        <v>60199</v>
      </c>
      <c r="AX110" s="72">
        <v>60165</v>
      </c>
      <c r="AY110" s="72">
        <v>60510</v>
      </c>
      <c r="AZ110" s="72">
        <v>60164</v>
      </c>
      <c r="BA110" s="72">
        <v>60174</v>
      </c>
      <c r="BB110" s="72">
        <v>60423</v>
      </c>
      <c r="BC110" s="72">
        <v>60128</v>
      </c>
      <c r="BD110" s="72">
        <v>60132</v>
      </c>
      <c r="BE110" s="72">
        <v>60197</v>
      </c>
      <c r="BF110" s="72">
        <v>60106</v>
      </c>
      <c r="BG110" s="72">
        <v>60536</v>
      </c>
      <c r="BH110" s="72">
        <v>60105</v>
      </c>
      <c r="BI110" s="72">
        <v>60116</v>
      </c>
      <c r="BJ110" s="72">
        <v>60305</v>
      </c>
      <c r="BK110" s="72">
        <v>60303</v>
      </c>
      <c r="BL110" s="72">
        <v>60188</v>
      </c>
      <c r="BM110" s="72">
        <v>60399</v>
      </c>
      <c r="BN110" s="72">
        <v>60161</v>
      </c>
      <c r="BO110" s="72">
        <v>60117</v>
      </c>
      <c r="BP110" s="72">
        <v>60545</v>
      </c>
      <c r="BQ110" s="72">
        <v>60160</v>
      </c>
      <c r="BR110" s="72">
        <v>60191</v>
      </c>
      <c r="BS110" s="72">
        <v>60184</v>
      </c>
      <c r="BT110" s="72">
        <v>60103</v>
      </c>
      <c r="BU110" s="72">
        <v>60304</v>
      </c>
      <c r="BV110" s="72">
        <v>60108</v>
      </c>
      <c r="BW110" s="72">
        <v>60131</v>
      </c>
      <c r="BX110" s="72">
        <v>60481</v>
      </c>
      <c r="BY110" s="72">
        <v>60171</v>
      </c>
      <c r="BZ110" s="72">
        <v>60554</v>
      </c>
      <c r="CA110" s="72">
        <v>60477</v>
      </c>
      <c r="CB110" s="72">
        <v>60172</v>
      </c>
      <c r="CC110" s="72">
        <v>60406</v>
      </c>
      <c r="CD110" s="72">
        <v>60511</v>
      </c>
      <c r="CE110" s="72">
        <v>60157</v>
      </c>
      <c r="CF110" s="72">
        <v>60541</v>
      </c>
      <c r="CG110" s="72">
        <v>60469</v>
      </c>
      <c r="CH110" s="72">
        <v>60007</v>
      </c>
      <c r="CI110" s="72">
        <v>60537</v>
      </c>
      <c r="CJ110" s="72">
        <v>60144</v>
      </c>
      <c r="CK110" s="72"/>
      <c r="CN110" s="124"/>
      <c r="CO110" s="124"/>
      <c r="CP110" s="124"/>
    </row>
    <row r="111" ht="43" customHeight="1" spans="1:94">
      <c r="A111" s="119" t="s">
        <v>1160</v>
      </c>
      <c r="B111" s="120" t="s">
        <v>1145</v>
      </c>
      <c r="C111" s="121">
        <v>10.2</v>
      </c>
      <c r="D111" s="121">
        <v>1820</v>
      </c>
      <c r="E111" s="121">
        <v>10.2</v>
      </c>
      <c r="F111" s="121">
        <v>1820</v>
      </c>
      <c r="G111" s="121" t="s">
        <v>400</v>
      </c>
      <c r="H111" s="121" t="s">
        <v>699</v>
      </c>
      <c r="I111" s="121">
        <v>13.5</v>
      </c>
      <c r="J111" s="121">
        <v>2480</v>
      </c>
      <c r="K111" s="121">
        <v>13.5</v>
      </c>
      <c r="L111" s="121">
        <v>2480</v>
      </c>
      <c r="M111" s="121">
        <v>20</v>
      </c>
      <c r="N111" s="121" t="s">
        <v>709</v>
      </c>
      <c r="O111" s="72">
        <v>60009</v>
      </c>
      <c r="P111" s="72">
        <v>60175</v>
      </c>
      <c r="Q111" s="72">
        <v>60183</v>
      </c>
      <c r="R111" s="72">
        <v>60119</v>
      </c>
      <c r="S111" s="72">
        <v>60147</v>
      </c>
      <c r="T111" s="72">
        <v>60173</v>
      </c>
      <c r="U111" s="72">
        <v>60176</v>
      </c>
      <c r="V111" s="72">
        <v>60450</v>
      </c>
      <c r="W111" s="72">
        <v>60426</v>
      </c>
      <c r="X111" s="72">
        <v>60428</v>
      </c>
      <c r="Y111" s="72">
        <v>60193</v>
      </c>
      <c r="Z111" s="72">
        <v>60177</v>
      </c>
      <c r="AA111" s="72">
        <v>60443</v>
      </c>
      <c r="AB111" s="72">
        <v>60018</v>
      </c>
      <c r="AC111" s="72">
        <v>60120</v>
      </c>
      <c r="AD111" s="72">
        <v>60019</v>
      </c>
      <c r="AE111" s="72">
        <v>60548</v>
      </c>
      <c r="AF111" s="72">
        <v>60520</v>
      </c>
      <c r="AG111" s="72">
        <v>60068</v>
      </c>
      <c r="AH111" s="72">
        <v>60017</v>
      </c>
      <c r="AI111" s="72">
        <v>60429</v>
      </c>
      <c r="AJ111" s="72">
        <v>60478</v>
      </c>
      <c r="AK111" s="72">
        <v>60168</v>
      </c>
      <c r="AL111" s="72">
        <v>60194</v>
      </c>
      <c r="AM111" s="72">
        <v>60122</v>
      </c>
      <c r="AN111" s="72">
        <v>60008</v>
      </c>
      <c r="AO111" s="72">
        <v>60133</v>
      </c>
      <c r="AP111" s="72">
        <v>60551</v>
      </c>
      <c r="AQ111" s="72">
        <v>60416</v>
      </c>
      <c r="AR111" s="72">
        <v>60056</v>
      </c>
      <c r="AS111" s="72">
        <v>60196</v>
      </c>
      <c r="AT111" s="72">
        <v>60473</v>
      </c>
      <c r="AU111" s="72">
        <v>60430</v>
      </c>
      <c r="AV111" s="72">
        <v>60005</v>
      </c>
      <c r="AW111" s="72">
        <v>60121</v>
      </c>
      <c r="AX111" s="72">
        <v>60016</v>
      </c>
      <c r="AY111" s="72">
        <v>60169</v>
      </c>
      <c r="AZ111" s="72">
        <v>60095</v>
      </c>
      <c r="BA111" s="72">
        <v>60407</v>
      </c>
      <c r="BB111" s="72">
        <v>60107</v>
      </c>
      <c r="BC111" s="72">
        <v>60422</v>
      </c>
      <c r="BD111" s="72">
        <v>60449</v>
      </c>
      <c r="BE111" s="72">
        <v>60471</v>
      </c>
      <c r="BF111" s="72">
        <v>60078</v>
      </c>
      <c r="BG111" s="72">
        <v>60006</v>
      </c>
      <c r="BH111" s="72">
        <v>60067</v>
      </c>
      <c r="BI111" s="72">
        <v>60476</v>
      </c>
      <c r="BJ111" s="72">
        <v>60004</v>
      </c>
      <c r="BK111" s="72">
        <v>60466</v>
      </c>
      <c r="BL111" s="72">
        <v>60461</v>
      </c>
      <c r="BM111" s="72">
        <v>60425</v>
      </c>
      <c r="BN111" s="72">
        <v>60484</v>
      </c>
      <c r="BO111" s="72">
        <v>60074</v>
      </c>
      <c r="BP111" s="72">
        <v>60151</v>
      </c>
      <c r="BQ111" s="72">
        <v>60038</v>
      </c>
      <c r="BR111" s="72">
        <v>60094</v>
      </c>
      <c r="BS111" s="72">
        <v>60935</v>
      </c>
      <c r="BT111" s="72">
        <v>60025</v>
      </c>
      <c r="BU111" s="72">
        <v>60412</v>
      </c>
      <c r="BV111" s="72">
        <v>60438</v>
      </c>
      <c r="BW111" s="72">
        <v>60444</v>
      </c>
      <c r="BX111" s="72">
        <v>60549</v>
      </c>
      <c r="BY111" s="72">
        <v>60029</v>
      </c>
      <c r="BZ111" s="72">
        <v>60070</v>
      </c>
      <c r="CA111" s="72"/>
      <c r="CB111" s="72"/>
      <c r="CC111" s="72"/>
      <c r="CD111" s="72"/>
      <c r="CE111" s="72"/>
      <c r="CF111" s="72"/>
      <c r="CG111" s="72"/>
      <c r="CH111" s="72"/>
      <c r="CI111" s="72"/>
      <c r="CJ111" s="72"/>
      <c r="CK111" s="72"/>
      <c r="CN111" s="124"/>
      <c r="CO111" s="124"/>
      <c r="CP111" s="124"/>
    </row>
    <row r="112" ht="43" customHeight="1" spans="1:94">
      <c r="A112" s="119" t="s">
        <v>1161</v>
      </c>
      <c r="B112" s="120" t="s">
        <v>1145</v>
      </c>
      <c r="C112" s="121">
        <v>10.3</v>
      </c>
      <c r="D112" s="121">
        <v>1850</v>
      </c>
      <c r="E112" s="121">
        <v>10.3</v>
      </c>
      <c r="F112" s="121">
        <v>1850</v>
      </c>
      <c r="G112" s="121" t="s">
        <v>400</v>
      </c>
      <c r="H112" s="121" t="s">
        <v>699</v>
      </c>
      <c r="I112" s="121">
        <v>13.6</v>
      </c>
      <c r="J112" s="121">
        <v>2510</v>
      </c>
      <c r="K112" s="121">
        <v>13.6</v>
      </c>
      <c r="L112" s="121">
        <v>2510</v>
      </c>
      <c r="M112" s="121">
        <v>20</v>
      </c>
      <c r="N112" s="121" t="s">
        <v>709</v>
      </c>
      <c r="O112" s="72">
        <v>60077</v>
      </c>
      <c r="P112" s="72">
        <v>60195</v>
      </c>
      <c r="Q112" s="72">
        <v>60192</v>
      </c>
      <c r="R112" s="72">
        <v>60424</v>
      </c>
      <c r="S112" s="72">
        <v>60419</v>
      </c>
      <c r="T112" s="72">
        <v>60062</v>
      </c>
      <c r="U112" s="72">
        <v>60950</v>
      </c>
      <c r="V112" s="72">
        <v>60076</v>
      </c>
      <c r="W112" s="72">
        <v>60531</v>
      </c>
      <c r="X112" s="72">
        <v>60409</v>
      </c>
      <c r="Y112" s="72">
        <v>60026</v>
      </c>
      <c r="Z112" s="72">
        <v>61360</v>
      </c>
      <c r="AA112" s="72">
        <v>60468</v>
      </c>
      <c r="AB112" s="72">
        <v>60474</v>
      </c>
      <c r="AC112" s="72">
        <v>60065</v>
      </c>
      <c r="AD112" s="72">
        <v>60090</v>
      </c>
      <c r="AE112" s="72">
        <v>60203</v>
      </c>
      <c r="AF112" s="72">
        <v>60011</v>
      </c>
      <c r="AG112" s="72">
        <v>60475</v>
      </c>
      <c r="AH112" s="72">
        <v>60179</v>
      </c>
      <c r="AI112" s="72">
        <v>60136</v>
      </c>
      <c r="AJ112" s="72">
        <v>60082</v>
      </c>
      <c r="AK112" s="72">
        <v>60010</v>
      </c>
      <c r="AL112" s="72">
        <v>60969</v>
      </c>
      <c r="AM112" s="72">
        <v>60557</v>
      </c>
      <c r="AN112" s="72">
        <v>60204</v>
      </c>
      <c r="AO112" s="72">
        <v>60112</v>
      </c>
      <c r="AP112" s="72">
        <v>60089</v>
      </c>
      <c r="AQ112" s="72">
        <v>60015</v>
      </c>
      <c r="AR112" s="72">
        <v>60091</v>
      </c>
      <c r="AS112" s="72">
        <v>60411</v>
      </c>
      <c r="AT112" s="72">
        <v>60202</v>
      </c>
      <c r="AU112" s="72">
        <v>60047</v>
      </c>
      <c r="AV112" s="72">
        <v>60401</v>
      </c>
      <c r="AW112" s="72">
        <v>60201</v>
      </c>
      <c r="AX112" s="72">
        <v>60961</v>
      </c>
      <c r="AY112" s="72">
        <v>60093</v>
      </c>
      <c r="AZ112" s="72">
        <v>60208</v>
      </c>
      <c r="BA112" s="72">
        <v>60479</v>
      </c>
      <c r="BB112" s="72">
        <v>60043</v>
      </c>
      <c r="BC112" s="72">
        <v>60550</v>
      </c>
      <c r="BD112" s="72">
        <v>60115</v>
      </c>
      <c r="BE112" s="72">
        <v>60069</v>
      </c>
      <c r="BF112" s="72">
        <v>60021</v>
      </c>
      <c r="BG112" s="72">
        <v>60420</v>
      </c>
      <c r="BH112" s="72">
        <v>60035</v>
      </c>
      <c r="BI112" s="72">
        <v>60022</v>
      </c>
      <c r="BJ112" s="72">
        <v>60110</v>
      </c>
      <c r="BK112" s="72">
        <v>60118</v>
      </c>
      <c r="BL112" s="72">
        <v>60140</v>
      </c>
      <c r="BM112" s="72">
        <v>60013</v>
      </c>
      <c r="BN112" s="72">
        <v>60102</v>
      </c>
      <c r="BO112" s="72">
        <v>61353</v>
      </c>
      <c r="BP112" s="72">
        <v>60917</v>
      </c>
      <c r="BQ112" s="72">
        <v>60518</v>
      </c>
      <c r="BR112" s="72">
        <v>60530</v>
      </c>
      <c r="BS112" s="72"/>
      <c r="BT112" s="72"/>
      <c r="BU112" s="72"/>
      <c r="BV112" s="72"/>
      <c r="BW112" s="72"/>
      <c r="BX112" s="72"/>
      <c r="BY112" s="72"/>
      <c r="BZ112" s="72"/>
      <c r="CA112" s="72"/>
      <c r="CB112" s="72"/>
      <c r="CC112" s="72"/>
      <c r="CD112" s="72"/>
      <c r="CE112" s="72"/>
      <c r="CF112" s="72"/>
      <c r="CG112" s="72"/>
      <c r="CH112" s="72"/>
      <c r="CI112" s="72"/>
      <c r="CJ112" s="72"/>
      <c r="CK112" s="72"/>
      <c r="CN112" s="124"/>
      <c r="CO112" s="124"/>
      <c r="CP112" s="124"/>
    </row>
    <row r="113" ht="43" customHeight="1" spans="1:102">
      <c r="A113" s="119" t="s">
        <v>1162</v>
      </c>
      <c r="B113" s="120" t="s">
        <v>1145</v>
      </c>
      <c r="C113" s="121">
        <v>10.4</v>
      </c>
      <c r="D113" s="121">
        <v>1870</v>
      </c>
      <c r="E113" s="121">
        <v>10.4</v>
      </c>
      <c r="F113" s="121">
        <v>1870</v>
      </c>
      <c r="G113" s="121" t="s">
        <v>400</v>
      </c>
      <c r="H113" s="121" t="s">
        <v>699</v>
      </c>
      <c r="I113" s="121">
        <v>13.7</v>
      </c>
      <c r="J113" s="121">
        <v>2530</v>
      </c>
      <c r="K113" s="121">
        <v>13.7</v>
      </c>
      <c r="L113" s="121">
        <v>2530</v>
      </c>
      <c r="M113" s="121">
        <v>20</v>
      </c>
      <c r="N113" s="121" t="s">
        <v>709</v>
      </c>
      <c r="O113" s="72">
        <v>60178</v>
      </c>
      <c r="P113" s="72">
        <v>60045</v>
      </c>
      <c r="Q113" s="72">
        <v>60901</v>
      </c>
      <c r="R113" s="72">
        <v>60040</v>
      </c>
      <c r="S113" s="72">
        <v>60941</v>
      </c>
      <c r="T113" s="72">
        <v>60437</v>
      </c>
      <c r="U113" s="72">
        <v>60084</v>
      </c>
      <c r="V113" s="72">
        <v>60910</v>
      </c>
      <c r="W113" s="72">
        <v>60920</v>
      </c>
      <c r="X113" s="72">
        <v>60037</v>
      </c>
      <c r="Y113" s="72">
        <v>60156</v>
      </c>
      <c r="Z113" s="72">
        <v>60109</v>
      </c>
      <c r="AA113" s="72">
        <v>60553</v>
      </c>
      <c r="AB113" s="72">
        <v>60039</v>
      </c>
      <c r="AC113" s="72">
        <v>60048</v>
      </c>
      <c r="AD113" s="72">
        <v>60014</v>
      </c>
      <c r="AE113" s="72">
        <v>60044</v>
      </c>
      <c r="AF113" s="72">
        <v>60111</v>
      </c>
      <c r="AG113" s="72">
        <v>60150</v>
      </c>
      <c r="AH113" s="72">
        <v>61318</v>
      </c>
      <c r="AI113" s="72">
        <v>60088</v>
      </c>
      <c r="AJ113" s="72">
        <v>60042</v>
      </c>
      <c r="AK113" s="72">
        <v>60030</v>
      </c>
      <c r="AL113" s="72">
        <v>60934</v>
      </c>
      <c r="AM113" s="72">
        <v>60964</v>
      </c>
      <c r="AN113" s="72">
        <v>60460</v>
      </c>
      <c r="AO113" s="72">
        <v>60142</v>
      </c>
      <c r="AP113" s="72">
        <v>60064</v>
      </c>
      <c r="AQ113" s="72">
        <v>60946</v>
      </c>
      <c r="AR113" s="72">
        <v>61325</v>
      </c>
      <c r="AS113" s="72">
        <v>60470</v>
      </c>
      <c r="AT113" s="72">
        <v>61371</v>
      </c>
      <c r="AU113" s="72">
        <v>60086</v>
      </c>
      <c r="AV113" s="72">
        <v>60073</v>
      </c>
      <c r="AW113" s="72">
        <v>60113</v>
      </c>
      <c r="AX113" s="72">
        <v>60145</v>
      </c>
      <c r="AY113" s="72">
        <v>61373</v>
      </c>
      <c r="AZ113" s="72">
        <v>60135</v>
      </c>
      <c r="BA113" s="72">
        <v>60031</v>
      </c>
      <c r="BB113" s="72">
        <v>60012</v>
      </c>
      <c r="BC113" s="72">
        <v>60051</v>
      </c>
      <c r="BD113" s="72">
        <v>60922</v>
      </c>
      <c r="BE113" s="72">
        <v>60929</v>
      </c>
      <c r="BF113" s="72"/>
      <c r="BG113" s="72"/>
      <c r="BH113" s="72"/>
      <c r="BI113" s="72"/>
      <c r="BJ113" s="72"/>
      <c r="BK113" s="72"/>
      <c r="BL113" s="72"/>
      <c r="BM113" s="72"/>
      <c r="BN113" s="72"/>
      <c r="BO113" s="72"/>
      <c r="BP113" s="72"/>
      <c r="BQ113" s="72"/>
      <c r="BR113" s="72"/>
      <c r="BS113" s="72"/>
      <c r="BT113" s="72"/>
      <c r="BU113" s="72"/>
      <c r="BV113" s="72"/>
      <c r="BW113" s="72"/>
      <c r="BX113" s="72"/>
      <c r="BY113" s="72"/>
      <c r="BZ113" s="72"/>
      <c r="CA113" s="72"/>
      <c r="CB113" s="72"/>
      <c r="CC113" s="72"/>
      <c r="CD113" s="72"/>
      <c r="CE113" s="72"/>
      <c r="CF113" s="72"/>
      <c r="CG113" s="72"/>
      <c r="CH113" s="72"/>
      <c r="CI113" s="72"/>
      <c r="CJ113" s="72"/>
      <c r="CK113" s="72"/>
      <c r="CN113" s="124"/>
      <c r="CO113" s="124"/>
      <c r="CP113" s="124"/>
    </row>
    <row r="114" ht="43" customHeight="1" spans="1:102">
      <c r="A114" s="119" t="s">
        <v>1163</v>
      </c>
      <c r="B114" s="120" t="s">
        <v>1145</v>
      </c>
      <c r="C114" s="121">
        <v>10.6</v>
      </c>
      <c r="D114" s="121">
        <v>1910</v>
      </c>
      <c r="E114" s="121">
        <v>10.6</v>
      </c>
      <c r="F114" s="121">
        <v>1910</v>
      </c>
      <c r="G114" s="121" t="s">
        <v>400</v>
      </c>
      <c r="H114" s="121" t="s">
        <v>699</v>
      </c>
      <c r="I114" s="121">
        <v>13.9</v>
      </c>
      <c r="J114" s="121">
        <v>2570</v>
      </c>
      <c r="K114" s="121">
        <v>13.9</v>
      </c>
      <c r="L114" s="121">
        <v>2570</v>
      </c>
      <c r="M114" s="121">
        <v>20</v>
      </c>
      <c r="N114" s="121" t="s">
        <v>709</v>
      </c>
      <c r="O114" s="72">
        <v>61378</v>
      </c>
      <c r="P114" s="72">
        <v>60085</v>
      </c>
      <c r="Q114" s="72">
        <v>61372</v>
      </c>
      <c r="R114" s="72">
        <v>60046</v>
      </c>
      <c r="S114" s="72">
        <v>60020</v>
      </c>
      <c r="T114" s="72">
        <v>60954</v>
      </c>
      <c r="U114" s="72">
        <v>60940</v>
      </c>
      <c r="V114" s="72">
        <v>61769</v>
      </c>
      <c r="W114" s="72">
        <v>60041</v>
      </c>
      <c r="X114" s="72">
        <v>60079</v>
      </c>
      <c r="Y114" s="72">
        <v>60146</v>
      </c>
      <c r="Z114" s="72">
        <v>60050</v>
      </c>
      <c r="AA114" s="72">
        <v>61301</v>
      </c>
      <c r="AB114" s="72">
        <v>61313</v>
      </c>
      <c r="AC114" s="72">
        <v>60087</v>
      </c>
      <c r="AD114" s="72">
        <v>60927</v>
      </c>
      <c r="AE114" s="72">
        <v>60083</v>
      </c>
      <c r="AF114" s="72">
        <v>60911</v>
      </c>
      <c r="AG114" s="72">
        <v>60129</v>
      </c>
      <c r="AH114" s="72">
        <v>61764</v>
      </c>
      <c r="AI114" s="72">
        <v>60180</v>
      </c>
      <c r="AJ114" s="72">
        <v>61068</v>
      </c>
      <c r="AK114" s="72">
        <v>61350</v>
      </c>
      <c r="AL114" s="72">
        <v>60098</v>
      </c>
      <c r="AM114" s="72">
        <v>60959</v>
      </c>
      <c r="AN114" s="72">
        <v>61331</v>
      </c>
      <c r="AO114" s="72">
        <v>61367</v>
      </c>
      <c r="AP114" s="72">
        <v>60099</v>
      </c>
      <c r="AQ114" s="72">
        <v>61006</v>
      </c>
      <c r="AR114" s="72">
        <v>61320</v>
      </c>
      <c r="AS114" s="72">
        <v>60930</v>
      </c>
      <c r="AT114" s="72">
        <v>61052</v>
      </c>
      <c r="AU114" s="72">
        <v>60002</v>
      </c>
      <c r="AV114" s="72">
        <v>60944</v>
      </c>
      <c r="AW114" s="72">
        <v>61329</v>
      </c>
      <c r="AX114" s="72">
        <v>60951</v>
      </c>
      <c r="AY114" s="72">
        <v>61364</v>
      </c>
      <c r="AZ114" s="72">
        <v>61319</v>
      </c>
      <c r="BA114" s="72">
        <v>60956</v>
      </c>
      <c r="BB114" s="72">
        <v>60921</v>
      </c>
      <c r="BC114" s="72">
        <v>60152</v>
      </c>
      <c r="BD114" s="72">
        <v>61354</v>
      </c>
      <c r="BE114" s="72">
        <v>61316</v>
      </c>
      <c r="BF114" s="72">
        <v>60075</v>
      </c>
      <c r="BG114" s="72">
        <v>61310</v>
      </c>
      <c r="BH114" s="72">
        <v>61332</v>
      </c>
      <c r="BI114" s="72">
        <v>61038</v>
      </c>
      <c r="BJ114" s="72"/>
      <c r="BK114" s="72"/>
      <c r="BL114" s="72"/>
      <c r="BM114" s="72"/>
      <c r="BN114" s="72"/>
      <c r="BO114" s="72"/>
      <c r="BP114" s="72"/>
      <c r="BQ114" s="72"/>
      <c r="BR114" s="72"/>
      <c r="BS114" s="72"/>
      <c r="BT114" s="72"/>
      <c r="BU114" s="72"/>
      <c r="BV114" s="72"/>
      <c r="BW114" s="72"/>
      <c r="BX114" s="72"/>
      <c r="BY114" s="72"/>
      <c r="BZ114" s="72"/>
      <c r="CA114" s="72"/>
      <c r="CB114" s="72"/>
      <c r="CC114" s="72"/>
      <c r="CD114" s="72"/>
      <c r="CE114" s="72"/>
      <c r="CF114" s="72"/>
      <c r="CG114" s="72"/>
      <c r="CH114" s="72"/>
      <c r="CI114" s="72"/>
      <c r="CJ114" s="72"/>
      <c r="CK114" s="72"/>
      <c r="CN114" s="124"/>
      <c r="CO114" s="124"/>
      <c r="CP114" s="124"/>
    </row>
    <row r="115" ht="43" customHeight="1" spans="1:102">
      <c r="A115" s="119" t="s">
        <v>1164</v>
      </c>
      <c r="B115" s="120" t="s">
        <v>1145</v>
      </c>
      <c r="C115" s="121">
        <v>10.9</v>
      </c>
      <c r="D115" s="121">
        <v>1960</v>
      </c>
      <c r="E115" s="121">
        <v>10.9</v>
      </c>
      <c r="F115" s="121">
        <v>1960</v>
      </c>
      <c r="G115" s="121" t="s">
        <v>400</v>
      </c>
      <c r="H115" s="121" t="s">
        <v>699</v>
      </c>
      <c r="I115" s="121">
        <v>14.2</v>
      </c>
      <c r="J115" s="121">
        <v>2620</v>
      </c>
      <c r="K115" s="121">
        <v>14.2</v>
      </c>
      <c r="L115" s="121">
        <v>2620</v>
      </c>
      <c r="M115" s="121">
        <v>20</v>
      </c>
      <c r="N115" s="121" t="s">
        <v>709</v>
      </c>
      <c r="O115" s="72">
        <v>61317</v>
      </c>
      <c r="P115" s="72">
        <v>61312</v>
      </c>
      <c r="Q115" s="72">
        <v>61741</v>
      </c>
      <c r="R115" s="72">
        <v>60071</v>
      </c>
      <c r="S115" s="72">
        <v>61016</v>
      </c>
      <c r="T115" s="72">
        <v>61362</v>
      </c>
      <c r="U115" s="72">
        <v>61370</v>
      </c>
      <c r="V115" s="72">
        <v>61311</v>
      </c>
      <c r="W115" s="72">
        <v>60034</v>
      </c>
      <c r="X115" s="72">
        <v>60958</v>
      </c>
      <c r="Y115" s="72">
        <v>60096</v>
      </c>
      <c r="Z115" s="72">
        <v>61324</v>
      </c>
      <c r="AA115" s="72">
        <v>60912</v>
      </c>
      <c r="AB115" s="72">
        <v>61359</v>
      </c>
      <c r="AC115" s="72">
        <v>60928</v>
      </c>
      <c r="AD115" s="72">
        <v>61330</v>
      </c>
      <c r="AE115" s="72">
        <v>61743</v>
      </c>
      <c r="AF115" s="72">
        <v>60033</v>
      </c>
      <c r="AG115" s="72">
        <v>60938</v>
      </c>
      <c r="AH115" s="72">
        <v>61326</v>
      </c>
      <c r="AI115" s="72">
        <v>61333</v>
      </c>
      <c r="AJ115" s="72">
        <v>61739</v>
      </c>
      <c r="AK115" s="72">
        <v>60970</v>
      </c>
      <c r="AL115" s="72">
        <v>61008</v>
      </c>
      <c r="AM115" s="72">
        <v>60968</v>
      </c>
      <c r="AN115" s="72">
        <v>61015</v>
      </c>
      <c r="AO115" s="72">
        <v>61337</v>
      </c>
      <c r="AP115" s="72">
        <v>61020</v>
      </c>
      <c r="AQ115" s="72">
        <v>61334</v>
      </c>
      <c r="AR115" s="72">
        <v>61323</v>
      </c>
      <c r="AS115" s="72">
        <v>61322</v>
      </c>
      <c r="AT115" s="72">
        <v>61374</v>
      </c>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c r="BU115" s="72"/>
      <c r="BV115" s="72"/>
      <c r="BW115" s="72"/>
      <c r="BX115" s="72"/>
      <c r="BY115" s="72"/>
      <c r="BZ115" s="72"/>
      <c r="CA115" s="72"/>
      <c r="CB115" s="72"/>
      <c r="CC115" s="72"/>
      <c r="CD115" s="72"/>
      <c r="CE115" s="72"/>
      <c r="CF115" s="72"/>
      <c r="CG115" s="72"/>
      <c r="CH115" s="72"/>
      <c r="CI115" s="72"/>
      <c r="CJ115" s="72"/>
      <c r="CK115" s="72"/>
      <c r="CN115" s="124"/>
      <c r="CO115" s="124"/>
      <c r="CP115" s="124"/>
    </row>
    <row r="116" ht="43" customHeight="1" spans="1:102">
      <c r="A116" s="119" t="s">
        <v>1165</v>
      </c>
      <c r="B116" s="120" t="s">
        <v>1145</v>
      </c>
      <c r="C116" s="121">
        <v>11</v>
      </c>
      <c r="D116" s="121">
        <v>1980</v>
      </c>
      <c r="E116" s="121">
        <v>11</v>
      </c>
      <c r="F116" s="121">
        <v>1980</v>
      </c>
      <c r="G116" s="121" t="s">
        <v>400</v>
      </c>
      <c r="H116" s="121" t="s">
        <v>699</v>
      </c>
      <c r="I116" s="121">
        <v>14.3</v>
      </c>
      <c r="J116" s="121">
        <v>2640</v>
      </c>
      <c r="K116" s="121">
        <v>14.3</v>
      </c>
      <c r="L116" s="121">
        <v>2640</v>
      </c>
      <c r="M116" s="121">
        <v>20</v>
      </c>
      <c r="N116" s="121" t="s">
        <v>709</v>
      </c>
      <c r="O116" s="72">
        <v>61012</v>
      </c>
      <c r="P116" s="72">
        <v>61065</v>
      </c>
      <c r="Q116" s="72">
        <v>61109</v>
      </c>
      <c r="R116" s="72">
        <v>61740</v>
      </c>
      <c r="S116" s="72">
        <v>61315</v>
      </c>
      <c r="T116" s="72">
        <v>61356</v>
      </c>
      <c r="U116" s="72">
        <v>61011</v>
      </c>
      <c r="V116" s="72">
        <v>60931</v>
      </c>
      <c r="W116" s="72">
        <v>61726</v>
      </c>
      <c r="X116" s="72">
        <v>60955</v>
      </c>
      <c r="Y116" s="72">
        <v>61321</v>
      </c>
      <c r="Z116" s="72">
        <v>61377</v>
      </c>
      <c r="AA116" s="72">
        <v>61091</v>
      </c>
      <c r="AB116" s="72">
        <v>60974</v>
      </c>
      <c r="AC116" s="72">
        <v>61108</v>
      </c>
      <c r="AD116" s="72">
        <v>61327</v>
      </c>
      <c r="AE116" s="72">
        <v>61061</v>
      </c>
      <c r="AF116" s="72">
        <v>61358</v>
      </c>
      <c r="AG116" s="72">
        <v>61773</v>
      </c>
      <c r="AH116" s="72">
        <v>61731</v>
      </c>
      <c r="AI116" s="72">
        <v>61126</v>
      </c>
      <c r="AJ116" s="72">
        <v>61112</v>
      </c>
      <c r="AK116" s="72">
        <v>61125</v>
      </c>
      <c r="AL116" s="72">
        <v>61335</v>
      </c>
      <c r="AM116" s="72">
        <v>61084</v>
      </c>
      <c r="AN116" s="72">
        <v>60952</v>
      </c>
      <c r="AO116" s="72">
        <v>61021</v>
      </c>
      <c r="AP116" s="72">
        <v>61073</v>
      </c>
      <c r="AQ116" s="72">
        <v>61753</v>
      </c>
      <c r="AR116" s="72">
        <v>61107</v>
      </c>
      <c r="AS116" s="72">
        <v>61010</v>
      </c>
      <c r="AT116" s="72">
        <v>60918</v>
      </c>
      <c r="AU116" s="72">
        <v>61064</v>
      </c>
      <c r="AV116" s="72">
        <v>60966</v>
      </c>
      <c r="AW116" s="72">
        <v>61720</v>
      </c>
      <c r="AX116" s="72">
        <v>61328</v>
      </c>
      <c r="AY116" s="72">
        <v>60924</v>
      </c>
      <c r="AZ116" s="72">
        <v>61114</v>
      </c>
      <c r="BA116" s="72">
        <v>61102</v>
      </c>
      <c r="BB116" s="72">
        <v>60936</v>
      </c>
      <c r="BC116" s="72">
        <v>61111</v>
      </c>
      <c r="BD116" s="72">
        <v>61369</v>
      </c>
      <c r="BE116" s="72">
        <v>61110</v>
      </c>
      <c r="BF116" s="72">
        <v>61336</v>
      </c>
      <c r="BG116" s="72">
        <v>61054</v>
      </c>
      <c r="BH116" s="72">
        <v>61376</v>
      </c>
      <c r="BI116" s="72">
        <v>60926</v>
      </c>
      <c r="BJ116" s="72">
        <v>61130</v>
      </c>
      <c r="BK116" s="72">
        <v>61131</v>
      </c>
      <c r="BL116" s="72">
        <v>61132</v>
      </c>
      <c r="BM116" s="72">
        <v>61728</v>
      </c>
      <c r="BN116" s="72">
        <v>61104</v>
      </c>
      <c r="BO116" s="72">
        <v>60953</v>
      </c>
      <c r="BP116" s="72">
        <v>60962</v>
      </c>
      <c r="BQ116" s="72">
        <v>61375</v>
      </c>
      <c r="BR116" s="72">
        <v>60957</v>
      </c>
      <c r="BS116" s="72">
        <v>61081</v>
      </c>
      <c r="BT116" s="72">
        <v>61379</v>
      </c>
      <c r="BU116" s="72">
        <v>61103</v>
      </c>
      <c r="BV116" s="72">
        <v>61368</v>
      </c>
      <c r="BW116" s="72">
        <v>61115</v>
      </c>
      <c r="BX116" s="72">
        <v>61776</v>
      </c>
      <c r="BY116" s="72">
        <v>61338</v>
      </c>
      <c r="BZ116" s="72">
        <v>61516</v>
      </c>
      <c r="CA116" s="72">
        <v>61541</v>
      </c>
      <c r="CB116" s="72">
        <v>61088</v>
      </c>
      <c r="CC116" s="72">
        <v>60973</v>
      </c>
      <c r="CD116" s="72">
        <v>61730</v>
      </c>
      <c r="CE116" s="72">
        <v>61758</v>
      </c>
      <c r="CF116" s="72">
        <v>61080</v>
      </c>
      <c r="CG116" s="72">
        <v>61845</v>
      </c>
      <c r="CH116" s="72">
        <v>60949</v>
      </c>
      <c r="CI116" s="72">
        <v>61037</v>
      </c>
      <c r="CJ116" s="72">
        <v>61770</v>
      </c>
      <c r="CK116" s="72">
        <v>61051</v>
      </c>
      <c r="CN116" s="124"/>
      <c r="CO116" s="124"/>
      <c r="CP116" s="124"/>
    </row>
    <row r="117" ht="43" customHeight="1" spans="1:102">
      <c r="A117" s="125" t="s">
        <v>819</v>
      </c>
      <c r="B117" s="126"/>
      <c r="C117" s="127" t="s">
        <v>820</v>
      </c>
      <c r="D117" s="128"/>
      <c r="E117" s="129" t="s">
        <v>59</v>
      </c>
      <c r="F117" s="129"/>
      <c r="G117" s="129" t="s">
        <v>61</v>
      </c>
      <c r="H117" s="129"/>
    </row>
    <row r="118" ht="43" customHeight="1" spans="1:102">
      <c r="A118" s="88" t="s">
        <v>821</v>
      </c>
      <c r="B118" s="88"/>
      <c r="C118" s="130">
        <v>85</v>
      </c>
      <c r="D118" s="130"/>
      <c r="E118" s="130" t="s">
        <v>822</v>
      </c>
      <c r="F118" s="130"/>
      <c r="G118" s="130" t="s">
        <v>823</v>
      </c>
      <c r="H118" s="130"/>
    </row>
    <row r="119" ht="43" customHeight="1" spans="1:102">
      <c r="A119" s="88" t="s">
        <v>824</v>
      </c>
      <c r="B119" s="88"/>
      <c r="C119" s="130" t="s">
        <v>825</v>
      </c>
      <c r="D119" s="130"/>
      <c r="E119" s="130" t="s">
        <v>826</v>
      </c>
      <c r="F119" s="130"/>
      <c r="G119" s="130" t="s">
        <v>827</v>
      </c>
      <c r="H119" s="130"/>
    </row>
    <row r="120" ht="43" customHeight="1" spans="1:102">
      <c r="A120" s="88" t="s">
        <v>828</v>
      </c>
      <c r="B120" s="88"/>
      <c r="C120" s="130" t="s">
        <v>829</v>
      </c>
      <c r="D120" s="130"/>
      <c r="E120" s="130" t="s">
        <v>826</v>
      </c>
      <c r="F120" s="130"/>
      <c r="G120" s="130" t="s">
        <v>830</v>
      </c>
      <c r="H120" s="130"/>
    </row>
    <row r="121" ht="43" customHeight="1" spans="1:102">
      <c r="A121" s="88" t="s">
        <v>831</v>
      </c>
      <c r="B121" s="88"/>
      <c r="C121" s="130">
        <v>20</v>
      </c>
      <c r="D121" s="130"/>
      <c r="E121" s="130" t="s">
        <v>832</v>
      </c>
      <c r="F121" s="130"/>
      <c r="G121" s="130" t="s">
        <v>833</v>
      </c>
      <c r="H121" s="130"/>
    </row>
    <row r="122" ht="43" customHeight="1" spans="1:102">
      <c r="A122" s="88" t="s">
        <v>834</v>
      </c>
      <c r="B122" s="88"/>
      <c r="C122" s="130">
        <v>75</v>
      </c>
      <c r="D122" s="130"/>
      <c r="E122" s="130" t="s">
        <v>835</v>
      </c>
      <c r="F122" s="130"/>
      <c r="G122" s="130" t="s">
        <v>836</v>
      </c>
      <c r="H122" s="130"/>
    </row>
    <row r="123" ht="43" customHeight="1" spans="1:102">
      <c r="A123" s="88" t="s">
        <v>837</v>
      </c>
      <c r="B123" s="131"/>
      <c r="C123" s="132" t="s">
        <v>838</v>
      </c>
      <c r="D123" s="132"/>
      <c r="E123" s="132" t="s">
        <v>835</v>
      </c>
      <c r="F123" s="132"/>
      <c r="G123" s="132" t="s">
        <v>839</v>
      </c>
      <c r="H123" s="132"/>
    </row>
    <row r="124" ht="84" customHeight="1" spans="1:102">
      <c r="A124" s="119" t="s">
        <v>840</v>
      </c>
      <c r="B124" s="133" t="s">
        <v>1153</v>
      </c>
      <c r="C124" s="134"/>
      <c r="D124" s="134"/>
      <c r="E124" s="134"/>
      <c r="F124" s="134"/>
      <c r="G124" s="134"/>
      <c r="H124" s="134"/>
    </row>
    <row r="125" ht="99" customHeight="1" spans="1:102">
      <c r="A125" s="119" t="s">
        <v>842</v>
      </c>
      <c r="B125" s="133" t="s">
        <v>843</v>
      </c>
      <c r="C125" s="134"/>
      <c r="D125" s="134"/>
      <c r="E125" s="134"/>
      <c r="F125" s="134"/>
      <c r="G125" s="134"/>
      <c r="H125" s="134"/>
    </row>
    <row r="126" spans="1:102">
      <c r="A126" s="103"/>
      <c r="B126" s="103"/>
      <c r="C126" s="103"/>
      <c r="D126" s="103"/>
      <c r="E126" s="103"/>
      <c r="F126" s="103"/>
      <c r="G126" s="103"/>
      <c r="H126" s="103"/>
    </row>
    <row r="127" ht="54" customHeight="1" spans="1:102">
      <c r="A127" s="135" t="s">
        <v>209</v>
      </c>
      <c r="B127" s="135"/>
      <c r="C127" s="135"/>
      <c r="D127" s="135"/>
      <c r="E127" s="135"/>
      <c r="F127" s="135"/>
      <c r="G127" s="135"/>
      <c r="H127" s="135"/>
      <c r="I127" s="105"/>
      <c r="J127" s="105"/>
    </row>
    <row r="128" ht="40" customHeight="1" spans="1:102">
      <c r="A128" s="136" t="s">
        <v>287</v>
      </c>
      <c r="B128" s="136" t="s">
        <v>728</v>
      </c>
      <c r="C128" s="137" t="s">
        <v>184</v>
      </c>
      <c r="D128" s="138"/>
      <c r="E128" s="138" t="s">
        <v>260</v>
      </c>
      <c r="F128" s="138"/>
      <c r="G128" s="138" t="s">
        <v>376</v>
      </c>
      <c r="H128" s="138" t="s">
        <v>288</v>
      </c>
      <c r="I128" s="86" t="s">
        <v>844</v>
      </c>
      <c r="J128" s="86" t="s">
        <v>845</v>
      </c>
      <c r="K128" s="86" t="s">
        <v>846</v>
      </c>
      <c r="L128" s="86" t="s">
        <v>847</v>
      </c>
      <c r="M128" s="86" t="s">
        <v>848</v>
      </c>
      <c r="N128" s="86" t="s">
        <v>849</v>
      </c>
      <c r="O128" s="86" t="s">
        <v>850</v>
      </c>
      <c r="P128" s="86" t="s">
        <v>851</v>
      </c>
      <c r="Q128" s="86" t="s">
        <v>852</v>
      </c>
      <c r="R128" s="86" t="s">
        <v>853</v>
      </c>
      <c r="S128" s="86" t="s">
        <v>854</v>
      </c>
      <c r="T128" s="86" t="s">
        <v>855</v>
      </c>
      <c r="U128" s="86" t="s">
        <v>856</v>
      </c>
      <c r="V128" s="86" t="s">
        <v>857</v>
      </c>
      <c r="W128" s="86" t="s">
        <v>858</v>
      </c>
      <c r="X128" s="86" t="s">
        <v>859</v>
      </c>
      <c r="Y128" s="86" t="s">
        <v>860</v>
      </c>
      <c r="Z128" s="86" t="s">
        <v>861</v>
      </c>
      <c r="AA128" s="86" t="s">
        <v>862</v>
      </c>
      <c r="AB128" s="86" t="s">
        <v>863</v>
      </c>
      <c r="AC128" s="86" t="s">
        <v>864</v>
      </c>
      <c r="AD128" s="86" t="s">
        <v>865</v>
      </c>
      <c r="AE128" s="86" t="s">
        <v>866</v>
      </c>
      <c r="AF128" s="86" t="s">
        <v>867</v>
      </c>
      <c r="AG128" s="86" t="s">
        <v>868</v>
      </c>
      <c r="AH128" s="86" t="s">
        <v>869</v>
      </c>
      <c r="AI128" s="86" t="s">
        <v>870</v>
      </c>
      <c r="AJ128" s="86" t="s">
        <v>871</v>
      </c>
      <c r="AK128" s="86" t="s">
        <v>872</v>
      </c>
      <c r="AL128" s="86" t="s">
        <v>873</v>
      </c>
      <c r="AM128" s="86" t="s">
        <v>874</v>
      </c>
      <c r="AN128" s="86" t="s">
        <v>875</v>
      </c>
      <c r="AO128" s="86" t="s">
        <v>876</v>
      </c>
      <c r="AP128" s="86" t="s">
        <v>877</v>
      </c>
      <c r="AQ128" s="86" t="s">
        <v>878</v>
      </c>
      <c r="AR128" s="86" t="s">
        <v>879</v>
      </c>
      <c r="AS128" s="86" t="s">
        <v>880</v>
      </c>
      <c r="AT128" s="86" t="s">
        <v>881</v>
      </c>
      <c r="AU128" s="86" t="s">
        <v>882</v>
      </c>
      <c r="AV128" s="86" t="s">
        <v>883</v>
      </c>
      <c r="AW128" s="86" t="s">
        <v>884</v>
      </c>
      <c r="AX128" s="86" t="s">
        <v>885</v>
      </c>
      <c r="AY128" s="86" t="s">
        <v>886</v>
      </c>
      <c r="AZ128" s="86" t="s">
        <v>887</v>
      </c>
      <c r="BA128" s="86" t="s">
        <v>888</v>
      </c>
      <c r="BB128" s="86" t="s">
        <v>889</v>
      </c>
      <c r="BC128" s="86" t="s">
        <v>890</v>
      </c>
      <c r="BD128" s="86" t="s">
        <v>891</v>
      </c>
      <c r="BE128" s="86" t="s">
        <v>892</v>
      </c>
      <c r="BF128" s="86" t="s">
        <v>893</v>
      </c>
      <c r="BG128" s="86" t="s">
        <v>894</v>
      </c>
      <c r="BH128" s="86" t="s">
        <v>895</v>
      </c>
      <c r="BI128" s="86" t="s">
        <v>896</v>
      </c>
      <c r="BJ128" s="86" t="s">
        <v>897</v>
      </c>
      <c r="BK128" s="86" t="s">
        <v>898</v>
      </c>
      <c r="BL128" s="86" t="s">
        <v>899</v>
      </c>
      <c r="BM128" s="86" t="s">
        <v>900</v>
      </c>
      <c r="BN128" s="86" t="s">
        <v>901</v>
      </c>
      <c r="BO128" s="86" t="s">
        <v>902</v>
      </c>
      <c r="BP128" s="86" t="s">
        <v>903</v>
      </c>
      <c r="BQ128" s="86" t="s">
        <v>904</v>
      </c>
      <c r="BR128" s="86" t="s">
        <v>905</v>
      </c>
      <c r="BS128" s="86" t="s">
        <v>906</v>
      </c>
      <c r="BT128" s="86" t="s">
        <v>907</v>
      </c>
      <c r="BU128" s="86" t="s">
        <v>908</v>
      </c>
      <c r="BV128" s="86" t="s">
        <v>909</v>
      </c>
      <c r="BW128" s="86" t="s">
        <v>910</v>
      </c>
      <c r="BX128" s="86" t="s">
        <v>911</v>
      </c>
      <c r="BY128" s="86" t="s">
        <v>912</v>
      </c>
      <c r="BZ128" s="86" t="s">
        <v>913</v>
      </c>
      <c r="CA128" s="86" t="s">
        <v>914</v>
      </c>
      <c r="CB128" s="86" t="s">
        <v>915</v>
      </c>
      <c r="CC128" s="86" t="s">
        <v>916</v>
      </c>
      <c r="CD128" s="86" t="s">
        <v>917</v>
      </c>
      <c r="CE128" s="86" t="s">
        <v>918</v>
      </c>
      <c r="CF128" s="86" t="s">
        <v>919</v>
      </c>
      <c r="CG128" s="86" t="s">
        <v>920</v>
      </c>
      <c r="CH128" s="86" t="s">
        <v>921</v>
      </c>
      <c r="CI128" s="86" t="s">
        <v>922</v>
      </c>
      <c r="CJ128" s="86" t="s">
        <v>923</v>
      </c>
      <c r="CK128" s="86" t="s">
        <v>924</v>
      </c>
      <c r="CL128" s="86" t="s">
        <v>925</v>
      </c>
      <c r="CM128" s="86" t="s">
        <v>926</v>
      </c>
      <c r="CN128" s="86" t="s">
        <v>927</v>
      </c>
      <c r="CO128" s="86" t="s">
        <v>928</v>
      </c>
      <c r="CP128" s="86" t="s">
        <v>929</v>
      </c>
      <c r="CQ128" s="86" t="s">
        <v>930</v>
      </c>
      <c r="CR128" s="86" t="s">
        <v>931</v>
      </c>
      <c r="CS128" s="86" t="s">
        <v>932</v>
      </c>
      <c r="CT128" s="86" t="s">
        <v>933</v>
      </c>
      <c r="CU128" s="86" t="s">
        <v>934</v>
      </c>
      <c r="CV128" s="86" t="s">
        <v>935</v>
      </c>
      <c r="CW128" s="86" t="s">
        <v>936</v>
      </c>
      <c r="CX128" s="86" t="s">
        <v>937</v>
      </c>
    </row>
    <row r="129" ht="40" customHeight="1" spans="1:102">
      <c r="A129" s="37"/>
      <c r="B129" s="37"/>
      <c r="C129" s="37" t="s">
        <v>729</v>
      </c>
      <c r="D129" s="37" t="s">
        <v>730</v>
      </c>
      <c r="E129" s="37" t="s">
        <v>729</v>
      </c>
      <c r="F129" s="37" t="s">
        <v>730</v>
      </c>
      <c r="G129" s="118"/>
      <c r="H129" s="118"/>
      <c r="I129" s="139"/>
      <c r="J129" s="139"/>
      <c r="K129" s="139"/>
      <c r="L129" s="139"/>
      <c r="M129" s="139"/>
      <c r="N129" s="139"/>
      <c r="O129" s="139"/>
      <c r="P129" s="139"/>
      <c r="Q129" s="139"/>
      <c r="R129" s="139"/>
      <c r="S129" s="139"/>
      <c r="T129" s="139"/>
      <c r="U129" s="139"/>
      <c r="V129" s="139"/>
      <c r="W129" s="139"/>
      <c r="X129" s="139"/>
      <c r="Y129" s="139"/>
      <c r="Z129" s="139"/>
      <c r="AA129" s="139"/>
      <c r="AB129" s="139"/>
      <c r="AC129" s="139"/>
      <c r="AD129" s="139"/>
      <c r="AE129" s="139"/>
      <c r="AF129" s="139"/>
      <c r="AG129" s="139"/>
      <c r="AH129" s="139"/>
      <c r="AI129" s="139"/>
      <c r="AJ129" s="139"/>
      <c r="AK129" s="139"/>
      <c r="AL129" s="139"/>
      <c r="AM129" s="139"/>
      <c r="AN129" s="139"/>
      <c r="AO129" s="139"/>
      <c r="AP129" s="139"/>
      <c r="AQ129" s="139"/>
      <c r="AR129" s="139"/>
      <c r="AS129" s="139"/>
      <c r="AT129" s="139"/>
      <c r="AU129" s="139"/>
      <c r="AV129" s="139"/>
      <c r="AW129" s="139"/>
      <c r="AX129" s="139"/>
      <c r="AY129" s="139"/>
      <c r="AZ129" s="139"/>
      <c r="BA129" s="139"/>
      <c r="BB129" s="139"/>
      <c r="BC129" s="139"/>
      <c r="BD129" s="139"/>
      <c r="BE129" s="139"/>
      <c r="BF129" s="139"/>
      <c r="BG129" s="139"/>
      <c r="BH129" s="139"/>
      <c r="BI129" s="139"/>
      <c r="BJ129" s="139"/>
      <c r="BK129" s="139"/>
      <c r="BL129" s="139"/>
      <c r="BM129" s="139"/>
      <c r="BN129" s="139"/>
      <c r="BO129" s="139"/>
      <c r="BP129" s="139"/>
      <c r="BQ129" s="139"/>
      <c r="BR129" s="139"/>
      <c r="BS129" s="139"/>
      <c r="BT129" s="139"/>
      <c r="BU129" s="139"/>
      <c r="BV129" s="139"/>
      <c r="BW129" s="139"/>
      <c r="BX129" s="139"/>
      <c r="BY129" s="139"/>
      <c r="BZ129" s="139"/>
      <c r="CA129" s="139"/>
      <c r="CB129" s="139"/>
      <c r="CC129" s="139"/>
      <c r="CD129" s="139"/>
      <c r="CE129" s="139"/>
      <c r="CF129" s="139"/>
      <c r="CG129" s="139"/>
      <c r="CH129" s="139"/>
      <c r="CI129" s="139"/>
      <c r="CJ129" s="139"/>
      <c r="CK129" s="139"/>
      <c r="CL129" s="139"/>
      <c r="CM129" s="139"/>
      <c r="CN129" s="139"/>
      <c r="CO129" s="139"/>
      <c r="CP129" s="139"/>
      <c r="CQ129" s="139"/>
      <c r="CR129" s="139"/>
      <c r="CS129" s="139"/>
      <c r="CT129" s="139"/>
      <c r="CU129" s="139"/>
      <c r="CV129" s="139"/>
      <c r="CW129" s="139"/>
      <c r="CX129" s="139"/>
    </row>
    <row r="130" ht="40" customHeight="1" spans="1:102">
      <c r="A130" s="140" t="s">
        <v>1166</v>
      </c>
      <c r="B130" s="44" t="s">
        <v>253</v>
      </c>
      <c r="C130" s="121">
        <v>8.2</v>
      </c>
      <c r="D130" s="121">
        <v>1430</v>
      </c>
      <c r="E130" s="121">
        <v>8.5</v>
      </c>
      <c r="F130" s="121">
        <v>1490</v>
      </c>
      <c r="G130" s="121" t="s">
        <v>397</v>
      </c>
      <c r="H130" s="121" t="s">
        <v>439</v>
      </c>
      <c r="I130" s="123"/>
      <c r="J130" s="123"/>
      <c r="K130" s="122"/>
      <c r="L130" s="122"/>
      <c r="M130" s="122"/>
      <c r="N130" s="122"/>
      <c r="O130" s="122"/>
      <c r="P130" s="122"/>
      <c r="Q130" s="122"/>
      <c r="R130" s="122"/>
      <c r="S130" s="122"/>
      <c r="T130" s="122"/>
      <c r="U130" s="122"/>
      <c r="V130" s="122"/>
      <c r="W130" s="122"/>
      <c r="X130" s="122"/>
      <c r="Y130" s="122"/>
      <c r="Z130" s="122"/>
      <c r="AA130" s="122"/>
      <c r="AB130" s="122"/>
      <c r="AC130" s="122"/>
      <c r="AD130" s="122"/>
      <c r="AE130" s="122"/>
      <c r="AF130" s="122"/>
      <c r="AG130" s="122"/>
      <c r="AH130" s="122"/>
      <c r="AI130" s="122"/>
      <c r="AJ130" s="122"/>
      <c r="AK130" s="122"/>
      <c r="AL130" s="122"/>
      <c r="AM130" s="122"/>
      <c r="AN130" s="122"/>
      <c r="AO130" s="122"/>
      <c r="AP130" s="122"/>
      <c r="AQ130" s="122"/>
      <c r="AR130" s="122"/>
      <c r="AS130" s="122"/>
      <c r="AT130" s="122"/>
      <c r="AU130" s="122"/>
      <c r="AV130" s="122"/>
      <c r="AW130" s="122"/>
      <c r="AX130" s="122"/>
      <c r="AY130" s="122"/>
      <c r="AZ130" s="122"/>
      <c r="BA130" s="122"/>
      <c r="BB130" s="122"/>
      <c r="BC130" s="122"/>
      <c r="BD130" s="122"/>
      <c r="BE130" s="122"/>
      <c r="BF130" s="122"/>
      <c r="BG130" s="122"/>
      <c r="BH130" s="122"/>
      <c r="BI130" s="122"/>
      <c r="BJ130" s="122"/>
      <c r="BK130" s="122"/>
      <c r="BL130" s="122"/>
      <c r="BM130" s="122"/>
      <c r="BN130" s="122"/>
      <c r="BO130" s="122"/>
      <c r="BP130" s="122"/>
      <c r="BQ130" s="122"/>
      <c r="BR130" s="122"/>
      <c r="BS130" s="122"/>
      <c r="BT130" s="122"/>
      <c r="BU130" s="122"/>
      <c r="BV130" s="122"/>
      <c r="BW130" s="122"/>
      <c r="BX130" s="122"/>
      <c r="BY130" s="122"/>
      <c r="BZ130" s="122"/>
      <c r="CA130" s="122"/>
      <c r="CB130" s="122"/>
      <c r="CC130" s="122"/>
      <c r="CD130" s="122"/>
      <c r="CE130" s="122"/>
      <c r="CF130" s="122"/>
      <c r="CG130" s="122"/>
      <c r="CH130" s="122"/>
      <c r="CI130" s="122"/>
      <c r="CJ130" s="122"/>
      <c r="CK130" s="122"/>
      <c r="CL130" s="122"/>
      <c r="CM130" s="122"/>
      <c r="CN130" s="122"/>
      <c r="CO130" s="122"/>
      <c r="CP130" s="122"/>
      <c r="CQ130" s="122"/>
      <c r="CR130" s="122"/>
      <c r="CS130" s="122"/>
      <c r="CT130" s="122"/>
      <c r="CU130" s="122"/>
      <c r="CV130" s="122"/>
      <c r="CW130" s="122"/>
      <c r="CX130" s="122"/>
    </row>
    <row r="131" ht="40" customHeight="1" spans="1:102">
      <c r="A131" s="140" t="s">
        <v>1167</v>
      </c>
      <c r="B131" s="73">
        <v>77085</v>
      </c>
      <c r="C131" s="121">
        <v>9.4</v>
      </c>
      <c r="D131" s="121">
        <v>1670</v>
      </c>
      <c r="E131" s="121">
        <v>9.7</v>
      </c>
      <c r="F131" s="121">
        <v>1730</v>
      </c>
      <c r="G131" s="121" t="s">
        <v>397</v>
      </c>
      <c r="H131" s="121" t="s">
        <v>439</v>
      </c>
      <c r="I131" s="123"/>
      <c r="J131" s="123"/>
      <c r="K131" s="122"/>
      <c r="L131" s="122"/>
      <c r="M131" s="122"/>
      <c r="N131" s="122"/>
      <c r="O131" s="122"/>
      <c r="P131" s="122"/>
      <c r="Q131" s="122"/>
      <c r="R131" s="122"/>
      <c r="S131" s="122"/>
      <c r="T131" s="122"/>
      <c r="U131" s="122"/>
      <c r="V131" s="122"/>
      <c r="W131" s="122"/>
      <c r="X131" s="122"/>
      <c r="Y131" s="122"/>
      <c r="Z131" s="122"/>
      <c r="AA131" s="122"/>
      <c r="AB131" s="122"/>
      <c r="AC131" s="122"/>
      <c r="AD131" s="122"/>
      <c r="AE131" s="122"/>
      <c r="AF131" s="122"/>
      <c r="AG131" s="122"/>
      <c r="AH131" s="122"/>
      <c r="AI131" s="122"/>
      <c r="AJ131" s="122"/>
      <c r="AK131" s="122"/>
      <c r="AL131" s="122"/>
      <c r="AM131" s="122"/>
      <c r="AN131" s="122"/>
      <c r="AO131" s="122"/>
      <c r="AP131" s="122"/>
      <c r="AQ131" s="122"/>
      <c r="AR131" s="122"/>
      <c r="AS131" s="122"/>
      <c r="AT131" s="122"/>
      <c r="AU131" s="122"/>
      <c r="AV131" s="122"/>
      <c r="AW131" s="122"/>
      <c r="AX131" s="122"/>
      <c r="AY131" s="122"/>
      <c r="AZ131" s="122"/>
      <c r="BA131" s="122"/>
      <c r="BB131" s="122"/>
      <c r="BC131" s="122"/>
      <c r="BD131" s="122"/>
      <c r="BE131" s="122"/>
      <c r="BF131" s="122"/>
      <c r="BG131" s="122"/>
      <c r="BH131" s="122"/>
      <c r="BI131" s="122"/>
      <c r="BJ131" s="122"/>
      <c r="BK131" s="122"/>
      <c r="BL131" s="122"/>
      <c r="BM131" s="122"/>
      <c r="BN131" s="122"/>
      <c r="BO131" s="122"/>
      <c r="BP131" s="122"/>
      <c r="BQ131" s="122"/>
      <c r="BR131" s="122"/>
      <c r="BS131" s="122"/>
      <c r="BT131" s="122"/>
      <c r="BU131" s="122"/>
      <c r="BV131" s="122"/>
      <c r="BW131" s="122"/>
      <c r="BX131" s="122"/>
      <c r="BY131" s="122"/>
      <c r="BZ131" s="122"/>
      <c r="CA131" s="122"/>
      <c r="CB131" s="122"/>
      <c r="CC131" s="122"/>
      <c r="CD131" s="122"/>
      <c r="CE131" s="122"/>
      <c r="CF131" s="122"/>
      <c r="CG131" s="122"/>
      <c r="CH131" s="122"/>
      <c r="CI131" s="122"/>
      <c r="CJ131" s="122"/>
      <c r="CK131" s="122"/>
      <c r="CL131" s="122"/>
      <c r="CM131" s="122"/>
      <c r="CN131" s="122"/>
      <c r="CO131" s="122"/>
      <c r="CP131" s="122"/>
      <c r="CQ131" s="122"/>
      <c r="CR131" s="122"/>
      <c r="CS131" s="122"/>
      <c r="CT131" s="122"/>
      <c r="CU131" s="122"/>
      <c r="CV131" s="122"/>
      <c r="CW131" s="122"/>
      <c r="CX131" s="122"/>
    </row>
    <row r="132" ht="40" customHeight="1" spans="1:102">
      <c r="A132" s="140" t="s">
        <v>1168</v>
      </c>
      <c r="B132" s="44">
        <v>77067</v>
      </c>
      <c r="C132" s="121">
        <v>9.7</v>
      </c>
      <c r="D132" s="121">
        <v>1710</v>
      </c>
      <c r="E132" s="121">
        <v>10</v>
      </c>
      <c r="F132" s="121">
        <v>1770</v>
      </c>
      <c r="G132" s="121" t="s">
        <v>397</v>
      </c>
      <c r="H132" s="121" t="s">
        <v>439</v>
      </c>
      <c r="I132" s="122"/>
      <c r="J132" s="122"/>
      <c r="K132" s="122"/>
      <c r="L132" s="122"/>
      <c r="M132" s="122"/>
      <c r="N132" s="122"/>
      <c r="O132" s="122"/>
      <c r="P132" s="122"/>
      <c r="Q132" s="122"/>
      <c r="R132" s="122"/>
      <c r="S132" s="122"/>
      <c r="T132" s="122"/>
      <c r="U132" s="122"/>
      <c r="V132" s="122"/>
      <c r="W132" s="122"/>
      <c r="X132" s="122"/>
      <c r="Y132" s="122"/>
      <c r="Z132" s="122"/>
      <c r="AA132" s="122"/>
      <c r="AB132" s="122"/>
      <c r="AC132" s="122"/>
      <c r="AD132" s="122"/>
      <c r="AE132" s="122"/>
      <c r="AF132" s="122"/>
      <c r="AG132" s="122"/>
      <c r="AH132" s="122"/>
      <c r="AI132" s="122"/>
      <c r="AJ132" s="122"/>
      <c r="AK132" s="122"/>
      <c r="AL132" s="122"/>
      <c r="AM132" s="122"/>
      <c r="AN132" s="122"/>
      <c r="AO132" s="122"/>
      <c r="AP132" s="122"/>
      <c r="AQ132" s="122"/>
      <c r="AR132" s="122"/>
      <c r="AS132" s="122"/>
      <c r="AT132" s="122"/>
      <c r="AU132" s="122"/>
      <c r="AV132" s="122"/>
      <c r="AW132" s="122"/>
      <c r="AX132" s="122"/>
      <c r="AY132" s="122"/>
      <c r="AZ132" s="122"/>
      <c r="BA132" s="122"/>
      <c r="BB132" s="122"/>
      <c r="BC132" s="122"/>
      <c r="BD132" s="122"/>
      <c r="BE132" s="122"/>
      <c r="BF132" s="122"/>
      <c r="BG132" s="122"/>
      <c r="BH132" s="122"/>
      <c r="BI132" s="122"/>
      <c r="BJ132" s="122"/>
      <c r="BK132" s="122"/>
      <c r="BL132" s="122"/>
      <c r="BM132" s="122"/>
      <c r="BN132" s="122"/>
      <c r="BO132" s="122"/>
      <c r="BP132" s="122"/>
      <c r="BQ132" s="122"/>
      <c r="BR132" s="122"/>
      <c r="BS132" s="122"/>
      <c r="BT132" s="122"/>
      <c r="BU132" s="122"/>
      <c r="BV132" s="122"/>
      <c r="BW132" s="122"/>
      <c r="BX132" s="122"/>
      <c r="BY132" s="122"/>
      <c r="BZ132" s="122"/>
      <c r="CA132" s="122"/>
      <c r="CB132" s="122"/>
      <c r="CC132" s="122"/>
      <c r="CD132" s="122"/>
      <c r="CE132" s="122"/>
      <c r="CF132" s="122"/>
      <c r="CG132" s="122"/>
      <c r="CH132" s="122"/>
      <c r="CI132" s="122"/>
      <c r="CJ132" s="122"/>
      <c r="CK132" s="122"/>
      <c r="CL132" s="122"/>
      <c r="CM132" s="122"/>
      <c r="CN132" s="122"/>
      <c r="CO132" s="122"/>
      <c r="CP132" s="122"/>
      <c r="CQ132" s="122"/>
      <c r="CR132" s="122"/>
      <c r="CS132" s="122"/>
      <c r="CT132" s="122"/>
      <c r="CU132" s="122"/>
      <c r="CV132" s="122"/>
      <c r="CW132" s="122"/>
      <c r="CX132" s="122"/>
    </row>
    <row r="133" ht="40" customHeight="1" spans="1:102">
      <c r="A133" s="140" t="s">
        <v>1157</v>
      </c>
      <c r="B133" s="73" t="s">
        <v>1145</v>
      </c>
      <c r="C133" s="121">
        <v>8.9</v>
      </c>
      <c r="D133" s="121">
        <v>1560</v>
      </c>
      <c r="E133" s="121">
        <v>9.2</v>
      </c>
      <c r="F133" s="121">
        <v>1620</v>
      </c>
      <c r="G133" s="121" t="s">
        <v>397</v>
      </c>
      <c r="H133" s="121" t="s">
        <v>439</v>
      </c>
      <c r="I133" s="72">
        <v>77005</v>
      </c>
      <c r="J133" s="72">
        <v>77487</v>
      </c>
      <c r="K133" s="72">
        <v>77489</v>
      </c>
      <c r="L133" s="72">
        <v>77496</v>
      </c>
      <c r="M133" s="72">
        <v>77497</v>
      </c>
      <c r="N133" s="72">
        <v>77545</v>
      </c>
      <c r="O133" s="72">
        <v>77025</v>
      </c>
      <c r="P133" s="72">
        <v>77030</v>
      </c>
      <c r="Q133" s="72">
        <v>77031</v>
      </c>
      <c r="R133" s="72">
        <v>77035</v>
      </c>
      <c r="S133" s="72">
        <v>77036</v>
      </c>
      <c r="T133" s="72">
        <v>77042</v>
      </c>
      <c r="U133" s="72">
        <v>77045</v>
      </c>
      <c r="V133" s="72">
        <v>77047</v>
      </c>
      <c r="W133" s="72">
        <v>77053</v>
      </c>
      <c r="X133" s="72">
        <v>77054</v>
      </c>
      <c r="Y133" s="72">
        <v>77063</v>
      </c>
      <c r="Z133" s="72">
        <v>77071</v>
      </c>
      <c r="AA133" s="72">
        <v>77072</v>
      </c>
      <c r="AB133" s="72">
        <v>77074</v>
      </c>
      <c r="AC133" s="72">
        <v>77096</v>
      </c>
      <c r="AD133" s="72">
        <v>77099</v>
      </c>
      <c r="AE133" s="72">
        <v>77215</v>
      </c>
      <c r="AF133" s="72">
        <v>77225</v>
      </c>
      <c r="AG133" s="72">
        <v>77230</v>
      </c>
      <c r="AH133" s="72">
        <v>77231</v>
      </c>
      <c r="AI133" s="72">
        <v>77235</v>
      </c>
      <c r="AJ133" s="72">
        <v>77236</v>
      </c>
      <c r="AK133" s="72">
        <v>77242</v>
      </c>
      <c r="AL133" s="72">
        <v>77245</v>
      </c>
      <c r="AM133" s="72">
        <v>77251</v>
      </c>
      <c r="AN133" s="72">
        <v>77254</v>
      </c>
      <c r="AO133" s="72">
        <v>77263</v>
      </c>
      <c r="AP133" s="72">
        <v>77265</v>
      </c>
      <c r="AQ133" s="72">
        <v>77272</v>
      </c>
      <c r="AR133" s="72">
        <v>77274</v>
      </c>
      <c r="AS133" s="72">
        <v>77401</v>
      </c>
      <c r="AT133" s="72">
        <v>77402</v>
      </c>
      <c r="AU133" s="72">
        <v>77411</v>
      </c>
      <c r="AV133" s="72">
        <v>77477</v>
      </c>
      <c r="AW133" s="72">
        <v>77478</v>
      </c>
      <c r="AX133" s="72"/>
      <c r="AY133" s="72"/>
      <c r="AZ133" s="72"/>
      <c r="BA133" s="72"/>
      <c r="BB133" s="72"/>
      <c r="BC133" s="72"/>
      <c r="BD133" s="72"/>
      <c r="BE133" s="72"/>
      <c r="BF133" s="72"/>
      <c r="BG133" s="72"/>
      <c r="BH133" s="72"/>
      <c r="BI133" s="72"/>
      <c r="BJ133" s="72"/>
      <c r="BK133" s="72"/>
      <c r="BL133" s="72"/>
      <c r="BM133" s="72"/>
      <c r="BN133" s="72"/>
      <c r="BO133" s="72"/>
      <c r="BP133" s="72"/>
      <c r="BQ133" s="72"/>
      <c r="BR133" s="72"/>
      <c r="BS133" s="72"/>
      <c r="BT133" s="72"/>
      <c r="BU133" s="72"/>
      <c r="BV133" s="72"/>
      <c r="BW133" s="72"/>
      <c r="BX133" s="72"/>
      <c r="BY133" s="72"/>
      <c r="BZ133" s="72"/>
      <c r="CA133" s="72"/>
      <c r="CB133" s="72"/>
      <c r="CC133" s="72"/>
      <c r="CD133" s="72"/>
      <c r="CE133" s="72"/>
      <c r="CF133" s="72"/>
      <c r="CG133" s="72"/>
      <c r="CH133" s="72"/>
      <c r="CI133" s="72"/>
      <c r="CJ133" s="72"/>
      <c r="CK133" s="72"/>
      <c r="CL133" s="72"/>
      <c r="CM133" s="72"/>
      <c r="CN133" s="72"/>
      <c r="CO133" s="72"/>
      <c r="CP133" s="72"/>
      <c r="CQ133" s="72"/>
      <c r="CR133" s="72"/>
      <c r="CS133" s="72"/>
      <c r="CT133" s="72"/>
      <c r="CU133" s="72"/>
      <c r="CV133" s="72"/>
      <c r="CW133" s="72"/>
      <c r="CX133" s="78"/>
    </row>
    <row r="134" ht="40" customHeight="1" spans="1:102">
      <c r="A134" s="140" t="s">
        <v>1158</v>
      </c>
      <c r="B134" s="44" t="s">
        <v>1145</v>
      </c>
      <c r="C134" s="121">
        <v>9.1</v>
      </c>
      <c r="D134" s="121">
        <v>1600</v>
      </c>
      <c r="E134" s="121">
        <v>9.4</v>
      </c>
      <c r="F134" s="121">
        <v>1660</v>
      </c>
      <c r="G134" s="121" t="s">
        <v>397</v>
      </c>
      <c r="H134" s="121" t="s">
        <v>439</v>
      </c>
      <c r="I134" s="72">
        <v>77001</v>
      </c>
      <c r="J134" s="72">
        <v>77407</v>
      </c>
      <c r="K134" s="72">
        <v>77002</v>
      </c>
      <c r="L134" s="72">
        <v>77003</v>
      </c>
      <c r="M134" s="72">
        <v>77004</v>
      </c>
      <c r="N134" s="72">
        <v>77459</v>
      </c>
      <c r="O134" s="72">
        <v>77006</v>
      </c>
      <c r="P134" s="72">
        <v>77007</v>
      </c>
      <c r="Q134" s="72">
        <v>77008</v>
      </c>
      <c r="R134" s="72">
        <v>77469</v>
      </c>
      <c r="S134" s="72">
        <v>77009</v>
      </c>
      <c r="T134" s="72">
        <v>77010</v>
      </c>
      <c r="U134" s="72">
        <v>77011</v>
      </c>
      <c r="V134" s="72">
        <v>77012</v>
      </c>
      <c r="W134" s="72">
        <v>77578</v>
      </c>
      <c r="X134" s="72">
        <v>77581</v>
      </c>
      <c r="Y134" s="72">
        <v>77017</v>
      </c>
      <c r="Z134" s="72">
        <v>77498</v>
      </c>
      <c r="AA134" s="72">
        <v>77018</v>
      </c>
      <c r="AB134" s="72">
        <v>77584</v>
      </c>
      <c r="AC134" s="72">
        <v>77019</v>
      </c>
      <c r="AD134" s="72">
        <v>77021</v>
      </c>
      <c r="AE134" s="72">
        <v>77023</v>
      </c>
      <c r="AF134" s="72">
        <v>77024</v>
      </c>
      <c r="AG134" s="72">
        <v>77026</v>
      </c>
      <c r="AH134" s="72">
        <v>77027</v>
      </c>
      <c r="AI134" s="72">
        <v>77033</v>
      </c>
      <c r="AJ134" s="72">
        <v>77041</v>
      </c>
      <c r="AK134" s="72">
        <v>77043</v>
      </c>
      <c r="AL134" s="72">
        <v>77046</v>
      </c>
      <c r="AM134" s="72">
        <v>77048</v>
      </c>
      <c r="AN134" s="72">
        <v>77051</v>
      </c>
      <c r="AO134" s="72">
        <v>77052</v>
      </c>
      <c r="AP134" s="72">
        <v>77055</v>
      </c>
      <c r="AQ134" s="72">
        <v>77056</v>
      </c>
      <c r="AR134" s="72">
        <v>77057</v>
      </c>
      <c r="AS134" s="72">
        <v>77061</v>
      </c>
      <c r="AT134" s="72">
        <v>77075</v>
      </c>
      <c r="AU134" s="72">
        <v>77077</v>
      </c>
      <c r="AV134" s="72">
        <v>77079</v>
      </c>
      <c r="AW134" s="72">
        <v>77080</v>
      </c>
      <c r="AX134" s="72">
        <v>77081</v>
      </c>
      <c r="AY134" s="72">
        <v>77082</v>
      </c>
      <c r="AZ134" s="72">
        <v>77083</v>
      </c>
      <c r="BA134" s="72">
        <v>77087</v>
      </c>
      <c r="BB134" s="72">
        <v>77092</v>
      </c>
      <c r="BC134" s="72">
        <v>77098</v>
      </c>
      <c r="BD134" s="72">
        <v>77201</v>
      </c>
      <c r="BE134" s="72">
        <v>77202</v>
      </c>
      <c r="BF134" s="72">
        <v>77203</v>
      </c>
      <c r="BG134" s="72">
        <v>77204</v>
      </c>
      <c r="BH134" s="72">
        <v>77206</v>
      </c>
      <c r="BI134" s="72">
        <v>77207</v>
      </c>
      <c r="BJ134" s="72">
        <v>77208</v>
      </c>
      <c r="BK134" s="72">
        <v>77210</v>
      </c>
      <c r="BL134" s="72">
        <v>77212</v>
      </c>
      <c r="BM134" s="72">
        <v>77216</v>
      </c>
      <c r="BN134" s="72">
        <v>77217</v>
      </c>
      <c r="BO134" s="72">
        <v>77218</v>
      </c>
      <c r="BP134" s="72">
        <v>77219</v>
      </c>
      <c r="BQ134" s="72">
        <v>77220</v>
      </c>
      <c r="BR134" s="72">
        <v>77221</v>
      </c>
      <c r="BS134" s="72">
        <v>77223</v>
      </c>
      <c r="BT134" s="72">
        <v>77224</v>
      </c>
      <c r="BU134" s="72">
        <v>77226</v>
      </c>
      <c r="BV134" s="72">
        <v>77227</v>
      </c>
      <c r="BW134" s="72">
        <v>77233</v>
      </c>
      <c r="BX134" s="72">
        <v>77237</v>
      </c>
      <c r="BY134" s="72">
        <v>77240</v>
      </c>
      <c r="BZ134" s="72">
        <v>77241</v>
      </c>
      <c r="CA134" s="72">
        <v>77243</v>
      </c>
      <c r="CB134" s="72">
        <v>77244</v>
      </c>
      <c r="CC134" s="72">
        <v>77248</v>
      </c>
      <c r="CD134" s="72">
        <v>77249</v>
      </c>
      <c r="CE134" s="72">
        <v>77252</v>
      </c>
      <c r="CF134" s="72">
        <v>77253</v>
      </c>
      <c r="CG134" s="72">
        <v>77255</v>
      </c>
      <c r="CH134" s="72">
        <v>77256</v>
      </c>
      <c r="CI134" s="72">
        <v>77257</v>
      </c>
      <c r="CJ134" s="72">
        <v>77262</v>
      </c>
      <c r="CK134" s="72">
        <v>77266</v>
      </c>
      <c r="CL134" s="72">
        <v>77270</v>
      </c>
      <c r="CM134" s="72">
        <v>77271</v>
      </c>
      <c r="CN134" s="72">
        <v>77275</v>
      </c>
      <c r="CO134" s="72">
        <v>77277</v>
      </c>
      <c r="CP134" s="72">
        <v>77279</v>
      </c>
      <c r="CQ134" s="72">
        <v>77280</v>
      </c>
      <c r="CR134" s="72">
        <v>77282</v>
      </c>
      <c r="CS134" s="72">
        <v>77284</v>
      </c>
      <c r="CT134" s="72">
        <v>77287</v>
      </c>
      <c r="CU134" s="72">
        <v>77288</v>
      </c>
      <c r="CV134" s="72">
        <v>77292</v>
      </c>
      <c r="CW134" s="72">
        <v>77297</v>
      </c>
      <c r="CX134" s="72">
        <v>77299</v>
      </c>
    </row>
    <row r="135" ht="40" customHeight="1" spans="1:102">
      <c r="A135" s="140" t="s">
        <v>1159</v>
      </c>
      <c r="B135" s="44" t="s">
        <v>1145</v>
      </c>
      <c r="C135" s="121">
        <v>9.3</v>
      </c>
      <c r="D135" s="121">
        <v>1640</v>
      </c>
      <c r="E135" s="121">
        <v>9.6</v>
      </c>
      <c r="F135" s="121">
        <v>1700</v>
      </c>
      <c r="G135" s="121" t="s">
        <v>397</v>
      </c>
      <c r="H135" s="121" t="s">
        <v>439</v>
      </c>
      <c r="I135" s="72">
        <v>77406</v>
      </c>
      <c r="J135" s="72">
        <v>77441</v>
      </c>
      <c r="K135" s="72">
        <v>77546</v>
      </c>
      <c r="L135" s="72">
        <v>77549</v>
      </c>
      <c r="M135" s="72">
        <v>77491</v>
      </c>
      <c r="N135" s="72">
        <v>77492</v>
      </c>
      <c r="O135" s="72">
        <v>77511</v>
      </c>
      <c r="P135" s="72">
        <v>77512</v>
      </c>
      <c r="Q135" s="72">
        <v>77471</v>
      </c>
      <c r="R135" s="72">
        <v>77481</v>
      </c>
      <c r="S135" s="72">
        <v>77013</v>
      </c>
      <c r="T135" s="72">
        <v>77494</v>
      </c>
      <c r="U135" s="72">
        <v>77015</v>
      </c>
      <c r="V135" s="72">
        <v>77016</v>
      </c>
      <c r="W135" s="72">
        <v>77583</v>
      </c>
      <c r="X135" s="72">
        <v>77020</v>
      </c>
      <c r="Y135" s="72">
        <v>77022</v>
      </c>
      <c r="Z135" s="72">
        <v>77028</v>
      </c>
      <c r="AA135" s="72">
        <v>77029</v>
      </c>
      <c r="AB135" s="72">
        <v>77034</v>
      </c>
      <c r="AC135" s="72">
        <v>77037</v>
      </c>
      <c r="AD135" s="72">
        <v>77038</v>
      </c>
      <c r="AE135" s="72">
        <v>77039</v>
      </c>
      <c r="AF135" s="72">
        <v>77040</v>
      </c>
      <c r="AG135" s="72">
        <v>77049</v>
      </c>
      <c r="AH135" s="72">
        <v>77050</v>
      </c>
      <c r="AI135" s="72">
        <v>77059</v>
      </c>
      <c r="AJ135" s="72">
        <v>77060</v>
      </c>
      <c r="AK135" s="72">
        <v>77062</v>
      </c>
      <c r="AL135" s="72">
        <v>77064</v>
      </c>
      <c r="AM135" s="72">
        <v>77065</v>
      </c>
      <c r="AN135" s="72">
        <v>77066</v>
      </c>
      <c r="AO135" s="72">
        <v>77070</v>
      </c>
      <c r="AP135" s="72">
        <v>77076</v>
      </c>
      <c r="AQ135" s="72">
        <v>77078</v>
      </c>
      <c r="AR135" s="72">
        <v>77084</v>
      </c>
      <c r="AS135" s="141">
        <v>77085</v>
      </c>
      <c r="AT135" s="72">
        <v>77086</v>
      </c>
      <c r="AU135" s="72">
        <v>77088</v>
      </c>
      <c r="AV135" s="72">
        <v>77089</v>
      </c>
      <c r="AW135" s="72">
        <v>77093</v>
      </c>
      <c r="AX135" s="72">
        <v>77094</v>
      </c>
      <c r="AY135" s="72">
        <v>77095</v>
      </c>
      <c r="AZ135" s="72">
        <v>77209</v>
      </c>
      <c r="BA135" s="72">
        <v>77213</v>
      </c>
      <c r="BB135" s="72">
        <v>77222</v>
      </c>
      <c r="BC135" s="72">
        <v>77228</v>
      </c>
      <c r="BD135" s="72">
        <v>77229</v>
      </c>
      <c r="BE135" s="72">
        <v>77234</v>
      </c>
      <c r="BF135" s="72">
        <v>77238</v>
      </c>
      <c r="BG135" s="72">
        <v>77259</v>
      </c>
      <c r="BH135" s="72">
        <v>77269</v>
      </c>
      <c r="BI135" s="72">
        <v>77289</v>
      </c>
      <c r="BJ135" s="72">
        <v>77291</v>
      </c>
      <c r="BK135" s="72">
        <v>77293</v>
      </c>
      <c r="BL135" s="72">
        <v>77315</v>
      </c>
      <c r="BM135" s="72">
        <v>77413</v>
      </c>
      <c r="BN135" s="72">
        <v>77449</v>
      </c>
      <c r="BO135" s="72">
        <v>77450</v>
      </c>
      <c r="BP135" s="72">
        <v>77501</v>
      </c>
      <c r="BQ135" s="72">
        <v>77502</v>
      </c>
      <c r="BR135" s="72">
        <v>77503</v>
      </c>
      <c r="BS135" s="72">
        <v>77504</v>
      </c>
      <c r="BT135" s="72">
        <v>77505</v>
      </c>
      <c r="BU135" s="72">
        <v>77506</v>
      </c>
      <c r="BV135" s="72">
        <v>77508</v>
      </c>
      <c r="BW135" s="72">
        <v>77536</v>
      </c>
      <c r="BX135" s="72">
        <v>77547</v>
      </c>
      <c r="BY135" s="72">
        <v>77587</v>
      </c>
      <c r="BZ135" s="72">
        <v>77588</v>
      </c>
      <c r="CA135" s="72">
        <v>77598</v>
      </c>
      <c r="CB135" s="72"/>
      <c r="CC135" s="72"/>
      <c r="CD135" s="72"/>
      <c r="CE135" s="72"/>
      <c r="CF135" s="72"/>
      <c r="CG135" s="72"/>
      <c r="CH135" s="72"/>
      <c r="CI135" s="72"/>
      <c r="CJ135" s="72"/>
      <c r="CK135" s="72"/>
      <c r="CL135" s="72"/>
      <c r="CM135" s="72"/>
      <c r="CN135" s="72"/>
      <c r="CO135" s="72"/>
      <c r="CP135" s="72"/>
      <c r="CQ135" s="72"/>
      <c r="CR135" s="72"/>
      <c r="CS135" s="72"/>
      <c r="CT135" s="72"/>
      <c r="CU135" s="72"/>
      <c r="CV135" s="72"/>
      <c r="CW135" s="72"/>
      <c r="CX135" s="72"/>
    </row>
    <row r="136" ht="40" customHeight="1" spans="1:102">
      <c r="A136" s="140" t="s">
        <v>1160</v>
      </c>
      <c r="B136" s="44" t="s">
        <v>1145</v>
      </c>
      <c r="C136" s="121">
        <v>9.6</v>
      </c>
      <c r="D136" s="121">
        <v>1690</v>
      </c>
      <c r="E136" s="121">
        <v>9.9</v>
      </c>
      <c r="F136" s="121">
        <v>1750</v>
      </c>
      <c r="G136" s="121" t="s">
        <v>397</v>
      </c>
      <c r="H136" s="121" t="s">
        <v>439</v>
      </c>
      <c r="I136" s="72">
        <v>77510</v>
      </c>
      <c r="J136" s="72">
        <v>77430</v>
      </c>
      <c r="K136" s="72">
        <v>77517</v>
      </c>
      <c r="L136" s="72">
        <v>77417</v>
      </c>
      <c r="M136" s="72">
        <v>77518</v>
      </c>
      <c r="N136" s="72">
        <v>77444</v>
      </c>
      <c r="O136" s="72">
        <v>77485</v>
      </c>
      <c r="P136" s="72">
        <v>77539</v>
      </c>
      <c r="Q136" s="72">
        <v>77451</v>
      </c>
      <c r="R136" s="72">
        <v>77461</v>
      </c>
      <c r="S136" s="72">
        <v>77464</v>
      </c>
      <c r="T136" s="72">
        <v>77515</v>
      </c>
      <c r="U136" s="72">
        <v>77476</v>
      </c>
      <c r="V136" s="72">
        <v>77014</v>
      </c>
      <c r="W136" s="72">
        <v>77565</v>
      </c>
      <c r="X136" s="72">
        <v>77573</v>
      </c>
      <c r="Y136" s="72">
        <v>77574</v>
      </c>
      <c r="Z136" s="72">
        <v>77591</v>
      </c>
      <c r="AA136" s="72">
        <v>77032</v>
      </c>
      <c r="AB136" s="72">
        <v>77044</v>
      </c>
      <c r="AC136" s="72">
        <v>77058</v>
      </c>
      <c r="AD136" s="72">
        <v>77067</v>
      </c>
      <c r="AE136" s="72">
        <v>77068</v>
      </c>
      <c r="AF136" s="72">
        <v>77069</v>
      </c>
      <c r="AG136" s="72">
        <v>77073</v>
      </c>
      <c r="AH136" s="72">
        <v>77090</v>
      </c>
      <c r="AI136" s="72">
        <v>77205</v>
      </c>
      <c r="AJ136" s="72">
        <v>77258</v>
      </c>
      <c r="AK136" s="72">
        <v>77267</v>
      </c>
      <c r="AL136" s="72">
        <v>77268</v>
      </c>
      <c r="AM136" s="72">
        <v>77273</v>
      </c>
      <c r="AN136" s="72">
        <v>77290</v>
      </c>
      <c r="AO136" s="72">
        <v>77338</v>
      </c>
      <c r="AP136" s="72">
        <v>77339</v>
      </c>
      <c r="AQ136" s="72">
        <v>77346</v>
      </c>
      <c r="AR136" s="72">
        <v>77347</v>
      </c>
      <c r="AS136" s="72">
        <v>77379</v>
      </c>
      <c r="AT136" s="72">
        <v>77383</v>
      </c>
      <c r="AU136" s="72">
        <v>77391</v>
      </c>
      <c r="AV136" s="72">
        <v>77396</v>
      </c>
      <c r="AW136" s="72">
        <v>77410</v>
      </c>
      <c r="AX136" s="72">
        <v>77429</v>
      </c>
      <c r="AY136" s="72">
        <v>77433</v>
      </c>
      <c r="AZ136" s="72">
        <v>77493</v>
      </c>
      <c r="BA136" s="72">
        <v>77507</v>
      </c>
      <c r="BB136" s="72">
        <v>77520</v>
      </c>
      <c r="BC136" s="72">
        <v>77522</v>
      </c>
      <c r="BD136" s="72">
        <v>77530</v>
      </c>
      <c r="BE136" s="72">
        <v>77562</v>
      </c>
      <c r="BF136" s="72">
        <v>77571</v>
      </c>
      <c r="BG136" s="72">
        <v>77572</v>
      </c>
      <c r="BH136" s="72">
        <v>77586</v>
      </c>
      <c r="BI136" s="72"/>
      <c r="BJ136" s="72"/>
      <c r="BK136" s="72"/>
      <c r="BL136" s="72"/>
      <c r="BM136" s="72"/>
      <c r="BN136" s="72"/>
      <c r="BO136" s="72"/>
      <c r="BP136" s="72"/>
      <c r="BQ136" s="72"/>
      <c r="BR136" s="72"/>
      <c r="BS136" s="72"/>
      <c r="BT136" s="72"/>
      <c r="BU136" s="72"/>
      <c r="BV136" s="72"/>
      <c r="BW136" s="72"/>
      <c r="BX136" s="72"/>
      <c r="BY136" s="72"/>
      <c r="BZ136" s="72"/>
      <c r="CA136" s="72"/>
      <c r="CB136" s="72"/>
      <c r="CC136" s="72"/>
      <c r="CD136" s="72"/>
      <c r="CE136" s="72"/>
      <c r="CF136" s="72"/>
      <c r="CG136" s="72"/>
      <c r="CH136" s="72"/>
      <c r="CI136" s="72"/>
      <c r="CJ136" s="72"/>
      <c r="CK136" s="72"/>
      <c r="CL136" s="72"/>
      <c r="CM136" s="72"/>
      <c r="CN136" s="72"/>
      <c r="CO136" s="72"/>
      <c r="CP136" s="72"/>
      <c r="CQ136" s="72"/>
      <c r="CR136" s="72"/>
      <c r="CS136" s="72"/>
      <c r="CT136" s="72"/>
      <c r="CU136" s="72"/>
      <c r="CV136" s="72"/>
      <c r="CW136" s="72"/>
      <c r="CX136" s="72"/>
    </row>
    <row r="137" ht="40" customHeight="1" spans="1:102">
      <c r="A137" s="140" t="s">
        <v>1161</v>
      </c>
      <c r="B137" s="142" t="s">
        <v>1145</v>
      </c>
      <c r="C137" s="121">
        <v>9.9</v>
      </c>
      <c r="D137" s="121">
        <v>1750</v>
      </c>
      <c r="E137" s="121">
        <v>10.2</v>
      </c>
      <c r="F137" s="121">
        <v>1810</v>
      </c>
      <c r="G137" s="121" t="s">
        <v>397</v>
      </c>
      <c r="H137" s="121" t="s">
        <v>439</v>
      </c>
      <c r="I137" s="72">
        <v>77423</v>
      </c>
      <c r="J137" s="72">
        <v>77523</v>
      </c>
      <c r="K137" s="72">
        <v>77435</v>
      </c>
      <c r="L137" s="72">
        <v>77580</v>
      </c>
      <c r="M137" s="72">
        <v>77466</v>
      </c>
      <c r="N137" s="72">
        <v>77535</v>
      </c>
      <c r="O137" s="72">
        <v>77473</v>
      </c>
      <c r="P137" s="72">
        <v>77486</v>
      </c>
      <c r="Q137" s="72">
        <v>77448</v>
      </c>
      <c r="R137" s="72">
        <v>77454</v>
      </c>
      <c r="S137" s="72">
        <v>77353</v>
      </c>
      <c r="T137" s="72">
        <v>77534</v>
      </c>
      <c r="U137" s="72">
        <v>77354</v>
      </c>
      <c r="V137" s="72">
        <v>77355</v>
      </c>
      <c r="W137" s="72">
        <v>77488</v>
      </c>
      <c r="X137" s="72">
        <v>77357</v>
      </c>
      <c r="Y137" s="72">
        <v>77577</v>
      </c>
      <c r="Z137" s="72">
        <v>77568</v>
      </c>
      <c r="AA137" s="72">
        <v>77362</v>
      </c>
      <c r="AB137" s="72">
        <v>77365</v>
      </c>
      <c r="AC137" s="72">
        <v>77590</v>
      </c>
      <c r="AD137" s="72">
        <v>77380</v>
      </c>
      <c r="AE137" s="72">
        <v>77336</v>
      </c>
      <c r="AF137" s="72">
        <v>77337</v>
      </c>
      <c r="AG137" s="72">
        <v>77345</v>
      </c>
      <c r="AH137" s="72">
        <v>77373</v>
      </c>
      <c r="AI137" s="72">
        <v>77375</v>
      </c>
      <c r="AJ137" s="72">
        <v>77377</v>
      </c>
      <c r="AK137" s="72">
        <v>77381</v>
      </c>
      <c r="AL137" s="72">
        <v>77386</v>
      </c>
      <c r="AM137" s="72">
        <v>77387</v>
      </c>
      <c r="AN137" s="72">
        <v>77388</v>
      </c>
      <c r="AO137" s="72">
        <v>77389</v>
      </c>
      <c r="AP137" s="72">
        <v>77393</v>
      </c>
      <c r="AQ137" s="72">
        <v>77447</v>
      </c>
      <c r="AR137" s="72">
        <v>77484</v>
      </c>
      <c r="AS137" s="72">
        <v>77521</v>
      </c>
      <c r="AT137" s="72">
        <v>77532</v>
      </c>
      <c r="AU137" s="72">
        <v>77592</v>
      </c>
      <c r="AV137" s="72"/>
      <c r="AW137" s="72"/>
      <c r="AX137" s="72"/>
      <c r="AY137" s="72"/>
      <c r="AZ137" s="72"/>
      <c r="BA137" s="72"/>
      <c r="BB137" s="72"/>
      <c r="BC137" s="72"/>
      <c r="BD137" s="72"/>
      <c r="BE137" s="72"/>
      <c r="BF137" s="72"/>
      <c r="BG137" s="72"/>
      <c r="BH137" s="72"/>
      <c r="BI137" s="72"/>
      <c r="BJ137" s="72"/>
      <c r="BK137" s="72"/>
      <c r="BL137" s="72"/>
      <c r="BM137" s="72"/>
      <c r="BN137" s="72"/>
      <c r="BO137" s="72"/>
      <c r="BP137" s="72"/>
      <c r="BQ137" s="72"/>
      <c r="BR137" s="72"/>
      <c r="BS137" s="72"/>
      <c r="BT137" s="72"/>
      <c r="BU137" s="72"/>
      <c r="BV137" s="72"/>
      <c r="BW137" s="72"/>
      <c r="BX137" s="72"/>
      <c r="BY137" s="72"/>
      <c r="BZ137" s="72"/>
      <c r="CA137" s="72"/>
      <c r="CB137" s="72"/>
      <c r="CC137" s="72"/>
      <c r="CD137" s="72"/>
      <c r="CE137" s="72"/>
      <c r="CF137" s="72"/>
      <c r="CG137" s="72"/>
      <c r="CH137" s="72"/>
      <c r="CI137" s="72"/>
      <c r="CJ137" s="72"/>
      <c r="CK137" s="72"/>
      <c r="CL137" s="72"/>
      <c r="CM137" s="72"/>
      <c r="CN137" s="72"/>
      <c r="CO137" s="72"/>
      <c r="CP137" s="72"/>
      <c r="CQ137" s="72"/>
      <c r="CR137" s="72"/>
      <c r="CS137" s="72"/>
      <c r="CT137" s="72"/>
      <c r="CU137" s="72"/>
      <c r="CV137" s="72"/>
      <c r="CW137" s="72"/>
      <c r="CX137" s="72"/>
    </row>
    <row r="138" ht="40" customHeight="1" spans="1:102">
      <c r="A138" s="143" t="s">
        <v>819</v>
      </c>
      <c r="B138" s="130" t="s">
        <v>820</v>
      </c>
      <c r="C138" s="130"/>
      <c r="D138" s="130" t="s">
        <v>59</v>
      </c>
      <c r="E138" s="130"/>
      <c r="F138" s="130" t="s">
        <v>61</v>
      </c>
      <c r="G138" s="130"/>
      <c r="H138" s="130"/>
    </row>
    <row r="139" ht="40" customHeight="1" spans="1:102">
      <c r="A139" s="144" t="s">
        <v>821</v>
      </c>
      <c r="B139" s="130">
        <v>85</v>
      </c>
      <c r="C139" s="130"/>
      <c r="D139" s="130" t="s">
        <v>822</v>
      </c>
      <c r="E139" s="130"/>
      <c r="F139" s="130" t="s">
        <v>823</v>
      </c>
      <c r="G139" s="130"/>
      <c r="H139" s="130"/>
    </row>
    <row r="140" ht="40" customHeight="1" spans="1:102">
      <c r="A140" s="57" t="s">
        <v>824</v>
      </c>
      <c r="B140" s="130" t="s">
        <v>825</v>
      </c>
      <c r="C140" s="130"/>
      <c r="D140" s="130" t="s">
        <v>826</v>
      </c>
      <c r="E140" s="130"/>
      <c r="F140" s="130" t="s">
        <v>827</v>
      </c>
      <c r="G140" s="130"/>
      <c r="H140" s="130"/>
    </row>
    <row r="141" ht="40" customHeight="1" spans="1:102">
      <c r="A141" s="144" t="s">
        <v>828</v>
      </c>
      <c r="B141" s="130" t="s">
        <v>829</v>
      </c>
      <c r="C141" s="130"/>
      <c r="D141" s="130" t="s">
        <v>826</v>
      </c>
      <c r="E141" s="130"/>
      <c r="F141" s="130" t="s">
        <v>830</v>
      </c>
      <c r="G141" s="130"/>
      <c r="H141" s="130"/>
    </row>
    <row r="142" ht="40" customHeight="1" spans="1:102">
      <c r="A142" s="57" t="s">
        <v>831</v>
      </c>
      <c r="B142" s="130">
        <v>20</v>
      </c>
      <c r="C142" s="130"/>
      <c r="D142" s="130" t="s">
        <v>832</v>
      </c>
      <c r="E142" s="130"/>
      <c r="F142" s="130" t="s">
        <v>833</v>
      </c>
      <c r="G142" s="130"/>
      <c r="H142" s="130"/>
    </row>
    <row r="143" ht="40" customHeight="1" spans="1:102">
      <c r="A143" s="144" t="s">
        <v>834</v>
      </c>
      <c r="B143" s="130">
        <v>75</v>
      </c>
      <c r="C143" s="130"/>
      <c r="D143" s="130" t="s">
        <v>835</v>
      </c>
      <c r="E143" s="130"/>
      <c r="F143" s="130" t="s">
        <v>836</v>
      </c>
      <c r="G143" s="130"/>
      <c r="H143" s="130"/>
    </row>
    <row r="144" ht="40" customHeight="1" spans="1:102">
      <c r="A144" s="57" t="s">
        <v>837</v>
      </c>
      <c r="B144" s="132" t="s">
        <v>838</v>
      </c>
      <c r="C144" s="132"/>
      <c r="D144" s="132" t="s">
        <v>835</v>
      </c>
      <c r="E144" s="132"/>
      <c r="F144" s="132" t="s">
        <v>839</v>
      </c>
      <c r="G144" s="132"/>
      <c r="H144" s="132"/>
    </row>
    <row r="145" ht="67" customHeight="1" spans="1:38">
      <c r="A145" s="37" t="s">
        <v>840</v>
      </c>
      <c r="B145" s="145" t="s">
        <v>1153</v>
      </c>
      <c r="C145" s="145"/>
      <c r="D145" s="145"/>
      <c r="E145" s="145"/>
      <c r="F145" s="145"/>
      <c r="G145" s="145"/>
      <c r="H145" s="145"/>
    </row>
    <row r="146" ht="67" customHeight="1" spans="1:38">
      <c r="A146" s="37" t="s">
        <v>842</v>
      </c>
      <c r="B146" s="145" t="s">
        <v>843</v>
      </c>
      <c r="C146" s="145"/>
      <c r="D146" s="145"/>
      <c r="E146" s="145"/>
      <c r="F146" s="145"/>
      <c r="G146" s="145"/>
      <c r="H146" s="145"/>
    </row>
    <row r="149" s="27" customFormat="1" ht="33.75" spans="1:38">
      <c r="A149" s="146" t="s">
        <v>29</v>
      </c>
      <c r="B149" s="147"/>
      <c r="C149" s="147"/>
      <c r="D149" s="147"/>
      <c r="E149" s="147"/>
      <c r="F149" s="147"/>
      <c r="G149" s="147"/>
      <c r="H149" s="148"/>
      <c r="I149" s="147"/>
      <c r="J149" s="149"/>
      <c r="K149" s="149"/>
      <c r="L149" s="149"/>
    </row>
    <row r="150" ht="28" customHeight="1" spans="1:38">
      <c r="A150" s="150" t="s">
        <v>287</v>
      </c>
      <c r="B150" s="136" t="s">
        <v>728</v>
      </c>
      <c r="C150" s="116" t="s">
        <v>184</v>
      </c>
      <c r="D150" s="116"/>
      <c r="E150" s="116"/>
      <c r="F150" s="116"/>
      <c r="G150" s="116" t="s">
        <v>260</v>
      </c>
      <c r="H150" s="116"/>
      <c r="I150" s="116"/>
      <c r="J150" s="116"/>
      <c r="K150" s="117" t="s">
        <v>376</v>
      </c>
      <c r="L150" s="117" t="s">
        <v>288</v>
      </c>
      <c r="M150" s="86" t="s">
        <v>844</v>
      </c>
      <c r="N150" s="86" t="s">
        <v>845</v>
      </c>
      <c r="O150" s="86" t="s">
        <v>846</v>
      </c>
      <c r="P150" s="86" t="s">
        <v>847</v>
      </c>
      <c r="Q150" s="86" t="s">
        <v>848</v>
      </c>
      <c r="R150" s="86" t="s">
        <v>849</v>
      </c>
      <c r="S150" s="86" t="s">
        <v>850</v>
      </c>
      <c r="T150" s="86" t="s">
        <v>851</v>
      </c>
      <c r="U150" s="86" t="s">
        <v>852</v>
      </c>
      <c r="V150" s="86" t="s">
        <v>853</v>
      </c>
      <c r="W150" s="86" t="s">
        <v>854</v>
      </c>
      <c r="X150" s="86" t="s">
        <v>855</v>
      </c>
      <c r="Y150" s="86" t="s">
        <v>856</v>
      </c>
      <c r="Z150" s="86" t="s">
        <v>857</v>
      </c>
      <c r="AA150" s="86" t="s">
        <v>858</v>
      </c>
      <c r="AB150" s="86" t="s">
        <v>859</v>
      </c>
      <c r="AC150" s="86" t="s">
        <v>860</v>
      </c>
      <c r="AD150" s="86" t="s">
        <v>861</v>
      </c>
      <c r="AE150" s="86" t="s">
        <v>862</v>
      </c>
      <c r="AF150" s="86" t="s">
        <v>863</v>
      </c>
      <c r="AG150" s="86" t="s">
        <v>864</v>
      </c>
      <c r="AH150" s="86" t="s">
        <v>865</v>
      </c>
      <c r="AI150" s="86" t="s">
        <v>866</v>
      </c>
      <c r="AJ150" s="86" t="s">
        <v>867</v>
      </c>
      <c r="AK150" s="86" t="s">
        <v>868</v>
      </c>
      <c r="AL150" s="86" t="s">
        <v>869</v>
      </c>
    </row>
    <row r="151" ht="28" customHeight="1" spans="1:38">
      <c r="A151" s="150"/>
      <c r="B151" s="68"/>
      <c r="C151" s="68" t="s">
        <v>729</v>
      </c>
      <c r="D151" s="68" t="s">
        <v>730</v>
      </c>
      <c r="E151" s="151" t="s">
        <v>1169</v>
      </c>
      <c r="F151" s="68" t="s">
        <v>1170</v>
      </c>
      <c r="G151" s="68" t="s">
        <v>729</v>
      </c>
      <c r="H151" s="68" t="s">
        <v>730</v>
      </c>
      <c r="I151" s="151" t="s">
        <v>1169</v>
      </c>
      <c r="J151" s="68" t="s">
        <v>1170</v>
      </c>
      <c r="K151" s="152"/>
      <c r="L151" s="152"/>
      <c r="M151" s="139"/>
      <c r="N151" s="139"/>
      <c r="O151" s="139"/>
      <c r="P151" s="139"/>
      <c r="Q151" s="139"/>
      <c r="R151" s="139"/>
      <c r="S151" s="139"/>
      <c r="T151" s="139"/>
      <c r="U151" s="139"/>
      <c r="V151" s="139"/>
      <c r="W151" s="139"/>
      <c r="X151" s="139"/>
      <c r="Y151" s="139"/>
      <c r="Z151" s="139"/>
      <c r="AA151" s="139"/>
      <c r="AB151" s="139"/>
      <c r="AC151" s="139"/>
      <c r="AD151" s="139"/>
      <c r="AE151" s="139"/>
      <c r="AF151" s="139"/>
      <c r="AG151" s="139"/>
      <c r="AH151" s="139"/>
      <c r="AI151" s="139"/>
      <c r="AJ151" s="139"/>
      <c r="AK151" s="139"/>
      <c r="AL151" s="139"/>
    </row>
    <row r="152" ht="28" customHeight="1" spans="1:38">
      <c r="A152" s="37" t="s">
        <v>1171</v>
      </c>
      <c r="B152" s="153" t="s">
        <v>253</v>
      </c>
      <c r="C152" s="154">
        <v>8.1</v>
      </c>
      <c r="D152" s="155">
        <v>1380</v>
      </c>
      <c r="E152" s="154">
        <v>8.1</v>
      </c>
      <c r="F152" s="155">
        <v>1380</v>
      </c>
      <c r="G152" s="154">
        <v>8.1</v>
      </c>
      <c r="H152" s="155">
        <v>1380</v>
      </c>
      <c r="I152" s="154">
        <v>8.1</v>
      </c>
      <c r="J152" s="155">
        <v>1380</v>
      </c>
      <c r="K152" s="155">
        <v>34</v>
      </c>
      <c r="L152" s="155" t="s">
        <v>405</v>
      </c>
      <c r="M152" s="71"/>
      <c r="N152" s="72"/>
      <c r="O152" s="72"/>
      <c r="P152" s="72"/>
      <c r="Q152" s="72"/>
      <c r="R152" s="72"/>
      <c r="S152" s="72"/>
      <c r="T152" s="72"/>
      <c r="U152" s="72"/>
      <c r="V152" s="72"/>
      <c r="W152" s="72"/>
      <c r="X152" s="72"/>
      <c r="Y152" s="72"/>
      <c r="Z152" s="72"/>
      <c r="AA152" s="72"/>
      <c r="AB152" s="72"/>
      <c r="AC152" s="72"/>
      <c r="AD152" s="72"/>
      <c r="AE152" s="72"/>
      <c r="AF152" s="72"/>
      <c r="AG152" s="72"/>
      <c r="AH152" s="156"/>
      <c r="AI152" s="156"/>
      <c r="AJ152" s="156"/>
      <c r="AK152" s="156"/>
      <c r="AL152" s="156"/>
    </row>
    <row r="153" ht="28" customHeight="1" spans="1:38">
      <c r="A153" s="37" t="s">
        <v>1172</v>
      </c>
      <c r="B153" s="153">
        <v>31326</v>
      </c>
      <c r="C153" s="154">
        <v>8.8</v>
      </c>
      <c r="D153" s="155">
        <v>1520</v>
      </c>
      <c r="E153" s="154">
        <v>8.6</v>
      </c>
      <c r="F153" s="155">
        <v>1480</v>
      </c>
      <c r="G153" s="154">
        <v>8.8</v>
      </c>
      <c r="H153" s="155">
        <v>1520</v>
      </c>
      <c r="I153" s="154">
        <v>8.6</v>
      </c>
      <c r="J153" s="155">
        <v>1480</v>
      </c>
      <c r="K153" s="155">
        <v>34</v>
      </c>
      <c r="L153" s="155" t="s">
        <v>405</v>
      </c>
      <c r="M153" s="71"/>
      <c r="N153" s="72"/>
      <c r="O153" s="72"/>
      <c r="P153" s="72"/>
      <c r="Q153" s="72"/>
      <c r="R153" s="72"/>
      <c r="S153" s="72"/>
      <c r="T153" s="72"/>
      <c r="U153" s="72"/>
      <c r="V153" s="72"/>
      <c r="W153" s="72"/>
      <c r="X153" s="72"/>
      <c r="Y153" s="72"/>
      <c r="Z153" s="72"/>
      <c r="AA153" s="72"/>
      <c r="AB153" s="72"/>
      <c r="AC153" s="72"/>
      <c r="AD153" s="72"/>
      <c r="AE153" s="72"/>
      <c r="AF153" s="72"/>
      <c r="AG153" s="72"/>
      <c r="AH153" s="156"/>
      <c r="AI153" s="156"/>
      <c r="AJ153" s="156"/>
      <c r="AK153" s="156"/>
      <c r="AL153" s="156"/>
    </row>
    <row r="154" ht="28" customHeight="1" spans="1:38">
      <c r="A154" s="37" t="s">
        <v>1173</v>
      </c>
      <c r="B154" s="153">
        <v>31326</v>
      </c>
      <c r="C154" s="154">
        <v>8.8</v>
      </c>
      <c r="D154" s="155">
        <v>1520</v>
      </c>
      <c r="E154" s="154">
        <v>8.6</v>
      </c>
      <c r="F154" s="155">
        <v>1480</v>
      </c>
      <c r="G154" s="154">
        <v>8.8</v>
      </c>
      <c r="H154" s="155">
        <v>1520</v>
      </c>
      <c r="I154" s="154">
        <v>8.6</v>
      </c>
      <c r="J154" s="155">
        <v>1480</v>
      </c>
      <c r="K154" s="155">
        <v>34</v>
      </c>
      <c r="L154" s="155" t="s">
        <v>405</v>
      </c>
      <c r="M154" s="71"/>
      <c r="N154" s="72"/>
      <c r="O154" s="72"/>
      <c r="P154" s="72"/>
      <c r="Q154" s="72"/>
      <c r="R154" s="72"/>
      <c r="S154" s="72"/>
      <c r="T154" s="72"/>
      <c r="U154" s="72"/>
      <c r="V154" s="72"/>
      <c r="W154" s="72"/>
      <c r="X154" s="72"/>
      <c r="Y154" s="72"/>
      <c r="Z154" s="72"/>
      <c r="AA154" s="72"/>
      <c r="AB154" s="72"/>
      <c r="AC154" s="72"/>
      <c r="AD154" s="72"/>
      <c r="AE154" s="72"/>
      <c r="AF154" s="72"/>
      <c r="AG154" s="72"/>
      <c r="AH154" s="156"/>
      <c r="AI154" s="156"/>
      <c r="AJ154" s="156"/>
      <c r="AK154" s="156"/>
      <c r="AL154" s="156"/>
    </row>
    <row r="155" ht="28" customHeight="1" spans="1:38">
      <c r="A155" s="37" t="s">
        <v>1174</v>
      </c>
      <c r="B155" s="153">
        <v>31322</v>
      </c>
      <c r="C155" s="154">
        <v>8.8</v>
      </c>
      <c r="D155" s="155">
        <v>1520</v>
      </c>
      <c r="E155" s="154">
        <v>8.6</v>
      </c>
      <c r="F155" s="155">
        <v>1480</v>
      </c>
      <c r="G155" s="154">
        <v>8.8</v>
      </c>
      <c r="H155" s="155">
        <v>1520</v>
      </c>
      <c r="I155" s="154">
        <v>8.6</v>
      </c>
      <c r="J155" s="155">
        <v>1480</v>
      </c>
      <c r="K155" s="155">
        <v>34</v>
      </c>
      <c r="L155" s="155" t="s">
        <v>405</v>
      </c>
      <c r="M155" s="71"/>
      <c r="N155" s="72"/>
      <c r="O155" s="72"/>
      <c r="P155" s="72"/>
      <c r="Q155" s="72"/>
      <c r="R155" s="72"/>
      <c r="S155" s="72"/>
      <c r="T155" s="72"/>
      <c r="U155" s="72"/>
      <c r="V155" s="72"/>
      <c r="W155" s="72"/>
      <c r="X155" s="72"/>
      <c r="Y155" s="72"/>
      <c r="Z155" s="72"/>
      <c r="AA155" s="72"/>
      <c r="AB155" s="72"/>
      <c r="AC155" s="72"/>
      <c r="AD155" s="72"/>
      <c r="AE155" s="72"/>
      <c r="AF155" s="72"/>
      <c r="AG155" s="72"/>
      <c r="AH155" s="156"/>
      <c r="AI155" s="156"/>
      <c r="AJ155" s="156"/>
      <c r="AK155" s="156"/>
      <c r="AL155" s="156"/>
    </row>
    <row r="156" ht="28" customHeight="1" spans="1:38">
      <c r="A156" s="37" t="s">
        <v>1175</v>
      </c>
      <c r="B156" s="153">
        <v>30518</v>
      </c>
      <c r="C156" s="154">
        <v>9.1</v>
      </c>
      <c r="D156" s="155">
        <v>1680</v>
      </c>
      <c r="E156" s="154">
        <v>8.9</v>
      </c>
      <c r="F156" s="155">
        <v>1540</v>
      </c>
      <c r="G156" s="154">
        <v>9.1</v>
      </c>
      <c r="H156" s="155">
        <v>1680</v>
      </c>
      <c r="I156" s="154">
        <v>8.9</v>
      </c>
      <c r="J156" s="155">
        <v>1540</v>
      </c>
      <c r="K156" s="155">
        <v>34</v>
      </c>
      <c r="L156" s="155" t="s">
        <v>405</v>
      </c>
      <c r="M156" s="71"/>
      <c r="N156" s="72"/>
      <c r="O156" s="72"/>
      <c r="P156" s="72"/>
      <c r="Q156" s="72"/>
      <c r="R156" s="72"/>
      <c r="S156" s="72"/>
      <c r="T156" s="72"/>
      <c r="U156" s="72"/>
      <c r="V156" s="72"/>
      <c r="W156" s="72"/>
      <c r="X156" s="72"/>
      <c r="Y156" s="72"/>
      <c r="Z156" s="72"/>
      <c r="AA156" s="72"/>
      <c r="AB156" s="72"/>
      <c r="AC156" s="72"/>
      <c r="AD156" s="72"/>
      <c r="AE156" s="72"/>
      <c r="AF156" s="72"/>
      <c r="AG156" s="72"/>
      <c r="AH156" s="156"/>
      <c r="AI156" s="156"/>
      <c r="AJ156" s="156"/>
      <c r="AK156" s="156"/>
      <c r="AL156" s="156"/>
    </row>
    <row r="157" ht="28" customHeight="1" spans="1:38">
      <c r="A157" s="37" t="s">
        <v>1176</v>
      </c>
      <c r="B157" s="153">
        <v>30168</v>
      </c>
      <c r="C157" s="154">
        <v>9.1</v>
      </c>
      <c r="D157" s="155">
        <v>1680</v>
      </c>
      <c r="E157" s="154">
        <v>8.9</v>
      </c>
      <c r="F157" s="155">
        <v>1540</v>
      </c>
      <c r="G157" s="154">
        <v>9.1</v>
      </c>
      <c r="H157" s="155">
        <v>1680</v>
      </c>
      <c r="I157" s="154">
        <v>8.9</v>
      </c>
      <c r="J157" s="155">
        <v>1540</v>
      </c>
      <c r="K157" s="155">
        <v>34</v>
      </c>
      <c r="L157" s="155" t="s">
        <v>405</v>
      </c>
      <c r="M157" s="71"/>
      <c r="N157" s="72"/>
      <c r="O157" s="72"/>
      <c r="P157" s="72"/>
      <c r="Q157" s="72"/>
      <c r="R157" s="72"/>
      <c r="S157" s="72"/>
      <c r="T157" s="72"/>
      <c r="U157" s="72"/>
      <c r="V157" s="72"/>
      <c r="W157" s="72"/>
      <c r="X157" s="72"/>
      <c r="Y157" s="72"/>
      <c r="Z157" s="72"/>
      <c r="AA157" s="72"/>
      <c r="AB157" s="72"/>
      <c r="AC157" s="72"/>
      <c r="AD157" s="72"/>
      <c r="AE157" s="72"/>
      <c r="AF157" s="72"/>
      <c r="AG157" s="72"/>
      <c r="AH157" s="156"/>
      <c r="AI157" s="156"/>
      <c r="AJ157" s="156"/>
      <c r="AK157" s="156"/>
      <c r="AL157" s="156"/>
    </row>
    <row r="158" ht="28" customHeight="1" spans="1:38">
      <c r="A158" s="37" t="s">
        <v>1177</v>
      </c>
      <c r="B158" s="153">
        <v>30071</v>
      </c>
      <c r="C158" s="154">
        <v>9.1</v>
      </c>
      <c r="D158" s="155">
        <v>1680</v>
      </c>
      <c r="E158" s="154">
        <v>8.9</v>
      </c>
      <c r="F158" s="155">
        <v>1540</v>
      </c>
      <c r="G158" s="154">
        <v>9.1</v>
      </c>
      <c r="H158" s="155">
        <v>1680</v>
      </c>
      <c r="I158" s="154">
        <v>8.9</v>
      </c>
      <c r="J158" s="155">
        <v>1540</v>
      </c>
      <c r="K158" s="155">
        <v>34</v>
      </c>
      <c r="L158" s="155" t="s">
        <v>405</v>
      </c>
      <c r="M158" s="71"/>
      <c r="N158" s="72"/>
      <c r="O158" s="72"/>
      <c r="P158" s="72"/>
      <c r="Q158" s="72"/>
      <c r="R158" s="72"/>
      <c r="S158" s="72"/>
      <c r="T158" s="72"/>
      <c r="U158" s="72"/>
      <c r="V158" s="72"/>
      <c r="W158" s="72"/>
      <c r="X158" s="72"/>
      <c r="Y158" s="72"/>
      <c r="Z158" s="72"/>
      <c r="AA158" s="72"/>
      <c r="AB158" s="72"/>
      <c r="AC158" s="72"/>
      <c r="AD158" s="72"/>
      <c r="AE158" s="72"/>
      <c r="AF158" s="72"/>
      <c r="AG158" s="72"/>
      <c r="AH158" s="156"/>
      <c r="AI158" s="156"/>
      <c r="AJ158" s="156"/>
      <c r="AK158" s="156"/>
      <c r="AL158" s="156"/>
    </row>
    <row r="159" ht="28" customHeight="1" spans="1:38">
      <c r="A159" s="37" t="s">
        <v>1178</v>
      </c>
      <c r="B159" s="153">
        <v>30517</v>
      </c>
      <c r="C159" s="154">
        <v>9.1</v>
      </c>
      <c r="D159" s="155">
        <v>1680</v>
      </c>
      <c r="E159" s="154">
        <v>8.9</v>
      </c>
      <c r="F159" s="155">
        <v>1540</v>
      </c>
      <c r="G159" s="154">
        <v>9.1</v>
      </c>
      <c r="H159" s="155">
        <v>1680</v>
      </c>
      <c r="I159" s="154">
        <v>8.9</v>
      </c>
      <c r="J159" s="155">
        <v>1540</v>
      </c>
      <c r="K159" s="155">
        <v>34</v>
      </c>
      <c r="L159" s="155" t="s">
        <v>405</v>
      </c>
      <c r="M159" s="71"/>
      <c r="N159" s="72"/>
      <c r="O159" s="72"/>
      <c r="P159" s="72"/>
      <c r="Q159" s="72"/>
      <c r="R159" s="72"/>
      <c r="S159" s="72"/>
      <c r="T159" s="72"/>
      <c r="U159" s="72"/>
      <c r="V159" s="72"/>
      <c r="W159" s="72"/>
      <c r="X159" s="72"/>
      <c r="Y159" s="72"/>
      <c r="Z159" s="72"/>
      <c r="AA159" s="72"/>
      <c r="AB159" s="72"/>
      <c r="AC159" s="72"/>
      <c r="AD159" s="72"/>
      <c r="AE159" s="72"/>
      <c r="AF159" s="72"/>
      <c r="AG159" s="72"/>
      <c r="AH159" s="156"/>
      <c r="AI159" s="156"/>
      <c r="AJ159" s="156"/>
      <c r="AK159" s="156"/>
      <c r="AL159" s="156"/>
    </row>
    <row r="160" ht="28" customHeight="1" spans="1:38">
      <c r="A160" s="37" t="s">
        <v>1157</v>
      </c>
      <c r="B160" s="153" t="s">
        <v>1145</v>
      </c>
      <c r="C160" s="154">
        <v>9</v>
      </c>
      <c r="D160" s="155">
        <v>1540</v>
      </c>
      <c r="E160" s="154">
        <v>8.8</v>
      </c>
      <c r="F160" s="155">
        <v>1520</v>
      </c>
      <c r="G160" s="154">
        <v>9</v>
      </c>
      <c r="H160" s="155">
        <v>1540</v>
      </c>
      <c r="I160" s="154">
        <v>8.8</v>
      </c>
      <c r="J160" s="155">
        <v>1520</v>
      </c>
      <c r="K160" s="155">
        <v>34</v>
      </c>
      <c r="L160" s="155" t="s">
        <v>405</v>
      </c>
      <c r="M160" s="71">
        <v>31302</v>
      </c>
      <c r="N160" s="72">
        <v>31407</v>
      </c>
      <c r="O160" s="72">
        <v>31322</v>
      </c>
      <c r="P160" s="72"/>
      <c r="Q160" s="72"/>
      <c r="R160" s="72"/>
      <c r="S160" s="72"/>
      <c r="T160" s="72"/>
      <c r="U160" s="72"/>
      <c r="V160" s="72"/>
      <c r="W160" s="72"/>
      <c r="X160" s="72"/>
      <c r="Y160" s="72"/>
      <c r="Z160" s="72"/>
      <c r="AA160" s="72"/>
      <c r="AB160" s="72"/>
      <c r="AC160" s="72"/>
      <c r="AD160" s="72"/>
      <c r="AE160" s="72"/>
      <c r="AF160" s="72"/>
      <c r="AG160" s="72"/>
      <c r="AH160" s="156"/>
      <c r="AI160" s="156"/>
      <c r="AJ160" s="156"/>
      <c r="AK160" s="156"/>
      <c r="AL160" s="156"/>
    </row>
    <row r="161" ht="28" customHeight="1" spans="1:38">
      <c r="A161" s="37" t="s">
        <v>1158</v>
      </c>
      <c r="B161" s="153" t="s">
        <v>1145</v>
      </c>
      <c r="C161" s="154">
        <v>9.1</v>
      </c>
      <c r="D161" s="155">
        <v>1680</v>
      </c>
      <c r="E161" s="154">
        <v>8.9</v>
      </c>
      <c r="F161" s="155">
        <v>1540</v>
      </c>
      <c r="G161" s="154">
        <v>9.1</v>
      </c>
      <c r="H161" s="155">
        <v>1680</v>
      </c>
      <c r="I161" s="154">
        <v>8.9</v>
      </c>
      <c r="J161" s="155">
        <v>1540</v>
      </c>
      <c r="K161" s="155">
        <v>34</v>
      </c>
      <c r="L161" s="155" t="s">
        <v>405</v>
      </c>
      <c r="M161" s="71">
        <v>31312</v>
      </c>
      <c r="N161" s="72">
        <v>31308</v>
      </c>
      <c r="O161" s="72">
        <v>31404</v>
      </c>
      <c r="P161" s="72">
        <v>31401</v>
      </c>
      <c r="Q161" s="72">
        <v>31414</v>
      </c>
      <c r="R161" s="72">
        <v>31421</v>
      </c>
      <c r="S161" s="72">
        <v>31403</v>
      </c>
      <c r="T161" s="72">
        <v>31405</v>
      </c>
      <c r="U161" s="72">
        <v>31412</v>
      </c>
      <c r="V161" s="72">
        <v>31402</v>
      </c>
      <c r="W161" s="72">
        <v>31326</v>
      </c>
      <c r="X161" s="72">
        <v>31415</v>
      </c>
      <c r="Y161" s="72">
        <v>31408</v>
      </c>
      <c r="Z161" s="72">
        <v>31318</v>
      </c>
      <c r="AA161" s="72">
        <v>31307</v>
      </c>
      <c r="AB161" s="72"/>
      <c r="AC161" s="72"/>
      <c r="AD161" s="72"/>
      <c r="AE161" s="72"/>
      <c r="AF161" s="72"/>
      <c r="AG161" s="72"/>
      <c r="AH161" s="156"/>
      <c r="AI161" s="156"/>
      <c r="AJ161" s="156"/>
      <c r="AK161" s="156"/>
      <c r="AL161" s="156"/>
    </row>
    <row r="162" ht="28" customHeight="1" spans="1:38">
      <c r="A162" s="37" t="s">
        <v>1159</v>
      </c>
      <c r="B162" s="153" t="s">
        <v>1145</v>
      </c>
      <c r="C162" s="154">
        <v>9.2</v>
      </c>
      <c r="D162" s="155">
        <v>1700</v>
      </c>
      <c r="E162" s="154">
        <v>9</v>
      </c>
      <c r="F162" s="155">
        <v>1560</v>
      </c>
      <c r="G162" s="154">
        <v>9.2</v>
      </c>
      <c r="H162" s="155">
        <v>1700</v>
      </c>
      <c r="I162" s="154">
        <v>9</v>
      </c>
      <c r="J162" s="155">
        <v>1560</v>
      </c>
      <c r="K162" s="155">
        <v>34</v>
      </c>
      <c r="L162" s="155" t="s">
        <v>405</v>
      </c>
      <c r="M162" s="71">
        <v>31328</v>
      </c>
      <c r="N162" s="72">
        <v>31411</v>
      </c>
      <c r="O162" s="72">
        <v>31321</v>
      </c>
      <c r="P162" s="72">
        <v>31303</v>
      </c>
      <c r="Q162" s="72">
        <v>30415</v>
      </c>
      <c r="R162" s="72">
        <v>31329</v>
      </c>
      <c r="S162" s="72">
        <v>31406</v>
      </c>
      <c r="T162" s="72">
        <v>31410</v>
      </c>
      <c r="U162" s="72">
        <v>31409</v>
      </c>
      <c r="V162" s="72">
        <v>31420</v>
      </c>
      <c r="W162" s="72"/>
      <c r="X162" s="72"/>
      <c r="Y162" s="72"/>
      <c r="Z162" s="72"/>
      <c r="AA162" s="72"/>
      <c r="AB162" s="72"/>
      <c r="AC162" s="72"/>
      <c r="AD162" s="72"/>
      <c r="AE162" s="72"/>
      <c r="AF162" s="72"/>
      <c r="AG162" s="72"/>
      <c r="AH162" s="156"/>
      <c r="AI162" s="156"/>
      <c r="AJ162" s="156"/>
      <c r="AK162" s="156"/>
      <c r="AL162" s="156"/>
    </row>
    <row r="163" ht="28" customHeight="1" spans="1:38">
      <c r="A163" s="37" t="s">
        <v>1160</v>
      </c>
      <c r="B163" s="153" t="s">
        <v>1145</v>
      </c>
      <c r="C163" s="154">
        <v>9.3</v>
      </c>
      <c r="D163" s="155">
        <v>1740</v>
      </c>
      <c r="E163" s="154">
        <v>9.1</v>
      </c>
      <c r="F163" s="155">
        <v>1580</v>
      </c>
      <c r="G163" s="154">
        <v>9.3</v>
      </c>
      <c r="H163" s="155">
        <v>1740</v>
      </c>
      <c r="I163" s="154">
        <v>9.1</v>
      </c>
      <c r="J163" s="155">
        <v>1580</v>
      </c>
      <c r="K163" s="155">
        <v>34</v>
      </c>
      <c r="L163" s="155" t="s">
        <v>405</v>
      </c>
      <c r="M163" s="71">
        <v>30423</v>
      </c>
      <c r="N163" s="72">
        <v>31314</v>
      </c>
      <c r="O163" s="72">
        <v>30449</v>
      </c>
      <c r="P163" s="72">
        <v>31315</v>
      </c>
      <c r="Q163" s="72">
        <v>30446</v>
      </c>
      <c r="R163" s="72">
        <v>31320</v>
      </c>
      <c r="S163" s="72">
        <v>31324</v>
      </c>
      <c r="T163" s="72"/>
      <c r="U163" s="72"/>
      <c r="V163" s="72"/>
      <c r="W163" s="72"/>
      <c r="X163" s="72"/>
      <c r="Y163" s="72"/>
      <c r="Z163" s="72"/>
      <c r="AA163" s="72"/>
      <c r="AB163" s="72"/>
      <c r="AC163" s="72"/>
      <c r="AD163" s="72"/>
      <c r="AE163" s="72"/>
      <c r="AF163" s="72"/>
      <c r="AG163" s="72"/>
      <c r="AH163" s="156"/>
      <c r="AI163" s="156"/>
      <c r="AJ163" s="156"/>
      <c r="AK163" s="156"/>
      <c r="AL163" s="156"/>
    </row>
    <row r="164" ht="28" customHeight="1" spans="1:38">
      <c r="A164" s="37" t="s">
        <v>1161</v>
      </c>
      <c r="B164" s="153" t="s">
        <v>1145</v>
      </c>
      <c r="C164" s="154">
        <v>9.4</v>
      </c>
      <c r="D164" s="155">
        <v>1770</v>
      </c>
      <c r="E164" s="154">
        <v>9.2</v>
      </c>
      <c r="F164" s="155">
        <v>1600</v>
      </c>
      <c r="G164" s="154">
        <v>9.4</v>
      </c>
      <c r="H164" s="155">
        <v>1770</v>
      </c>
      <c r="I164" s="154">
        <v>9.2</v>
      </c>
      <c r="J164" s="155">
        <v>1600</v>
      </c>
      <c r="K164" s="155">
        <v>34</v>
      </c>
      <c r="L164" s="155" t="s">
        <v>405</v>
      </c>
      <c r="M164" s="71">
        <v>30467</v>
      </c>
      <c r="N164" s="72">
        <v>31331</v>
      </c>
      <c r="O164" s="72">
        <v>30424</v>
      </c>
      <c r="P164" s="72">
        <v>30429</v>
      </c>
      <c r="Q164" s="72">
        <v>30417</v>
      </c>
      <c r="R164" s="72">
        <v>31333</v>
      </c>
      <c r="S164" s="72">
        <v>30460</v>
      </c>
      <c r="T164" s="72">
        <v>30414</v>
      </c>
      <c r="U164" s="72">
        <v>30452</v>
      </c>
      <c r="V164" s="72">
        <v>30461</v>
      </c>
      <c r="W164" s="72">
        <v>30458</v>
      </c>
      <c r="X164" s="72">
        <v>30459</v>
      </c>
      <c r="Y164" s="72">
        <v>31313</v>
      </c>
      <c r="Z164" s="72">
        <v>31323</v>
      </c>
      <c r="AA164" s="72">
        <v>31310</v>
      </c>
      <c r="AB164" s="72"/>
      <c r="AC164" s="72"/>
      <c r="AD164" s="72"/>
      <c r="AE164" s="72"/>
      <c r="AF164" s="72"/>
      <c r="AG164" s="72"/>
      <c r="AH164" s="156"/>
      <c r="AI164" s="156"/>
      <c r="AJ164" s="156"/>
      <c r="AK164" s="156"/>
      <c r="AL164" s="156"/>
    </row>
    <row r="165" ht="28" customHeight="1" spans="1:38">
      <c r="A165" s="37" t="s">
        <v>1162</v>
      </c>
      <c r="B165" s="153" t="s">
        <v>1145</v>
      </c>
      <c r="C165" s="154">
        <v>9.6</v>
      </c>
      <c r="D165" s="155">
        <v>1790</v>
      </c>
      <c r="E165" s="154">
        <v>9.3</v>
      </c>
      <c r="F165" s="155">
        <v>1630</v>
      </c>
      <c r="G165" s="154">
        <v>9.6</v>
      </c>
      <c r="H165" s="155">
        <v>1790</v>
      </c>
      <c r="I165" s="154">
        <v>9.3</v>
      </c>
      <c r="J165" s="155">
        <v>1630</v>
      </c>
      <c r="K165" s="155">
        <v>34</v>
      </c>
      <c r="L165" s="155" t="s">
        <v>405</v>
      </c>
      <c r="M165" s="71">
        <v>31319</v>
      </c>
      <c r="N165" s="72">
        <v>30450</v>
      </c>
      <c r="O165" s="72">
        <v>30427</v>
      </c>
      <c r="P165" s="72">
        <v>30421</v>
      </c>
      <c r="Q165" s="72">
        <v>30439</v>
      </c>
      <c r="R165" s="72">
        <v>31316</v>
      </c>
      <c r="S165" s="72">
        <v>31304</v>
      </c>
      <c r="T165" s="72">
        <v>30438</v>
      </c>
      <c r="U165" s="72">
        <v>30451</v>
      </c>
      <c r="V165" s="72"/>
      <c r="W165" s="72"/>
      <c r="X165" s="72"/>
      <c r="Y165" s="72"/>
      <c r="Z165" s="72"/>
      <c r="AA165" s="72"/>
      <c r="AB165" s="72"/>
      <c r="AC165" s="72"/>
      <c r="AD165" s="72"/>
      <c r="AE165" s="72"/>
      <c r="AF165" s="72"/>
      <c r="AG165" s="72"/>
      <c r="AH165" s="156"/>
      <c r="AI165" s="156"/>
      <c r="AJ165" s="156"/>
      <c r="AK165" s="156"/>
      <c r="AL165" s="156"/>
    </row>
    <row r="166" ht="28" customHeight="1" spans="1:38">
      <c r="A166" s="37" t="s">
        <v>1163</v>
      </c>
      <c r="B166" s="153" t="s">
        <v>1145</v>
      </c>
      <c r="C166" s="154">
        <v>9.7</v>
      </c>
      <c r="D166" s="155">
        <v>1810</v>
      </c>
      <c r="E166" s="154">
        <v>9.4</v>
      </c>
      <c r="F166" s="155">
        <v>1650</v>
      </c>
      <c r="G166" s="154">
        <v>9.7</v>
      </c>
      <c r="H166" s="155">
        <v>1810</v>
      </c>
      <c r="I166" s="154">
        <v>9.4</v>
      </c>
      <c r="J166" s="155">
        <v>1650</v>
      </c>
      <c r="K166" s="155">
        <v>34</v>
      </c>
      <c r="L166" s="155" t="s">
        <v>405</v>
      </c>
      <c r="M166" s="71">
        <v>31599</v>
      </c>
      <c r="N166" s="72">
        <v>30464</v>
      </c>
      <c r="O166" s="72">
        <v>31327</v>
      </c>
      <c r="P166" s="72">
        <v>30420</v>
      </c>
      <c r="Q166" s="72">
        <v>31305</v>
      </c>
      <c r="R166" s="72">
        <v>31545</v>
      </c>
      <c r="S166" s="72">
        <v>30455</v>
      </c>
      <c r="T166" s="72"/>
      <c r="U166" s="72"/>
      <c r="V166" s="72"/>
      <c r="W166" s="72"/>
      <c r="X166" s="72"/>
      <c r="Y166" s="72"/>
      <c r="Z166" s="72"/>
      <c r="AA166" s="72"/>
      <c r="AB166" s="72"/>
      <c r="AC166" s="72"/>
      <c r="AD166" s="72"/>
      <c r="AE166" s="72"/>
      <c r="AF166" s="72"/>
      <c r="AG166" s="72"/>
      <c r="AH166" s="156"/>
      <c r="AI166" s="156"/>
      <c r="AJ166" s="156"/>
      <c r="AK166" s="156"/>
      <c r="AL166" s="156"/>
    </row>
    <row r="167" ht="28" customHeight="1" spans="1:38">
      <c r="A167" s="37" t="s">
        <v>1164</v>
      </c>
      <c r="B167" s="153" t="s">
        <v>1145</v>
      </c>
      <c r="C167" s="154">
        <v>9.8</v>
      </c>
      <c r="D167" s="155">
        <v>1830</v>
      </c>
      <c r="E167" s="154">
        <v>9.7</v>
      </c>
      <c r="F167" s="155">
        <v>1690</v>
      </c>
      <c r="G167" s="154">
        <v>9.8</v>
      </c>
      <c r="H167" s="155">
        <v>1830</v>
      </c>
      <c r="I167" s="154">
        <v>9.7</v>
      </c>
      <c r="J167" s="155">
        <v>1690</v>
      </c>
      <c r="K167" s="155">
        <v>34</v>
      </c>
      <c r="L167" s="155" t="s">
        <v>405</v>
      </c>
      <c r="M167" s="71">
        <v>30448</v>
      </c>
      <c r="N167" s="72">
        <v>31560</v>
      </c>
      <c r="O167" s="72">
        <v>30454</v>
      </c>
      <c r="P167" s="72">
        <v>31523</v>
      </c>
      <c r="Q167" s="72">
        <v>31521</v>
      </c>
      <c r="R167" s="72">
        <v>30474</v>
      </c>
      <c r="S167" s="72">
        <v>30426</v>
      </c>
      <c r="T167" s="72">
        <v>30475</v>
      </c>
      <c r="U167" s="72">
        <v>31598</v>
      </c>
      <c r="V167" s="72">
        <v>31546</v>
      </c>
      <c r="W167" s="72">
        <v>30456</v>
      </c>
      <c r="X167" s="72">
        <v>31520</v>
      </c>
      <c r="Y167" s="72">
        <v>30822</v>
      </c>
      <c r="Z167" s="72">
        <v>30471</v>
      </c>
      <c r="AA167" s="72">
        <v>30442</v>
      </c>
      <c r="AB167" s="72">
        <v>30436</v>
      </c>
      <c r="AC167" s="72">
        <v>30425</v>
      </c>
      <c r="AD167" s="72"/>
      <c r="AE167" s="72"/>
      <c r="AF167" s="72"/>
      <c r="AG167" s="72"/>
      <c r="AH167" s="156"/>
      <c r="AI167" s="156"/>
      <c r="AJ167" s="156"/>
      <c r="AK167" s="156"/>
      <c r="AL167" s="156"/>
    </row>
    <row r="168" ht="28" customHeight="1" spans="1:38">
      <c r="A168" s="37" t="s">
        <v>1165</v>
      </c>
      <c r="B168" s="153" t="s">
        <v>1145</v>
      </c>
      <c r="C168" s="154">
        <v>10</v>
      </c>
      <c r="D168" s="155">
        <v>1870</v>
      </c>
      <c r="E168" s="154">
        <v>9.9</v>
      </c>
      <c r="F168" s="155">
        <v>1730</v>
      </c>
      <c r="G168" s="154">
        <v>10</v>
      </c>
      <c r="H168" s="155">
        <v>1870</v>
      </c>
      <c r="I168" s="154">
        <v>9.9</v>
      </c>
      <c r="J168" s="155">
        <v>1730</v>
      </c>
      <c r="K168" s="155">
        <v>34</v>
      </c>
      <c r="L168" s="155" t="s">
        <v>405</v>
      </c>
      <c r="M168" s="71">
        <v>31551</v>
      </c>
      <c r="N168" s="72">
        <v>31049</v>
      </c>
      <c r="O168" s="72">
        <v>31569</v>
      </c>
      <c r="P168" s="72">
        <v>30477</v>
      </c>
      <c r="Q168" s="72">
        <v>31553</v>
      </c>
      <c r="R168" s="72">
        <v>31516</v>
      </c>
      <c r="S168" s="72">
        <v>30454</v>
      </c>
      <c r="T168" s="72">
        <v>31557</v>
      </c>
      <c r="U168" s="72">
        <v>31002</v>
      </c>
      <c r="V168" s="72">
        <v>31522</v>
      </c>
      <c r="W168" s="72">
        <v>31518</v>
      </c>
      <c r="X168" s="72">
        <v>31566</v>
      </c>
      <c r="Y168" s="72">
        <v>31561</v>
      </c>
      <c r="Z168" s="72">
        <v>30457</v>
      </c>
      <c r="AA168" s="72">
        <v>30470</v>
      </c>
      <c r="AB168" s="72">
        <v>30441</v>
      </c>
      <c r="AC168" s="72">
        <v>31565</v>
      </c>
      <c r="AD168" s="72">
        <v>31556</v>
      </c>
      <c r="AE168" s="72">
        <v>30412</v>
      </c>
      <c r="AF168" s="72">
        <v>30473</v>
      </c>
      <c r="AG168" s="72">
        <v>30410</v>
      </c>
      <c r="AH168" s="156"/>
      <c r="AI168" s="156"/>
      <c r="AJ168" s="156"/>
      <c r="AK168" s="156"/>
      <c r="AL168" s="156"/>
    </row>
    <row r="169" ht="28" customHeight="1" spans="1:38">
      <c r="A169" s="157" t="s">
        <v>819</v>
      </c>
      <c r="B169" s="158" t="s">
        <v>820</v>
      </c>
      <c r="C169" s="158"/>
      <c r="D169" s="158"/>
      <c r="E169" s="158" t="s">
        <v>59</v>
      </c>
      <c r="F169" s="158"/>
      <c r="G169" s="158"/>
      <c r="H169" s="159"/>
      <c r="I169" s="160" t="s">
        <v>61</v>
      </c>
      <c r="J169" s="158"/>
      <c r="K169" s="158"/>
      <c r="L169" s="158"/>
      <c r="Q169" s="161"/>
      <c r="R169" s="161"/>
      <c r="S169" s="161"/>
      <c r="T169" s="161"/>
      <c r="U169" s="161"/>
      <c r="V169" s="161"/>
      <c r="W169" s="161"/>
      <c r="X169" s="161"/>
      <c r="Y169" s="161"/>
      <c r="Z169" s="161"/>
      <c r="AA169" s="161"/>
      <c r="AB169" s="161"/>
      <c r="AC169" s="161"/>
      <c r="AD169" s="161"/>
      <c r="AE169" s="161"/>
      <c r="AF169" s="161"/>
      <c r="AG169" s="161"/>
      <c r="AH169" s="161"/>
      <c r="AI169" s="161"/>
      <c r="AJ169" s="161"/>
      <c r="AK169" s="161"/>
      <c r="AL169" s="161"/>
    </row>
    <row r="170" ht="28" customHeight="1" spans="1:38">
      <c r="A170" s="57" t="s">
        <v>821</v>
      </c>
      <c r="B170" s="88">
        <v>85</v>
      </c>
      <c r="C170" s="88"/>
      <c r="D170" s="88"/>
      <c r="E170" s="88" t="s">
        <v>822</v>
      </c>
      <c r="F170" s="88"/>
      <c r="G170" s="88"/>
      <c r="H170" s="162"/>
      <c r="I170" s="163" t="s">
        <v>823</v>
      </c>
      <c r="J170" s="88"/>
      <c r="K170" s="88"/>
      <c r="L170" s="88"/>
    </row>
    <row r="171" ht="28" customHeight="1" spans="1:38">
      <c r="A171" s="57" t="s">
        <v>824</v>
      </c>
      <c r="B171" s="88" t="s">
        <v>825</v>
      </c>
      <c r="C171" s="88"/>
      <c r="D171" s="88"/>
      <c r="E171" s="88" t="s">
        <v>826</v>
      </c>
      <c r="F171" s="88"/>
      <c r="G171" s="88"/>
      <c r="H171" s="162"/>
      <c r="I171" s="163" t="s">
        <v>827</v>
      </c>
      <c r="J171" s="88"/>
      <c r="K171" s="88"/>
      <c r="L171" s="88"/>
    </row>
    <row r="172" ht="28" customHeight="1" spans="1:38">
      <c r="A172" s="57" t="s">
        <v>828</v>
      </c>
      <c r="B172" s="88" t="s">
        <v>829</v>
      </c>
      <c r="C172" s="88"/>
      <c r="D172" s="88"/>
      <c r="E172" s="88" t="s">
        <v>826</v>
      </c>
      <c r="F172" s="88"/>
      <c r="G172" s="88"/>
      <c r="H172" s="162"/>
      <c r="I172" s="163" t="s">
        <v>830</v>
      </c>
      <c r="J172" s="88"/>
      <c r="K172" s="88"/>
      <c r="L172" s="88"/>
    </row>
    <row r="173" ht="28" customHeight="1" spans="1:38">
      <c r="A173" s="57" t="s">
        <v>831</v>
      </c>
      <c r="B173" s="88">
        <v>20</v>
      </c>
      <c r="C173" s="88"/>
      <c r="D173" s="88"/>
      <c r="E173" s="88" t="s">
        <v>832</v>
      </c>
      <c r="F173" s="88"/>
      <c r="G173" s="88"/>
      <c r="H173" s="162"/>
      <c r="I173" s="163" t="s">
        <v>833</v>
      </c>
      <c r="J173" s="88"/>
      <c r="K173" s="88"/>
      <c r="L173" s="88"/>
    </row>
    <row r="174" ht="28" customHeight="1" spans="1:38">
      <c r="A174" s="57" t="s">
        <v>834</v>
      </c>
      <c r="B174" s="88">
        <v>75</v>
      </c>
      <c r="C174" s="88"/>
      <c r="D174" s="88"/>
      <c r="E174" s="88" t="s">
        <v>835</v>
      </c>
      <c r="F174" s="88"/>
      <c r="G174" s="88"/>
      <c r="H174" s="162"/>
      <c r="I174" s="163" t="s">
        <v>836</v>
      </c>
      <c r="J174" s="88"/>
      <c r="K174" s="88"/>
      <c r="L174" s="88"/>
    </row>
    <row r="175" ht="28" customHeight="1" spans="1:38">
      <c r="A175" s="57" t="s">
        <v>837</v>
      </c>
      <c r="B175" s="131" t="s">
        <v>838</v>
      </c>
      <c r="C175" s="131"/>
      <c r="D175" s="131"/>
      <c r="E175" s="131" t="s">
        <v>835</v>
      </c>
      <c r="F175" s="131"/>
      <c r="G175" s="131"/>
      <c r="H175" s="164"/>
      <c r="I175" s="165" t="s">
        <v>839</v>
      </c>
      <c r="J175" s="131"/>
      <c r="K175" s="131"/>
      <c r="L175" s="131"/>
    </row>
    <row r="176" ht="89" customHeight="1" spans="1:38">
      <c r="A176" s="37" t="s">
        <v>840</v>
      </c>
      <c r="B176" s="134" t="s">
        <v>1153</v>
      </c>
      <c r="C176" s="134"/>
      <c r="D176" s="134"/>
      <c r="E176" s="134"/>
      <c r="F176" s="134"/>
      <c r="G176" s="134"/>
      <c r="H176" s="134"/>
      <c r="I176" s="134"/>
      <c r="J176" s="134"/>
      <c r="K176" s="134"/>
      <c r="L176" s="134"/>
    </row>
    <row r="177" ht="89" customHeight="1" spans="1:12">
      <c r="A177" s="37" t="s">
        <v>842</v>
      </c>
      <c r="B177" s="134" t="s">
        <v>843</v>
      </c>
      <c r="C177" s="134"/>
      <c r="D177" s="134"/>
      <c r="E177" s="134"/>
      <c r="F177" s="134"/>
      <c r="G177" s="134"/>
      <c r="H177" s="134"/>
      <c r="I177" s="134"/>
      <c r="J177" s="134"/>
      <c r="K177" s="134"/>
      <c r="L177" s="134"/>
    </row>
  </sheetData>
  <mergeCells count="679">
    <mergeCell ref="A1:AB1"/>
    <mergeCell ref="A2:AB2"/>
    <mergeCell ref="A3:H3"/>
    <mergeCell ref="I3:N3"/>
    <mergeCell ref="O3:T3"/>
    <mergeCell ref="U3:AB3"/>
    <mergeCell ref="C4:D4"/>
    <mergeCell ref="E4:F4"/>
    <mergeCell ref="I4:J4"/>
    <mergeCell ref="K4:L4"/>
    <mergeCell ref="O4:P4"/>
    <mergeCell ref="Q4:R4"/>
    <mergeCell ref="W4:X4"/>
    <mergeCell ref="Y4:Z4"/>
    <mergeCell ref="A58:AB58"/>
    <mergeCell ref="A59:B59"/>
    <mergeCell ref="C59:L59"/>
    <mergeCell ref="M59:T59"/>
    <mergeCell ref="U59:AB59"/>
    <mergeCell ref="A60:B60"/>
    <mergeCell ref="C60:L60"/>
    <mergeCell ref="M60:T60"/>
    <mergeCell ref="U60:AB60"/>
    <mergeCell ref="A61:B61"/>
    <mergeCell ref="C61:L61"/>
    <mergeCell ref="M61:T61"/>
    <mergeCell ref="U61:AB61"/>
    <mergeCell ref="A62:B62"/>
    <mergeCell ref="C62:L62"/>
    <mergeCell ref="M62:T62"/>
    <mergeCell ref="U62:AB62"/>
    <mergeCell ref="A63:B63"/>
    <mergeCell ref="C63:L63"/>
    <mergeCell ref="M63:T63"/>
    <mergeCell ref="U63:AB63"/>
    <mergeCell ref="A64:B64"/>
    <mergeCell ref="C64:L64"/>
    <mergeCell ref="M64:T64"/>
    <mergeCell ref="U64:AB64"/>
    <mergeCell ref="A65:B65"/>
    <mergeCell ref="C65:L65"/>
    <mergeCell ref="M65:T65"/>
    <mergeCell ref="U65:AB65"/>
    <mergeCell ref="B66:AB66"/>
    <mergeCell ref="B67:AB67"/>
    <mergeCell ref="A68:AB68"/>
    <mergeCell ref="A69:H69"/>
    <mergeCell ref="I69:N69"/>
    <mergeCell ref="O69:T69"/>
    <mergeCell ref="C70:D70"/>
    <mergeCell ref="E70:F70"/>
    <mergeCell ref="I70:J70"/>
    <mergeCell ref="K70:L70"/>
    <mergeCell ref="O70:P70"/>
    <mergeCell ref="Q70:R70"/>
    <mergeCell ref="A92:B92"/>
    <mergeCell ref="C92:H92"/>
    <mergeCell ref="I92:N92"/>
    <mergeCell ref="O92:T92"/>
    <mergeCell ref="A93:B93"/>
    <mergeCell ref="C93:H93"/>
    <mergeCell ref="I93:N93"/>
    <mergeCell ref="O93:T93"/>
    <mergeCell ref="A94:B94"/>
    <mergeCell ref="C94:H94"/>
    <mergeCell ref="I94:N94"/>
    <mergeCell ref="O94:T94"/>
    <mergeCell ref="A95:B95"/>
    <mergeCell ref="C95:H95"/>
    <mergeCell ref="I95:N95"/>
    <mergeCell ref="O95:T95"/>
    <mergeCell ref="A96:B96"/>
    <mergeCell ref="C96:H96"/>
    <mergeCell ref="I96:N96"/>
    <mergeCell ref="O96:T96"/>
    <mergeCell ref="A97:B97"/>
    <mergeCell ref="C97:H97"/>
    <mergeCell ref="I97:N97"/>
    <mergeCell ref="O97:T97"/>
    <mergeCell ref="A98:B98"/>
    <mergeCell ref="C98:H98"/>
    <mergeCell ref="I98:N98"/>
    <mergeCell ref="O98:T98"/>
    <mergeCell ref="B99:T99"/>
    <mergeCell ref="B100:T100"/>
    <mergeCell ref="A101:T101"/>
    <mergeCell ref="A102:H102"/>
    <mergeCell ref="I102:N102"/>
    <mergeCell ref="C103:D103"/>
    <mergeCell ref="E103:F103"/>
    <mergeCell ref="I103:J103"/>
    <mergeCell ref="K103:L103"/>
    <mergeCell ref="A117:B117"/>
    <mergeCell ref="C117:D117"/>
    <mergeCell ref="E117:F117"/>
    <mergeCell ref="G117:H117"/>
    <mergeCell ref="A118:B118"/>
    <mergeCell ref="C118:D118"/>
    <mergeCell ref="E118:F118"/>
    <mergeCell ref="G118:H118"/>
    <mergeCell ref="A119:B119"/>
    <mergeCell ref="C119:D119"/>
    <mergeCell ref="E119:F119"/>
    <mergeCell ref="G119:H119"/>
    <mergeCell ref="A120:B120"/>
    <mergeCell ref="C120:D120"/>
    <mergeCell ref="E120:F120"/>
    <mergeCell ref="G120:H120"/>
    <mergeCell ref="A121:B121"/>
    <mergeCell ref="C121:D121"/>
    <mergeCell ref="E121:F121"/>
    <mergeCell ref="G121:H121"/>
    <mergeCell ref="A122:B122"/>
    <mergeCell ref="C122:D122"/>
    <mergeCell ref="E122:F122"/>
    <mergeCell ref="G122:H122"/>
    <mergeCell ref="A123:B123"/>
    <mergeCell ref="C123:D123"/>
    <mergeCell ref="E123:F123"/>
    <mergeCell ref="G123:H123"/>
    <mergeCell ref="B124:H124"/>
    <mergeCell ref="B125:H125"/>
    <mergeCell ref="A126:H126"/>
    <mergeCell ref="A127:H127"/>
    <mergeCell ref="C128:D128"/>
    <mergeCell ref="E128:F128"/>
    <mergeCell ref="B138:C138"/>
    <mergeCell ref="D138:E138"/>
    <mergeCell ref="F138:H138"/>
    <mergeCell ref="B139:C139"/>
    <mergeCell ref="D139:E139"/>
    <mergeCell ref="F139:H139"/>
    <mergeCell ref="B140:C140"/>
    <mergeCell ref="D140:E140"/>
    <mergeCell ref="F140:H140"/>
    <mergeCell ref="B141:C141"/>
    <mergeCell ref="D141:E141"/>
    <mergeCell ref="F141:H141"/>
    <mergeCell ref="B142:C142"/>
    <mergeCell ref="D142:E142"/>
    <mergeCell ref="F142:H142"/>
    <mergeCell ref="B143:C143"/>
    <mergeCell ref="D143:E143"/>
    <mergeCell ref="F143:H143"/>
    <mergeCell ref="B144:C144"/>
    <mergeCell ref="D144:E144"/>
    <mergeCell ref="F144:H144"/>
    <mergeCell ref="B145:H145"/>
    <mergeCell ref="B146:H146"/>
    <mergeCell ref="A149:L149"/>
    <mergeCell ref="C150:F150"/>
    <mergeCell ref="G150:J150"/>
    <mergeCell ref="B169:D169"/>
    <mergeCell ref="E169:H169"/>
    <mergeCell ref="I169:L169"/>
    <mergeCell ref="B170:D170"/>
    <mergeCell ref="E170:H170"/>
    <mergeCell ref="I170:L170"/>
    <mergeCell ref="B171:D171"/>
    <mergeCell ref="E171:H171"/>
    <mergeCell ref="I171:L171"/>
    <mergeCell ref="B172:D172"/>
    <mergeCell ref="E172:H172"/>
    <mergeCell ref="I172:L172"/>
    <mergeCell ref="B173:D173"/>
    <mergeCell ref="E173:H173"/>
    <mergeCell ref="I173:L173"/>
    <mergeCell ref="B174:D174"/>
    <mergeCell ref="E174:H174"/>
    <mergeCell ref="I174:L174"/>
    <mergeCell ref="B175:D175"/>
    <mergeCell ref="E175:H175"/>
    <mergeCell ref="I175:L175"/>
    <mergeCell ref="B176:L176"/>
    <mergeCell ref="B177:L177"/>
    <mergeCell ref="A4:A5"/>
    <mergeCell ref="A70:A71"/>
    <mergeCell ref="A103:A104"/>
    <mergeCell ref="A128:A129"/>
    <mergeCell ref="A150:A151"/>
    <mergeCell ref="B4:B5"/>
    <mergeCell ref="B70:B71"/>
    <mergeCell ref="B103:B104"/>
    <mergeCell ref="B128:B129"/>
    <mergeCell ref="B150:B151"/>
    <mergeCell ref="G4:G5"/>
    <mergeCell ref="G70:G71"/>
    <mergeCell ref="G103:G104"/>
    <mergeCell ref="G128:G129"/>
    <mergeCell ref="H4:H5"/>
    <mergeCell ref="H70:H71"/>
    <mergeCell ref="H103:H104"/>
    <mergeCell ref="H128:H129"/>
    <mergeCell ref="I128:I129"/>
    <mergeCell ref="J128:J129"/>
    <mergeCell ref="K128:K129"/>
    <mergeCell ref="K150:K151"/>
    <mergeCell ref="L128:L129"/>
    <mergeCell ref="L150:L151"/>
    <mergeCell ref="M4:M5"/>
    <mergeCell ref="M70:M71"/>
    <mergeCell ref="M103:M104"/>
    <mergeCell ref="M128:M129"/>
    <mergeCell ref="M150:M151"/>
    <mergeCell ref="N4:N5"/>
    <mergeCell ref="N70:N71"/>
    <mergeCell ref="N103:N104"/>
    <mergeCell ref="N128:N129"/>
    <mergeCell ref="N150:N151"/>
    <mergeCell ref="O103:O104"/>
    <mergeCell ref="O128:O129"/>
    <mergeCell ref="O150:O151"/>
    <mergeCell ref="P103:P104"/>
    <mergeCell ref="P128:P129"/>
    <mergeCell ref="P150:P151"/>
    <mergeCell ref="Q103:Q104"/>
    <mergeCell ref="Q128:Q129"/>
    <mergeCell ref="Q150:Q151"/>
    <mergeCell ref="R103:R104"/>
    <mergeCell ref="R128:R129"/>
    <mergeCell ref="R150:R151"/>
    <mergeCell ref="S4:S5"/>
    <mergeCell ref="S70:S71"/>
    <mergeCell ref="S103:S104"/>
    <mergeCell ref="S128:S129"/>
    <mergeCell ref="S150:S151"/>
    <mergeCell ref="T4:T5"/>
    <mergeCell ref="T70:T71"/>
    <mergeCell ref="T103:T104"/>
    <mergeCell ref="T128:T129"/>
    <mergeCell ref="T150:T151"/>
    <mergeCell ref="U4:U5"/>
    <mergeCell ref="U70:U71"/>
    <mergeCell ref="U103:U104"/>
    <mergeCell ref="U128:U129"/>
    <mergeCell ref="U150:U151"/>
    <mergeCell ref="V4:V5"/>
    <mergeCell ref="V70:V71"/>
    <mergeCell ref="V103:V104"/>
    <mergeCell ref="V128:V129"/>
    <mergeCell ref="V150:V151"/>
    <mergeCell ref="W70:W71"/>
    <mergeCell ref="W103:W104"/>
    <mergeCell ref="W128:W129"/>
    <mergeCell ref="W150:W151"/>
    <mergeCell ref="X70:X71"/>
    <mergeCell ref="X103:X104"/>
    <mergeCell ref="X128:X129"/>
    <mergeCell ref="X150:X151"/>
    <mergeCell ref="Y70:Y71"/>
    <mergeCell ref="Y103:Y104"/>
    <mergeCell ref="Y128:Y129"/>
    <mergeCell ref="Y150:Y151"/>
    <mergeCell ref="Z70:Z71"/>
    <mergeCell ref="Z103:Z104"/>
    <mergeCell ref="Z128:Z129"/>
    <mergeCell ref="Z150:Z151"/>
    <mergeCell ref="AA4:AA5"/>
    <mergeCell ref="AA70:AA71"/>
    <mergeCell ref="AA103:AA104"/>
    <mergeCell ref="AA128:AA129"/>
    <mergeCell ref="AA150:AA151"/>
    <mergeCell ref="AB4:AB5"/>
    <mergeCell ref="AB70:AB71"/>
    <mergeCell ref="AB103:AB104"/>
    <mergeCell ref="AB128:AB129"/>
    <mergeCell ref="AB150:AB151"/>
    <mergeCell ref="AC70:AC71"/>
    <mergeCell ref="AC103:AC104"/>
    <mergeCell ref="AC128:AC129"/>
    <mergeCell ref="AC150:AC151"/>
    <mergeCell ref="AD70:AD71"/>
    <mergeCell ref="AD103:AD104"/>
    <mergeCell ref="AD128:AD129"/>
    <mergeCell ref="AD150:AD151"/>
    <mergeCell ref="AE70:AE71"/>
    <mergeCell ref="AE103:AE104"/>
    <mergeCell ref="AE128:AE129"/>
    <mergeCell ref="AE150:AE151"/>
    <mergeCell ref="AF70:AF71"/>
    <mergeCell ref="AF103:AF104"/>
    <mergeCell ref="AF128:AF129"/>
    <mergeCell ref="AF150:AF151"/>
    <mergeCell ref="AG70:AG71"/>
    <mergeCell ref="AG103:AG104"/>
    <mergeCell ref="AG128:AG129"/>
    <mergeCell ref="AG150:AG151"/>
    <mergeCell ref="AH70:AH71"/>
    <mergeCell ref="AH103:AH104"/>
    <mergeCell ref="AH128:AH129"/>
    <mergeCell ref="AH150:AH151"/>
    <mergeCell ref="AI70:AI71"/>
    <mergeCell ref="AI103:AI104"/>
    <mergeCell ref="AI128:AI129"/>
    <mergeCell ref="AI150:AI151"/>
    <mergeCell ref="AJ70:AJ71"/>
    <mergeCell ref="AJ103:AJ104"/>
    <mergeCell ref="AJ128:AJ129"/>
    <mergeCell ref="AJ150:AJ151"/>
    <mergeCell ref="AK70:AK71"/>
    <mergeCell ref="AK103:AK104"/>
    <mergeCell ref="AK128:AK129"/>
    <mergeCell ref="AK150:AK151"/>
    <mergeCell ref="AL70:AL71"/>
    <mergeCell ref="AL103:AL104"/>
    <mergeCell ref="AL128:AL129"/>
    <mergeCell ref="AL150:AL151"/>
    <mergeCell ref="AM70:AM71"/>
    <mergeCell ref="AM103:AM104"/>
    <mergeCell ref="AM128:AM129"/>
    <mergeCell ref="AN70:AN71"/>
    <mergeCell ref="AN103:AN104"/>
    <mergeCell ref="AN128:AN129"/>
    <mergeCell ref="AO70:AO71"/>
    <mergeCell ref="AO103:AO104"/>
    <mergeCell ref="AO128:AO129"/>
    <mergeCell ref="AP70:AP71"/>
    <mergeCell ref="AP103:AP104"/>
    <mergeCell ref="AP128:AP129"/>
    <mergeCell ref="AQ70:AQ71"/>
    <mergeCell ref="AQ103:AQ104"/>
    <mergeCell ref="AQ128:AQ129"/>
    <mergeCell ref="AR70:AR71"/>
    <mergeCell ref="AR103:AR104"/>
    <mergeCell ref="AR128:AR129"/>
    <mergeCell ref="AS70:AS71"/>
    <mergeCell ref="AS103:AS104"/>
    <mergeCell ref="AS128:AS129"/>
    <mergeCell ref="AT70:AT71"/>
    <mergeCell ref="AT103:AT104"/>
    <mergeCell ref="AT128:AT129"/>
    <mergeCell ref="AU70:AU71"/>
    <mergeCell ref="AU103:AU104"/>
    <mergeCell ref="AU128:AU129"/>
    <mergeCell ref="AV70:AV71"/>
    <mergeCell ref="AV103:AV104"/>
    <mergeCell ref="AV128:AV129"/>
    <mergeCell ref="AW70:AW71"/>
    <mergeCell ref="AW103:AW104"/>
    <mergeCell ref="AW128:AW129"/>
    <mergeCell ref="AX70:AX71"/>
    <mergeCell ref="AX103:AX104"/>
    <mergeCell ref="AX128:AX129"/>
    <mergeCell ref="AY70:AY71"/>
    <mergeCell ref="AY103:AY104"/>
    <mergeCell ref="AY128:AY129"/>
    <mergeCell ref="AZ70:AZ71"/>
    <mergeCell ref="AZ103:AZ104"/>
    <mergeCell ref="AZ128:AZ129"/>
    <mergeCell ref="BA70:BA71"/>
    <mergeCell ref="BA103:BA104"/>
    <mergeCell ref="BA128:BA129"/>
    <mergeCell ref="BB70:BB71"/>
    <mergeCell ref="BB103:BB104"/>
    <mergeCell ref="BB128:BB129"/>
    <mergeCell ref="BC70:BC71"/>
    <mergeCell ref="BC103:BC104"/>
    <mergeCell ref="BC128:BC129"/>
    <mergeCell ref="BD70:BD71"/>
    <mergeCell ref="BD103:BD104"/>
    <mergeCell ref="BD128:BD129"/>
    <mergeCell ref="BE70:BE71"/>
    <mergeCell ref="BE103:BE104"/>
    <mergeCell ref="BE128:BE129"/>
    <mergeCell ref="BF70:BF71"/>
    <mergeCell ref="BF103:BF104"/>
    <mergeCell ref="BF128:BF129"/>
    <mergeCell ref="BG70:BG71"/>
    <mergeCell ref="BG103:BG104"/>
    <mergeCell ref="BG128:BG129"/>
    <mergeCell ref="BH70:BH71"/>
    <mergeCell ref="BH103:BH104"/>
    <mergeCell ref="BH128:BH129"/>
    <mergeCell ref="BI70:BI71"/>
    <mergeCell ref="BI103:BI104"/>
    <mergeCell ref="BI128:BI129"/>
    <mergeCell ref="BJ70:BJ71"/>
    <mergeCell ref="BJ103:BJ104"/>
    <mergeCell ref="BJ128:BJ129"/>
    <mergeCell ref="BK70:BK71"/>
    <mergeCell ref="BK103:BK104"/>
    <mergeCell ref="BK128:BK129"/>
    <mergeCell ref="BL70:BL71"/>
    <mergeCell ref="BL103:BL104"/>
    <mergeCell ref="BL128:BL129"/>
    <mergeCell ref="BM70:BM71"/>
    <mergeCell ref="BM103:BM104"/>
    <mergeCell ref="BM128:BM129"/>
    <mergeCell ref="BN70:BN71"/>
    <mergeCell ref="BN103:BN104"/>
    <mergeCell ref="BN128:BN129"/>
    <mergeCell ref="BO70:BO71"/>
    <mergeCell ref="BO103:BO104"/>
    <mergeCell ref="BO128:BO129"/>
    <mergeCell ref="BP70:BP71"/>
    <mergeCell ref="BP103:BP104"/>
    <mergeCell ref="BP128:BP129"/>
    <mergeCell ref="BQ70:BQ71"/>
    <mergeCell ref="BQ103:BQ104"/>
    <mergeCell ref="BQ128:BQ129"/>
    <mergeCell ref="BR70:BR71"/>
    <mergeCell ref="BR103:BR104"/>
    <mergeCell ref="BR128:BR129"/>
    <mergeCell ref="BS70:BS71"/>
    <mergeCell ref="BS103:BS104"/>
    <mergeCell ref="BS128:BS129"/>
    <mergeCell ref="BT70:BT71"/>
    <mergeCell ref="BT103:BT104"/>
    <mergeCell ref="BT128:BT129"/>
    <mergeCell ref="BU70:BU71"/>
    <mergeCell ref="BU103:BU104"/>
    <mergeCell ref="BU128:BU129"/>
    <mergeCell ref="BV70:BV71"/>
    <mergeCell ref="BV103:BV104"/>
    <mergeCell ref="BV128:BV129"/>
    <mergeCell ref="BW70:BW71"/>
    <mergeCell ref="BW103:BW104"/>
    <mergeCell ref="BW128:BW129"/>
    <mergeCell ref="BX70:BX71"/>
    <mergeCell ref="BX103:BX104"/>
    <mergeCell ref="BX128:BX129"/>
    <mergeCell ref="BY70:BY71"/>
    <mergeCell ref="BY103:BY104"/>
    <mergeCell ref="BY128:BY129"/>
    <mergeCell ref="BZ70:BZ71"/>
    <mergeCell ref="BZ103:BZ104"/>
    <mergeCell ref="BZ128:BZ129"/>
    <mergeCell ref="CA70:CA71"/>
    <mergeCell ref="CA103:CA104"/>
    <mergeCell ref="CA128:CA129"/>
    <mergeCell ref="CB70:CB71"/>
    <mergeCell ref="CB103:CB104"/>
    <mergeCell ref="CB128:CB129"/>
    <mergeCell ref="CC70:CC71"/>
    <mergeCell ref="CC103:CC104"/>
    <mergeCell ref="CC128:CC129"/>
    <mergeCell ref="CD70:CD71"/>
    <mergeCell ref="CD103:CD104"/>
    <mergeCell ref="CD128:CD129"/>
    <mergeCell ref="CE70:CE71"/>
    <mergeCell ref="CE103:CE104"/>
    <mergeCell ref="CE128:CE129"/>
    <mergeCell ref="CF70:CF71"/>
    <mergeCell ref="CF103:CF104"/>
    <mergeCell ref="CF128:CF129"/>
    <mergeCell ref="CG70:CG71"/>
    <mergeCell ref="CG103:CG104"/>
    <mergeCell ref="CG128:CG129"/>
    <mergeCell ref="CH70:CH71"/>
    <mergeCell ref="CH103:CH104"/>
    <mergeCell ref="CH128:CH129"/>
    <mergeCell ref="CI70:CI71"/>
    <mergeCell ref="CI103:CI104"/>
    <mergeCell ref="CI128:CI129"/>
    <mergeCell ref="CJ70:CJ71"/>
    <mergeCell ref="CJ103:CJ104"/>
    <mergeCell ref="CJ128:CJ129"/>
    <mergeCell ref="CK70:CK71"/>
    <mergeCell ref="CK103:CK104"/>
    <mergeCell ref="CK128:CK129"/>
    <mergeCell ref="CL70:CL71"/>
    <mergeCell ref="CL128:CL129"/>
    <mergeCell ref="CM70:CM71"/>
    <mergeCell ref="CM128:CM129"/>
    <mergeCell ref="CN70:CN71"/>
    <mergeCell ref="CN128:CN129"/>
    <mergeCell ref="CO70:CO71"/>
    <mergeCell ref="CO128:CO129"/>
    <mergeCell ref="CP70:CP71"/>
    <mergeCell ref="CP128:CP129"/>
    <mergeCell ref="CQ70:CQ71"/>
    <mergeCell ref="CQ128:CQ129"/>
    <mergeCell ref="CR70:CR71"/>
    <mergeCell ref="CR128:CR129"/>
    <mergeCell ref="CS70:CS71"/>
    <mergeCell ref="CS128:CS129"/>
    <mergeCell ref="CT70:CT71"/>
    <mergeCell ref="CT128:CT129"/>
    <mergeCell ref="CU70:CU71"/>
    <mergeCell ref="CU128:CU129"/>
    <mergeCell ref="CV70:CV71"/>
    <mergeCell ref="CV128:CV129"/>
    <mergeCell ref="CW70:CW71"/>
    <mergeCell ref="CW128:CW129"/>
    <mergeCell ref="CX70:CX71"/>
    <mergeCell ref="CX128:CX129"/>
    <mergeCell ref="CY70:CY71"/>
    <mergeCell ref="CZ70:CZ71"/>
    <mergeCell ref="DA70:DA71"/>
    <mergeCell ref="DB70:DB71"/>
    <mergeCell ref="DC70:DC71"/>
    <mergeCell ref="DD70:DD71"/>
    <mergeCell ref="DE70:DE71"/>
    <mergeCell ref="DF70:DF71"/>
    <mergeCell ref="DG70:DG71"/>
    <mergeCell ref="DH70:DH71"/>
    <mergeCell ref="DI70:DI71"/>
    <mergeCell ref="DJ70:DJ71"/>
    <mergeCell ref="DK70:DK71"/>
    <mergeCell ref="DL70:DL71"/>
    <mergeCell ref="DM70:DM71"/>
    <mergeCell ref="DN70:DN71"/>
    <mergeCell ref="DO70:DO71"/>
    <mergeCell ref="DP70:DP71"/>
    <mergeCell ref="DQ70:DQ71"/>
    <mergeCell ref="DR70:DR71"/>
    <mergeCell ref="DS70:DS71"/>
    <mergeCell ref="DT70:DT71"/>
    <mergeCell ref="DU70:DU71"/>
    <mergeCell ref="DV70:DV71"/>
    <mergeCell ref="DW70:DW71"/>
    <mergeCell ref="DX70:DX71"/>
    <mergeCell ref="DY70:DY71"/>
    <mergeCell ref="DZ70:DZ71"/>
    <mergeCell ref="EA70:EA71"/>
    <mergeCell ref="EB70:EB71"/>
    <mergeCell ref="EC70:EC71"/>
    <mergeCell ref="ED70:ED71"/>
    <mergeCell ref="EE70:EE71"/>
    <mergeCell ref="EF70:EF71"/>
    <mergeCell ref="EG70:EG71"/>
    <mergeCell ref="EH70:EH71"/>
    <mergeCell ref="EI70:EI71"/>
    <mergeCell ref="EJ70:EJ71"/>
    <mergeCell ref="EK70:EK71"/>
    <mergeCell ref="EL70:EL71"/>
    <mergeCell ref="EM70:EM71"/>
    <mergeCell ref="EN70:EN71"/>
    <mergeCell ref="EO70:EO71"/>
    <mergeCell ref="EP70:EP71"/>
    <mergeCell ref="EQ70:EQ71"/>
    <mergeCell ref="ER70:ER71"/>
    <mergeCell ref="ES70:ES71"/>
    <mergeCell ref="ET70:ET71"/>
    <mergeCell ref="EU70:EU71"/>
    <mergeCell ref="EV70:EV71"/>
    <mergeCell ref="EW70:EW71"/>
    <mergeCell ref="EX70:EX71"/>
    <mergeCell ref="EY70:EY71"/>
    <mergeCell ref="EZ70:EZ71"/>
    <mergeCell ref="FA70:FA71"/>
    <mergeCell ref="FB70:FB71"/>
    <mergeCell ref="FC70:FC71"/>
    <mergeCell ref="FD70:FD71"/>
    <mergeCell ref="FE70:FE71"/>
    <mergeCell ref="FF70:FF71"/>
    <mergeCell ref="FG70:FG71"/>
    <mergeCell ref="FH70:FH71"/>
    <mergeCell ref="FI70:FI71"/>
    <mergeCell ref="FJ70:FJ71"/>
    <mergeCell ref="FK70:FK71"/>
    <mergeCell ref="FL70:FL71"/>
    <mergeCell ref="FM70:FM71"/>
    <mergeCell ref="FN70:FN71"/>
    <mergeCell ref="FO70:FO71"/>
    <mergeCell ref="FP70:FP71"/>
    <mergeCell ref="FQ70:FQ71"/>
    <mergeCell ref="FR70:FR71"/>
    <mergeCell ref="FS70:FS71"/>
    <mergeCell ref="FT70:FT71"/>
    <mergeCell ref="FU70:FU71"/>
    <mergeCell ref="FV70:FV71"/>
    <mergeCell ref="FW70:FW71"/>
    <mergeCell ref="FX70:FX71"/>
    <mergeCell ref="FY70:FY71"/>
    <mergeCell ref="FZ70:FZ71"/>
    <mergeCell ref="GA70:GA71"/>
    <mergeCell ref="GB70:GB71"/>
    <mergeCell ref="GC70:GC71"/>
    <mergeCell ref="GD70:GD71"/>
    <mergeCell ref="GE70:GE71"/>
    <mergeCell ref="GF70:GF71"/>
    <mergeCell ref="GG70:GG71"/>
    <mergeCell ref="GH70:GH71"/>
    <mergeCell ref="GI70:GI71"/>
    <mergeCell ref="GJ70:GJ71"/>
    <mergeCell ref="GK70:GK71"/>
    <mergeCell ref="GL70:GL71"/>
    <mergeCell ref="GM70:GM71"/>
    <mergeCell ref="GN70:GN71"/>
    <mergeCell ref="GO70:GO71"/>
    <mergeCell ref="GP70:GP71"/>
    <mergeCell ref="GQ70:GQ71"/>
    <mergeCell ref="GR70:GR71"/>
    <mergeCell ref="GS70:GS71"/>
    <mergeCell ref="GT70:GT71"/>
    <mergeCell ref="GU70:GU71"/>
    <mergeCell ref="GV70:GV71"/>
    <mergeCell ref="GW70:GW71"/>
    <mergeCell ref="GX70:GX71"/>
    <mergeCell ref="GY70:GY71"/>
    <mergeCell ref="GZ70:GZ71"/>
    <mergeCell ref="HA70:HA71"/>
    <mergeCell ref="HB70:HB71"/>
    <mergeCell ref="HC70:HC71"/>
    <mergeCell ref="HD70:HD71"/>
    <mergeCell ref="HE70:HE71"/>
    <mergeCell ref="HF70:HF71"/>
    <mergeCell ref="HG70:HG71"/>
    <mergeCell ref="HH70:HH71"/>
    <mergeCell ref="HI70:HI71"/>
    <mergeCell ref="HJ70:HJ71"/>
    <mergeCell ref="HK70:HK71"/>
    <mergeCell ref="HL70:HL71"/>
    <mergeCell ref="HM70:HM71"/>
    <mergeCell ref="HN70:HN71"/>
    <mergeCell ref="HO70:HO71"/>
    <mergeCell ref="HP70:HP71"/>
    <mergeCell ref="HQ70:HQ71"/>
    <mergeCell ref="HR70:HR71"/>
    <mergeCell ref="HS70:HS71"/>
    <mergeCell ref="HT70:HT71"/>
    <mergeCell ref="HU70:HU71"/>
    <mergeCell ref="HV70:HV71"/>
    <mergeCell ref="HW70:HW71"/>
    <mergeCell ref="HX70:HX71"/>
    <mergeCell ref="HY70:HY71"/>
    <mergeCell ref="HZ70:HZ71"/>
    <mergeCell ref="IA70:IA71"/>
    <mergeCell ref="IB70:IB71"/>
    <mergeCell ref="IC70:IC71"/>
    <mergeCell ref="ID70:ID71"/>
    <mergeCell ref="IE70:IE71"/>
    <mergeCell ref="IF70:IF71"/>
    <mergeCell ref="IG70:IG71"/>
    <mergeCell ref="IH70:IH71"/>
    <mergeCell ref="II70:II71"/>
    <mergeCell ref="IJ70:IJ71"/>
    <mergeCell ref="IK70:IK71"/>
    <mergeCell ref="IL70:IL71"/>
    <mergeCell ref="IM70:IM71"/>
    <mergeCell ref="IN70:IN71"/>
    <mergeCell ref="IO70:IO71"/>
    <mergeCell ref="IP70:IP71"/>
    <mergeCell ref="IQ70:IQ71"/>
    <mergeCell ref="IR70:IR71"/>
    <mergeCell ref="IS70:IS71"/>
    <mergeCell ref="IT70:IT71"/>
    <mergeCell ref="IU70:IU71"/>
    <mergeCell ref="IV70:IV71"/>
    <mergeCell ref="IW70:IW71"/>
    <mergeCell ref="IX70:IX71"/>
    <mergeCell ref="IY70:IY71"/>
    <mergeCell ref="IZ70:IZ71"/>
    <mergeCell ref="JA70:JA71"/>
    <mergeCell ref="JB70:JB71"/>
    <mergeCell ref="JC70:JC71"/>
    <mergeCell ref="JD70:JD71"/>
    <mergeCell ref="JE70:JE71"/>
    <mergeCell ref="JF70:JF71"/>
    <mergeCell ref="JG70:JG71"/>
    <mergeCell ref="JH70:JH71"/>
    <mergeCell ref="JI70:JI71"/>
    <mergeCell ref="JJ70:JJ71"/>
    <mergeCell ref="JK70:JK71"/>
    <mergeCell ref="JL70:JL71"/>
    <mergeCell ref="JM70:JM71"/>
    <mergeCell ref="JN70:JN71"/>
    <mergeCell ref="JO70:JO71"/>
    <mergeCell ref="JP70:JP71"/>
    <mergeCell ref="JQ70:JQ71"/>
    <mergeCell ref="JR70:JR71"/>
    <mergeCell ref="JS70:JS71"/>
    <mergeCell ref="JT70:JT71"/>
    <mergeCell ref="JU70:JU71"/>
    <mergeCell ref="JV70:JV71"/>
    <mergeCell ref="JW70:JW71"/>
    <mergeCell ref="JX70:JX71"/>
    <mergeCell ref="JY70:JY71"/>
    <mergeCell ref="JZ70:JZ71"/>
    <mergeCell ref="KA70:KA71"/>
    <mergeCell ref="KB70:KB71"/>
    <mergeCell ref="KC70:KC71"/>
    <mergeCell ref="KD70:KD71"/>
    <mergeCell ref="KE70:KE71"/>
    <mergeCell ref="KF70:KF71"/>
    <mergeCell ref="KG70:KG71"/>
    <mergeCell ref="KH70:KH71"/>
    <mergeCell ref="KI70:KI71"/>
  </mergeCells>
  <conditionalFormatting sqref="A98">
    <cfRule type="duplicateValues" dxfId="3" priority="61"/>
  </conditionalFormatting>
  <conditionalFormatting sqref="A117">
    <cfRule type="duplicateValues" dxfId="3" priority="36"/>
  </conditionalFormatting>
  <conditionalFormatting sqref="A118">
    <cfRule type="duplicateValues" dxfId="3" priority="35"/>
  </conditionalFormatting>
  <conditionalFormatting sqref="A119">
    <cfRule type="duplicateValues" dxfId="3" priority="34"/>
  </conditionalFormatting>
  <conditionalFormatting sqref="A120">
    <cfRule type="duplicateValues" dxfId="3" priority="33"/>
  </conditionalFormatting>
  <conditionalFormatting sqref="A121">
    <cfRule type="duplicateValues" dxfId="3" priority="32"/>
  </conditionalFormatting>
  <conditionalFormatting sqref="A122">
    <cfRule type="duplicateValues" dxfId="3" priority="31"/>
  </conditionalFormatting>
  <conditionalFormatting sqref="A123">
    <cfRule type="duplicateValues" dxfId="3" priority="30"/>
  </conditionalFormatting>
  <conditionalFormatting sqref="A175">
    <cfRule type="duplicateValues" dxfId="3" priority="1"/>
  </conditionalFormatting>
  <conditionalFormatting sqref="A92:A93">
    <cfRule type="duplicateValues" dxfId="3" priority="64"/>
  </conditionalFormatting>
  <conditionalFormatting sqref="A94:A95">
    <cfRule type="duplicateValues" dxfId="3" priority="63"/>
  </conditionalFormatting>
  <conditionalFormatting sqref="A96:A97">
    <cfRule type="duplicateValues" dxfId="3" priority="62"/>
  </conditionalFormatting>
  <conditionalFormatting sqref="A99:A100">
    <cfRule type="duplicateValues" dxfId="3" priority="25"/>
  </conditionalFormatting>
  <conditionalFormatting sqref="A138:A139">
    <cfRule type="duplicateValues" dxfId="3" priority="29"/>
  </conditionalFormatting>
  <conditionalFormatting sqref="A140:A141">
    <cfRule type="duplicateValues" dxfId="3" priority="28"/>
  </conditionalFormatting>
  <conditionalFormatting sqref="A142:A143">
    <cfRule type="duplicateValues" dxfId="3" priority="27"/>
  </conditionalFormatting>
  <conditionalFormatting sqref="A169:A170">
    <cfRule type="duplicateValues" dxfId="3" priority="5"/>
  </conditionalFormatting>
  <conditionalFormatting sqref="A171:A172">
    <cfRule type="duplicateValues" dxfId="3" priority="4"/>
  </conditionalFormatting>
  <conditionalFormatting sqref="A173:A174">
    <cfRule type="duplicateValues" dxfId="3" priority="3"/>
  </conditionalFormatting>
  <conditionalFormatting sqref="A144 A147">
    <cfRule type="duplicateValues" dxfId="3" priority="26"/>
  </conditionalFormatting>
  <pageMargins left="0.75" right="0.75" top="1" bottom="1" header="0.5" footer="0.5"/>
  <headerFooter/>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E160"/>
  <sheetViews>
    <sheetView zoomScale="70" zoomScaleNormal="70" workbookViewId="0">
      <pane ySplit="2" topLeftCell="A51" activePane="bottomLeft" state="frozen"/>
      <selection/>
      <selection pane="bottomLeft" activeCell="E51" sqref="E51"/>
    </sheetView>
  </sheetViews>
  <sheetFormatPr defaultColWidth="9" defaultRowHeight="15" outlineLevelCol="4"/>
  <cols>
    <col min="1" max="1" width="9.875" style="3" customWidth="1"/>
    <col min="2" max="3" width="21.2583333333333" style="3" customWidth="1"/>
    <col min="4" max="4" width="51.875" style="3" customWidth="1"/>
    <col min="5" max="5" width="151.783333333333" style="4" customWidth="1"/>
    <col min="6" max="16384" width="9" style="1"/>
  </cols>
  <sheetData>
    <row r="1" s="1" customFormat="1" ht="24.75" spans="1:5">
      <c r="A1" s="5" t="s">
        <v>1179</v>
      </c>
      <c r="B1" s="5"/>
      <c r="C1" s="5"/>
      <c r="D1" s="5"/>
      <c r="E1" s="5"/>
    </row>
    <row r="2" s="2" customFormat="1" ht="18" spans="1:5">
      <c r="A2" s="6" t="s">
        <v>1180</v>
      </c>
      <c r="B2" s="7" t="s">
        <v>1181</v>
      </c>
      <c r="C2" s="7" t="s">
        <v>1182</v>
      </c>
      <c r="D2" s="7" t="s">
        <v>1183</v>
      </c>
      <c r="E2" s="8" t="s">
        <v>1184</v>
      </c>
    </row>
    <row r="3" s="1" customFormat="1" ht="30" spans="1:5">
      <c r="A3" s="9" t="s">
        <v>1185</v>
      </c>
      <c r="B3" s="10" t="s">
        <v>1186</v>
      </c>
      <c r="C3" s="11" t="s">
        <v>1187</v>
      </c>
      <c r="D3" s="12" t="s">
        <v>1188</v>
      </c>
      <c r="E3" s="13" t="s">
        <v>1189</v>
      </c>
    </row>
    <row r="4" s="1" customFormat="1" ht="100.5" spans="1:5">
      <c r="A4" s="14" t="s">
        <v>1190</v>
      </c>
      <c r="B4" s="15" t="s">
        <v>1191</v>
      </c>
      <c r="C4" s="16" t="s">
        <v>1192</v>
      </c>
      <c r="D4" s="17" t="s">
        <v>1193</v>
      </c>
      <c r="E4" s="18" t="s">
        <v>1194</v>
      </c>
    </row>
    <row r="5" s="1" customFormat="1" ht="94.5" spans="1:5">
      <c r="A5" s="14" t="s">
        <v>1195</v>
      </c>
      <c r="B5" s="15" t="s">
        <v>1196</v>
      </c>
      <c r="C5" s="16" t="s">
        <v>1197</v>
      </c>
      <c r="D5" s="17" t="s">
        <v>1198</v>
      </c>
      <c r="E5" s="18" t="s">
        <v>1199</v>
      </c>
    </row>
    <row r="6" s="1" customFormat="1" ht="60" spans="1:5">
      <c r="A6" s="14" t="s">
        <v>1200</v>
      </c>
      <c r="B6" s="15" t="s">
        <v>1201</v>
      </c>
      <c r="C6" s="16" t="s">
        <v>1202</v>
      </c>
      <c r="D6" s="17" t="s">
        <v>1203</v>
      </c>
      <c r="E6" s="18" t="s">
        <v>1204</v>
      </c>
    </row>
    <row r="7" s="1" customFormat="1" spans="1:5">
      <c r="A7" s="14" t="s">
        <v>1205</v>
      </c>
      <c r="B7" s="15" t="s">
        <v>1206</v>
      </c>
      <c r="C7" s="16" t="s">
        <v>1207</v>
      </c>
      <c r="D7" s="17" t="s">
        <v>1208</v>
      </c>
      <c r="E7" s="18" t="s">
        <v>1209</v>
      </c>
    </row>
    <row r="8" s="1" customFormat="1" ht="40.5" spans="1:5">
      <c r="A8" s="14" t="s">
        <v>1210</v>
      </c>
      <c r="B8" s="15" t="s">
        <v>1211</v>
      </c>
      <c r="C8" s="16" t="s">
        <v>1212</v>
      </c>
      <c r="D8" s="17" t="s">
        <v>1213</v>
      </c>
      <c r="E8" s="18" t="s">
        <v>1214</v>
      </c>
    </row>
    <row r="9" s="1" customFormat="1" ht="40.5" spans="1:5">
      <c r="A9" s="14" t="s">
        <v>1215</v>
      </c>
      <c r="B9" s="15" t="s">
        <v>1216</v>
      </c>
      <c r="C9" s="16" t="s">
        <v>1217</v>
      </c>
      <c r="D9" s="17" t="s">
        <v>1218</v>
      </c>
      <c r="E9" s="18" t="s">
        <v>1219</v>
      </c>
    </row>
    <row r="10" s="1" customFormat="1" spans="1:5">
      <c r="A10" s="14" t="s">
        <v>1220</v>
      </c>
      <c r="B10" s="15" t="s">
        <v>1221</v>
      </c>
      <c r="C10" s="16" t="s">
        <v>1222</v>
      </c>
      <c r="D10" s="17" t="s">
        <v>1223</v>
      </c>
      <c r="E10" s="18" t="s">
        <v>1224</v>
      </c>
    </row>
    <row r="11" s="1" customFormat="1" spans="1:5">
      <c r="A11" s="14" t="s">
        <v>1225</v>
      </c>
      <c r="B11" s="15" t="s">
        <v>1226</v>
      </c>
      <c r="C11" s="16" t="s">
        <v>1227</v>
      </c>
      <c r="D11" s="17" t="s">
        <v>1228</v>
      </c>
      <c r="E11" s="18" t="s">
        <v>1229</v>
      </c>
    </row>
    <row r="12" s="1" customFormat="1" ht="67.5" spans="1:5">
      <c r="A12" s="14" t="s">
        <v>1230</v>
      </c>
      <c r="B12" s="15" t="s">
        <v>1231</v>
      </c>
      <c r="C12" s="16" t="s">
        <v>1232</v>
      </c>
      <c r="D12" s="17" t="s">
        <v>1233</v>
      </c>
      <c r="E12" s="18" t="s">
        <v>1234</v>
      </c>
    </row>
    <row r="13" s="1" customFormat="1" ht="27" spans="1:5">
      <c r="A13" s="14" t="s">
        <v>1235</v>
      </c>
      <c r="B13" s="15" t="s">
        <v>1236</v>
      </c>
      <c r="C13" s="16" t="s">
        <v>1237</v>
      </c>
      <c r="D13" s="17" t="s">
        <v>1238</v>
      </c>
      <c r="E13" s="18" t="s">
        <v>1239</v>
      </c>
    </row>
    <row r="14" s="1" customFormat="1" ht="30" spans="1:5">
      <c r="A14" s="14" t="s">
        <v>1240</v>
      </c>
      <c r="B14" s="15" t="s">
        <v>1241</v>
      </c>
      <c r="C14" s="16" t="s">
        <v>1242</v>
      </c>
      <c r="D14" s="17" t="s">
        <v>1243</v>
      </c>
      <c r="E14" s="18" t="s">
        <v>1244</v>
      </c>
    </row>
    <row r="15" s="1" customFormat="1" ht="60" spans="1:5">
      <c r="A15" s="14" t="s">
        <v>1245</v>
      </c>
      <c r="B15" s="15" t="s">
        <v>1246</v>
      </c>
      <c r="C15" s="16" t="s">
        <v>1247</v>
      </c>
      <c r="D15" s="17" t="s">
        <v>1248</v>
      </c>
      <c r="E15" s="18" t="s">
        <v>1249</v>
      </c>
    </row>
    <row r="16" s="1" customFormat="1" ht="30" spans="1:5">
      <c r="A16" s="14" t="s">
        <v>1250</v>
      </c>
      <c r="B16" s="15" t="s">
        <v>1251</v>
      </c>
      <c r="C16" s="16" t="s">
        <v>1252</v>
      </c>
      <c r="D16" s="17" t="s">
        <v>1253</v>
      </c>
      <c r="E16" s="18" t="s">
        <v>1254</v>
      </c>
    </row>
    <row r="17" s="1" customFormat="1" ht="54" spans="1:5">
      <c r="A17" s="14" t="s">
        <v>1255</v>
      </c>
      <c r="B17" s="15" t="s">
        <v>1256</v>
      </c>
      <c r="C17" s="16" t="s">
        <v>1257</v>
      </c>
      <c r="D17" s="17" t="s">
        <v>1258</v>
      </c>
      <c r="E17" s="18" t="s">
        <v>1259</v>
      </c>
    </row>
    <row r="18" s="1" customFormat="1" ht="27" spans="1:5">
      <c r="A18" s="14" t="s">
        <v>1260</v>
      </c>
      <c r="B18" s="15" t="s">
        <v>1261</v>
      </c>
      <c r="C18" s="16" t="s">
        <v>1262</v>
      </c>
      <c r="D18" s="17" t="s">
        <v>1263</v>
      </c>
      <c r="E18" s="18" t="s">
        <v>1264</v>
      </c>
    </row>
    <row r="19" s="1" customFormat="1" ht="67.5" spans="1:5">
      <c r="A19" s="14" t="s">
        <v>1265</v>
      </c>
      <c r="B19" s="15" t="s">
        <v>1266</v>
      </c>
      <c r="C19" s="16" t="s">
        <v>1267</v>
      </c>
      <c r="D19" s="17" t="s">
        <v>1268</v>
      </c>
      <c r="E19" s="18" t="s">
        <v>1269</v>
      </c>
    </row>
    <row r="20" s="1" customFormat="1" spans="1:5">
      <c r="A20" s="14" t="s">
        <v>1270</v>
      </c>
      <c r="B20" s="15" t="s">
        <v>1271</v>
      </c>
      <c r="C20" s="16" t="s">
        <v>1272</v>
      </c>
      <c r="D20" s="17"/>
      <c r="E20" s="19"/>
    </row>
    <row r="21" s="1" customFormat="1" ht="150" spans="1:5">
      <c r="A21" s="14" t="s">
        <v>1273</v>
      </c>
      <c r="B21" s="15" t="s">
        <v>1274</v>
      </c>
      <c r="C21" s="16" t="s">
        <v>1275</v>
      </c>
      <c r="D21" s="17" t="s">
        <v>1276</v>
      </c>
      <c r="E21" s="18" t="s">
        <v>1277</v>
      </c>
    </row>
    <row r="22" s="1" customFormat="1" ht="72" spans="1:5">
      <c r="A22" s="14" t="s">
        <v>1278</v>
      </c>
      <c r="B22" s="15" t="s">
        <v>1279</v>
      </c>
      <c r="C22" s="16" t="s">
        <v>1280</v>
      </c>
      <c r="D22" s="17" t="s">
        <v>1281</v>
      </c>
      <c r="E22" s="18" t="s">
        <v>1282</v>
      </c>
    </row>
    <row r="23" s="1" customFormat="1" ht="82.5" spans="1:5">
      <c r="A23" s="14" t="s">
        <v>1283</v>
      </c>
      <c r="B23" s="15" t="s">
        <v>1284</v>
      </c>
      <c r="C23" s="16" t="s">
        <v>1285</v>
      </c>
      <c r="D23" s="17" t="s">
        <v>1286</v>
      </c>
      <c r="E23" s="18" t="s">
        <v>1287</v>
      </c>
    </row>
    <row r="24" s="1" customFormat="1" ht="180" spans="1:5">
      <c r="A24" s="14" t="s">
        <v>1288</v>
      </c>
      <c r="B24" s="15" t="s">
        <v>1289</v>
      </c>
      <c r="C24" s="16" t="s">
        <v>1290</v>
      </c>
      <c r="D24" s="17" t="s">
        <v>1291</v>
      </c>
      <c r="E24" s="18" t="s">
        <v>1292</v>
      </c>
    </row>
    <row r="25" s="1" customFormat="1" ht="54" spans="1:5">
      <c r="A25" s="14" t="s">
        <v>1293</v>
      </c>
      <c r="B25" s="15" t="s">
        <v>1294</v>
      </c>
      <c r="C25" s="16" t="s">
        <v>1295</v>
      </c>
      <c r="D25" s="17" t="s">
        <v>1296</v>
      </c>
      <c r="E25" s="18" t="s">
        <v>1297</v>
      </c>
    </row>
    <row r="26" s="1" customFormat="1" ht="148.5" spans="1:5">
      <c r="A26" s="14" t="s">
        <v>1298</v>
      </c>
      <c r="B26" s="15" t="s">
        <v>1299</v>
      </c>
      <c r="C26" s="16" t="s">
        <v>1300</v>
      </c>
      <c r="D26" s="17" t="s">
        <v>1301</v>
      </c>
      <c r="E26" s="18" t="s">
        <v>1302</v>
      </c>
    </row>
    <row r="27" s="1" customFormat="1" ht="148.5" spans="1:5">
      <c r="A27" s="14" t="s">
        <v>1303</v>
      </c>
      <c r="B27" s="15" t="s">
        <v>1304</v>
      </c>
      <c r="C27" s="16" t="s">
        <v>1305</v>
      </c>
      <c r="D27" s="17" t="s">
        <v>1306</v>
      </c>
      <c r="E27" s="18" t="s">
        <v>1307</v>
      </c>
    </row>
    <row r="28" s="1" customFormat="1" ht="135" spans="1:5">
      <c r="A28" s="14" t="s">
        <v>1308</v>
      </c>
      <c r="B28" s="15" t="s">
        <v>1309</v>
      </c>
      <c r="C28" s="16" t="s">
        <v>1310</v>
      </c>
      <c r="D28" s="17" t="s">
        <v>1311</v>
      </c>
      <c r="E28" s="18" t="s">
        <v>1312</v>
      </c>
    </row>
    <row r="29" s="1" customFormat="1" ht="165" spans="1:5">
      <c r="A29" s="14" t="s">
        <v>1313</v>
      </c>
      <c r="B29" s="15" t="s">
        <v>1314</v>
      </c>
      <c r="C29" s="16" t="s">
        <v>1315</v>
      </c>
      <c r="D29" s="17" t="s">
        <v>1316</v>
      </c>
      <c r="E29" s="18" t="s">
        <v>1317</v>
      </c>
    </row>
    <row r="30" s="1" customFormat="1" ht="75" spans="1:5">
      <c r="A30" s="14" t="s">
        <v>1318</v>
      </c>
      <c r="B30" s="15" t="s">
        <v>1319</v>
      </c>
      <c r="C30" s="16" t="s">
        <v>1320</v>
      </c>
      <c r="D30" s="17" t="s">
        <v>1321</v>
      </c>
      <c r="E30" s="18" t="s">
        <v>1322</v>
      </c>
    </row>
    <row r="31" s="1" customFormat="1" ht="409.5" spans="1:5">
      <c r="A31" s="14" t="s">
        <v>1323</v>
      </c>
      <c r="B31" s="15" t="s">
        <v>1324</v>
      </c>
      <c r="C31" s="16" t="s">
        <v>1325</v>
      </c>
      <c r="D31" s="17" t="s">
        <v>1326</v>
      </c>
      <c r="E31" s="18" t="s">
        <v>1327</v>
      </c>
    </row>
    <row r="32" s="1" customFormat="1" ht="195" spans="1:5">
      <c r="A32" s="14" t="s">
        <v>1328</v>
      </c>
      <c r="B32" s="15" t="s">
        <v>1329</v>
      </c>
      <c r="C32" s="16" t="s">
        <v>1330</v>
      </c>
      <c r="D32" s="17" t="s">
        <v>1331</v>
      </c>
      <c r="E32" s="18" t="s">
        <v>1332</v>
      </c>
    </row>
    <row r="33" s="1" customFormat="1" ht="67.5" spans="1:5">
      <c r="A33" s="14" t="s">
        <v>1333</v>
      </c>
      <c r="B33" s="15" t="s">
        <v>1334</v>
      </c>
      <c r="C33" s="16" t="s">
        <v>1335</v>
      </c>
      <c r="D33" s="17" t="s">
        <v>1336</v>
      </c>
      <c r="E33" s="18" t="s">
        <v>1337</v>
      </c>
    </row>
    <row r="34" s="1" customFormat="1" ht="75" spans="1:5">
      <c r="A34" s="14" t="s">
        <v>1338</v>
      </c>
      <c r="B34" s="15" t="s">
        <v>1339</v>
      </c>
      <c r="C34" s="16" t="s">
        <v>1340</v>
      </c>
      <c r="D34" s="17" t="s">
        <v>1341</v>
      </c>
      <c r="E34" s="18" t="s">
        <v>1342</v>
      </c>
    </row>
    <row r="35" s="1" customFormat="1" ht="30" spans="1:5">
      <c r="A35" s="14" t="s">
        <v>1343</v>
      </c>
      <c r="B35" s="15" t="s">
        <v>1344</v>
      </c>
      <c r="C35" s="16" t="s">
        <v>1345</v>
      </c>
      <c r="D35" s="17" t="s">
        <v>1346</v>
      </c>
      <c r="E35" s="18" t="s">
        <v>1347</v>
      </c>
    </row>
    <row r="36" s="1" customFormat="1" ht="40.5" spans="1:5">
      <c r="A36" s="14" t="s">
        <v>1348</v>
      </c>
      <c r="B36" s="15" t="s">
        <v>1349</v>
      </c>
      <c r="C36" s="16" t="s">
        <v>1350</v>
      </c>
      <c r="D36" s="17" t="s">
        <v>1351</v>
      </c>
      <c r="E36" s="18" t="s">
        <v>1352</v>
      </c>
    </row>
    <row r="37" s="1" customFormat="1" ht="67.5" spans="1:5">
      <c r="A37" s="14" t="s">
        <v>1353</v>
      </c>
      <c r="B37" s="15" t="s">
        <v>1354</v>
      </c>
      <c r="C37" s="16" t="s">
        <v>1355</v>
      </c>
      <c r="D37" s="17" t="s">
        <v>1356</v>
      </c>
      <c r="E37" s="18" t="s">
        <v>1357</v>
      </c>
    </row>
    <row r="38" s="1" customFormat="1" ht="67.5" spans="1:5">
      <c r="A38" s="14" t="s">
        <v>1358</v>
      </c>
      <c r="B38" s="15" t="s">
        <v>1359</v>
      </c>
      <c r="C38" s="16" t="s">
        <v>1360</v>
      </c>
      <c r="D38" s="17" t="s">
        <v>1361</v>
      </c>
      <c r="E38" s="18" t="s">
        <v>1362</v>
      </c>
    </row>
    <row r="39" s="1" customFormat="1" ht="94.5" spans="1:5">
      <c r="A39" s="14" t="s">
        <v>1363</v>
      </c>
      <c r="B39" s="15" t="s">
        <v>1364</v>
      </c>
      <c r="C39" s="16" t="s">
        <v>1365</v>
      </c>
      <c r="D39" s="17" t="s">
        <v>1366</v>
      </c>
      <c r="E39" s="18" t="s">
        <v>1367</v>
      </c>
    </row>
    <row r="40" s="1" customFormat="1" ht="105" spans="1:5">
      <c r="A40" s="14" t="s">
        <v>1368</v>
      </c>
      <c r="B40" s="15" t="s">
        <v>1369</v>
      </c>
      <c r="C40" s="16" t="s">
        <v>1370</v>
      </c>
      <c r="D40" s="17" t="s">
        <v>1371</v>
      </c>
      <c r="E40" s="18" t="s">
        <v>1372</v>
      </c>
    </row>
    <row r="41" s="1" customFormat="1" ht="45" spans="1:5">
      <c r="A41" s="14" t="s">
        <v>1373</v>
      </c>
      <c r="B41" s="15" t="s">
        <v>1374</v>
      </c>
      <c r="C41" s="17" t="s">
        <v>1375</v>
      </c>
      <c r="D41" s="17" t="s">
        <v>1376</v>
      </c>
      <c r="E41" s="18" t="s">
        <v>1377</v>
      </c>
    </row>
    <row r="42" s="1" customFormat="1" ht="75" spans="1:5">
      <c r="A42" s="14" t="s">
        <v>1378</v>
      </c>
      <c r="B42" s="15" t="s">
        <v>1379</v>
      </c>
      <c r="C42" s="16" t="s">
        <v>1380</v>
      </c>
      <c r="D42" s="17" t="s">
        <v>1381</v>
      </c>
      <c r="E42" s="18" t="s">
        <v>1382</v>
      </c>
    </row>
    <row r="43" s="1" customFormat="1" ht="67.5" spans="1:5">
      <c r="A43" s="14" t="s">
        <v>1383</v>
      </c>
      <c r="B43" s="15" t="s">
        <v>1384</v>
      </c>
      <c r="C43" s="16" t="s">
        <v>1385</v>
      </c>
      <c r="D43" s="17" t="s">
        <v>1386</v>
      </c>
      <c r="E43" s="18" t="s">
        <v>1387</v>
      </c>
    </row>
    <row r="44" s="1" customFormat="1" ht="45" spans="1:5">
      <c r="A44" s="14" t="s">
        <v>1388</v>
      </c>
      <c r="B44" s="15" t="s">
        <v>1389</v>
      </c>
      <c r="C44" s="16" t="s">
        <v>1390</v>
      </c>
      <c r="D44" s="17" t="s">
        <v>1391</v>
      </c>
      <c r="E44" s="18" t="s">
        <v>1392</v>
      </c>
    </row>
    <row r="45" s="1" customFormat="1" spans="1:5">
      <c r="A45" s="14" t="s">
        <v>1393</v>
      </c>
      <c r="B45" s="15" t="s">
        <v>1394</v>
      </c>
      <c r="C45" s="16" t="s">
        <v>1395</v>
      </c>
      <c r="D45" s="17" t="s">
        <v>1396</v>
      </c>
      <c r="E45" s="18" t="s">
        <v>1397</v>
      </c>
    </row>
    <row r="46" s="1" customFormat="1" ht="45" spans="1:5">
      <c r="A46" s="14" t="s">
        <v>1398</v>
      </c>
      <c r="B46" s="15" t="s">
        <v>1399</v>
      </c>
      <c r="C46" s="16" t="s">
        <v>1400</v>
      </c>
      <c r="D46" s="17" t="s">
        <v>1401</v>
      </c>
      <c r="E46" s="18" t="s">
        <v>1402</v>
      </c>
    </row>
    <row r="47" s="1" customFormat="1" ht="30" spans="1:5">
      <c r="A47" s="14" t="s">
        <v>1403</v>
      </c>
      <c r="B47" s="15" t="s">
        <v>1404</v>
      </c>
      <c r="C47" s="16" t="s">
        <v>1405</v>
      </c>
      <c r="D47" s="17" t="s">
        <v>1406</v>
      </c>
      <c r="E47" s="18" t="s">
        <v>1407</v>
      </c>
    </row>
    <row r="48" s="1" customFormat="1" ht="60" spans="1:5">
      <c r="A48" s="14" t="s">
        <v>1408</v>
      </c>
      <c r="B48" s="15" t="s">
        <v>1409</v>
      </c>
      <c r="C48" s="16" t="s">
        <v>1410</v>
      </c>
      <c r="D48" s="17" t="s">
        <v>1411</v>
      </c>
      <c r="E48" s="18" t="s">
        <v>1412</v>
      </c>
    </row>
    <row r="49" s="1" customFormat="1" ht="40.5" spans="1:5">
      <c r="A49" s="14" t="s">
        <v>1413</v>
      </c>
      <c r="B49" s="15" t="s">
        <v>1414</v>
      </c>
      <c r="C49" s="16" t="s">
        <v>1415</v>
      </c>
      <c r="D49" s="17" t="s">
        <v>1416</v>
      </c>
      <c r="E49" s="18" t="s">
        <v>1417</v>
      </c>
    </row>
    <row r="50" s="1" customFormat="1" ht="105" spans="1:5">
      <c r="A50" s="14" t="s">
        <v>1418</v>
      </c>
      <c r="B50" s="15" t="s">
        <v>1419</v>
      </c>
      <c r="C50" s="16" t="s">
        <v>1420</v>
      </c>
      <c r="D50" s="17" t="s">
        <v>1421</v>
      </c>
      <c r="E50" s="18" t="s">
        <v>1422</v>
      </c>
    </row>
    <row r="51" s="1" customFormat="1" ht="54" spans="1:5">
      <c r="A51" s="14" t="s">
        <v>1423</v>
      </c>
      <c r="B51" s="15" t="s">
        <v>1424</v>
      </c>
      <c r="C51" s="16" t="s">
        <v>1425</v>
      </c>
      <c r="D51" s="17" t="s">
        <v>1426</v>
      </c>
      <c r="E51" s="18" t="s">
        <v>1427</v>
      </c>
    </row>
    <row r="52" s="1" customFormat="1" ht="105" spans="1:5">
      <c r="A52" s="14" t="s">
        <v>1428</v>
      </c>
      <c r="B52" s="15" t="s">
        <v>1429</v>
      </c>
      <c r="C52" s="16" t="s">
        <v>1430</v>
      </c>
      <c r="D52" s="17" t="s">
        <v>1431</v>
      </c>
      <c r="E52" s="18" t="s">
        <v>1432</v>
      </c>
    </row>
    <row r="53" s="1" customFormat="1" ht="120" spans="1:5">
      <c r="A53" s="14" t="s">
        <v>1313</v>
      </c>
      <c r="B53" s="15" t="s">
        <v>1433</v>
      </c>
      <c r="C53" s="16" t="s">
        <v>1434</v>
      </c>
      <c r="D53" s="17" t="s">
        <v>1435</v>
      </c>
      <c r="E53" s="18" t="s">
        <v>1436</v>
      </c>
    </row>
    <row r="54" s="1" customFormat="1" ht="45" spans="1:5">
      <c r="A54" s="14" t="s">
        <v>1437</v>
      </c>
      <c r="B54" s="15" t="s">
        <v>1438</v>
      </c>
      <c r="C54" s="16" t="s">
        <v>1439</v>
      </c>
      <c r="D54" s="17" t="s">
        <v>1440</v>
      </c>
      <c r="E54" s="18" t="s">
        <v>1441</v>
      </c>
    </row>
    <row r="55" s="1" customFormat="1" ht="67.5" spans="1:5">
      <c r="A55" s="14" t="s">
        <v>1442</v>
      </c>
      <c r="B55" s="15" t="s">
        <v>1443</v>
      </c>
      <c r="C55" s="16" t="s">
        <v>1444</v>
      </c>
      <c r="D55" s="17" t="s">
        <v>1445</v>
      </c>
      <c r="E55" s="18" t="s">
        <v>1446</v>
      </c>
    </row>
    <row r="56" s="1" customFormat="1" ht="54" spans="1:5">
      <c r="A56" s="14" t="s">
        <v>1447</v>
      </c>
      <c r="B56" s="15" t="s">
        <v>1448</v>
      </c>
      <c r="C56" s="16" t="s">
        <v>1449</v>
      </c>
      <c r="D56" s="17" t="s">
        <v>1450</v>
      </c>
      <c r="E56" s="18" t="s">
        <v>1451</v>
      </c>
    </row>
    <row r="57" s="1" customFormat="1" ht="40.5" spans="1:5">
      <c r="A57" s="14" t="s">
        <v>1452</v>
      </c>
      <c r="B57" s="15" t="s">
        <v>1453</v>
      </c>
      <c r="C57" s="16" t="s">
        <v>1454</v>
      </c>
      <c r="D57" s="17" t="s">
        <v>1455</v>
      </c>
      <c r="E57" s="18" t="s">
        <v>1456</v>
      </c>
    </row>
    <row r="58" s="1" customFormat="1" spans="1:5">
      <c r="A58" s="14" t="s">
        <v>1457</v>
      </c>
      <c r="B58" s="15" t="s">
        <v>1458</v>
      </c>
      <c r="C58" s="16" t="s">
        <v>1459</v>
      </c>
      <c r="D58" s="17" t="s">
        <v>1460</v>
      </c>
      <c r="E58" s="18" t="s">
        <v>1461</v>
      </c>
    </row>
    <row r="59" s="1" customFormat="1" ht="54" spans="1:5">
      <c r="A59" s="14" t="s">
        <v>1462</v>
      </c>
      <c r="B59" s="15" t="s">
        <v>1463</v>
      </c>
      <c r="C59" s="16" t="s">
        <v>1464</v>
      </c>
      <c r="D59" s="17" t="s">
        <v>1465</v>
      </c>
      <c r="E59" s="18" t="s">
        <v>1466</v>
      </c>
    </row>
    <row r="60" s="1" customFormat="1" ht="30" spans="1:5">
      <c r="A60" s="14" t="s">
        <v>1467</v>
      </c>
      <c r="B60" s="15" t="s">
        <v>1468</v>
      </c>
      <c r="C60" s="16" t="s">
        <v>1469</v>
      </c>
      <c r="D60" s="17" t="s">
        <v>1470</v>
      </c>
      <c r="E60" s="18" t="s">
        <v>1471</v>
      </c>
    </row>
    <row r="61" s="1" customFormat="1" spans="1:5">
      <c r="A61" s="14" t="s">
        <v>1472</v>
      </c>
      <c r="B61" s="15" t="s">
        <v>1473</v>
      </c>
      <c r="C61" s="16" t="s">
        <v>1474</v>
      </c>
      <c r="D61" s="17" t="s">
        <v>1475</v>
      </c>
      <c r="E61" s="18" t="s">
        <v>1476</v>
      </c>
    </row>
    <row r="62" s="1" customFormat="1" ht="30" spans="1:5">
      <c r="A62" s="14" t="s">
        <v>1477</v>
      </c>
      <c r="B62" s="15" t="s">
        <v>1478</v>
      </c>
      <c r="C62" s="16" t="s">
        <v>1479</v>
      </c>
      <c r="D62" s="17" t="s">
        <v>1480</v>
      </c>
      <c r="E62" s="18" t="s">
        <v>1481</v>
      </c>
    </row>
    <row r="63" s="1" customFormat="1" ht="45" spans="1:5">
      <c r="A63" s="14" t="s">
        <v>1482</v>
      </c>
      <c r="B63" s="15" t="s">
        <v>1483</v>
      </c>
      <c r="C63" s="16" t="s">
        <v>1484</v>
      </c>
      <c r="D63" s="17" t="s">
        <v>1485</v>
      </c>
      <c r="E63" s="18" t="s">
        <v>1486</v>
      </c>
    </row>
    <row r="64" s="1" customFormat="1" ht="81" spans="1:5">
      <c r="A64" s="14" t="s">
        <v>1487</v>
      </c>
      <c r="B64" s="15" t="s">
        <v>1488</v>
      </c>
      <c r="C64" s="16" t="s">
        <v>1489</v>
      </c>
      <c r="D64" s="17" t="s">
        <v>1490</v>
      </c>
      <c r="E64" s="18" t="s">
        <v>1491</v>
      </c>
    </row>
    <row r="65" s="1" customFormat="1" ht="30" spans="1:5">
      <c r="A65" s="14" t="s">
        <v>1492</v>
      </c>
      <c r="B65" s="15" t="s">
        <v>1493</v>
      </c>
      <c r="C65" s="16" t="s">
        <v>1494</v>
      </c>
      <c r="D65" s="17" t="s">
        <v>1495</v>
      </c>
      <c r="E65" s="18" t="s">
        <v>1496</v>
      </c>
    </row>
    <row r="66" s="1" customFormat="1" ht="30" spans="1:5">
      <c r="A66" s="14" t="s">
        <v>1497</v>
      </c>
      <c r="B66" s="15" t="s">
        <v>1498</v>
      </c>
      <c r="C66" s="16" t="s">
        <v>1499</v>
      </c>
      <c r="D66" s="17" t="s">
        <v>1500</v>
      </c>
      <c r="E66" s="18" t="s">
        <v>1501</v>
      </c>
    </row>
    <row r="67" s="1" customFormat="1" spans="1:5">
      <c r="A67" s="14" t="s">
        <v>1502</v>
      </c>
      <c r="B67" s="15" t="s">
        <v>1503</v>
      </c>
      <c r="C67" s="16" t="s">
        <v>1504</v>
      </c>
      <c r="D67" s="17" t="s">
        <v>1505</v>
      </c>
      <c r="E67" s="18" t="s">
        <v>1506</v>
      </c>
    </row>
    <row r="68" s="1" customFormat="1" ht="27" spans="1:5">
      <c r="A68" s="14" t="s">
        <v>1507</v>
      </c>
      <c r="B68" s="15" t="s">
        <v>1508</v>
      </c>
      <c r="C68" s="16" t="s">
        <v>1509</v>
      </c>
      <c r="D68" s="17" t="s">
        <v>1510</v>
      </c>
      <c r="E68" s="18" t="s">
        <v>1511</v>
      </c>
    </row>
    <row r="69" s="1" customFormat="1" ht="30" spans="1:5">
      <c r="A69" s="14" t="s">
        <v>1512</v>
      </c>
      <c r="B69" s="15" t="s">
        <v>1513</v>
      </c>
      <c r="C69" s="16" t="s">
        <v>1514</v>
      </c>
      <c r="D69" s="17" t="s">
        <v>1515</v>
      </c>
      <c r="E69" s="18" t="s">
        <v>1516</v>
      </c>
    </row>
    <row r="70" s="1" customFormat="1" ht="135" spans="1:5">
      <c r="A70" s="14" t="s">
        <v>1517</v>
      </c>
      <c r="B70" s="15" t="s">
        <v>1518</v>
      </c>
      <c r="C70" s="16" t="s">
        <v>1519</v>
      </c>
      <c r="D70" s="17" t="s">
        <v>1520</v>
      </c>
      <c r="E70" s="18" t="s">
        <v>1521</v>
      </c>
    </row>
    <row r="71" s="1" customFormat="1" spans="1:5">
      <c r="A71" s="14" t="s">
        <v>1522</v>
      </c>
      <c r="B71" s="15" t="s">
        <v>1523</v>
      </c>
      <c r="C71" s="16" t="s">
        <v>1524</v>
      </c>
      <c r="D71" s="17" t="s">
        <v>1525</v>
      </c>
      <c r="E71" s="18" t="s">
        <v>1526</v>
      </c>
    </row>
    <row r="72" s="1" customFormat="1" spans="1:5">
      <c r="A72" s="14" t="s">
        <v>1527</v>
      </c>
      <c r="B72" s="15" t="s">
        <v>1528</v>
      </c>
      <c r="C72" s="16" t="s">
        <v>1529</v>
      </c>
      <c r="D72" s="17" t="s">
        <v>1530</v>
      </c>
      <c r="E72" s="18" t="s">
        <v>1531</v>
      </c>
    </row>
    <row r="73" s="1" customFormat="1" ht="94.5" spans="1:5">
      <c r="A73" s="14" t="s">
        <v>1532</v>
      </c>
      <c r="B73" s="15" t="s">
        <v>1533</v>
      </c>
      <c r="C73" s="16" t="s">
        <v>1534</v>
      </c>
      <c r="D73" s="17" t="s">
        <v>1535</v>
      </c>
      <c r="E73" s="18" t="s">
        <v>1536</v>
      </c>
    </row>
    <row r="74" s="1" customFormat="1" ht="54" spans="1:5">
      <c r="A74" s="14" t="s">
        <v>1537</v>
      </c>
      <c r="B74" s="15" t="s">
        <v>1538</v>
      </c>
      <c r="C74" s="16" t="s">
        <v>1539</v>
      </c>
      <c r="D74" s="17" t="s">
        <v>1540</v>
      </c>
      <c r="E74" s="18" t="s">
        <v>1541</v>
      </c>
    </row>
    <row r="75" s="1" customFormat="1" ht="30" spans="1:5">
      <c r="A75" s="14" t="s">
        <v>1542</v>
      </c>
      <c r="B75" s="15" t="s">
        <v>1543</v>
      </c>
      <c r="C75" s="17" t="s">
        <v>1544</v>
      </c>
      <c r="D75" s="17" t="s">
        <v>1545</v>
      </c>
      <c r="E75" s="18" t="s">
        <v>1546</v>
      </c>
    </row>
    <row r="76" s="1" customFormat="1" ht="30" spans="1:5">
      <c r="A76" s="14" t="s">
        <v>1547</v>
      </c>
      <c r="B76" s="15" t="s">
        <v>1548</v>
      </c>
      <c r="C76" s="16" t="s">
        <v>1549</v>
      </c>
      <c r="D76" s="17" t="s">
        <v>1550</v>
      </c>
      <c r="E76" s="18" t="s">
        <v>1551</v>
      </c>
    </row>
    <row r="77" s="1" customFormat="1" ht="54" spans="1:5">
      <c r="A77" s="14" t="s">
        <v>1552</v>
      </c>
      <c r="B77" s="15" t="s">
        <v>1553</v>
      </c>
      <c r="C77" s="16" t="s">
        <v>1554</v>
      </c>
      <c r="D77" s="17" t="s">
        <v>1555</v>
      </c>
      <c r="E77" s="18" t="s">
        <v>1556</v>
      </c>
    </row>
    <row r="78" s="1" customFormat="1" ht="45" spans="1:5">
      <c r="A78" s="14" t="s">
        <v>1557</v>
      </c>
      <c r="B78" s="15" t="s">
        <v>1558</v>
      </c>
      <c r="C78" s="16" t="s">
        <v>1559</v>
      </c>
      <c r="D78" s="17" t="s">
        <v>1560</v>
      </c>
      <c r="E78" s="18" t="s">
        <v>1561</v>
      </c>
    </row>
    <row r="79" s="1" customFormat="1" spans="1:5">
      <c r="A79" s="14" t="s">
        <v>1562</v>
      </c>
      <c r="B79" s="15" t="s">
        <v>1563</v>
      </c>
      <c r="C79" s="16" t="s">
        <v>1564</v>
      </c>
      <c r="D79" s="17" t="s">
        <v>1565</v>
      </c>
      <c r="E79" s="18" t="s">
        <v>1566</v>
      </c>
    </row>
    <row r="80" s="1" customFormat="1" ht="27" spans="1:5">
      <c r="A80" s="14" t="s">
        <v>1567</v>
      </c>
      <c r="B80" s="15" t="s">
        <v>1568</v>
      </c>
      <c r="C80" s="16" t="s">
        <v>1569</v>
      </c>
      <c r="D80" s="17" t="s">
        <v>1570</v>
      </c>
      <c r="E80" s="18" t="s">
        <v>1571</v>
      </c>
    </row>
    <row r="81" s="1" customFormat="1" ht="40.5" spans="1:5">
      <c r="A81" s="14" t="s">
        <v>1572</v>
      </c>
      <c r="B81" s="15" t="s">
        <v>1573</v>
      </c>
      <c r="C81" s="16" t="s">
        <v>1574</v>
      </c>
      <c r="D81" s="17" t="s">
        <v>1575</v>
      </c>
      <c r="E81" s="18" t="s">
        <v>1576</v>
      </c>
    </row>
    <row r="82" s="1" customFormat="1" ht="162" spans="1:5">
      <c r="A82" s="14" t="s">
        <v>1577</v>
      </c>
      <c r="B82" s="15" t="s">
        <v>1578</v>
      </c>
      <c r="C82" s="16" t="s">
        <v>1579</v>
      </c>
      <c r="D82" s="17" t="s">
        <v>1580</v>
      </c>
      <c r="E82" s="18" t="s">
        <v>1581</v>
      </c>
    </row>
    <row r="83" s="1" customFormat="1" ht="121.5" spans="1:5">
      <c r="A83" s="14" t="s">
        <v>1582</v>
      </c>
      <c r="B83" s="15" t="s">
        <v>1583</v>
      </c>
      <c r="C83" s="16" t="s">
        <v>1584</v>
      </c>
      <c r="D83" s="17" t="s">
        <v>1585</v>
      </c>
      <c r="E83" s="18" t="s">
        <v>1586</v>
      </c>
    </row>
    <row r="84" s="1" customFormat="1" ht="30" spans="1:5">
      <c r="A84" s="14" t="s">
        <v>1587</v>
      </c>
      <c r="B84" s="15" t="s">
        <v>1588</v>
      </c>
      <c r="C84" s="16" t="s">
        <v>1589</v>
      </c>
      <c r="D84" s="17" t="s">
        <v>1590</v>
      </c>
      <c r="E84" s="18" t="s">
        <v>1591</v>
      </c>
    </row>
    <row r="85" s="1" customFormat="1" ht="73.5" spans="1:5">
      <c r="A85" s="14" t="s">
        <v>1592</v>
      </c>
      <c r="B85" s="15" t="s">
        <v>1593</v>
      </c>
      <c r="C85" s="16" t="s">
        <v>1594</v>
      </c>
      <c r="D85" s="17" t="s">
        <v>1595</v>
      </c>
      <c r="E85" s="18" t="s">
        <v>1596</v>
      </c>
    </row>
    <row r="86" s="1" customFormat="1" ht="108" spans="1:5">
      <c r="A86" s="14" t="s">
        <v>1597</v>
      </c>
      <c r="B86" s="15" t="s">
        <v>1598</v>
      </c>
      <c r="C86" s="16" t="s">
        <v>1599</v>
      </c>
      <c r="D86" s="17" t="s">
        <v>1600</v>
      </c>
      <c r="E86" s="18" t="s">
        <v>1601</v>
      </c>
    </row>
    <row r="87" s="1" customFormat="1" ht="108" spans="1:5">
      <c r="A87" s="14" t="s">
        <v>1602</v>
      </c>
      <c r="B87" s="15" t="s">
        <v>1603</v>
      </c>
      <c r="C87" s="16" t="s">
        <v>1604</v>
      </c>
      <c r="D87" s="17" t="s">
        <v>1605</v>
      </c>
      <c r="E87" s="18" t="s">
        <v>1606</v>
      </c>
    </row>
    <row r="88" s="1" customFormat="1" ht="40.5" spans="1:5">
      <c r="A88" s="14" t="s">
        <v>1607</v>
      </c>
      <c r="B88" s="15" t="s">
        <v>1608</v>
      </c>
      <c r="C88" s="16" t="s">
        <v>1609</v>
      </c>
      <c r="D88" s="17" t="s">
        <v>1610</v>
      </c>
      <c r="E88" s="18" t="s">
        <v>1611</v>
      </c>
    </row>
    <row r="89" s="1" customFormat="1" ht="81" spans="1:5">
      <c r="A89" s="14" t="s">
        <v>1612</v>
      </c>
      <c r="B89" s="15" t="s">
        <v>1613</v>
      </c>
      <c r="C89" s="16" t="s">
        <v>1614</v>
      </c>
      <c r="D89" s="17" t="s">
        <v>1615</v>
      </c>
      <c r="E89" s="18" t="s">
        <v>1616</v>
      </c>
    </row>
    <row r="90" s="1" customFormat="1" ht="30" spans="1:5">
      <c r="A90" s="14" t="s">
        <v>1617</v>
      </c>
      <c r="B90" s="15" t="s">
        <v>1618</v>
      </c>
      <c r="C90" s="16" t="s">
        <v>1619</v>
      </c>
      <c r="D90" s="17" t="s">
        <v>1620</v>
      </c>
      <c r="E90" s="18" t="s">
        <v>1621</v>
      </c>
    </row>
    <row r="91" s="1" customFormat="1" ht="229.5" spans="1:5">
      <c r="A91" s="14" t="s">
        <v>1622</v>
      </c>
      <c r="B91" s="15" t="s">
        <v>1623</v>
      </c>
      <c r="C91" s="16" t="s">
        <v>1624</v>
      </c>
      <c r="D91" s="17" t="s">
        <v>1625</v>
      </c>
      <c r="E91" s="18" t="s">
        <v>1626</v>
      </c>
    </row>
    <row r="92" s="1" customFormat="1" ht="54" spans="1:5">
      <c r="A92" s="14" t="s">
        <v>1627</v>
      </c>
      <c r="B92" s="15" t="s">
        <v>1628</v>
      </c>
      <c r="C92" s="16" t="s">
        <v>1629</v>
      </c>
      <c r="D92" s="17" t="s">
        <v>1630</v>
      </c>
      <c r="E92" s="18" t="s">
        <v>1631</v>
      </c>
    </row>
    <row r="93" s="1" customFormat="1" ht="297" spans="1:5">
      <c r="A93" s="14" t="s">
        <v>1632</v>
      </c>
      <c r="B93" s="15" t="s">
        <v>1633</v>
      </c>
      <c r="C93" s="16" t="s">
        <v>1634</v>
      </c>
      <c r="D93" s="17" t="s">
        <v>1635</v>
      </c>
      <c r="E93" s="18" t="s">
        <v>1636</v>
      </c>
    </row>
    <row r="94" s="1" customFormat="1" ht="67.5" spans="1:5">
      <c r="A94" s="14" t="s">
        <v>1637</v>
      </c>
      <c r="B94" s="15" t="s">
        <v>1638</v>
      </c>
      <c r="C94" s="16" t="s">
        <v>1639</v>
      </c>
      <c r="D94" s="17" t="s">
        <v>1640</v>
      </c>
      <c r="E94" s="18" t="s">
        <v>1641</v>
      </c>
    </row>
    <row r="95" s="1" customFormat="1" ht="390" spans="1:5">
      <c r="A95" s="14" t="s">
        <v>1642</v>
      </c>
      <c r="B95" s="15" t="s">
        <v>1643</v>
      </c>
      <c r="C95" s="16" t="s">
        <v>1644</v>
      </c>
      <c r="D95" s="17" t="s">
        <v>1645</v>
      </c>
      <c r="E95" s="18" t="s">
        <v>1646</v>
      </c>
    </row>
    <row r="96" s="1" customFormat="1" ht="409.5" spans="1:5">
      <c r="A96" s="14" t="s">
        <v>1647</v>
      </c>
      <c r="B96" s="15" t="s">
        <v>1648</v>
      </c>
      <c r="C96" s="16" t="s">
        <v>1649</v>
      </c>
      <c r="D96" s="17" t="s">
        <v>1650</v>
      </c>
      <c r="E96" s="18" t="s">
        <v>1651</v>
      </c>
    </row>
    <row r="97" s="1" customFormat="1" ht="255" spans="1:5">
      <c r="A97" s="14" t="s">
        <v>1652</v>
      </c>
      <c r="B97" s="15" t="s">
        <v>1653</v>
      </c>
      <c r="C97" s="16" t="s">
        <v>1654</v>
      </c>
      <c r="D97" s="17" t="s">
        <v>1655</v>
      </c>
      <c r="E97" s="18" t="s">
        <v>1656</v>
      </c>
    </row>
    <row r="98" s="1" customFormat="1" ht="94.5" spans="1:5">
      <c r="A98" s="14" t="s">
        <v>1657</v>
      </c>
      <c r="B98" s="15" t="s">
        <v>1658</v>
      </c>
      <c r="C98" s="16" t="s">
        <v>1659</v>
      </c>
      <c r="D98" s="17" t="s">
        <v>1660</v>
      </c>
      <c r="E98" s="18" t="s">
        <v>1661</v>
      </c>
    </row>
    <row r="99" s="1" customFormat="1" ht="135" spans="1:5">
      <c r="A99" s="14" t="s">
        <v>1662</v>
      </c>
      <c r="B99" s="15" t="s">
        <v>1663</v>
      </c>
      <c r="C99" s="16" t="s">
        <v>1664</v>
      </c>
      <c r="D99" s="17" t="s">
        <v>1665</v>
      </c>
      <c r="E99" s="18" t="s">
        <v>1666</v>
      </c>
    </row>
    <row r="100" s="1" customFormat="1" ht="40.5" spans="1:5">
      <c r="A100" s="14" t="s">
        <v>1667</v>
      </c>
      <c r="B100" s="15" t="s">
        <v>1668</v>
      </c>
      <c r="C100" s="16" t="s">
        <v>1669</v>
      </c>
      <c r="D100" s="17" t="s">
        <v>1670</v>
      </c>
      <c r="E100" s="18" t="s">
        <v>1671</v>
      </c>
    </row>
    <row r="101" s="1" customFormat="1" ht="285" spans="1:5">
      <c r="A101" s="14" t="s">
        <v>1672</v>
      </c>
      <c r="B101" s="15" t="s">
        <v>1673</v>
      </c>
      <c r="C101" s="16" t="s">
        <v>1674</v>
      </c>
      <c r="D101" s="17" t="s">
        <v>1675</v>
      </c>
      <c r="E101" s="18" t="s">
        <v>1676</v>
      </c>
    </row>
    <row r="102" s="1" customFormat="1" ht="40.5" spans="1:5">
      <c r="A102" s="14" t="s">
        <v>1677</v>
      </c>
      <c r="B102" s="15" t="s">
        <v>1678</v>
      </c>
      <c r="C102" s="16" t="s">
        <v>1679</v>
      </c>
      <c r="D102" s="17" t="s">
        <v>1680</v>
      </c>
      <c r="E102" s="18" t="s">
        <v>1681</v>
      </c>
    </row>
    <row r="103" s="1" customFormat="1" ht="27" spans="1:5">
      <c r="A103" s="14" t="s">
        <v>1682</v>
      </c>
      <c r="B103" s="15" t="s">
        <v>1683</v>
      </c>
      <c r="C103" s="16" t="s">
        <v>1684</v>
      </c>
      <c r="D103" s="17" t="s">
        <v>1685</v>
      </c>
      <c r="E103" s="18" t="s">
        <v>1686</v>
      </c>
    </row>
    <row r="104" s="1" customFormat="1" ht="27" spans="1:5">
      <c r="A104" s="14" t="s">
        <v>1687</v>
      </c>
      <c r="B104" s="15" t="s">
        <v>1688</v>
      </c>
      <c r="C104" s="16" t="s">
        <v>1689</v>
      </c>
      <c r="D104" s="17" t="s">
        <v>1690</v>
      </c>
      <c r="E104" s="18" t="s">
        <v>1691</v>
      </c>
    </row>
    <row r="105" s="1" customFormat="1" ht="217.5" spans="1:5">
      <c r="A105" s="14" t="s">
        <v>1692</v>
      </c>
      <c r="B105" s="15" t="s">
        <v>1693</v>
      </c>
      <c r="C105" s="16" t="s">
        <v>1694</v>
      </c>
      <c r="D105" s="17" t="s">
        <v>1695</v>
      </c>
      <c r="E105" s="18" t="s">
        <v>1696</v>
      </c>
    </row>
    <row r="106" s="1" customFormat="1" ht="27" spans="1:5">
      <c r="A106" s="14" t="s">
        <v>1697</v>
      </c>
      <c r="B106" s="15" t="s">
        <v>1698</v>
      </c>
      <c r="C106" s="16" t="s">
        <v>1699</v>
      </c>
      <c r="D106" s="17" t="s">
        <v>1700</v>
      </c>
      <c r="E106" s="18" t="s">
        <v>1701</v>
      </c>
    </row>
    <row r="107" s="1" customFormat="1" ht="40.5" spans="1:5">
      <c r="A107" s="14" t="s">
        <v>1702</v>
      </c>
      <c r="B107" s="15" t="s">
        <v>1703</v>
      </c>
      <c r="C107" s="16" t="s">
        <v>1704</v>
      </c>
      <c r="D107" s="17" t="s">
        <v>1705</v>
      </c>
      <c r="E107" s="18" t="s">
        <v>1706</v>
      </c>
    </row>
    <row r="108" s="1" customFormat="1" ht="135" spans="1:5">
      <c r="A108" s="14" t="s">
        <v>1707</v>
      </c>
      <c r="B108" s="15" t="s">
        <v>1708</v>
      </c>
      <c r="C108" s="16" t="s">
        <v>1709</v>
      </c>
      <c r="D108" s="17" t="s">
        <v>1710</v>
      </c>
      <c r="E108" s="18" t="s">
        <v>1711</v>
      </c>
    </row>
    <row r="109" s="1" customFormat="1" ht="30" spans="1:5">
      <c r="A109" s="14" t="s">
        <v>1712</v>
      </c>
      <c r="B109" s="15" t="s">
        <v>1713</v>
      </c>
      <c r="C109" s="16" t="s">
        <v>1714</v>
      </c>
      <c r="D109" s="17" t="s">
        <v>1715</v>
      </c>
      <c r="E109" s="18" t="s">
        <v>1716</v>
      </c>
    </row>
    <row r="110" s="1" customFormat="1" ht="259.5" spans="1:5">
      <c r="A110" s="14" t="s">
        <v>1717</v>
      </c>
      <c r="B110" s="15" t="s">
        <v>1718</v>
      </c>
      <c r="C110" s="16" t="s">
        <v>1719</v>
      </c>
      <c r="D110" s="17" t="s">
        <v>1720</v>
      </c>
      <c r="E110" s="18" t="s">
        <v>1721</v>
      </c>
    </row>
    <row r="111" s="1" customFormat="1" ht="30" spans="1:5">
      <c r="A111" s="14" t="s">
        <v>1722</v>
      </c>
      <c r="B111" s="15" t="s">
        <v>1723</v>
      </c>
      <c r="C111" s="16" t="s">
        <v>1724</v>
      </c>
      <c r="D111" s="17" t="s">
        <v>1725</v>
      </c>
      <c r="E111" s="18" t="s">
        <v>1726</v>
      </c>
    </row>
    <row r="112" s="1" customFormat="1" spans="1:5">
      <c r="A112" s="14" t="s">
        <v>1727</v>
      </c>
      <c r="B112" s="15" t="s">
        <v>1728</v>
      </c>
      <c r="C112" s="16" t="s">
        <v>1729</v>
      </c>
      <c r="D112" s="17" t="s">
        <v>1730</v>
      </c>
      <c r="E112" s="18" t="s">
        <v>1731</v>
      </c>
    </row>
    <row r="113" s="1" customFormat="1" ht="135" spans="1:5">
      <c r="A113" s="14" t="s">
        <v>1732</v>
      </c>
      <c r="B113" s="15" t="s">
        <v>1733</v>
      </c>
      <c r="C113" s="16" t="s">
        <v>1734</v>
      </c>
      <c r="D113" s="17" t="s">
        <v>1735</v>
      </c>
      <c r="E113" s="18" t="s">
        <v>1736</v>
      </c>
    </row>
    <row r="114" s="1" customFormat="1" ht="45" spans="1:5">
      <c r="A114" s="14" t="s">
        <v>1737</v>
      </c>
      <c r="B114" s="15" t="s">
        <v>1738</v>
      </c>
      <c r="C114" s="16" t="s">
        <v>1739</v>
      </c>
      <c r="D114" s="17" t="s">
        <v>1740</v>
      </c>
      <c r="E114" s="18" t="s">
        <v>1741</v>
      </c>
    </row>
    <row r="115" s="1" customFormat="1" ht="30" spans="1:5">
      <c r="A115" s="14" t="s">
        <v>1742</v>
      </c>
      <c r="B115" s="15" t="s">
        <v>1743</v>
      </c>
      <c r="C115" s="16" t="s">
        <v>1744</v>
      </c>
      <c r="D115" s="17" t="s">
        <v>1745</v>
      </c>
      <c r="E115" s="18" t="s">
        <v>1746</v>
      </c>
    </row>
    <row r="116" s="1" customFormat="1" ht="229.5" spans="1:5">
      <c r="A116" s="14" t="s">
        <v>1747</v>
      </c>
      <c r="B116" s="15" t="s">
        <v>1748</v>
      </c>
      <c r="C116" s="16" t="s">
        <v>1749</v>
      </c>
      <c r="D116" s="17" t="s">
        <v>1750</v>
      </c>
      <c r="E116" s="18" t="s">
        <v>1751</v>
      </c>
    </row>
    <row r="117" s="1" customFormat="1" ht="135" spans="1:5">
      <c r="A117" s="14" t="s">
        <v>1752</v>
      </c>
      <c r="B117" s="15" t="s">
        <v>1753</v>
      </c>
      <c r="C117" s="16" t="s">
        <v>1754</v>
      </c>
      <c r="D117" s="17" t="s">
        <v>1755</v>
      </c>
      <c r="E117" s="18" t="s">
        <v>1756</v>
      </c>
    </row>
    <row r="118" s="1" customFormat="1" ht="202.5" spans="1:5">
      <c r="A118" s="14" t="s">
        <v>1757</v>
      </c>
      <c r="B118" s="15" t="s">
        <v>1758</v>
      </c>
      <c r="C118" s="16" t="s">
        <v>1759</v>
      </c>
      <c r="D118" s="17" t="s">
        <v>1760</v>
      </c>
      <c r="E118" s="18" t="s">
        <v>1761</v>
      </c>
    </row>
    <row r="119" s="1" customFormat="1" ht="81" spans="1:5">
      <c r="A119" s="14" t="s">
        <v>1762</v>
      </c>
      <c r="B119" s="15" t="s">
        <v>1763</v>
      </c>
      <c r="C119" s="16" t="s">
        <v>1764</v>
      </c>
      <c r="D119" s="17" t="s">
        <v>1765</v>
      </c>
      <c r="E119" s="18" t="s">
        <v>1766</v>
      </c>
    </row>
    <row r="120" s="1" customFormat="1" ht="121.5" spans="1:5">
      <c r="A120" s="14" t="s">
        <v>1767</v>
      </c>
      <c r="B120" s="15" t="s">
        <v>1768</v>
      </c>
      <c r="C120" s="16" t="s">
        <v>1769</v>
      </c>
      <c r="D120" s="17" t="s">
        <v>1770</v>
      </c>
      <c r="E120" s="18" t="s">
        <v>1771</v>
      </c>
    </row>
    <row r="121" s="1" customFormat="1" ht="30" spans="1:5">
      <c r="A121" s="14" t="s">
        <v>1772</v>
      </c>
      <c r="B121" s="15" t="s">
        <v>1773</v>
      </c>
      <c r="C121" s="16" t="s">
        <v>1774</v>
      </c>
      <c r="D121" s="17" t="s">
        <v>1775</v>
      </c>
      <c r="E121" s="18" t="s">
        <v>1776</v>
      </c>
    </row>
    <row r="122" s="1" customFormat="1" ht="54" spans="1:5">
      <c r="A122" s="14" t="s">
        <v>1777</v>
      </c>
      <c r="B122" s="15" t="s">
        <v>1778</v>
      </c>
      <c r="C122" s="16" t="s">
        <v>1779</v>
      </c>
      <c r="D122" s="17" t="s">
        <v>1780</v>
      </c>
      <c r="E122" s="18" t="s">
        <v>1781</v>
      </c>
    </row>
    <row r="123" s="1" customFormat="1" ht="54" spans="1:5">
      <c r="A123" s="14" t="s">
        <v>1782</v>
      </c>
      <c r="B123" s="15" t="s">
        <v>1783</v>
      </c>
      <c r="C123" s="16" t="s">
        <v>1784</v>
      </c>
      <c r="D123" s="17" t="s">
        <v>1785</v>
      </c>
      <c r="E123" s="18" t="s">
        <v>1786</v>
      </c>
    </row>
    <row r="124" s="1" customFormat="1" ht="135" spans="1:5">
      <c r="A124" s="14" t="s">
        <v>1787</v>
      </c>
      <c r="B124" s="15" t="s">
        <v>1788</v>
      </c>
      <c r="C124" s="16" t="s">
        <v>1789</v>
      </c>
      <c r="D124" s="17" t="s">
        <v>1790</v>
      </c>
      <c r="E124" s="18" t="s">
        <v>1791</v>
      </c>
    </row>
    <row r="125" s="1" customFormat="1" ht="337.5" spans="1:5">
      <c r="A125" s="14" t="s">
        <v>1792</v>
      </c>
      <c r="B125" s="15" t="s">
        <v>1793</v>
      </c>
      <c r="C125" s="16" t="s">
        <v>1794</v>
      </c>
      <c r="D125" s="17" t="s">
        <v>1795</v>
      </c>
      <c r="E125" s="18" t="s">
        <v>1796</v>
      </c>
    </row>
    <row r="126" s="1" customFormat="1" ht="54" spans="1:5">
      <c r="A126" s="14" t="s">
        <v>1797</v>
      </c>
      <c r="B126" s="15" t="s">
        <v>1798</v>
      </c>
      <c r="C126" s="16" t="s">
        <v>1799</v>
      </c>
      <c r="D126" s="17" t="s">
        <v>1800</v>
      </c>
      <c r="E126" s="18" t="s">
        <v>1801</v>
      </c>
    </row>
    <row r="127" s="1" customFormat="1" ht="40.5" spans="1:5">
      <c r="A127" s="14" t="s">
        <v>1802</v>
      </c>
      <c r="B127" s="15" t="s">
        <v>1803</v>
      </c>
      <c r="C127" s="16" t="s">
        <v>1804</v>
      </c>
      <c r="D127" s="17" t="s">
        <v>1805</v>
      </c>
      <c r="E127" s="18" t="s">
        <v>1806</v>
      </c>
    </row>
    <row r="128" s="1" customFormat="1" ht="270" spans="1:5">
      <c r="A128" s="14" t="s">
        <v>1807</v>
      </c>
      <c r="B128" s="15" t="s">
        <v>1808</v>
      </c>
      <c r="C128" s="16" t="s">
        <v>1809</v>
      </c>
      <c r="D128" s="17" t="s">
        <v>1810</v>
      </c>
      <c r="E128" s="18" t="s">
        <v>1811</v>
      </c>
    </row>
    <row r="129" s="1" customFormat="1" ht="81" spans="1:5">
      <c r="A129" s="14" t="s">
        <v>1812</v>
      </c>
      <c r="B129" s="15" t="s">
        <v>1813</v>
      </c>
      <c r="C129" s="16" t="s">
        <v>1814</v>
      </c>
      <c r="D129" s="17" t="s">
        <v>1815</v>
      </c>
      <c r="E129" s="18" t="s">
        <v>1816</v>
      </c>
    </row>
    <row r="130" s="1" customFormat="1" ht="162" spans="1:5">
      <c r="A130" s="14" t="s">
        <v>1817</v>
      </c>
      <c r="B130" s="15" t="s">
        <v>1818</v>
      </c>
      <c r="C130" s="16" t="s">
        <v>1819</v>
      </c>
      <c r="D130" s="17" t="s">
        <v>1820</v>
      </c>
      <c r="E130" s="18" t="s">
        <v>1821</v>
      </c>
    </row>
    <row r="131" s="1" customFormat="1" ht="40.5" spans="1:5">
      <c r="A131" s="14" t="s">
        <v>1822</v>
      </c>
      <c r="B131" s="15" t="s">
        <v>1823</v>
      </c>
      <c r="C131" s="16" t="s">
        <v>1824</v>
      </c>
      <c r="D131" s="17" t="s">
        <v>1825</v>
      </c>
      <c r="E131" s="18" t="s">
        <v>1826</v>
      </c>
    </row>
    <row r="132" s="1" customFormat="1" ht="175.5" spans="1:5">
      <c r="A132" s="14" t="s">
        <v>1827</v>
      </c>
      <c r="B132" s="15" t="s">
        <v>1828</v>
      </c>
      <c r="C132" s="16" t="s">
        <v>1829</v>
      </c>
      <c r="D132" s="17" t="s">
        <v>1830</v>
      </c>
      <c r="E132" s="18" t="s">
        <v>1831</v>
      </c>
    </row>
    <row r="133" s="1" customFormat="1" ht="150" spans="1:5">
      <c r="A133" s="14" t="s">
        <v>1832</v>
      </c>
      <c r="B133" s="15" t="s">
        <v>1833</v>
      </c>
      <c r="C133" s="16" t="s">
        <v>1834</v>
      </c>
      <c r="D133" s="17" t="s">
        <v>1835</v>
      </c>
      <c r="E133" s="18" t="s">
        <v>1836</v>
      </c>
    </row>
    <row r="134" s="1" customFormat="1" ht="60" spans="1:5">
      <c r="A134" s="14" t="s">
        <v>1837</v>
      </c>
      <c r="B134" s="15" t="s">
        <v>1838</v>
      </c>
      <c r="C134" s="16" t="s">
        <v>1839</v>
      </c>
      <c r="D134" s="17" t="s">
        <v>1840</v>
      </c>
      <c r="E134" s="18" t="s">
        <v>1841</v>
      </c>
    </row>
    <row r="135" s="1" customFormat="1" ht="27" spans="1:5">
      <c r="A135" s="14" t="s">
        <v>1842</v>
      </c>
      <c r="B135" s="15" t="s">
        <v>1843</v>
      </c>
      <c r="C135" s="16" t="s">
        <v>1844</v>
      </c>
      <c r="D135" s="17" t="s">
        <v>1845</v>
      </c>
      <c r="E135" s="18" t="s">
        <v>1846</v>
      </c>
    </row>
    <row r="136" s="1" customFormat="1" ht="67.5" spans="1:5">
      <c r="A136" s="14" t="s">
        <v>1847</v>
      </c>
      <c r="B136" s="15" t="s">
        <v>1848</v>
      </c>
      <c r="C136" s="16" t="s">
        <v>1849</v>
      </c>
      <c r="D136" s="17" t="s">
        <v>1850</v>
      </c>
      <c r="E136" s="18" t="s">
        <v>1851</v>
      </c>
    </row>
    <row r="137" s="1" customFormat="1" ht="175.5" spans="1:5">
      <c r="A137" s="14" t="s">
        <v>1852</v>
      </c>
      <c r="B137" s="15" t="s">
        <v>1853</v>
      </c>
      <c r="C137" s="16" t="s">
        <v>1854</v>
      </c>
      <c r="D137" s="17" t="s">
        <v>1855</v>
      </c>
      <c r="E137" s="18" t="s">
        <v>1856</v>
      </c>
    </row>
    <row r="138" s="1" customFormat="1" ht="40.5" spans="1:5">
      <c r="A138" s="14" t="s">
        <v>1857</v>
      </c>
      <c r="B138" s="15" t="s">
        <v>1858</v>
      </c>
      <c r="C138" s="16" t="s">
        <v>1859</v>
      </c>
      <c r="D138" s="17" t="s">
        <v>1860</v>
      </c>
      <c r="E138" s="18" t="s">
        <v>1861</v>
      </c>
    </row>
    <row r="139" s="1" customFormat="1" ht="67.5" spans="1:5">
      <c r="A139" s="14" t="s">
        <v>1862</v>
      </c>
      <c r="B139" s="15" t="s">
        <v>1863</v>
      </c>
      <c r="C139" s="16" t="s">
        <v>1864</v>
      </c>
      <c r="D139" s="17" t="s">
        <v>1865</v>
      </c>
      <c r="E139" s="18" t="s">
        <v>1866</v>
      </c>
    </row>
    <row r="140" s="1" customFormat="1" ht="94.5" spans="1:5">
      <c r="A140" s="14" t="s">
        <v>1358</v>
      </c>
      <c r="B140" s="15" t="s">
        <v>1867</v>
      </c>
      <c r="C140" s="16" t="s">
        <v>1868</v>
      </c>
      <c r="D140" s="17" t="s">
        <v>1869</v>
      </c>
      <c r="E140" s="18" t="s">
        <v>1870</v>
      </c>
    </row>
    <row r="141" s="1" customFormat="1" ht="30" spans="1:5">
      <c r="A141" s="14" t="s">
        <v>1871</v>
      </c>
      <c r="B141" s="15" t="s">
        <v>1872</v>
      </c>
      <c r="C141" s="16" t="s">
        <v>1873</v>
      </c>
      <c r="D141" s="17" t="s">
        <v>1874</v>
      </c>
      <c r="E141" s="18" t="s">
        <v>1875</v>
      </c>
    </row>
    <row r="142" s="1" customFormat="1" ht="81" spans="1:5">
      <c r="A142" s="14" t="s">
        <v>1876</v>
      </c>
      <c r="B142" s="15" t="s">
        <v>1877</v>
      </c>
      <c r="C142" s="16" t="s">
        <v>1878</v>
      </c>
      <c r="D142" s="17" t="s">
        <v>1879</v>
      </c>
      <c r="E142" s="18" t="s">
        <v>1880</v>
      </c>
    </row>
    <row r="143" s="1" customFormat="1" ht="94.5" spans="1:5">
      <c r="A143" s="14" t="s">
        <v>1881</v>
      </c>
      <c r="B143" s="15" t="s">
        <v>1882</v>
      </c>
      <c r="C143" s="16" t="s">
        <v>1883</v>
      </c>
      <c r="D143" s="17" t="s">
        <v>1884</v>
      </c>
      <c r="E143" s="18" t="s">
        <v>1885</v>
      </c>
    </row>
    <row r="144" s="1" customFormat="1" ht="60" spans="1:5">
      <c r="A144" s="14" t="s">
        <v>1886</v>
      </c>
      <c r="B144" s="15" t="s">
        <v>1887</v>
      </c>
      <c r="C144" s="16" t="s">
        <v>1888</v>
      </c>
      <c r="D144" s="17" t="s">
        <v>1889</v>
      </c>
      <c r="E144" s="18" t="s">
        <v>1890</v>
      </c>
    </row>
    <row r="145" s="1" customFormat="1" ht="30" spans="1:5">
      <c r="A145" s="14" t="s">
        <v>1891</v>
      </c>
      <c r="B145" s="15" t="s">
        <v>1892</v>
      </c>
      <c r="C145" s="17" t="s">
        <v>1893</v>
      </c>
      <c r="D145" s="17" t="s">
        <v>1894</v>
      </c>
      <c r="E145" s="18" t="s">
        <v>1895</v>
      </c>
    </row>
    <row r="146" s="1" customFormat="1" spans="1:5">
      <c r="A146" s="14" t="s">
        <v>1896</v>
      </c>
      <c r="B146" s="15" t="s">
        <v>1897</v>
      </c>
      <c r="C146" s="16" t="s">
        <v>1898</v>
      </c>
      <c r="D146" s="17" t="s">
        <v>1525</v>
      </c>
      <c r="E146" s="18" t="s">
        <v>1899</v>
      </c>
    </row>
    <row r="147" s="1" customFormat="1" ht="75" spans="1:5">
      <c r="A147" s="14" t="s">
        <v>1900</v>
      </c>
      <c r="B147" s="15" t="s">
        <v>1901</v>
      </c>
      <c r="C147" s="16" t="s">
        <v>1902</v>
      </c>
      <c r="D147" s="17" t="s">
        <v>1903</v>
      </c>
      <c r="E147" s="18" t="s">
        <v>1904</v>
      </c>
    </row>
    <row r="148" s="1" customFormat="1" ht="283.5" spans="1:5">
      <c r="A148" s="14" t="s">
        <v>1905</v>
      </c>
      <c r="B148" s="15" t="s">
        <v>1364</v>
      </c>
      <c r="C148" s="16" t="s">
        <v>1365</v>
      </c>
      <c r="D148" s="17" t="s">
        <v>1906</v>
      </c>
      <c r="E148" s="18" t="s">
        <v>1907</v>
      </c>
    </row>
    <row r="149" s="1" customFormat="1" ht="135" spans="1:5">
      <c r="A149" s="14" t="s">
        <v>1908</v>
      </c>
      <c r="B149" s="15" t="s">
        <v>1909</v>
      </c>
      <c r="C149" s="16" t="s">
        <v>1910</v>
      </c>
      <c r="D149" s="17" t="s">
        <v>1911</v>
      </c>
      <c r="E149" s="18" t="s">
        <v>1912</v>
      </c>
    </row>
    <row r="150" s="1" customFormat="1" ht="202.5" spans="1:5">
      <c r="A150" s="14" t="s">
        <v>1913</v>
      </c>
      <c r="B150" s="15" t="s">
        <v>1914</v>
      </c>
      <c r="C150" s="16" t="s">
        <v>1915</v>
      </c>
      <c r="D150" s="17" t="s">
        <v>1916</v>
      </c>
      <c r="E150" s="18" t="s">
        <v>1917</v>
      </c>
    </row>
    <row r="151" s="1" customFormat="1" ht="175.5" spans="1:5">
      <c r="A151" s="14" t="s">
        <v>1918</v>
      </c>
      <c r="B151" s="15" t="s">
        <v>1919</v>
      </c>
      <c r="C151" s="16" t="s">
        <v>1920</v>
      </c>
      <c r="D151" s="17" t="s">
        <v>1921</v>
      </c>
      <c r="E151" s="18" t="s">
        <v>1922</v>
      </c>
    </row>
    <row r="152" s="1" customFormat="1" ht="108" spans="1:5">
      <c r="A152" s="14" t="s">
        <v>1923</v>
      </c>
      <c r="B152" s="15" t="s">
        <v>1924</v>
      </c>
      <c r="C152" s="16" t="s">
        <v>1925</v>
      </c>
      <c r="D152" s="17" t="s">
        <v>1926</v>
      </c>
      <c r="E152" s="18" t="s">
        <v>1927</v>
      </c>
    </row>
    <row r="153" s="1" customFormat="1" ht="108" spans="1:5">
      <c r="A153" s="14" t="s">
        <v>1928</v>
      </c>
      <c r="B153" s="15" t="s">
        <v>1929</v>
      </c>
      <c r="C153" s="16" t="s">
        <v>1930</v>
      </c>
      <c r="D153" s="17" t="s">
        <v>1931</v>
      </c>
      <c r="E153" s="18" t="s">
        <v>1932</v>
      </c>
    </row>
    <row r="154" s="1" customFormat="1" ht="30" spans="1:5">
      <c r="A154" s="14" t="s">
        <v>1933</v>
      </c>
      <c r="B154" s="15" t="s">
        <v>1934</v>
      </c>
      <c r="C154" s="16" t="s">
        <v>1935</v>
      </c>
      <c r="D154" s="17" t="s">
        <v>1936</v>
      </c>
      <c r="E154" s="18" t="s">
        <v>1937</v>
      </c>
    </row>
    <row r="155" s="1" customFormat="1" ht="94.5" spans="1:5">
      <c r="A155" s="14" t="s">
        <v>1938</v>
      </c>
      <c r="B155" s="15" t="s">
        <v>1939</v>
      </c>
      <c r="C155" s="16" t="s">
        <v>1940</v>
      </c>
      <c r="D155" s="17" t="s">
        <v>1941</v>
      </c>
      <c r="E155" s="18" t="s">
        <v>1942</v>
      </c>
    </row>
    <row r="156" s="1" customFormat="1" ht="121.5" spans="1:5">
      <c r="A156" s="14" t="s">
        <v>1943</v>
      </c>
      <c r="B156" s="15" t="s">
        <v>1944</v>
      </c>
      <c r="C156" s="16" t="s">
        <v>1945</v>
      </c>
      <c r="D156" s="17" t="s">
        <v>1946</v>
      </c>
      <c r="E156" s="18" t="s">
        <v>1947</v>
      </c>
    </row>
    <row r="157" s="1" customFormat="1" ht="105" spans="1:5">
      <c r="A157" s="14" t="s">
        <v>1948</v>
      </c>
      <c r="B157" s="15" t="s">
        <v>1949</v>
      </c>
      <c r="C157" s="16" t="s">
        <v>1950</v>
      </c>
      <c r="D157" s="17" t="s">
        <v>1951</v>
      </c>
      <c r="E157" s="18" t="s">
        <v>1952</v>
      </c>
    </row>
    <row r="158" s="1" customFormat="1" ht="54" spans="1:5">
      <c r="A158" s="14" t="s">
        <v>1953</v>
      </c>
      <c r="B158" s="15" t="s">
        <v>1954</v>
      </c>
      <c r="C158" s="16" t="s">
        <v>1955</v>
      </c>
      <c r="D158" s="17" t="s">
        <v>1956</v>
      </c>
      <c r="E158" s="18" t="s">
        <v>1957</v>
      </c>
    </row>
    <row r="159" s="1" customFormat="1" ht="40.5" spans="1:5">
      <c r="A159" s="20" t="s">
        <v>1958</v>
      </c>
      <c r="B159" s="21" t="s">
        <v>1959</v>
      </c>
      <c r="C159" s="22" t="s">
        <v>1960</v>
      </c>
      <c r="D159" s="23" t="s">
        <v>1961</v>
      </c>
      <c r="E159" s="24" t="s">
        <v>1962</v>
      </c>
    </row>
    <row r="160" s="1" customFormat="1" ht="13.5" spans="1:5">
      <c r="A160" s="3"/>
      <c r="B160" s="3"/>
      <c r="C160" s="3"/>
      <c r="D160" s="3"/>
      <c r="E160" s="25"/>
    </row>
  </sheetData>
  <sheetProtection formatCells="0" insertHyperlinks="0" autoFilter="0"/>
  <mergeCells count="1">
    <mergeCell ref="A1:E1"/>
  </mergeCells>
  <conditionalFormatting sqref="C2:C55">
    <cfRule type="duplicateValues" dxfId="3" priority="1"/>
  </conditionalFormatting>
  <conditionalFormatting sqref="C56:C130">
    <cfRule type="duplicateValues" dxfId="3" priority="2"/>
  </conditionalFormatting>
  <pageMargins left="0.75" right="0.75" top="1" bottom="1" header="0.5" footer="0.5"/>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����Ǐ5*N�TT���R6e�~u�9�u���Ǐ5*N�TT���R6e�~u�9�u���Ǐ5*N�TT���R6e�~u�9�u���Ǐ5*N�TT���R6e�~u�9�u���Ǐ5*N�TT���R6e�~u�9�u���Ǐ5*N�TT���R6e�~u�9�u���Ǐ5*N�TT���R6e�~u�9�u���Ǐ5*N�TT���R6e�~u�9�u��YG�6e�N�N0W@WNcknxbvQ�N�S�V�f9e0W@W�v�UPSh����S�f:N�Q	��e�6e�N�gNOhy�
NN\v���YG�6e�N�N0W@WNcknxbvQ�N�S�V�f9e0W@W�v�UPSh����S�f:N�Q	��e�6e�N�gNOhy�
NN\v���YG�6e�N�N0W@WNcknxbvQ�N�S�V�f9e0W@W�v�UPSh����S�f:N�Q	��e�6e�N�gNOhy�
NN\v���YG�6e�N�N0W@WNcknxbvQ�N�S�V�f9e0W@W�v�UPSh����S�f:N�Q	��e�6e�N�gNOhy�
NN\v��	cGWJd{��cMR�T⋢[g/f&T�S�N�b*bcb'��NN�O���kNhy��cb'�b�R�
�c�gw�MQ�y7)Y�,{)Y6e�S)Y,,{)Y6e�S)Y�,{)Y6e�S)Y���khygNO6e9�)Y	���Ǐ3*Ng*g�Q'�ir؞����k��]�Nu�v�N�yck8^6e�S{��cMR�T⋢[g/f&T�S�N�b*bcb'��NN�O���kNhy��cb'�b�R��c�gw�MQ�y7)Y�,{)Y6e�S)Y,,{)Y6e�S)Y�,{)Y6e�S)Y���khygNO6e9�)Y	���Ǐ3*Ng*g�Q'�ir؞����k��]�Nu�v�N�yck8^6e�S�c�gw�MQ�y7)Y�,{)Y6e�S)Y,,{)Y6e�S)Y�,{)Y6e�S)Y���khygNO6e9�)Y	���Ǐ3*Ng*g�Q'�ir؞����k��]�Nu�v�N�yck8^6e�S{��cMR�T⋢[g/f&T�S�N�b*bcb'��NN�O���kNhy��cb'�b�R��c�gw�MQ�y7)Y�,{)Y6e�S)Y,,{)Y6e�S)Y�,{)Y6e�S)Y���khygNO6e9�)Y	���Ǐ3*Ng*g�Q'�ir؞����k��]�Nu�v�N�yck8^6e�S{��cMR�T⋢[g/f&T�S�N�b*bcb'��NN�O���kNhy��cb'�b�R�
�c�gw�MQ�y7)Y�,{)Y6e�S)Y,,{)Y6e�S)Y�,{)Y6e�S)Y���khygNO6e9�)Y	���Ǐ3*Ng*g�Q'�ir؞����k��]�Nu�v�N�yck8^6e�S{��cMR�T⋢[g/f&T�S�N�b*bcb'��NN�O���kNhy��cb'�b�R�
�c�gw�MQ�y7)Y�,{)Y6e�S)Y,,{)Y6e�S)Y�,{)Y6e�S)Y���khygNO6e9�)Y	���Ǐ3*Ng*g�Q'�ir؞����k��]�Nu�v�N�yck8^6e�S{��cMR�T⋢[g/f&T�S�N�b*bcb'��NN�O���kNhy��cb'�b�R��c�gw�MQ�y7)Y�,{)Y6e�S)Y,,{)Y6e�S)Y�,{)Y6e�S)Y���khygNO6e9�)Y	���Ǐ3*Ng*g�Q'�ir؞����k��]�Nu�v�N�yck8^6e�S{��cMR�T⋢[g/f&T�S�N�b*bcb'��NN�O���kNhy��cb'�b�R�
�c�gw�MQ�y7)Y�,{)Y6e�S)Y,,{)Y6e�S)Y�,{)Y6e�S)Y���khygNO6e9�)Y	���Ǐ3*Ng*g�Q'�ir؞����k��]�Nu�v�N�yck8^6e�Sw�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Company>UPS</Company>
  <Application>WPS Office WWO_base_provider_20221101180017-e790f0e3e8</Application>
  <HeadingPairs>
    <vt:vector size="2" baseType="variant">
      <vt:variant>
        <vt:lpstr>工作表</vt:lpstr>
      </vt:variant>
      <vt:variant>
        <vt:i4>18</vt:i4>
      </vt:variant>
    </vt:vector>
  </HeadingPairs>
  <TitlesOfParts>
    <vt:vector size="18" baseType="lpstr">
      <vt:lpstr>目录</vt:lpstr>
      <vt:lpstr>发货必读</vt:lpstr>
      <vt:lpstr>船期表</vt:lpstr>
      <vt:lpstr>快捷查询</vt:lpstr>
      <vt:lpstr>海派专线</vt:lpstr>
      <vt:lpstr>王牌渠道</vt:lpstr>
      <vt:lpstr>美西专线</vt:lpstr>
      <vt:lpstr>经济线</vt:lpstr>
      <vt:lpstr>美中专线</vt:lpstr>
      <vt:lpstr>美东专线</vt:lpstr>
      <vt:lpstr>萨瓦纳专线</vt:lpstr>
      <vt:lpstr>海运整柜</vt:lpstr>
      <vt:lpstr>美东海卡</vt:lpstr>
      <vt:lpstr>美中海卡</vt:lpstr>
      <vt:lpstr>加拿大直航</vt:lpstr>
      <vt:lpstr>沃尔玛专线</vt:lpstr>
      <vt:lpstr>商业地址</vt:lpstr>
      <vt:lpstr>反倾销系列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Chung Jim (MXL9XPW)</dc:creator>
  <cp:lastModifiedBy>鱼眠谧茜</cp:lastModifiedBy>
  <dcterms:created xsi:type="dcterms:W3CDTF">2015-04-04T16:59:00Z</dcterms:created>
  <cp:lastPrinted>2018-07-30T21:52:00Z</cp:lastPrinted>
  <dcterms:modified xsi:type="dcterms:W3CDTF">2026-06-30T10:00:18Z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KSOReadingLayout">
    <vt:bool>true</vt:bool>
  </property>
  <property fmtid="{D5CDD505-2E9C-101B-9397-08002B2CF9AE}" pid="4" name="ICV">
    <vt:lpwstr>900595BDD9D243EFB05231DC77C2D76F_13</vt:lpwstr>
  </property>
  <property fmtid="{D5CDD505-2E9C-101B-9397-08002B2CF9AE}" pid="5" name="commondata">
    <vt:lpwstr>eyJoZGlkIjoiNTI4NmVhMzgyY2Q5NGI3MTQ2MzFiNmY2ZGRkMWVjMDAifQ==</vt:lpwstr>
  </property>
  <property fmtid="{D5CDD505-2E9C-101B-9397-08002B2CF9AE}" pid="6" name="CalculationRule">
    <vt:i4>0</vt:i4>
  </property>
</Properties>
</file>