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dia/image10.svg" ContentType="image/svg+xml"/>
  <Override PartName="/xl/media/image12.svg" ContentType="image/svg+xml"/>
  <Override PartName="/xl/media/image2.svg" ContentType="image/svg+xml"/>
  <Override PartName="/xl/media/image4.svg" ContentType="image/svg+xml"/>
  <Override PartName="/xl/media/image6.svg" ContentType="image/svg+xml"/>
  <Override PartName="/xl/media/image8.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10" tabRatio="930" activeTab="1"/>
  </bookViews>
  <sheets>
    <sheet name="查询首页" sheetId="46" r:id="rId1"/>
    <sheet name="渠道目录" sheetId="13" r:id="rId2"/>
    <sheet name="发货须知" sheetId="45" r:id="rId3"/>
    <sheet name="赔偿标准和免赔声明" sheetId="34" r:id="rId4"/>
    <sheet name="易通国内仓服务" sheetId="27" r:id="rId5"/>
    <sheet name="船期表" sheetId="5" r:id="rId6"/>
    <sheet name="美转加海派" sheetId="54" r:id="rId7"/>
    <sheet name="美转加卡派" sheetId="21" r:id="rId8"/>
    <sheet name="加拿大直航海派" sheetId="65" r:id="rId9"/>
    <sheet name="加拿大直航卡派" sheetId="20" r:id="rId10"/>
    <sheet name="加拿大商业地址卡派" sheetId="67" state="hidden" r:id="rId11"/>
    <sheet name="加拿大香港UPS红单" sheetId="66" r:id="rId12"/>
    <sheet name="加拿大DG卡派" sheetId="43" r:id="rId13"/>
    <sheet name="加拿大海外仓增值服务" sheetId="64" r:id="rId14"/>
    <sheet name="澳洲空运含税" sheetId="55" r:id="rId15"/>
    <sheet name="澳洲空运分区表" sheetId="56" r:id="rId16"/>
    <sheet name="澳洲海运含税" sheetId="51" r:id="rId17"/>
    <sheet name="澳洲海运不含税" sheetId="49" r:id="rId18"/>
    <sheet name="澳洲海运超大件卡派分区表" sheetId="48" r:id="rId19"/>
    <sheet name="澳洲空海运超偏远区域表" sheetId="53" r:id="rId20"/>
    <sheet name="澳洲海外仓增值服务" sheetId="59" r:id="rId21"/>
    <sheet name="DG货物包装和文件要求" sheetId="44" r:id="rId22"/>
    <sheet name="加拿大仓库列表" sheetId="41" r:id="rId23"/>
    <sheet name="澳洲仓库列表" sheetId="47" r:id="rId24"/>
    <sheet name="加拿大UPS偏远附加参考" sheetId="42" state="hidden" r:id="rId25"/>
  </sheets>
  <externalReferences>
    <externalReference r:id="rId27"/>
    <externalReference r:id="rId28"/>
  </externalReferences>
  <definedNames>
    <definedName name="_xlnm._FilterDatabase" localSheetId="5" hidden="1">船期表!$A$4:$T$32</definedName>
    <definedName name="List_海派">#REF!</definedName>
    <definedName name="仓库列表">#REF!</definedName>
    <definedName name="海派选项">#REF!</definedName>
    <definedName name="海运选项">#REF!</definedName>
    <definedName name="空派选项">#REF!</definedName>
    <definedName name="List_海派" localSheetId="0">[1]价格快速查询!$V$9:$X$9</definedName>
    <definedName name="仓库列表" localSheetId="0">[1]价格快速查询!$S$10:$S$69</definedName>
    <definedName name="海派选项" localSheetId="0">[1]价格快速查询!#REF!</definedName>
    <definedName name="海运选项" localSheetId="0">[1]价格快速查询!$V$12:$W$12</definedName>
    <definedName name="空派选项" localSheetId="0">[1]价格快速查询!$V$13:$AA$13</definedName>
    <definedName name="List_海派" localSheetId="20">#REF!</definedName>
    <definedName name="仓库列表" localSheetId="20">#REF!</definedName>
    <definedName name="海派选项" localSheetId="20">#REF!</definedName>
    <definedName name="海运选项" localSheetId="20">#REF!</definedName>
    <definedName name="空派选项" localSheetId="20">#REF!</definedName>
    <definedName name="List_海派" localSheetId="13">#REF!</definedName>
    <definedName name="仓库列表" localSheetId="13">#REF!</definedName>
    <definedName name="海派选项" localSheetId="13">#REF!</definedName>
    <definedName name="海运选项" localSheetId="13">#REF!</definedName>
    <definedName name="空派选项" localSheetId="13">#REF!</definedName>
    <definedName name="_xlnm._FilterDatabase" localSheetId="13" hidden="1">加拿大海外仓增值服务!$A$2:$E$23</definedName>
    <definedName name="List_海派" localSheetId="11">[2]价格快速查询!$V$9:$X$9</definedName>
    <definedName name="仓库列表" localSheetId="11">[2]价格快速查询!$S$10:$S$69</definedName>
    <definedName name="海派选项" localSheetId="11">[2]价格快速查询!#REF!</definedName>
    <definedName name="海运选项" localSheetId="11">[2]价格快速查询!$V$12:$W$12</definedName>
    <definedName name="空派选项" localSheetId="11">[2]价格快速查询!$V$13:$AA$13</definedName>
    <definedName name="_xlnm._FilterDatabase" localSheetId="7" hidden="1">美转加卡派!$A$1:$L$11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6697A225B864C34A678052B48D4E660" descr="易通组合"/>
        <xdr:cNvPicPr>
          <a:picLocks noChangeAspect="1"/>
        </xdr:cNvPicPr>
      </xdr:nvPicPr>
      <xdr:blipFill>
        <a:blip r:embed="rId1"/>
        <a:stretch>
          <a:fillRect/>
        </a:stretch>
      </xdr:blipFill>
      <xdr:spPr>
        <a:xfrm>
          <a:off x="1143000" y="635"/>
          <a:ext cx="7230110" cy="1443990"/>
        </a:xfrm>
        <a:prstGeom prst="rect">
          <a:avLst/>
        </a:prstGeom>
      </xdr:spPr>
    </xdr:pic>
  </etc:cellImage>
</etc:cellImages>
</file>

<file path=xl/sharedStrings.xml><?xml version="1.0" encoding="utf-8"?>
<sst xmlns="http://schemas.openxmlformats.org/spreadsheetml/2006/main" count="6751" uniqueCount="2827">
  <si>
    <t>国家</t>
  </si>
  <si>
    <t>渠道类型</t>
  </si>
  <si>
    <t>链接报价</t>
  </si>
  <si>
    <t>渠道名称</t>
  </si>
  <si>
    <t>渠道特点和优势</t>
  </si>
  <si>
    <t>时效</t>
  </si>
  <si>
    <t>更新提示</t>
  </si>
  <si>
    <t>加拿大</t>
  </si>
  <si>
    <t>美转加海派</t>
  </si>
  <si>
    <t>进入报价</t>
  </si>
  <si>
    <t>加拿大半月提UPS派</t>
  </si>
  <si>
    <t>美森正班VIP半月提，超时赔付！！</t>
  </si>
  <si>
    <t>16-20天提取</t>
  </si>
  <si>
    <t>不变</t>
  </si>
  <si>
    <t>加拿大超快线UPS派</t>
  </si>
  <si>
    <t>美森正班超快线，超时赔付！！</t>
  </si>
  <si>
    <t>18-24天提取</t>
  </si>
  <si>
    <t>加拿大快线UPS派</t>
  </si>
  <si>
    <t>合德/ZIM统配，超高性价比，超时赔付！！</t>
  </si>
  <si>
    <t>21-30天提取</t>
  </si>
  <si>
    <t>加拿大准时达UPS派</t>
  </si>
  <si>
    <t>OA实力航线，价格实惠，超时赔付！！</t>
  </si>
  <si>
    <t>25-38天提取</t>
  </si>
  <si>
    <t>美转加卡派</t>
  </si>
  <si>
    <t>加拿大超快线卡派</t>
  </si>
  <si>
    <t>美森正班，时效最快，超时赔付！！</t>
  </si>
  <si>
    <t>20-26天</t>
  </si>
  <si>
    <t>易·28日达卡派</t>
  </si>
  <si>
    <t>23-28天</t>
  </si>
  <si>
    <t>易·30日达卡派</t>
  </si>
  <si>
    <t>28-35天</t>
  </si>
  <si>
    <t>加拿大直航海派</t>
  </si>
  <si>
    <t>易·E达UPS派</t>
  </si>
  <si>
    <t>OA快线+ERS服务，价格实惠</t>
  </si>
  <si>
    <t>30-40天提取</t>
  </si>
  <si>
    <t>易·速达UPS派</t>
  </si>
  <si>
    <t>快线慢线统配，船期选择多</t>
  </si>
  <si>
    <t>45-50天提取</t>
  </si>
  <si>
    <t>加拿大直航卡派</t>
  </si>
  <si>
    <t>易·E达卡派</t>
  </si>
  <si>
    <t>OA快线+ERS服务</t>
  </si>
  <si>
    <t>30-40天</t>
  </si>
  <si>
    <t>易·速达卡派</t>
  </si>
  <si>
    <t>45-50天</t>
  </si>
  <si>
    <t>加拿大香港UPS红单</t>
  </si>
  <si>
    <t>香港UPS红单</t>
  </si>
  <si>
    <t>含税含油</t>
  </si>
  <si>
    <t>4-6天</t>
  </si>
  <si>
    <t>加拿大DG卡派</t>
  </si>
  <si>
    <t>易·E达卡派DG</t>
  </si>
  <si>
    <t>超功率电池货物专线，正规出海</t>
  </si>
  <si>
    <t>30-45天</t>
  </si>
  <si>
    <t>加拿大海外仓服务</t>
  </si>
  <si>
    <t>加拿大海外仓增值服务</t>
  </si>
  <si>
    <t>澳洲</t>
  </si>
  <si>
    <t>澳洲空运含税</t>
  </si>
  <si>
    <t>普货；价格波动大，出货前请再确认运费</t>
  </si>
  <si>
    <t>6-12天</t>
  </si>
  <si>
    <t>澳洲海运含税</t>
  </si>
  <si>
    <t>单价低，时效稳定</t>
  </si>
  <si>
    <t>25-40天</t>
  </si>
  <si>
    <t>上调0.5</t>
  </si>
  <si>
    <t>澳洲海运不含税</t>
  </si>
  <si>
    <t>上调0.5 /上调100</t>
  </si>
  <si>
    <t>澳洲海外仓服务</t>
  </si>
  <si>
    <t>澳洲海外仓增值服务</t>
  </si>
  <si>
    <t>深圳总部公司地址：广东省深圳市龙华区民治街道民强社区宝山时代大厦2610-2616</t>
  </si>
  <si>
    <t>东莞仓库地址（装柜仓库）：东莞市清溪镇九乡村新屋吓一路11号</t>
  </si>
  <si>
    <t>陈主管15118451410</t>
  </si>
  <si>
    <t>广州仓库地址（装柜仓库）：广州市白云区太岗公路34号基实(广州)白云空港产业园A1栋4层02单元</t>
  </si>
  <si>
    <t>潘主管 19076062229</t>
  </si>
  <si>
    <t>义乌仓库地址（装柜仓库）： 浙江省义乌市稠江街道同和路丰树产业园4G-1库（二楼）。(进大门50米右转，50米左转，直行上坡，二楼 4G-1库）</t>
  </si>
  <si>
    <t>邵先生 15207006228</t>
  </si>
  <si>
    <t>嘉兴仓库地址（装柜仓库）：嘉兴市嘉善县洪福东路718号丰树（姚庄）科技综合产业园1楼2C-2（进门右转150米）  收货时间10.00-20.00</t>
  </si>
  <si>
    <t>李主管 13362359866</t>
  </si>
  <si>
    <t>汕头仓库地址（中转仓库）：广东省汕头市澄海区凤翔街道金鸿大道澄海农村信用社南侧190米誉航达仓库---地址有更新</t>
  </si>
  <si>
    <t>胡经理 13923475593</t>
  </si>
  <si>
    <t>泉州仓库地址（中转仓库）：晋江市磁灶镇西园街道传化公路港k2仓库成翔物流</t>
  </si>
  <si>
    <t>李阿玲 15860451181</t>
  </si>
  <si>
    <t>厦门仓库地址（中转仓库）：厦门集美嘉晟物流园1期2栋110</t>
  </si>
  <si>
    <t>李没没 14760028777</t>
  </si>
  <si>
    <t>中山仓库地址（中转仓库）：中山市小榄镇北部物流中心</t>
  </si>
  <si>
    <t>薛永波 18659507913</t>
  </si>
  <si>
    <t>加拿大发货须知</t>
  </si>
  <si>
    <t>1. 必须根据实际货物如实申报，货物信息要与发票资料一致，不可瞒报漏报和申报不符，如因申报不符导致海关扣货等后果及产生的所有费用由发货人承担，我司保留追究法律责任的权利.</t>
  </si>
  <si>
    <t>2. 不要低价申报，如低价申报导致海关查验，反倾销，扣货，延期，我司不承担任何责任。建议不能低于货值的25%-35%申报。</t>
  </si>
  <si>
    <t>3. 纸箱包装需硬朗方正，入亚马逊仓库货件需贴2个以上合格的FBA标签(必须条码字体 清晰、防潮湿耐磨损)，外箱和产品贴有“MADE IN CHINA”标签。如因包装及标签问题导致亚马逊仓库拒收或清关出现问题，所有责任及费用由发货人承担。</t>
  </si>
  <si>
    <t>4.使用我司税号清关，税率以预收税率为准，我司不提供关税清单和税费截图；如客户要求清完关后凭税单及发票付关税，我司将收取关税代缴手续费（代缴关税总金额的5%）</t>
  </si>
  <si>
    <t>5. 不接仿牌、侵权、反倾销、电子烟、纯电池、食品、药品、书籍、音像制品、带内容的光盘、地图、国旗、管制刀具、液体、粉末、颗粒、强磁、易燃易爆、毒性物质及腐蚀性、古董、货币等国家禁止出口及船司、航空公司、班列禁运物品；其他未列明产品请单询！</t>
  </si>
  <si>
    <t>6. 以下情况，我司会协助处理，但不承担任何责任。
产品如需要认证而客户无法提供有效证明及文件，导致海关扣货等后果，如因以上情况而产生的退运，销毁，仓租等一切费用，由发货方自行承担
产品不符合加拿大当地法规的，如反倾销，侵权且无法提供有效证及及文件，导致海关扣货等后果</t>
  </si>
  <si>
    <t>7. 材质是原木或带有原木的货物要求熏蒸，需要商检的货物：木家私，木制工艺品，木架，竹制品，藤制品，草制品，植物制品，洗发水，化妆品，户外游乐设施等（仅供参考）</t>
  </si>
  <si>
    <t>8.每公斤申报价值大于10美金为高货值，10美金-30美金/公斤附加费+1，30美金-50美金/公斤附加费+2，50美金/公斤以上附加费+3。</t>
  </si>
  <si>
    <t>9. 电商物流上架险收费标准：（此服务为我司的增值服务，我司代客户购买保险，保险最终解释权按保单说明与保险公司处理结果为准，我司协助客户处理保险事宜）</t>
  </si>
  <si>
    <t>保险税率</t>
  </si>
  <si>
    <t>最低收费标准</t>
  </si>
  <si>
    <t>索赔周期</t>
  </si>
  <si>
    <t>货值《=1500RMB</t>
  </si>
  <si>
    <t>RMB50/票</t>
  </si>
  <si>
    <t>预计45天左右</t>
  </si>
  <si>
    <t>高货值单询</t>
  </si>
  <si>
    <t>/</t>
  </si>
  <si>
    <t>加拿大赔偿标准和免赔声明</t>
  </si>
  <si>
    <t>一、时效赔付界定：以不同渠道时效说明为准</t>
  </si>
  <si>
    <t>二、时效免赔说明</t>
  </si>
  <si>
    <t>1、船公司船期/航线变更/延迟到港，自然灾害、天气原因，如台风、地震、洪水、冰雹,，暴风雪，雾；政府行为，社会异常事件包括战争，罢工等；</t>
  </si>
  <si>
    <t>2、海关查验；</t>
  </si>
  <si>
    <t>3、亚马逊拒收或更改预约时间，亚马逊爆仓导致预约困难；</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</si>
  <si>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</si>
  <si>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</si>
  <si>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6、由于疫情，国内仓库无法出货，船公司卸船效率慢，预约困难，拒收等不可抗力导致的延迟交仓,不在赔偿范围,此项如与具体渠道的时效赔付标准有区分，则与具体渠道的标准为准；</t>
  </si>
  <si>
    <t>三、赔偿标准（所有赔偿只有一种，不能多种赔偿同时赔付）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</si>
  <si>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</si>
  <si>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</si>
  <si>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3、卡派货交亚马逊仓库，有签名的POD（预约号与FBA ID无法对应），但是整票未上架的，我司接受理赔申请，赔偿金额按照我司合同条款  
（不包括FBA号过期和FBA号过期后客户仍然要求我们派送，导致的亚马逊拒收和不上架）</t>
  </si>
  <si>
    <t>4、快递货交私人仓库/商业地址/亚马逊仓库，如若是整票未提取，我司接受理赔申请，赔偿金额按照我司合同条款
（不包括FBA号过期和FBA号过期后客户仍然要求我们派送，导致的亚马逊拒收和不上架）</t>
  </si>
  <si>
    <t>5、快递货交私人仓库/商业地址，快递显示部分未提取+部分已经签收，收货人反馈未收到货物或收到部分货物，我司能够接受理赔，但是需要签收人提供相应的情况说明书并签字（需要显示个人Passport No.）</t>
  </si>
  <si>
    <t>四、免赔声明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</si>
  <si>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</si>
  <si>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</si>
  <si>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</si>
  <si>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t>
  </si>
  <si>
    <t>5. 尾端卡派免赔说明：
*私人仓库/商业地址，卡派POD已经显示签收，但是反馈并未收到货物/ 部分未签收；
*私人仓库/商业地址，签收后，超过2天（签收当天起算），没有及时反馈说少货了或者说货损（签收单上面未写明有少货或货损）；
*货送亚马逊，有签名的POD，同一票货，部分货物已经上架不再接受理赔.</t>
  </si>
  <si>
    <t>6、UPS/FEDEX追溯期是2个月，超过2个月不予受理，船期超过50天以上的，建议在目的港更换UPS面单.
整票未提取，从打单日期起算，最迟45天后要发起索赔，否则快递将可能因为面单失效或路由路径消失导致拒赔
提取后迟迟未有动态（未上架），从提取日起，最迟45天后要发起索赔，否则快递将可能因为面单失效或路由路径消失导致拒赔</t>
  </si>
  <si>
    <t>7、漏报关赔偿：按3倍报关费赔偿</t>
  </si>
  <si>
    <t>8.如出现未上架情况，请按要求提供相关资料进行索赔，如未上架截图，形式发票/装箱单/采购发票等</t>
  </si>
  <si>
    <t>五、索赔程序：</t>
  </si>
  <si>
    <t>1、请客户在签收后10个工作日内查询FBA后台是否上架，签收后30天内提供货物未上架后台截图(需带有电脑屏幕右下角当下真实时间)至我司方可进入索赔程序，超过60个工作日不予受理。</t>
  </si>
  <si>
    <t>仓库增值服务价格表</t>
  </si>
  <si>
    <t>项目</t>
  </si>
  <si>
    <t>价格</t>
  </si>
  <si>
    <t>备注</t>
  </si>
  <si>
    <t>入仓费</t>
  </si>
  <si>
    <t>22/CBM</t>
  </si>
  <si>
    <t>货物送达我司仓库，收取RMB22/CBM，包含卸货，测量数据，登记入库等动作。</t>
  </si>
  <si>
    <t>仓租</t>
  </si>
  <si>
    <t>请看备注</t>
  </si>
  <si>
    <t>1.存放一个星期(含7天)免费  (如客户需中转或退回的：需收取退仓费+仓储费，仓储费按RMB2.5/CBM/天收取)
2.超出7天一个月(第8-30天)之内按照RMB2.5/CBM/天收取存储费；
3.第二个月(第31天到60天)按照RMB5/CBM/天收取存储费，同时客服提前7天邮件通知客户是否继续续费存储；
4.对未缴纳存储费的客户，客服邮件提醒通知客户，存储周期为二个月(60天)未交费，定义客户自动弃货，我公司有权自行处理；</t>
  </si>
  <si>
    <t>装柜费</t>
  </si>
  <si>
    <t>整柜装柜按RMB1000/柜收取费用</t>
  </si>
  <si>
    <t>加班费</t>
  </si>
  <si>
    <t>周一至周五
20:01—23:00 RMB20元/小时/人
23:00后停止收货                                                                                                                                                                           周六18:00以后收货算加班，加班费30元/小时/人</t>
  </si>
  <si>
    <t>贴标费</t>
  </si>
  <si>
    <t>1.进仓必须有我司唛头，未贴唛头或FBA标签，标贴破损，更换外箱标贴等不符合标准入仓货物需重新贴标，按照1元/张收取贴标费(另:我司可免费提供标签给客户/司机或业务自贴)最低消费10元/票；                                                                                                                                 
2.内箱未贴中国制造、SKU的货物，按照0.6元/张收取(如有特殊操作要求需单询)最低消费30元/票；                                                                                                                                                                  3.撕黄色胶纸，收5元/箱(包重新贴透明胶纸)； 
4.翻箱检查费(如:开箱核对SKU)5元/箱，最低消费50元/票。</t>
  </si>
  <si>
    <t>换箱（我司提供纸箱）</t>
  </si>
  <si>
    <t>RMB20/箱</t>
  </si>
  <si>
    <t>含纸箱、两张FBA标签、唛头</t>
  </si>
  <si>
    <t>换箱(客户提供纸箱)</t>
  </si>
  <si>
    <t>RMB10/箱</t>
  </si>
  <si>
    <t>含两张FBA标签、唛头</t>
  </si>
  <si>
    <t>退仓费</t>
  </si>
  <si>
    <t>RMB25/CBM</t>
  </si>
  <si>
    <t>非我司原因导致的退仓：如产品不符合进出口要求、卖家账号异常等。最低收费RMB50/次。</t>
  </si>
  <si>
    <t>打印费</t>
  </si>
  <si>
    <t>2元/张(入仓需入仓单，一式两份）（直客有唛头无需入仓单）</t>
  </si>
  <si>
    <t>国内仓库地址及工作时间</t>
  </si>
  <si>
    <t>收货时间：
1） 周一至周五 10:00-12:30    14:00-20:00 
2） 周六 10:00-23:00 
深圳总部公司地址：广东省深圳市龙华区民治街道民强社区宝山时代大厦2610-2616    
东莞仓库地址（装柜仓库）：东莞市清溪镇九乡村新屋吓一路11号    陈主管15118451410
广州仓库地址（装柜仓库）：广州市白云区太岗公路34号基实(广州)白云空港产业园A1栋4层02单元    潘主管 19076062229
义乌仓库地址（装柜仓库）： 金华市金东区金港大道988号中外运仓库4号库1.2号门    王小姐  18158397350
嘉兴仓库地址（装柜仓库）：嘉兴市嘉善县洪福东路718号丰树（姚庄）科技综合产业园1B-3    李主管 18720007068
汕头仓库地址（中转仓库）：汕头市澄海区莱美工业区凤翔路逸诚汽车维修向前一到三间    胡经理 13923475593
泉州仓库地址（中转仓库）：晋江市磁灶镇西园街道传化公路港k2仓库成翔物流    李阿玲 158 6045 1181
厦门仓库地址（中转仓库）：厦门集美嘉晟物流园1期2栋110    李没没  14760028777
中山仓库地址（中转仓库）：中山市小榄镇北部物流中心    薛永波 18659507913</t>
  </si>
  <si>
    <t>特别提示:此价格表一经发送，如客户一旦交货至我司，我司默认客户已仔细阅读此价格表的所有内容并接受各条款。</t>
  </si>
  <si>
    <t>渠道</t>
  </si>
  <si>
    <t>预配船司</t>
  </si>
  <si>
    <t>预配船名航次</t>
  </si>
  <si>
    <t>ETD</t>
  </si>
  <si>
    <t>ETA</t>
  </si>
  <si>
    <t>航程</t>
  </si>
  <si>
    <t>POL</t>
  </si>
  <si>
    <t>VIA</t>
  </si>
  <si>
    <t>POD</t>
  </si>
  <si>
    <t>截单时间&amp;截仓时间</t>
  </si>
  <si>
    <t>华南</t>
  </si>
  <si>
    <t>华东</t>
  </si>
  <si>
    <t>东莞
18:00</t>
  </si>
  <si>
    <t>广州
12:00</t>
  </si>
  <si>
    <t>中山
12:00</t>
  </si>
  <si>
    <t>汕头
18:00</t>
  </si>
  <si>
    <t>厦门
18:00</t>
  </si>
  <si>
    <t>泉州
18:00</t>
  </si>
  <si>
    <t>武汉
18:00</t>
  </si>
  <si>
    <t>长沙
18:00</t>
  </si>
  <si>
    <t>义乌
12:00</t>
  </si>
  <si>
    <t>嘉兴
12:00</t>
  </si>
  <si>
    <t>加拿大直航</t>
  </si>
  <si>
    <t>易·E达卡派
易·速达卡派</t>
  </si>
  <si>
    <t>SML</t>
  </si>
  <si>
    <t>ULTIMA 2628E</t>
  </si>
  <si>
    <t>YT</t>
  </si>
  <si>
    <t>VAN</t>
  </si>
  <si>
    <t>CAL</t>
  </si>
  <si>
    <t>ULTIMA 2629E</t>
  </si>
  <si>
    <t>COSCO</t>
  </si>
  <si>
    <t>OOCL SAN FRANCISCO 197E</t>
  </si>
  <si>
    <t>BELLAVIA 071N</t>
  </si>
  <si>
    <t>TOR</t>
  </si>
  <si>
    <t>XIN YING KOU 267N</t>
  </si>
  <si>
    <t>SH</t>
  </si>
  <si>
    <t>PRR</t>
  </si>
  <si>
    <t>SM PORTLAND 2605E</t>
  </si>
  <si>
    <t>DG卡派</t>
  </si>
  <si>
    <t>美转加</t>
  </si>
  <si>
    <t>加拿大超快线包税卡派</t>
  </si>
  <si>
    <t>Maston</t>
  </si>
  <si>
    <t>DANIEL K. INOUYE 099E</t>
  </si>
  <si>
    <t>LB</t>
  </si>
  <si>
    <t>MATSONIA 074E</t>
  </si>
  <si>
    <t>HEDE</t>
  </si>
  <si>
    <t>HANSA DUBURG/2606E</t>
  </si>
  <si>
    <t>NS</t>
  </si>
  <si>
    <t>LA</t>
  </si>
  <si>
    <t>ZIM</t>
  </si>
  <si>
    <t>Mississippi (ZB6) / 18 / E</t>
  </si>
  <si>
    <t>Danube (ZB4) / 23 / E</t>
  </si>
  <si>
    <t>COSCO SHIPPING DENALI 054E</t>
  </si>
  <si>
    <t>COSCO SHIPPING PANAMA 005E</t>
  </si>
  <si>
    <t>海运</t>
  </si>
  <si>
    <t>OOCL BEIJING 128S</t>
  </si>
  <si>
    <t>NB</t>
  </si>
  <si>
    <t>SYD</t>
  </si>
  <si>
    <t>ANL GIPPSLAND 092S</t>
  </si>
  <si>
    <t>PELION/008S</t>
  </si>
  <si>
    <t>MEL</t>
  </si>
  <si>
    <t>OOCL SHANGHAI 100S</t>
  </si>
  <si>
    <t>OOCL PORTUGAL 007W</t>
  </si>
  <si>
    <t>SIN</t>
  </si>
  <si>
    <t>FRE</t>
  </si>
  <si>
    <t>BF GIANT 012S</t>
  </si>
  <si>
    <t>BNE</t>
  </si>
  <si>
    <t>GSL KITHIRA 624S</t>
  </si>
  <si>
    <t>加拿大半月提UPS派-含税</t>
  </si>
  <si>
    <t>美转加-美森正班CLX</t>
  </si>
  <si>
    <t>交货仓库</t>
  </si>
  <si>
    <t>东莞/中山/广州</t>
  </si>
  <si>
    <t>嘉兴/义乌</t>
  </si>
  <si>
    <t>汕头/厦门/泉州</t>
  </si>
  <si>
    <t>武汉/长沙</t>
  </si>
  <si>
    <t>拆柜目的港</t>
  </si>
  <si>
    <t>参考时效
（开船后自然日）</t>
  </si>
  <si>
    <t>时效赔付</t>
  </si>
  <si>
    <t>仓库代码</t>
  </si>
  <si>
    <t>21KG+</t>
  </si>
  <si>
    <t>100KG+</t>
  </si>
  <si>
    <t>多伦多(YYZ/YOO)</t>
  </si>
  <si>
    <t>多伦多</t>
  </si>
  <si>
    <t>开船后16-18天左右提取</t>
  </si>
  <si>
    <r>
      <rPr>
        <sz val="12"/>
        <rFont val="微软雅黑"/>
        <charset val="134"/>
      </rPr>
      <t>开船后第二天起超</t>
    </r>
    <r>
      <rPr>
        <b/>
        <sz val="12"/>
        <color rgb="FFFF0000"/>
        <rFont val="微软雅黑"/>
        <charset val="134"/>
      </rPr>
      <t>18</t>
    </r>
    <r>
      <rPr>
        <sz val="12"/>
        <rFont val="微软雅黑"/>
        <charset val="134"/>
      </rPr>
      <t>天没提取，延误赔偿</t>
    </r>
    <r>
      <rPr>
        <b/>
        <sz val="12"/>
        <color rgb="FFFF0000"/>
        <rFont val="微软雅黑"/>
        <charset val="134"/>
      </rPr>
      <t>1</t>
    </r>
    <r>
      <rPr>
        <sz val="12"/>
        <rFont val="微软雅黑"/>
        <charset val="134"/>
      </rPr>
      <t>元/KG/工作日，运费退完为止（海关查验、罢工、拒收、目的国节日延误、自然灾害、亚马逊爆仓排仓等不可控因素除外）</t>
    </r>
  </si>
  <si>
    <t>多伦多(YHM/YXU)</t>
  </si>
  <si>
    <t>渥太华(YOW)</t>
  </si>
  <si>
    <t>埃德蒙顿(YEG)卡尔加里(YYC)</t>
  </si>
  <si>
    <t>卡尔加里</t>
  </si>
  <si>
    <t>温哥华(YVR/YXX)</t>
  </si>
  <si>
    <t>加拿大超快线UPS派-含税</t>
  </si>
  <si>
    <t>参考时效
(开船后自然日)</t>
  </si>
  <si>
    <t>开船后18-24天左右提取</t>
  </si>
  <si>
    <r>
      <rPr>
        <sz val="12"/>
        <rFont val="微软雅黑"/>
        <charset val="134"/>
      </rPr>
      <t>开船后第二天起超</t>
    </r>
    <r>
      <rPr>
        <b/>
        <sz val="12"/>
        <color rgb="FFFF0000"/>
        <rFont val="微软雅黑"/>
        <charset val="134"/>
      </rPr>
      <t>24</t>
    </r>
    <r>
      <rPr>
        <sz val="12"/>
        <rFont val="微软雅黑"/>
        <charset val="134"/>
      </rPr>
      <t>天没提取，延误赔偿</t>
    </r>
    <r>
      <rPr>
        <b/>
        <sz val="12"/>
        <color rgb="FFFF0000"/>
        <rFont val="微软雅黑"/>
        <charset val="134"/>
      </rPr>
      <t>1</t>
    </r>
    <r>
      <rPr>
        <sz val="12"/>
        <rFont val="微软雅黑"/>
        <charset val="134"/>
      </rPr>
      <t>元/KG/工作日，运费退完为止（海关查验、罢工、拒收、目的国节日延误、自然灾害、亚马逊爆仓排仓等不可控因素除外）</t>
    </r>
  </si>
  <si>
    <t>多伦多(YHM/YXU/XYY1)</t>
  </si>
  <si>
    <t>渥太华(YOW/YGK)</t>
  </si>
  <si>
    <t>加拿大快线UPS派-含税</t>
  </si>
  <si>
    <t>美转加-ZIM/合德统配</t>
  </si>
  <si>
    <t>开船后21-30天左右提取</t>
  </si>
  <si>
    <r>
      <rPr>
        <sz val="12"/>
        <rFont val="微软雅黑"/>
        <charset val="134"/>
      </rPr>
      <t>开船后第二天起超</t>
    </r>
    <r>
      <rPr>
        <b/>
        <sz val="12"/>
        <color rgb="FFFF0000"/>
        <rFont val="微软雅黑"/>
        <charset val="134"/>
      </rPr>
      <t>34</t>
    </r>
    <r>
      <rPr>
        <sz val="12"/>
        <rFont val="微软雅黑"/>
        <charset val="134"/>
      </rPr>
      <t>天没提取延误赔偿</t>
    </r>
    <r>
      <rPr>
        <b/>
        <sz val="12"/>
        <color rgb="FFFF0000"/>
        <rFont val="微软雅黑"/>
        <charset val="134"/>
      </rPr>
      <t>1</t>
    </r>
    <r>
      <rPr>
        <sz val="12"/>
        <rFont val="微软雅黑"/>
        <charset val="134"/>
      </rPr>
      <t>元/KG/工作日，运费退完为止（海关查验、罢工、拒收、目的国节日延误、自然灾害、亚马逊爆仓排仓等不可控因素除外）</t>
    </r>
  </si>
  <si>
    <t>加拿大准时达UPS派-含税</t>
  </si>
  <si>
    <t>美转加-OA统配</t>
  </si>
  <si>
    <t>开船后25-38天左右提取</t>
  </si>
  <si>
    <r>
      <rPr>
        <sz val="12"/>
        <color theme="1"/>
        <rFont val="微软雅黑"/>
        <charset val="134"/>
      </rPr>
      <t>开船后第二天起超</t>
    </r>
    <r>
      <rPr>
        <b/>
        <sz val="12"/>
        <color rgb="FFFF0000"/>
        <rFont val="微软雅黑"/>
        <charset val="134"/>
      </rPr>
      <t>38</t>
    </r>
    <r>
      <rPr>
        <sz val="12"/>
        <color theme="1"/>
        <rFont val="微软雅黑"/>
        <charset val="134"/>
      </rPr>
      <t>天没提取延误赔偿</t>
    </r>
    <r>
      <rPr>
        <b/>
        <sz val="12"/>
        <color rgb="FFFF0000"/>
        <rFont val="微软雅黑"/>
        <charset val="134"/>
      </rPr>
      <t>1</t>
    </r>
    <r>
      <rPr>
        <sz val="12"/>
        <color theme="1"/>
        <rFont val="微软雅黑"/>
        <charset val="134"/>
      </rPr>
      <t>元/KG/工作日，运费退完为止（海关查验、罢工、拒收、目的国节日延误、自然灾害、亚马逊爆仓排仓等不可控因素除外）</t>
    </r>
  </si>
  <si>
    <t>非亚马逊地址，商业地址，第三方仓库 单询</t>
  </si>
  <si>
    <t>重货优惠：1：250单价减0.5元/kg；1:350单价减1元/kg（单票单件无重货优惠）</t>
  </si>
  <si>
    <t>特别提示</t>
  </si>
  <si>
    <t>1、外箱除FBA标签和快递标签外，不能有其它标签，不能有收件人及产品信息。
2、FBA标签收件信息处如有收件人名或公司名建议客户去掉，清关更顺畅（不做强制要求）
3、内电不超 100W不报关正常出。带电超100W、单独配套电池，提供电池资料单询。带电产品单独报关需提供电池资料审核。
4、木制品的家具类（比如，椅子，床，沙发，桌子，等等），竹制品的筷子，厨具，家具，相框，都需要商检；</t>
  </si>
  <si>
    <t>计费方式</t>
  </si>
  <si>
    <t>货物重量的计费方式：长*宽*高CM/6000，实重与材积重取大值为计费重。单件计费重量最低计费重10KG，不足10KG按10KG计算；单票计费重量最低计费重21KG，不足21KG按21KG收费。</t>
  </si>
  <si>
    <t>海派超长超重
体积/6000</t>
  </si>
  <si>
    <t>超长附加费：
最长边≥120CM且＜150CM附加费：RMB180/件；
第二长边≥75CM附加费：RMB180/件；
围长≥260CM且＜300CM附加费：RMB250/件；
以下情况拒接：任意一边≥150CM或围长≥300CM拒接。</t>
  </si>
  <si>
    <t>超重费：
单件实重≥22KG且&lt;41KG附加费：180元/件；
单件实重≥41KG且&lt;65KG，加收750/件，
以下情况拒接：单件实重超65KG拒接。</t>
  </si>
  <si>
    <t>异形包装费</t>
  </si>
  <si>
    <t>非方形或非纸箱的异形包装（例如：木箱，金属箱，蛇皮袋等非纸箱包装；桶装，条状等不规则形状包装）附加费：180元/件。</t>
  </si>
  <si>
    <t>报关费&amp;续页费</t>
  </si>
  <si>
    <t>350元/票（报关件正常带电需提供电池资料，木制品需提供有效的商检），不提供提单、柜号。不接手册报关。（不接深圳一达通报关）
续页费：第一页六项（6个品名），后面每页14项（14个品名），最多录50项（50个品名），第二页开始每页加收50元/页</t>
  </si>
  <si>
    <t>超品名费</t>
  </si>
  <si>
    <t>单票品名超5个加30元/个，单票品名限10个以内。</t>
  </si>
  <si>
    <t>偏远</t>
  </si>
  <si>
    <t>按照4+4*U/KG，最低收取193元/票预收，最终按UPS快递的偏远地区收取费用，以账单为准，多退少补。(U=燃油费率)
燃油费率查询网址：https://www.fedex.com/en-us/shipping/fuel-surcharge.html</t>
  </si>
  <si>
    <t>产品附加费
（附加费费用最低50/票）</t>
  </si>
  <si>
    <t>1、此类产品需+2/kg：纺织品，服装/鞋子/箱包，木制品(非原木)，皮革类，汽车配件及汽车用品，纯五金制品，相机配件，电动剃须刀，对讲机、玩具，太阳镜，眼镜（不能带度数），蓝牙产品
2、此类产品需+3/kg：安防/网络摄像头，相机/录像机/摄像机，电子元器件，投影仪，天文望远镜，导航仪，行车记录仪，车载DVD，假发，成人情趣用品，3D打印机，打印机，VR眼镜，3D眼镜类产品，手表，U盘，内存卡，手推车，折叠金属桌椅，血压计，空气净化器，航模，功放，显微镜，无线电通讯设备，显示屏，手机屏，平板电脑，耗材，机顶盒，硒鼓，宣纸，高货值（超8USD/KG视为高货值）类。
3、此类产品请单询附加费：家具，家私，移动电源，纯电池产品，太阳能产品（超10*10拒接，拒接单独太阳能板），一次性/塑料产品，智能机器人，无人机，大型航模，平板电脑，其他敏感品/加拿大监管产品等。
帐篷显著位置必须有双语(英文及法文)警示标签，警告:请远离所有火焰和热源。</t>
  </si>
  <si>
    <t>其他高货值产品附加：总价值除总重量超20美金/kg加2元/kg，超40美金/kg加3元/kg，超60美金/kg单询。（与产品附加不叠加，取大者）</t>
  </si>
  <si>
    <t>此类产品拒接：一次性塑料袋，一次性餐具，牙线，冲牙器，吸奶器，电动牙刷，按摩仪，电子烟及配件，单独的太阳能板，纯电，原木，带大麻标，仿牌，电子烟及配件，床垫，螺丝，轮胎，不锈钢水槽等反倾销品类，涉及医疗/美容/保健/按摩产品/婴幼儿用品/食品/化妆品，手机/平板/手表/珠宝等超高货值产品，以及其他违禁品等等。对于我司拒接和海关禁运的产品进行冲货以及对有品牌的产品报无牌，产品数量，产品品名等虚假申报，一旦查到扣货并罚款1-2万元不等，请如实申报。</t>
  </si>
  <si>
    <t>注意：以上未详尽叙述的个别品名并不代表无附加，其他高货值、敏感产品出货前请详询。</t>
  </si>
  <si>
    <t>仓租/拦截</t>
  </si>
  <si>
    <t>免仓期：5天，超5天后仓租：CAD$:25/板/周，存放期限最长不能超5个月。
拦截收费标准：温哥华仓整个提单件数*0.7加币，卡尔加里/多伦多仓5加币/箱，最低100加币。</t>
  </si>
  <si>
    <t>赔偿说明</t>
  </si>
  <si>
    <t>提取前丢失按箱单申报价值，最高不超过20元/KG，不退运费（走货前提前确认单价加0.5元，赔偿可按退运费）
提取后丢失以UPS开查索赔为准，不退运费。
易碎品内物破损无法受理赔偿，注意包装。
若亚马逊仓库因包装问题、标签问题产生拒收等原因，不受理赔偿；
因派送不成功、亚马逊爆仓、收件人拒收（含亚马逊仓）等原因导致退件，退件费及二次派送费用需货件发货人承担，账单实报实销。
由于货物运输延误或者报关问题引起的其它损失、间接损失等，乙方不承担赔偿责任，即不承担连带责任
真空包装不可查货，需要提供保函出货，如遇查货有货损不受理赔偿，谨慎发货。</t>
  </si>
  <si>
    <t>特别说明：如因产品涉及反倾销、认证、侵权、不符合目的国进口要求，客户自身瞒报，漏报等情况，相关费用和责任由发件人承担。</t>
  </si>
  <si>
    <t>免责声明：战争，爆乱，罢工，政治因素，自然灾害，疫情，恶劣天气（如暴风雪）等不可抗力因素导致货物延误，损坏、丢失，不受理赔偿。</t>
  </si>
  <si>
    <t>加拿大超快线包税卡派-含税</t>
  </si>
  <si>
    <t>使用船司</t>
  </si>
  <si>
    <t>多伦多自提（出库费$15/板）</t>
  </si>
  <si>
    <r>
      <rPr>
        <sz val="12"/>
        <rFont val="微软雅黑"/>
        <charset val="134"/>
      </rPr>
      <t>开船后第二天起超</t>
    </r>
    <r>
      <rPr>
        <b/>
        <sz val="12"/>
        <color rgb="FFFF0000"/>
        <rFont val="微软雅黑"/>
        <charset val="134"/>
      </rPr>
      <t>30</t>
    </r>
    <r>
      <rPr>
        <sz val="12"/>
        <rFont val="微软雅黑"/>
        <charset val="134"/>
      </rPr>
      <t>天（以POD的签收时间为准）没入仓，延误赔偿</t>
    </r>
    <r>
      <rPr>
        <b/>
        <sz val="12"/>
        <color rgb="FFFF0000"/>
        <rFont val="微软雅黑"/>
        <charset val="134"/>
      </rPr>
      <t>0.5</t>
    </r>
    <r>
      <rPr>
        <sz val="12"/>
        <rFont val="微软雅黑"/>
        <charset val="134"/>
      </rPr>
      <t>元/KG/工作日，运费退完为止（海关查验、罢工、拒收、目的国节日延误、自然灾害、亚马逊爆仓排仓等不可控因素除外）</t>
    </r>
  </si>
  <si>
    <t>YYZ/YHM/YOO/XYY/YXU/YGK</t>
  </si>
  <si>
    <t>YOW</t>
  </si>
  <si>
    <t>卡尔加里自提（出库费$15/板）</t>
  </si>
  <si>
    <t>YYC/YEG</t>
  </si>
  <si>
    <t>YVR/YXX</t>
  </si>
  <si>
    <t>易·28日达卡派-含税</t>
  </si>
  <si>
    <r>
      <rPr>
        <sz val="12"/>
        <rFont val="微软雅黑"/>
        <charset val="134"/>
      </rPr>
      <t>开船后第二天起超</t>
    </r>
    <r>
      <rPr>
        <b/>
        <sz val="12"/>
        <color rgb="FFFF0000"/>
        <rFont val="微软雅黑"/>
        <charset val="134"/>
      </rPr>
      <t>38</t>
    </r>
    <r>
      <rPr>
        <sz val="12"/>
        <rFont val="微软雅黑"/>
        <charset val="134"/>
      </rPr>
      <t>天（以POD的签收时间为准）没入仓，延误赔偿</t>
    </r>
    <r>
      <rPr>
        <b/>
        <sz val="12"/>
        <color rgb="FFFF0000"/>
        <rFont val="微软雅黑"/>
        <charset val="134"/>
      </rPr>
      <t>0.5</t>
    </r>
    <r>
      <rPr>
        <sz val="12"/>
        <rFont val="微软雅黑"/>
        <charset val="134"/>
      </rPr>
      <t>元/KG/工作日，运费退完为止（海关查验、罢工、拒收、目的国节日延误、自然灾害、亚马逊爆仓排仓等不可控因素除外）</t>
    </r>
  </si>
  <si>
    <t>易·30日达卡派-含税</t>
  </si>
  <si>
    <r>
      <rPr>
        <sz val="12"/>
        <rFont val="微软雅黑"/>
        <charset val="134"/>
      </rPr>
      <t>开船后第二天起超</t>
    </r>
    <r>
      <rPr>
        <b/>
        <sz val="12"/>
        <color rgb="FFFF0000"/>
        <rFont val="微软雅黑"/>
        <charset val="134"/>
      </rPr>
      <t>45</t>
    </r>
    <r>
      <rPr>
        <sz val="12"/>
        <rFont val="微软雅黑"/>
        <charset val="134"/>
      </rPr>
      <t>天（以POD的签收时间为准）没入仓，延误赔偿</t>
    </r>
    <r>
      <rPr>
        <b/>
        <sz val="12"/>
        <color rgb="FFFF0000"/>
        <rFont val="微软雅黑"/>
        <charset val="134"/>
      </rPr>
      <t>0.5</t>
    </r>
    <r>
      <rPr>
        <sz val="12"/>
        <rFont val="微软雅黑"/>
        <charset val="134"/>
      </rPr>
      <t>元/KG/工作日，运费退完为止（海关查验、罢工、拒收、目的国节日延误、自然灾害、亚马逊爆仓排仓等不可控因素除外）</t>
    </r>
  </si>
  <si>
    <t>重货优惠：1：200单价减0.2元/kg；1：250单价减0.5元/kg；1:350单价减1元/kg（单票单件无重货优惠）</t>
  </si>
  <si>
    <t>木架/木箱/托盘包装中有多个纸箱的，需对纸箱进行编号，QAC对应纸箱编号提供对应的装箱明细。
为快速通过，请如实详细准确申报货物明细。木箱包装需打活页扣能开箱查货。</t>
  </si>
  <si>
    <t>1、外箱除FBA标签外，不能有其它标签，不能有收件人及产品信息。
2、FBA标签收件信息处如有收件人名或公司名建议客户去掉，清关更顺畅（不做强制要求）。</t>
  </si>
  <si>
    <t>货物重量的计费比重： 1:363(不含税），1:167（含税），实重与材积重取大值为计费重；海卡单件计费重5kg起运，单件不足5kg按5kg计费；单票计费重21kg起运，单票不足21kg按21kg计费。</t>
  </si>
  <si>
    <t>卡派超长超重
体积/6000</t>
  </si>
  <si>
    <t>超长附加费：超过120-150CM附加费：+ RMB200/CBM(不含税)OR 2/KGS(含税)；超过150-200CM附加费：+ RMB300/CBM(不含税)OR 2.5/KGS(含税)。最长边限2米以内，超过2米以上需单询确认价格。</t>
  </si>
  <si>
    <t>单件实重≥50kg，或≥1.5立方，需要打木箱/木架/托（卡脚必须预留9cm以上）
单件实重超过450kg 一个托盘，加收500元/票操作费
单边长超3M或单件实重超2T，单独加收1200元/票操作费。（与其它超长超重费叠加），单件货物超3T的单询</t>
  </si>
  <si>
    <t>可接受纸箱、编织袋，木箱、木架（非原木）包装；木箱包装需有合页能开箱查货且需有9CM卡脚叉车能操作。</t>
  </si>
  <si>
    <t>洲名YT，NT，NU，岛屿，邮箱地址无服务，邮编X0A-X9Z，Y0A-Y9Z 无服务。</t>
  </si>
  <si>
    <t>OA/SML+ERS</t>
  </si>
  <si>
    <t>YYZ/YHM/YOO/XYY</t>
  </si>
  <si>
    <t>开船后30-40天左右提取</t>
  </si>
  <si>
    <t>YXU</t>
  </si>
  <si>
    <t>YGK/YOW</t>
  </si>
  <si>
    <t>OA/SML/ONE/YML统配+无ERS</t>
  </si>
  <si>
    <t>开船后45-50天左右提取</t>
  </si>
  <si>
    <t>含税</t>
  </si>
  <si>
    <t>不含税</t>
  </si>
  <si>
    <t>1CBM+</t>
  </si>
  <si>
    <t>YXU/YGK</t>
  </si>
  <si>
    <t>货物重量的计费比重： 1:363(不含税），1:167（含税），实重与材积重取大值为计费重；海卡单件计费重5kg起运，单件不足5kg按5kg计费；单票计费重21kg OR 1cbm起运，单票不足21kg OR 1cbm按21kg OR 1cbm计费。</t>
  </si>
  <si>
    <t>产品附加费</t>
  </si>
  <si>
    <t>OA/SML/ONE/YML统配</t>
  </si>
  <si>
    <t>州</t>
  </si>
  <si>
    <t>城市</t>
  </si>
  <si>
    <t>邮编</t>
  </si>
  <si>
    <t>ON州</t>
  </si>
  <si>
    <t>Brampton</t>
  </si>
  <si>
    <t>L4T,L6P</t>
  </si>
  <si>
    <t>Mississauga</t>
  </si>
  <si>
    <t>L4T</t>
  </si>
  <si>
    <t>Etobicoke</t>
  </si>
  <si>
    <t>M6P,M8V</t>
  </si>
  <si>
    <t>Vaughan</t>
  </si>
  <si>
    <t>L6A</t>
  </si>
  <si>
    <t>City of Toronto</t>
  </si>
  <si>
    <t>M1A-M9Z</t>
  </si>
  <si>
    <t>East York</t>
  </si>
  <si>
    <t>M4</t>
  </si>
  <si>
    <t>Bolton</t>
  </si>
  <si>
    <t>L7C-L7E</t>
  </si>
  <si>
    <t>North York</t>
  </si>
  <si>
    <t>M1L,M1R,M2H</t>
  </si>
  <si>
    <t>Milton</t>
  </si>
  <si>
    <t>L9E</t>
  </si>
  <si>
    <t>Richmond Hill</t>
  </si>
  <si>
    <t>L3T,L4B</t>
  </si>
  <si>
    <t>Scarborough</t>
  </si>
  <si>
    <t>M1B</t>
  </si>
  <si>
    <t>Markham</t>
  </si>
  <si>
    <t>L3P</t>
  </si>
  <si>
    <t>Oakville</t>
  </si>
  <si>
    <t>L6H</t>
  </si>
  <si>
    <t>Burlington</t>
  </si>
  <si>
    <t>L7L</t>
  </si>
  <si>
    <t>Hamilton 哈密尔顿</t>
  </si>
  <si>
    <t>L8E</t>
  </si>
  <si>
    <t>Ajax</t>
  </si>
  <si>
    <t>L1S，L1M 1B6</t>
  </si>
  <si>
    <t>Pickering</t>
  </si>
  <si>
    <t>L1V</t>
  </si>
  <si>
    <t>Newmarket</t>
  </si>
  <si>
    <t>L3X</t>
  </si>
  <si>
    <t>Aurora</t>
  </si>
  <si>
    <t>L4G</t>
  </si>
  <si>
    <t>BC州</t>
  </si>
  <si>
    <t>RICHMOND</t>
  </si>
  <si>
    <t>V6V，V7A，V7C</t>
  </si>
  <si>
    <t>VANCOUVER
（Exlcude Downtown）</t>
  </si>
  <si>
    <t>V5L, V5M, V5N, V5P, V5R, V5S, V5T, V5V, V5W, V5X, V5Y, V5Z, V3R</t>
  </si>
  <si>
    <t>BURNABY（South）</t>
  </si>
  <si>
    <t>V5A，V5B ，V5E，V5J</t>
  </si>
  <si>
    <t>VANCOUVER（downtown）</t>
  </si>
  <si>
    <t>V7L，V7R，V7M</t>
  </si>
  <si>
    <t>Delta</t>
  </si>
  <si>
    <t>V4M,V4G</t>
  </si>
  <si>
    <t>BURNABY（North）</t>
  </si>
  <si>
    <t>V5B,V5A,V5J,</t>
  </si>
  <si>
    <t>White Rock</t>
  </si>
  <si>
    <t>V4B</t>
  </si>
  <si>
    <t>South Surrey</t>
  </si>
  <si>
    <t>V3Z,V4P,V4A</t>
  </si>
  <si>
    <t>Port Coquitlam</t>
  </si>
  <si>
    <t>V3K</t>
  </si>
  <si>
    <t>Port Moody</t>
  </si>
  <si>
    <t>V3H</t>
  </si>
  <si>
    <t>Coquitlam</t>
  </si>
  <si>
    <t>North surrey</t>
  </si>
  <si>
    <t>V3R,V3S,V3T,V3V,V3W,V3X</t>
  </si>
  <si>
    <t>New West</t>
  </si>
  <si>
    <t>V3L, V3M</t>
  </si>
  <si>
    <t>Langley</t>
  </si>
  <si>
    <t>V4W,V2Y,V2Z,V3A</t>
  </si>
  <si>
    <t>Fort Langley</t>
  </si>
  <si>
    <t>V1M</t>
  </si>
  <si>
    <t>Maple Ridge</t>
  </si>
  <si>
    <t>V2W,V4R</t>
  </si>
  <si>
    <t>Chilliwack</t>
  </si>
  <si>
    <t>V2P</t>
  </si>
  <si>
    <t>Abbotsford</t>
  </si>
  <si>
    <t>V2T</t>
  </si>
  <si>
    <t>Pitt Meadows</t>
  </si>
  <si>
    <t>V3Y</t>
  </si>
  <si>
    <t>AB州</t>
  </si>
  <si>
    <t>Calgary city（Stoney Trail 内）</t>
  </si>
  <si>
    <t>T2A-T2Z,T3A-T3R</t>
  </si>
  <si>
    <t>其他地址请单询</t>
  </si>
  <si>
    <t>香港UPS红单/5000</t>
  </si>
  <si>
    <t>国家地区</t>
  </si>
  <si>
    <t>23-100KG</t>
  </si>
  <si>
    <t>101-200KG</t>
  </si>
  <si>
    <t>201-290KG</t>
  </si>
  <si>
    <t>加拿大含税</t>
  </si>
  <si>
    <t>66+150/票</t>
  </si>
  <si>
    <t>63+150/票</t>
  </si>
  <si>
    <t>香港UPS红单/6000</t>
  </si>
  <si>
    <t>67+150/票</t>
  </si>
  <si>
    <t>64+150/票</t>
  </si>
  <si>
    <t>一票货物只有单箱的请单询价格</t>
  </si>
  <si>
    <t>一般贸易报关：报关费350 另加中港1RMB/KG(低消50RMB)</t>
  </si>
  <si>
    <r>
      <rPr>
        <sz val="16"/>
        <rFont val="微软雅黑"/>
        <charset val="134"/>
      </rPr>
      <t>实重</t>
    </r>
    <r>
      <rPr>
        <sz val="16"/>
        <color rgb="FFFF0000"/>
        <rFont val="微软雅黑"/>
        <charset val="134"/>
      </rPr>
      <t>不达标23KG</t>
    </r>
    <r>
      <rPr>
        <sz val="16"/>
        <rFont val="微软雅黑"/>
        <charset val="134"/>
      </rPr>
      <t xml:space="preserve">  体积按照</t>
    </r>
    <r>
      <rPr>
        <sz val="16"/>
        <color rgb="FFFF0000"/>
        <rFont val="微软雅黑"/>
        <charset val="134"/>
      </rPr>
      <t>25KG</t>
    </r>
    <r>
      <rPr>
        <sz val="16"/>
        <rFont val="微软雅黑"/>
        <charset val="134"/>
      </rPr>
      <t xml:space="preserve"> 起步计费  实重达标23KG  以实际测量为准      
</t>
    </r>
    <r>
      <rPr>
        <b/>
        <sz val="16"/>
        <color rgb="FFFF0000"/>
        <rFont val="微软雅黑"/>
        <charset val="134"/>
      </rPr>
      <t xml:space="preserve">一票多件货物 单件不足8kg 按照8KG计费 </t>
    </r>
    <r>
      <rPr>
        <b/>
        <sz val="16"/>
        <rFont val="微软雅黑"/>
        <charset val="134"/>
      </rPr>
      <t xml:space="preserve">      
</t>
    </r>
    <r>
      <rPr>
        <b/>
        <sz val="16"/>
        <color rgb="FFFF0000"/>
        <rFont val="微软雅黑"/>
        <charset val="134"/>
      </rPr>
      <t>包税渠道 25KG 起步计费</t>
    </r>
  </si>
  <si>
    <t>包税渠道进口处理费</t>
  </si>
  <si>
    <t>18元/票</t>
  </si>
  <si>
    <t>账号性质</t>
  </si>
  <si>
    <t>香港UPS 红单服务 UPS WORLDWIDE EXPRESS SAVER</t>
  </si>
  <si>
    <t>取件地</t>
  </si>
  <si>
    <t>香港 长沙湾 CHUANG SHA WAN</t>
  </si>
  <si>
    <t>中港截止时间</t>
  </si>
  <si>
    <t>每天中午 14.30</t>
  </si>
  <si>
    <t>当天下港交货截止时间</t>
  </si>
  <si>
    <t>每天中午13.30</t>
  </si>
  <si>
    <t>单箱不能低于6KG,低于按6KG收费，单票实重22公斤起，材积货一票一件25公斤收，一票多件27公斤收</t>
  </si>
  <si>
    <t>产品限制</t>
  </si>
  <si>
    <t>液体、粉末、枪支弹药等航空禁运物品；凡货物带电带磁 液体粉末以及易燃易爆等化工品未主动申报，在我司仓库查到罚款200元/票，提取后被查出罚款200/件，最低1000元/票，如造成账号被关停等严重后果罚款50000元/票</t>
  </si>
  <si>
    <t>账号杂费</t>
  </si>
  <si>
    <r>
      <rPr>
        <sz val="12"/>
        <color theme="1"/>
        <rFont val="微软雅黑"/>
        <charset val="134"/>
      </rPr>
      <t xml:space="preserve">申报超120USD 加收25RMB/票
</t>
    </r>
    <r>
      <rPr>
        <b/>
        <sz val="12"/>
        <color rgb="FFFF0000"/>
        <rFont val="微软雅黑"/>
        <charset val="134"/>
      </rPr>
      <t>偏远附加费更新为：7元/KG（含油），最低收费330元/票（含油），按人民币收费！请自行查偏远地区，UPS偏远费6个月内收取有效。</t>
    </r>
    <r>
      <rPr>
        <sz val="12"/>
        <color rgb="FFFF0000"/>
        <rFont val="微软雅黑"/>
        <charset val="134"/>
      </rPr>
      <t xml:space="preserve">
</t>
    </r>
    <r>
      <rPr>
        <sz val="12"/>
        <color theme="1"/>
        <rFont val="微软雅黑"/>
        <charset val="134"/>
      </rPr>
      <t>内电免费，配套电池+1/KG 
当包裹周长大于或等于295CM，但不超过UPS的最大的限制长度390CM，UPS便会考虑把这一项包裹视为一项大型包裹。</t>
    </r>
    <r>
      <rPr>
        <sz val="12"/>
        <color rgb="FFFF0000"/>
        <rFont val="微软雅黑"/>
        <charset val="134"/>
      </rPr>
      <t xml:space="preserve">超围长800/件，另外大包裹最低付款重量为40公斤/件。
非亚马逊地址+1/KG，低消48/票
</t>
    </r>
    <r>
      <rPr>
        <sz val="12"/>
        <color theme="1"/>
        <rFont val="微软雅黑"/>
        <charset val="134"/>
      </rPr>
      <t>一般贸易报关  报关费350 另加中港</t>
    </r>
    <r>
      <rPr>
        <sz val="12"/>
        <color theme="9"/>
        <rFont val="微软雅黑"/>
        <charset val="134"/>
      </rPr>
      <t>1RMB/KG</t>
    </r>
    <r>
      <rPr>
        <sz val="12"/>
        <color rgb="FFFF0000"/>
        <rFont val="微软雅黑"/>
        <charset val="134"/>
      </rPr>
      <t>(低消50RMB/票），</t>
    </r>
    <r>
      <rPr>
        <sz val="14"/>
        <color rgb="FFFF0000"/>
        <rFont val="微软雅黑"/>
        <charset val="134"/>
      </rPr>
      <t>不接超5个品名的件。超过3个品名，从第4个品名开始加30元/个</t>
    </r>
    <r>
      <rPr>
        <sz val="12"/>
        <color rgb="FFFF0000"/>
        <rFont val="微软雅黑"/>
        <charset val="134"/>
      </rPr>
      <t xml:space="preserve">
附加手续服务费：</t>
    </r>
    <r>
      <rPr>
        <sz val="12"/>
        <rFont val="微软雅黑"/>
        <charset val="134"/>
      </rPr>
      <t>香港UPS为</t>
    </r>
    <r>
      <rPr>
        <sz val="12"/>
        <color rgb="FFFF0000"/>
        <rFont val="微软雅黑"/>
        <charset val="134"/>
      </rPr>
      <t>RMB150元每件（含油）</t>
    </r>
    <r>
      <rPr>
        <sz val="12"/>
        <rFont val="微软雅黑"/>
        <charset val="134"/>
      </rPr>
      <t>，客户托运以下任何一款包裹时，UPS将会对每件包裹向客户加收此附加费：</t>
    </r>
    <r>
      <rPr>
        <sz val="12"/>
        <color rgb="FFFF0000"/>
        <rFont val="微软雅黑"/>
        <charset val="134"/>
      </rPr>
      <t xml:space="preserve">
</t>
    </r>
    <r>
      <rPr>
        <sz val="12"/>
        <rFont val="微软雅黑"/>
        <charset val="134"/>
      </rPr>
      <t>1）任何包装在金属或木制的托运容器之物件。
2）任何未有以瓦楞纸完包裹好的圆柱形物件，如圆桶、鼓、提桶或轮胎等。
3）任何最长一边之长度等于或</t>
    </r>
    <r>
      <rPr>
        <sz val="12"/>
        <color rgb="FFFF0000"/>
        <rFont val="微软雅黑"/>
        <charset val="134"/>
      </rPr>
      <t>超过120CM</t>
    </r>
    <r>
      <rPr>
        <sz val="12"/>
        <rFont val="微软雅黑"/>
        <charset val="134"/>
      </rPr>
      <t>或</t>
    </r>
    <r>
      <rPr>
        <sz val="12"/>
        <color rgb="FFFF0000"/>
        <rFont val="微软雅黑"/>
        <charset val="134"/>
      </rPr>
      <t>第二最长边的长度等于或超过76CM</t>
    </r>
    <r>
      <rPr>
        <sz val="12"/>
        <rFont val="微软雅黑"/>
        <charset val="134"/>
      </rPr>
      <t>的包裹。
4）  任何单件货物重量</t>
    </r>
    <r>
      <rPr>
        <sz val="12"/>
        <color rgb="FFFF0000"/>
        <rFont val="微软雅黑"/>
        <charset val="134"/>
      </rPr>
      <t>大于24公斤（实重）</t>
    </r>
  </si>
  <si>
    <t>附加费
包税渠道</t>
  </si>
  <si>
    <t>1类产品：鞋子类、纺织品、笔类、手机屏、带磁性产品、摄像头、车载收音机DVD、行车记录仪、加收2元/公斤；
2类产品：电子烟、指尖陀螺、自行车配件、U盘、对讲机、智能手环、中型播放器、机顶盒、数码相机、强磁性产品、剃须刀等部分刀具产品、假发、成人用品、加收3元/公斤；
3类产品：平板、手表、相机、大型玩具、安防/监控设备、空气净化器、录像机/摄像机、电子元器件、功放、显微镜、投影仪、显示屏、汽车用品及配件、云台、天文望远镜、无线电通讯设备、美容护肤器、大型工具包、等高货值产品：加收4元/公斤；                      
手机/无人机 其他产品单询。所有产品附加费最低收费30RMB/票；</t>
  </si>
  <si>
    <t>税金</t>
  </si>
  <si>
    <t>关税账单长期有效，其他附加费原账单，一律半年内能够提供给代理的均为有效</t>
  </si>
  <si>
    <t>此价格特别声明：如非货物本身问题，货物清关被卡导致无法清关，我司按货值赔偿，但最高不超40RMB/KG，并退运费。货物已交承运商中转发生丢失、损坏、是承运商责任的以承运商的赔偿金额为准，按申报价值赔偿，但最高赔偿金额不超过USD100。高价值货物请自行购买保险；如若接受此价格走货，代表默认此条款！</t>
  </si>
  <si>
    <t>易·E达卡派DG-含税</t>
  </si>
  <si>
    <t>OA+ERS</t>
  </si>
  <si>
    <t>150KG+</t>
  </si>
  <si>
    <t>1000KG+</t>
  </si>
  <si>
    <t>YYZ1/YYZ2/YYZ3/YYZ4/YYZ7/YYZ9</t>
  </si>
  <si>
    <t>YHM1/YOO1/XYY1</t>
  </si>
  <si>
    <t>YOW1/YOW3/YUL2</t>
  </si>
  <si>
    <t>YEG1/YEG2/YEG4</t>
  </si>
  <si>
    <t>YYC1/YYC4/YYC6</t>
  </si>
  <si>
    <t>YVR1/YVR2/YVR3/YVR4/YXX2</t>
  </si>
  <si>
    <t>出货前请仔细阅读【DG货物包装和文件要求】点击此处跳转</t>
  </si>
  <si>
    <t>海卡150KGS 起运，不足价格按150KGS计算；其他渠道按报价表收费；所有计费比重按 1:363(不含税），1:167（含税）</t>
  </si>
  <si>
    <t>总价值除总重量超30美金/kg加2元/kg，超60美金/kg加3元/kg，超80美金/kg单询。（与产品附加不叠加，取大者）</t>
  </si>
  <si>
    <r>
      <rPr>
        <sz val="12"/>
        <color theme="1"/>
        <rFont val="微软雅黑"/>
        <charset val="134"/>
      </rPr>
      <t>车载空调加100加币/台空调税。纺织品、皮革、鞋服包加2元/kg。少量配套木制品（不接原木）、产品带少量3M、HDMI、蓝牙加1元/KG。
内电不超 100W不报关正常出。带电超100W、单独配套电池，提供电池资料单询。带电产品单独报关需提供电池资料审核。
木制品的家具类（比如，椅子，床，沙发，桌子，等等），竹制品的筷子，厨具，家具，相框，都需要商检；
木制品的玩具（比如积木），带木的灯具类，不需要商检；具体看产品主体，结合编码属性和监管条件判定是否需要商检。</t>
    </r>
    <r>
      <rPr>
        <sz val="12"/>
        <color theme="1"/>
        <rFont val="Arial"/>
        <charset val="134"/>
      </rPr>
      <t>_x000b_</t>
    </r>
  </si>
  <si>
    <t>不接：纯电，原木，带大麻标，仿牌及其他违禁品。可接内电，配电产品。带电请主动申报，冲货罚款500元起。
不接一次性塑料袋，一次性餐具，牙线，冲牙器、吸奶器、电动牙刷、按摩仪及涉及医疗/美容/按摩产品/保健/婴儿用品/食品/化妆品，电子烟及配件，床垫，螺丝，轮胎，不锈钢水槽等反倾销品类，不接手机/平板/手表等高货值产品。
帐篷显著位置必须有双语(英文及法文)警示标签，警告:请远离所有火焰和热源。</t>
  </si>
  <si>
    <t>加拿大海外仓增 值 服 务</t>
  </si>
  <si>
    <t>收费项</t>
  </si>
  <si>
    <t>计费单位</t>
  </si>
  <si>
    <t>价格（USD）</t>
  </si>
  <si>
    <t>服务说明</t>
  </si>
  <si>
    <t>仓储费</t>
  </si>
  <si>
    <t>托盘/天
（不足1托按1托计算）</t>
  </si>
  <si>
    <t>免费</t>
  </si>
  <si>
    <t>入库起算7天内免仓储费</t>
  </si>
  <si>
    <t>超出7天，第1个月按USD2/托/天</t>
  </si>
  <si>
    <t>第2个月按USD3/托/天</t>
  </si>
  <si>
    <t>第3个月按USD4/托/天</t>
  </si>
  <si>
    <t>第4个月按USD5/托/天</t>
  </si>
  <si>
    <t>第5个月按USD6/托/天；超6个月没有出货物默认销毁，已产生的仓租正常收取</t>
  </si>
  <si>
    <t>入库费</t>
  </si>
  <si>
    <t>托盘</t>
  </si>
  <si>
    <t>客户提货或送货收取USD15/托</t>
  </si>
  <si>
    <t>出库费</t>
  </si>
  <si>
    <t>货物分拣费/理货费</t>
  </si>
  <si>
    <t>件/箱</t>
  </si>
  <si>
    <t>张</t>
  </si>
  <si>
    <t>FBA标/箱标/SKU标/托盘标</t>
  </si>
  <si>
    <t>换标费</t>
  </si>
  <si>
    <t>UPS贴标</t>
  </si>
  <si>
    <t>UPS标</t>
  </si>
  <si>
    <t>打托费</t>
  </si>
  <si>
    <t>包含托盘及包装材料</t>
  </si>
  <si>
    <t>PO重启</t>
  </si>
  <si>
    <t>个</t>
  </si>
  <si>
    <t>拦截费</t>
  </si>
  <si>
    <t>票</t>
  </si>
  <si>
    <t>更换地址或派送目的地等产生拦截费，不包含已派送需拦截的费用（实报实销）</t>
  </si>
  <si>
    <t>转运装车费</t>
  </si>
  <si>
    <t>柜</t>
  </si>
  <si>
    <t>地板货物安排整车转运二次装车费</t>
  </si>
  <si>
    <t>开箱操作费</t>
  </si>
  <si>
    <t>件</t>
  </si>
  <si>
    <t>更换纸箱</t>
  </si>
  <si>
    <t>单询</t>
  </si>
  <si>
    <t>根据客户需求费用实报实销</t>
  </si>
  <si>
    <t>拍照确认</t>
  </si>
  <si>
    <t>默认拍4张照片，分别为包装正面照，内件正面照，内件侧面照；若需要按照客户指定要求拍摄的，费用另行计算</t>
  </si>
  <si>
    <t>扣货操作费</t>
  </si>
  <si>
    <t>单/次</t>
  </si>
  <si>
    <t>接收、操作客户在常规海运货物中挑货、扣货</t>
  </si>
  <si>
    <t>澳洲空运-含税（普货）</t>
  </si>
  <si>
    <t>参考时效
（起飞后自然日）</t>
  </si>
  <si>
    <t>仓库类型</t>
  </si>
  <si>
    <t>11KG+</t>
  </si>
  <si>
    <t>500KG+</t>
  </si>
  <si>
    <t>FBA海外仓</t>
  </si>
  <si>
    <r>
      <rPr>
        <b/>
        <sz val="14"/>
        <color theme="1"/>
        <rFont val="微软雅黑"/>
        <charset val="134"/>
      </rPr>
      <t>悉尼仓  自提
BWU1/BWU2/BWU6/VANE/XWB3/XAU1/</t>
    </r>
    <r>
      <rPr>
        <b/>
        <sz val="14"/>
        <color rgb="FFFF0000"/>
        <rFont val="微软雅黑"/>
        <charset val="134"/>
      </rPr>
      <t>XSY2</t>
    </r>
  </si>
  <si>
    <t>6-10天</t>
  </si>
  <si>
    <t>墨尔本仓
MEL1/MEL5/XAU2/AVV2/XME6</t>
  </si>
  <si>
    <t>布里斯班仓  自提
BNE1/XAU6</t>
  </si>
  <si>
    <t>8-12天</t>
  </si>
  <si>
    <t>珀斯仓  自提
PER2/PER3/PER4</t>
  </si>
  <si>
    <t>万邑通/谷仓/橙联/京东/4PX/出口易</t>
  </si>
  <si>
    <t>其他私人地址</t>
  </si>
  <si>
    <t>【澳洲空运分区表】一区</t>
  </si>
  <si>
    <t>【澳洲空运分区表】二区</t>
  </si>
  <si>
    <t>【澳洲空运分区表】三区</t>
  </si>
  <si>
    <t>10-15天</t>
  </si>
  <si>
    <t>货物重量的计费方式：长*宽*高CM/6000，实重与材积重取大值为计费重。单件计费重量最低计费重8KG，不足8KG按8KG计算；单票最低11KG起运，不足11KG按11KG收费。</t>
  </si>
  <si>
    <t>发货须知</t>
  </si>
  <si>
    <t>1）走货需提供电子版箱单发票资料，详细见箱单发票模板或向我司客服索取，交货时请务必交接好出货渠道。如因发货人不能提供有效的正确的商业发票以及相关文件而引起扣关或者延误件，我司不承担责任，产生所有后果及费用由寄件人承担。
2）如遇海关查验EMPP,海关怀疑低申报，需要提供购买证明等资料
3）如申报信息更改会产生再次申报费用，提交EMPP资料需收AUD50/次
4）如遇海关查验、开箱验货等（AQIS）产生的相应费用实报实销</t>
  </si>
  <si>
    <t>快递派费用说明
 (快递派送不接收木箱包装)</t>
  </si>
  <si>
    <t>1）超长附加费：</t>
  </si>
  <si>
    <t>最长边1.2M-1.8M      
次长边0.01M-0.4M        RMB 100/件
次长边0.41M-1.2M        RMB 150/件
次长边1.21M-1.8M        RMB 300/件</t>
  </si>
  <si>
    <t>最长边1.81M-2.2M
次长边0.01M-0.4M        RMB 150/件
次长边0.41M-1.2M        RMB 250/件
次长边1.21M-1.8M        RMB 500/件</t>
  </si>
  <si>
    <t>最长边2.21M-3M   
次长边0.01M-0.4M        RMB 300/件
次长边0.41M-1.2M        RMB 400/件
次长边1.21M-1.8M        RMB 600/件</t>
  </si>
  <si>
    <t>最长边3.01M-4M 
次长边0.01M-0.4M        RMB 400/件
次长边0.41M-1.2M        RMB 600/件
次长边1.21M-1.8M        RMB 1000/件</t>
  </si>
  <si>
    <t>2）超重费：30-50KG：100RMB/件；51-100KG：200RMB/件；101-500KG：300RMB/件；501-1000KG：500RMB/件；＞1000KG：单询</t>
  </si>
  <si>
    <t>3）二次派送费：不支持免费二次派送，产生二次派送费用实报实销</t>
  </si>
  <si>
    <t>卡派费用说明</t>
  </si>
  <si>
    <t>一区：悉尼/墨尔本/布里斯本/阿德莱德/珀斯：60AUD/托
二区：悉尼/墨尔本/布里斯本/阿德莱德/珀斯：70AUD/托
三区：悉尼/墨尔本/布里斯本：75AUD/托；阿德莱德/珀斯：单询
超出分区邮编需单询</t>
  </si>
  <si>
    <t>按方计费渠道：总方数/1.5方/托核算托板数
尺寸：120*120*170CM，重量：1200KG（需平坦地面尾板卸货）--------------无卸货费
尺寸：220*150*220CM，重量：1200KG（需平坦地面尾板卸货）--------------无卸货费
尺寸：220*150*220CM--400cm*150cm*220cm，重量：1200KG--------------额外加500RMB/票
尺寸：单边超400CM，重量超1200KG-----------------------------------------单询
如单件重量不超35KG，最长边超180CM，可单独报价</t>
  </si>
  <si>
    <t>等候费：100AUD/小时-----超出0.5小时后计费（收件人自卸货的容易产生等候费）</t>
  </si>
  <si>
    <t>无服务/单询邮编</t>
  </si>
  <si>
    <t>下列邮编地址为岛区以及无法派送的邮编无派送服务：2059,2898-2899,6798-6799,7151-7154,6324,4280,4300,3336,4875</t>
  </si>
  <si>
    <t>拦截/变更地址费</t>
  </si>
  <si>
    <t>快递派送拦截：300件内收件取80澳币，超30件以上150澳币，更换快递面单费用AUD8/单（更改地址限相同距离地址附近，如超出范围单询）                                                                                                                                                                                                                            卡车派送拦截：30件内收件取80澳币，超30件以上150澳币，（更改地址限相同距离地址附近，如超出原派送地址派送费范围需补额外费用，或者单询确认）
注意：我司不承诺百分百拦截成功，如有此问题我司不承担任何赔偿和退款</t>
  </si>
  <si>
    <t>扣件弃货费</t>
  </si>
  <si>
    <t>扣件弃件费  海关扣件货物无法清关或不能在入仓后30(自然)天内清关而需按照海关指定要求销毁弃件 AUD 120/Shipment+AUD 25/kg</t>
  </si>
  <si>
    <t>退件弃件费</t>
  </si>
  <si>
    <t>末端快递派送不成功，且收件人在规定时间内（7天左右）没有到指定位置领取包裹，该包裹会退回至亚翔澳洲仓库。退件可以选择销毁或者重派，无退回中国服务。            
注：如因地址错误,收件人拒收或其它原因,最终目的地未能成功派送并退回,将产生50元/件的退件费,退件费将由客户自行承担。若需重新派送。参考以下2点
a:小包渠道：费用为首0.5KG 50元，续0.5KG10元.
b:大货渠道：20澳币/件 如果是toll会有额外100元或50元额外费用（偏远区域除外）
卡派退件：派送失败，小件15澳币/件 托板参考卡派报价表费用（二者取小计费）
以上自货物退回之日起满30日（含3天免仓期，27天收取2澳币/件/天仓储费用）仍积压在亚翔仓库内的，亚翔将会对货物进行销毁操作，则我司自动按弃件处理，并收取弃件费AUD0.5/kg+退包费50元</t>
  </si>
  <si>
    <t>免仓期</t>
  </si>
  <si>
    <t>包裹澳洲免仓期为拆柜/拆板完成后3个工作日，超过3个工作日会收滞仓费，滞仓费AUD2 /天/件,或者15澳币/托/天，二者取小计费.如遇海关查验EMPP，监管仓超过免仓期将收取27.5澳币/方/天。</t>
  </si>
  <si>
    <t>一区</t>
  </si>
  <si>
    <t>二区</t>
  </si>
  <si>
    <t>三区</t>
  </si>
  <si>
    <t>起始邮编</t>
  </si>
  <si>
    <t>结束邮编</t>
  </si>
  <si>
    <t>0800</t>
  </si>
  <si>
    <t>0801</t>
  </si>
  <si>
    <t>0802</t>
  </si>
  <si>
    <t>0804</t>
  </si>
  <si>
    <t>0805</t>
  </si>
  <si>
    <t>0806</t>
  </si>
  <si>
    <t>0807</t>
  </si>
  <si>
    <t>0808</t>
  </si>
  <si>
    <t>0809</t>
  </si>
  <si>
    <t>0810</t>
  </si>
  <si>
    <t>0811</t>
  </si>
  <si>
    <t>0812</t>
  </si>
  <si>
    <t>0813</t>
  </si>
  <si>
    <t>0814</t>
  </si>
  <si>
    <t>0815</t>
  </si>
  <si>
    <t>0816</t>
  </si>
  <si>
    <t>0817</t>
  </si>
  <si>
    <t>0818</t>
  </si>
  <si>
    <t>0819</t>
  </si>
  <si>
    <t>0820</t>
  </si>
  <si>
    <t>0821</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</si>
  <si>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</si>
  <si>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</si>
  <si>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</si>
  <si>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</si>
  <si>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</si>
  <si>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</si>
  <si>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</si>
  <si>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</si>
  <si>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</si>
  <si>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</si>
  <si>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</si>
  <si>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</si>
  <si>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</si>
  <si>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</si>
  <si>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</si>
  <si>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</si>
  <si>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</si>
  <si>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</si>
  <si>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</si>
  <si>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</si>
  <si>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</si>
  <si>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</si>
  <si>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</si>
  <si>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</si>
  <si>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0853</t>
  </si>
  <si>
    <t>0860</t>
  </si>
  <si>
    <t>0861</t>
  </si>
  <si>
    <t>0870</t>
  </si>
  <si>
    <t>0871</t>
  </si>
  <si>
    <t>0873</t>
  </si>
  <si>
    <t>0874</t>
  </si>
  <si>
    <t>0875</t>
  </si>
  <si>
    <t>0876</t>
  </si>
  <si>
    <t>0877</t>
  </si>
  <si>
    <t>0878</t>
  </si>
  <si>
    <t>0879</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</si>
  <si>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</si>
  <si>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</si>
  <si>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</si>
  <si>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</si>
  <si>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</si>
  <si>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</si>
  <si>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</si>
  <si>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</si>
  <si>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</si>
  <si>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</si>
  <si>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</si>
  <si>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</si>
  <si>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</si>
  <si>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</si>
  <si>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</si>
  <si>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</si>
  <si>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</si>
  <si>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</si>
  <si>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</si>
  <si>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</si>
  <si>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</si>
  <si>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</si>
  <si>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</si>
  <si>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</si>
  <si>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</si>
  <si>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</si>
  <si>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</si>
  <si>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</si>
  <si>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</si>
  <si>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</si>
  <si>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</si>
  <si>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</si>
  <si>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</si>
  <si>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</si>
  <si>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</si>
  <si>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</si>
  <si>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</si>
  <si>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</si>
  <si>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</si>
  <si>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</si>
  <si>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</si>
  <si>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</si>
  <si>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</si>
  <si>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</si>
  <si>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</si>
  <si>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</si>
  <si>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</si>
  <si>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</si>
  <si>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</si>
  <si>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</si>
  <si>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</si>
  <si>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</si>
  <si>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</si>
  <si>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</si>
  <si>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</si>
  <si>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</si>
  <si>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</si>
  <si>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</si>
  <si>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</si>
  <si>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</si>
  <si>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</si>
  <si>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</si>
  <si>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</si>
  <si>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</si>
  <si>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</si>
  <si>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</si>
  <si>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</si>
  <si>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</si>
  <si>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</si>
  <si>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</si>
  <si>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</si>
  <si>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</si>
  <si>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</si>
  <si>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</si>
  <si>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</si>
  <si>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</si>
  <si>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</si>
  <si>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</si>
  <si>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</si>
  <si>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</si>
  <si>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</si>
  <si>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</si>
  <si>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</si>
  <si>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</si>
  <si>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</si>
  <si>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</si>
  <si>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</si>
  <si>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</si>
  <si>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</si>
  <si>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</si>
  <si>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</si>
  <si>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</si>
  <si>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</si>
  <si>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</si>
  <si>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0803</t>
  </si>
  <si>
    <t>0822</t>
  </si>
  <si>
    <t>0823</t>
  </si>
  <si>
    <t>0824</t>
  </si>
  <si>
    <t>0825</t>
  </si>
  <si>
    <t>0826</t>
  </si>
  <si>
    <t>0827</t>
  </si>
  <si>
    <t>0852</t>
  </si>
  <si>
    <t>0854</t>
  </si>
  <si>
    <t>0855</t>
  </si>
  <si>
    <t>0856</t>
  </si>
  <si>
    <t>0857</t>
  </si>
  <si>
    <t>0858</t>
  </si>
  <si>
    <t>0859</t>
  </si>
  <si>
    <t>0862</t>
  </si>
  <si>
    <t>0863</t>
  </si>
  <si>
    <t>0864</t>
  </si>
  <si>
    <t>0865</t>
  </si>
  <si>
    <t>0866</t>
  </si>
  <si>
    <t>0867</t>
  </si>
  <si>
    <t>0868</t>
  </si>
  <si>
    <t>0869</t>
  </si>
  <si>
    <t>0872</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</si>
  <si>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</si>
  <si>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</si>
  <si>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</si>
  <si>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</si>
  <si>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</si>
  <si>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</si>
  <si>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</si>
  <si>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</si>
  <si>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</si>
  <si>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</si>
  <si>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</si>
  <si>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</si>
  <si>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</si>
  <si>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</si>
  <si>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</si>
  <si>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</si>
  <si>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</si>
  <si>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</si>
  <si>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</si>
  <si>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</si>
  <si>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</si>
  <si>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</si>
  <si>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</si>
  <si>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</si>
  <si>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</si>
  <si>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</si>
  <si>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澳洲海运-含税</t>
  </si>
  <si>
    <r>
      <rPr>
        <b/>
        <sz val="14"/>
        <color theme="1"/>
        <rFont val="微软雅黑"/>
        <charset val="134"/>
      </rPr>
      <t>悉尼仓  一件代发头程/自提
BWU1/BWU2/BWU6/VANE/XWB3/XAU1/</t>
    </r>
    <r>
      <rPr>
        <b/>
        <sz val="14"/>
        <color rgb="FFFF0000"/>
        <rFont val="微软雅黑"/>
        <charset val="134"/>
      </rPr>
      <t>XSY2</t>
    </r>
  </si>
  <si>
    <t>25-30天</t>
  </si>
  <si>
    <t>布里斯班仓  一件代发头程/自提
BNE1/XAU6</t>
  </si>
  <si>
    <t>珀斯仓  一件代发头程/自提
PER2/PER3/PER4</t>
  </si>
  <si>
    <t>25-35天</t>
  </si>
  <si>
    <t>35-40天</t>
  </si>
  <si>
    <t>1000-3999</t>
  </si>
  <si>
    <t>4000-4999</t>
  </si>
  <si>
    <t>5000-5999</t>
  </si>
  <si>
    <t>6000-6999</t>
  </si>
  <si>
    <t>30-35天</t>
  </si>
  <si>
    <t>带电货物</t>
  </si>
  <si>
    <t>1）海运渠道 报关件-需要提供MSDS报告和海运运输鉴定报告，船公司审核通过后才可发货，另外需要+1.5元/kg（按方计费渠道，实重与泡重取大）
2）海运渠道非报关件-无需提供报告，+1元/kg发货（电池额定能量数值控制在100WH以内，按方计费渠道，实重与泡重取大）
3）纯电池类单询</t>
  </si>
  <si>
    <t>4）可接受纸箱、编织袋，木箱、木架（非原木）包装；木箱包装需有合页能开箱查货且需有9CM卡脚叉车能操作。</t>
  </si>
  <si>
    <t>澳洲海运-不含税</t>
  </si>
  <si>
    <t>不含税按公斤计费</t>
  </si>
  <si>
    <t>不含税按方计费</t>
  </si>
  <si>
    <t>5CBM+</t>
  </si>
  <si>
    <t>10CBM+</t>
  </si>
  <si>
    <t>商业地址</t>
  </si>
  <si>
    <t>首方</t>
  </si>
  <si>
    <t>续方</t>
  </si>
  <si>
    <t>货物重量的计费方式：长*宽*高CM/6000，实重与材积重取大值为计费重。单件计费重量最低计费重8KG，不足8KG按8KG计算；单票最低11KG起运，不足11KG按11KG收费。
货物方数的计费方式：抛货比1:167（材积/6000），重货比1:360，总实重和总体积重取大者为计费重量；单票最低1CBM起运，不足1CBM按1CBM收费。</t>
  </si>
  <si>
    <t>超偏远区域收费表 - Regional Area Quotation（AUD）</t>
  </si>
  <si>
    <t>Destination Zone</t>
  </si>
  <si>
    <t>Post Codes</t>
  </si>
  <si>
    <t>Up to 500g</t>
  </si>
  <si>
    <t>501g to 1kg</t>
  </si>
  <si>
    <t>1.01kg to 2kg</t>
  </si>
  <si>
    <t>2.01kg to 3kg</t>
  </si>
  <si>
    <t>3.01kg to 4kg</t>
  </si>
  <si>
    <t>4.01kg to 5kg</t>
  </si>
  <si>
    <t>5.01kg to 7kg</t>
  </si>
  <si>
    <t>7.01kg to 10kg</t>
  </si>
  <si>
    <t>10.01kg to 15kg</t>
  </si>
  <si>
    <t>15.01kg to 22kg</t>
  </si>
  <si>
    <t>Base &gt; 22kg</t>
  </si>
  <si>
    <t>Per kg</t>
  </si>
  <si>
    <t>S2</t>
  </si>
  <si>
    <t>2880-2889, 5201-5749</t>
  </si>
  <si>
    <t>Q2/Q3/Q4</t>
  </si>
  <si>
    <t>4351-4499 4580-4999 9920-9998</t>
  </si>
  <si>
    <t>W2/W3/W4</t>
  </si>
  <si>
    <t>6215-6797</t>
  </si>
  <si>
    <t>NT1/NT2</t>
  </si>
  <si>
    <t>0800-0999</t>
  </si>
  <si>
    <t>说明：</t>
  </si>
  <si>
    <t>按/件计费</t>
  </si>
  <si>
    <r>
      <rPr>
        <b/>
        <sz val="12"/>
        <rFont val="微软雅黑"/>
        <charset val="134"/>
      </rPr>
      <t>以上邮编属于超偏远区域，澳币报价，适用于澳洲专线所有产品。下列邮编地址为岛区以及无法派送的邮编无派送服务：</t>
    </r>
    <r>
      <rPr>
        <b/>
        <sz val="12"/>
        <color rgb="FFFF0000"/>
        <rFont val="微软雅黑"/>
        <charset val="134"/>
      </rPr>
      <t>2059,2898-2899,6798-6799,7151-7154,6324,4280,4300,3336,4875</t>
    </r>
  </si>
  <si>
    <t>温馨提示：澳洲当地快递公司不支持免费二次派送，请提供私人住宅地址， （尽量不要提供商业地址，公寓地址）如果派送失败 ，产生二次派送费用。具体费用咨询客服（偏远邮编和toll 会有额外费用。）</t>
  </si>
  <si>
    <t>服务内容/单位</t>
  </si>
  <si>
    <t>价格（AUD）</t>
  </si>
  <si>
    <t>箱</t>
  </si>
  <si>
    <t>2.5/箱</t>
  </si>
  <si>
    <t>限正常纸箱货物：默认单箱单sku，不进行箱内货物分拣</t>
  </si>
  <si>
    <t>每托</t>
  </si>
  <si>
    <t>25/托</t>
  </si>
  <si>
    <t>正规托盘尺寸120*110*170cm内；适用于亚马逊或买家散箱托盘退货的卸货接收</t>
  </si>
  <si>
    <t>限正常纸箱货物</t>
  </si>
  <si>
    <t>库龄 1-30天</t>
  </si>
  <si>
    <t>1.5/DAY/CBM</t>
  </si>
  <si>
    <t>最低一周起计费，不足一周按一周计费，不足1CBM按1CBM 收取。</t>
  </si>
  <si>
    <t>库龄 31-60天</t>
  </si>
  <si>
    <t>2/DAY/CBM</t>
  </si>
  <si>
    <t>库龄 61-90天</t>
  </si>
  <si>
    <t>3.5/DAY/CBM</t>
  </si>
  <si>
    <t>退件回邮服务</t>
  </si>
  <si>
    <t>原件退货</t>
  </si>
  <si>
    <t>由我司澳邮渠道发出需要退回操作</t>
  </si>
  <si>
    <t>退件处理费</t>
  </si>
  <si>
    <t>退件入库上架的操作</t>
  </si>
  <si>
    <t>每张</t>
  </si>
  <si>
    <t>1.5/PCS</t>
  </si>
  <si>
    <t>含标签费用；按实际贴标个数收费，FBA箱唛每箱默认贴2张；打印标签、并贴标</t>
  </si>
  <si>
    <t>包材费</t>
  </si>
  <si>
    <t>纸箱</t>
  </si>
  <si>
    <t>纸箱（包含打包服务）</t>
  </si>
  <si>
    <t>PE泡沫袋</t>
  </si>
  <si>
    <t>PE袋（包含打包服务）</t>
  </si>
  <si>
    <t>打包费</t>
  </si>
  <si>
    <t>每箱</t>
  </si>
  <si>
    <t>更新包装 (不含包材）</t>
  </si>
  <si>
    <t>单品</t>
  </si>
  <si>
    <t>打托操作费</t>
  </si>
  <si>
    <t>打托及缠磨（提供托盘）</t>
  </si>
  <si>
    <t>SKU复核重量尺寸费</t>
  </si>
  <si>
    <t>每件/SKU</t>
  </si>
  <si>
    <t>复核产品重量尺寸</t>
  </si>
  <si>
    <t>出库单作废</t>
  </si>
  <si>
    <t>申请作废“出库确认”</t>
  </si>
  <si>
    <t>0.7/PCS</t>
  </si>
  <si>
    <t>在可以拦截出库的时间节点前，申请作废出库单</t>
  </si>
  <si>
    <t>产品拍摄费</t>
  </si>
  <si>
    <t>拍照及回传照片、重新包装</t>
  </si>
  <si>
    <t>7/PCS</t>
  </si>
  <si>
    <t>对产品进行外观检查，并对外包装进行拍照。客户可提供拍照示例（不得超过3张）/辨识方法，并说明拍照重点；如无特殊备注，默认拍3张，分别为外包装正面照，内件正面照，内件侧面照</t>
  </si>
  <si>
    <t>检查配件</t>
  </si>
  <si>
    <t>每件</t>
  </si>
  <si>
    <t>检查产品配件是否缺失及补漏</t>
  </si>
  <si>
    <t>检查外观包装</t>
  </si>
  <si>
    <t>最低收费3澳币</t>
  </si>
  <si>
    <t>修复费</t>
  </si>
  <si>
    <t>原包装损坏人工修复</t>
  </si>
  <si>
    <t>产品维修费</t>
  </si>
  <si>
    <t>产品损耗或不良需要维修</t>
  </si>
  <si>
    <t>根据成本及作业时间报价</t>
  </si>
  <si>
    <t>人工处理费</t>
  </si>
  <si>
    <t>每小时</t>
  </si>
  <si>
    <t>需要人工特殊处理的事件</t>
  </si>
  <si>
    <t>节假日加班处理费</t>
  </si>
  <si>
    <t>工作时间外的人工加班处理费</t>
  </si>
  <si>
    <t>销毁费</t>
  </si>
  <si>
    <t>计费重</t>
  </si>
  <si>
    <t>仓库处理严重损坏或其他原因无法再次销售的产品时,  实重与体积重，取大值为计费重，体积重除以6000。</t>
  </si>
  <si>
    <t>定制服务</t>
  </si>
  <si>
    <t>不限</t>
  </si>
  <si>
    <t>根据客户要求处理以上未提及操作</t>
  </si>
  <si>
    <t>自提手续费</t>
  </si>
  <si>
    <t>0-9999kg</t>
  </si>
  <si>
    <t>0.5/kg</t>
  </si>
  <si>
    <t>澳洲提货时间：上午10:00-下午13:00，周一至周五</t>
  </si>
  <si>
    <t>锂电池货物出货前应确保电量低于30%！</t>
  </si>
  <si>
    <t>电池要求</t>
  </si>
  <si>
    <t>是否报关</t>
  </si>
  <si>
    <t>是否需要危包证</t>
  </si>
  <si>
    <t>是否需要电池资料</t>
  </si>
  <si>
    <t>无资料解决方案</t>
  </si>
  <si>
    <t>资料要求</t>
  </si>
  <si>
    <t>特别提醒：实际货物跟买单/报关资料信息必须一致，若海关查到不符合产生的费用由发货人承担。（若无危包证海关查验产生车辆压夜和罚款均由发货人承担）</t>
  </si>
  <si>
    <t>单个电池不超20WH
电池组不超100WH</t>
  </si>
  <si>
    <t>报关</t>
  </si>
  <si>
    <t>不需要危包证</t>
  </si>
  <si>
    <t>要电池资料</t>
  </si>
  <si>
    <t>1，资料齐全无附加；
2，无电池资料、无危包不收；</t>
  </si>
  <si>
    <r>
      <rPr>
        <sz val="11"/>
        <color rgb="FFFF0000"/>
        <rFont val="微软雅黑"/>
        <charset val="134"/>
      </rPr>
      <t>电池资料的日期需要是今年2026的</t>
    </r>
    <r>
      <rPr>
        <sz val="11"/>
        <color theme="1"/>
        <rFont val="微软雅黑"/>
        <charset val="134"/>
      </rPr>
      <t xml:space="preserve">
</t>
    </r>
    <r>
      <rPr>
        <b/>
        <sz val="11"/>
        <color rgb="FFFF0000"/>
        <rFont val="微软雅黑"/>
        <charset val="134"/>
      </rPr>
      <t>由于近期口岸严查，单证出货的需要提前给到报关抬头的营业执照和法人身份证</t>
    </r>
    <r>
      <rPr>
        <sz val="11"/>
        <color theme="1"/>
        <rFont val="微软雅黑"/>
        <charset val="134"/>
      </rPr>
      <t>。电池货，一定要注意，电池必须是全新的，不能是二手的，也不能是有磨损的哈，如因瞒报被船司查到，产生的一切损失都由发货人承担</t>
    </r>
  </si>
  <si>
    <t>不报关</t>
  </si>
  <si>
    <t>单个电池超20WH
电池组超100WH</t>
  </si>
  <si>
    <t>需要危包证</t>
  </si>
  <si>
    <t>需要电池资料</t>
  </si>
  <si>
    <t>1，资料齐全（走盐田出无附加）
2，可推荐机构给客户；
3，无电池资料、无危包不收</t>
  </si>
  <si>
    <t>地址</t>
  </si>
  <si>
    <t>仓库属性</t>
  </si>
  <si>
    <t>温哥华</t>
  </si>
  <si>
    <t>YVR2</t>
  </si>
  <si>
    <t>450 Derwent St.,</t>
  </si>
  <si>
    <t>BC</t>
  </si>
  <si>
    <t>V3M5Y9</t>
  </si>
  <si>
    <t>小型仓</t>
  </si>
  <si>
    <t>小件仓，未遇到因为尺寸与重量关系导致拒收货物</t>
  </si>
  <si>
    <t>YVR3</t>
  </si>
  <si>
    <t>109 BRAID ST</t>
  </si>
  <si>
    <t>NEW WESTMINSTER</t>
  </si>
  <si>
    <t>V3L5H4</t>
  </si>
  <si>
    <t>中型仓</t>
  </si>
  <si>
    <t>根据国外实际派送反馈，建议货物不超过120cm / 20 KG</t>
  </si>
  <si>
    <t>YVR4</t>
  </si>
  <si>
    <t>4189 Salish Sea Way</t>
  </si>
  <si>
    <t>TSAWWASSEN</t>
  </si>
  <si>
    <t>V4M0B9</t>
  </si>
  <si>
    <t>YXX1</t>
  </si>
  <si>
    <t>19300 Airport Wy</t>
  </si>
  <si>
    <t>V3Y2M5</t>
  </si>
  <si>
    <t>YXX2</t>
  </si>
  <si>
    <t>16131 Blundell Rd</t>
  </si>
  <si>
    <t>Richmond</t>
  </si>
  <si>
    <t>V6W0A3</t>
  </si>
  <si>
    <t>小件仓，未遇到因为尺寸与重量关系导致拒收货物
货物较少，卡派要拼车，时效有影响，建议UPS</t>
  </si>
  <si>
    <t>WHV1</t>
  </si>
  <si>
    <t>6751 ELMBRIDGE WAY</t>
  </si>
  <si>
    <t>V7C4N1</t>
  </si>
  <si>
    <t>递四方/4PX</t>
  </si>
  <si>
    <t>WHV2</t>
  </si>
  <si>
    <t>104-1338 UNITED BLVD</t>
  </si>
  <si>
    <t>COQUITLAM</t>
  </si>
  <si>
    <t>V3K6Y2</t>
  </si>
  <si>
    <t>大卖仓</t>
  </si>
  <si>
    <t>埃德蒙顿</t>
  </si>
  <si>
    <t>YEG1</t>
  </si>
  <si>
    <t>1440 39 AVE</t>
  </si>
  <si>
    <t>Nisku</t>
  </si>
  <si>
    <t>AB</t>
  </si>
  <si>
    <t>T9E0B4</t>
  </si>
  <si>
    <t>大件仓，单件重量不超过 23KG,单箱长度不超过 60IN（150.40CM)
目前拒收mix sku</t>
  </si>
  <si>
    <t>YEG2</t>
  </si>
  <si>
    <t>27383 92 Ave</t>
  </si>
  <si>
    <t>Acheson</t>
  </si>
  <si>
    <t>T7X2X2</t>
  </si>
  <si>
    <t>小件仓，单箱长度不能超过 25IN（63.5CM）</t>
  </si>
  <si>
    <t>YYC1</t>
  </si>
  <si>
    <t>293069 Colonel Robertson Way</t>
  </si>
  <si>
    <t>Rocky View County</t>
  </si>
  <si>
    <t>T4A1C6</t>
  </si>
  <si>
    <t>YYC4</t>
  </si>
  <si>
    <t>6635 106 AVE SE</t>
  </si>
  <si>
    <t>CALGARY</t>
  </si>
  <si>
    <t>T2C5X1</t>
  </si>
  <si>
    <t>小件仓，单箱尺寸不能超过 42*64CM</t>
  </si>
  <si>
    <t>YYC6</t>
  </si>
  <si>
    <t>9705 68 ST SE</t>
  </si>
  <si>
    <t>Calgary</t>
  </si>
  <si>
    <t>T2C5V8</t>
  </si>
  <si>
    <t>大型仓</t>
  </si>
  <si>
    <t>所有超重超长货物可收，卡派预约难拿</t>
  </si>
  <si>
    <t>YYZ1</t>
  </si>
  <si>
    <t>6363 MILLCREEK DR</t>
  </si>
  <si>
    <t>ON</t>
  </si>
  <si>
    <t>L5N1L8</t>
  </si>
  <si>
    <t>*</t>
  </si>
  <si>
    <t>仓库面积较小，一般客户不选择建仓</t>
  </si>
  <si>
    <t>YYZ2</t>
  </si>
  <si>
    <t>2750 Peddie Rd.</t>
  </si>
  <si>
    <t>L9T 6Y9</t>
  </si>
  <si>
    <t>YYZ3</t>
  </si>
  <si>
    <t>7995 Winston Churchill Blvd</t>
  </si>
  <si>
    <t>L6Y5Z4</t>
  </si>
  <si>
    <t>货物超过 50IB(22.5KG），长度超过 59IN(149.86CM)会被拒收
一箱多于 4PCS 的货物可能会被拒收
收货时不采用扫码枪，肉眼观察超长、混合打托、一箱多件问题。所有货物预约信息必须有效，不可夹带</t>
  </si>
  <si>
    <t>YYZ4</t>
  </si>
  <si>
    <t>8050 HERITAGE ROAD,</t>
  </si>
  <si>
    <t>BRAMPTON</t>
  </si>
  <si>
    <t>L6Y6L5</t>
  </si>
  <si>
    <t>小件仓，重量单件不能大于 7.5KG，单箱不能大于 50LB(22.5kg），长度单件不能大于 45CM，单箱最长边不能大于63.5CM
收货时不使用扫码枪，肉眼观察箱子是否超大及一箱一件会观察比较细致检查是否超大</t>
  </si>
  <si>
    <t>YYZ6</t>
  </si>
  <si>
    <t>8050 Heritage Rd., Brampton, Ontario L6Y 0C9</t>
  </si>
  <si>
    <t>L6Y 0C9</t>
  </si>
  <si>
    <t>YYZ7</t>
  </si>
  <si>
    <t>12724 Coleraine Drive</t>
  </si>
  <si>
    <t>L7E4L8</t>
  </si>
  <si>
    <t>YYZ9</t>
  </si>
  <si>
    <t>6351 Steeles Ave East</t>
  </si>
  <si>
    <t>M1X1N5</t>
  </si>
  <si>
    <t>货物超过 50IB(22.5KG），长度超过 59IN(149.86CM)会被拒收
一箱多于 4PCS 的货物可能会被拒收
收货时 95%使用扫码枪，扫码枪会直接显示是否合规
最长边在 110-132CM 之间，次长边大于 40.64CM，判定 Pass through-bulk，拒收
最长边大于 132CM，次长边大于 10.16CM，判定 Pass through-bulk，拒收</t>
  </si>
  <si>
    <t>YDC5</t>
  </si>
  <si>
    <t>在YYZ9裡面的2-3樓，所以地址相同
YDC5預計會接收小件貨物，目前仍在整理階段，未正常開始收貨</t>
  </si>
  <si>
    <t>YOO1</t>
  </si>
  <si>
    <t>789 Salem RD N</t>
  </si>
  <si>
    <t>L1Z0J2</t>
  </si>
  <si>
    <t>单箱重量超过 50IB(22.5KG），单箱长度超过 59IN(149.86CM) 会被拒收</t>
  </si>
  <si>
    <t>YHM1</t>
  </si>
  <si>
    <t>110 Aeropark Boulevard, Mount Hope</t>
  </si>
  <si>
    <t>Mount Hope</t>
  </si>
  <si>
    <t>L0R1W1</t>
  </si>
  <si>
    <t>小件仓，单个产品重量单件不能大于 7.5KG
单个产品长度不能大于 45CM
单箱不能大于 50LB(22.5kg），单箱最长边不能大于63.5CM
传送带有限高，次长边不能超过 50cm, 一箱一件会观察比较细致</t>
  </si>
  <si>
    <t>XYY1</t>
  </si>
  <si>
    <t>271 Church street s</t>
  </si>
  <si>
    <t>L1S0A1</t>
  </si>
  <si>
    <t>YGK1</t>
  </si>
  <si>
    <t>640 College St E</t>
  </si>
  <si>
    <t>Belleville</t>
  </si>
  <si>
    <t>K8N0V2</t>
  </si>
  <si>
    <t>超大件仓，所有 YYZ3/YYZ9/YOO1/YOW1 拒收的货物都可以送到这个仓库</t>
  </si>
  <si>
    <t>YXU1</t>
  </si>
  <si>
    <t>11884 Sunset Dr</t>
  </si>
  <si>
    <t>London</t>
  </si>
  <si>
    <t>N5P0G9</t>
  </si>
  <si>
    <t>单箱重量不能大于 50LB(22.5kg），单箱最长边不能大于63.5CM
传送带有限高，次长边不能超过 50cm, 一箱一件会观察比较细致
单件产品超过7.5KG和单箱产品尺寸超过18IN（45CM）则拒收，如果超过这个标准的建议改仓到YGK1或其他大件仓</t>
  </si>
  <si>
    <t>PRTO</t>
  </si>
  <si>
    <t>6110 Cantay Rd,</t>
  </si>
  <si>
    <t>L5R3W5</t>
  </si>
  <si>
    <t>渥太华</t>
  </si>
  <si>
    <t>YOW1</t>
  </si>
  <si>
    <t>5225 Boundary Rd</t>
  </si>
  <si>
    <t>NAVAN</t>
  </si>
  <si>
    <t>K4B0L3</t>
  </si>
  <si>
    <t>大件仓，单箱重量不能超过 50IB(22.5KG），单箱长度不能超过 59IN(149.86CM), 拒收一箱多于 4PCS 的货物
收货时 70%使用扫码枪，扫码枪会直接显示是否合规</t>
  </si>
  <si>
    <t>YOW3</t>
  </si>
  <si>
    <t>222 City Gate Drive</t>
  </si>
  <si>
    <t>Nepean</t>
  </si>
  <si>
    <t>K2J7C7</t>
  </si>
  <si>
    <t>小件仓，重量单件不能大于 7.5KG，单箱不能大于 50LB(22.5kg），长度单件不能大于 45CM，单箱最长边不能大于63.5CM
收货时不使用扫码枪，肉眼观察箱子是否超大</t>
  </si>
  <si>
    <t>蒙特利尔</t>
  </si>
  <si>
    <t>YUL2</t>
  </si>
  <si>
    <t>3000 Rue Louis A Amos</t>
  </si>
  <si>
    <t>Lachine</t>
  </si>
  <si>
    <t>QC</t>
  </si>
  <si>
    <t>H8T 3P8</t>
  </si>
  <si>
    <t>海外仓</t>
  </si>
  <si>
    <t>WHT1</t>
  </si>
  <si>
    <t>5 RESOLUTION DR, UNIT 1</t>
  </si>
  <si>
    <t>L6W0A5</t>
  </si>
  <si>
    <t>（大卖仓/GreatSell YYZ）</t>
  </si>
  <si>
    <t>WHT2</t>
  </si>
  <si>
    <t>108 SUMMERLEA RD</t>
  </si>
  <si>
    <t>L6T4X3</t>
  </si>
  <si>
    <t>万邑通/Winit Corporation</t>
  </si>
  <si>
    <t>WHT3</t>
  </si>
  <si>
    <t>3 Keensford Court, Unit 2</t>
  </si>
  <si>
    <t>L1Z0K4</t>
  </si>
  <si>
    <t>谷仓/GoodCang</t>
  </si>
  <si>
    <t>WHT4</t>
  </si>
  <si>
    <t>5 Paget Rd</t>
  </si>
  <si>
    <t>L6T5S2</t>
  </si>
  <si>
    <t>WHT5</t>
  </si>
  <si>
    <t>159 Don Hillock Drive, Unit 1</t>
  </si>
  <si>
    <t>L4GOK2</t>
  </si>
  <si>
    <t>枫筝海外仓</t>
  </si>
  <si>
    <t>WM01</t>
  </si>
  <si>
    <t>360 Shipwill St</t>
  </si>
  <si>
    <t>L6A5E2</t>
  </si>
  <si>
    <t>沃尔玛/Walmart</t>
  </si>
  <si>
    <t>WM02</t>
  </si>
  <si>
    <t>6800 Maritz Dr</t>
  </si>
  <si>
    <t>L5W1W2</t>
  </si>
  <si>
    <t>WM03</t>
  </si>
  <si>
    <t>200 Courtneypark Dr W</t>
  </si>
  <si>
    <t>L5W1Y6</t>
  </si>
  <si>
    <t>WM04</t>
  </si>
  <si>
    <t>7295 W Credit Ave</t>
  </si>
  <si>
    <t>L5N5N1</t>
  </si>
  <si>
    <t>WM05</t>
  </si>
  <si>
    <t>80 Kateson Dr</t>
  </si>
  <si>
    <t>WM06</t>
  </si>
  <si>
    <t>6175 Edwards Blvd</t>
  </si>
  <si>
    <t>L5T2W7</t>
  </si>
  <si>
    <t>WM07</t>
  </si>
  <si>
    <t>12880 Peel Regional Rd 150</t>
  </si>
  <si>
    <t>L7E3B1</t>
  </si>
  <si>
    <t>区域</t>
  </si>
  <si>
    <t>详细地址</t>
  </si>
  <si>
    <t>FBA</t>
  </si>
  <si>
    <t>悉尼</t>
  </si>
  <si>
    <t>BWU1</t>
  </si>
  <si>
    <t>23 Centenary Ave,Moorebank, NSW 2170,AU</t>
  </si>
  <si>
    <t>BWU2</t>
  </si>
  <si>
    <t>13 Emporium Avenue 2178 - Kemps Creek, NSW</t>
  </si>
  <si>
    <t>BWU6</t>
  </si>
  <si>
    <t>5 Johnston Crescent 2175 - HORSLEY PARK, NSW</t>
  </si>
  <si>
    <t>VANE</t>
  </si>
  <si>
    <t>1 Aristida Cl, Kemps Creek NSW 2178</t>
  </si>
  <si>
    <t>XBW3</t>
  </si>
  <si>
    <t>19 Giba Drive 2178 - KEMPS CREEK, NSW - Australia</t>
  </si>
  <si>
    <t>XAU1</t>
  </si>
  <si>
    <t>5 Darrabarra Ave, Kemps Creek NSW 2178, Australia</t>
  </si>
  <si>
    <t>XSY2</t>
  </si>
  <si>
    <t>10 Buda Way 2178 - Kemps Creek, NSW - Australia</t>
  </si>
  <si>
    <t>墨尔本</t>
  </si>
  <si>
    <t>XAU2</t>
  </si>
  <si>
    <t>Unit 2 80-96 South Park DriveDandenong South VlC 3175</t>
  </si>
  <si>
    <t>MEL1</t>
  </si>
  <si>
    <t>29 National Drive,Dandenong South, VIC 3175,AU</t>
  </si>
  <si>
    <t>AVV2</t>
  </si>
  <si>
    <t>95 Whitfield Bvd, Cranbourne West, VIc 3977</t>
  </si>
  <si>
    <t>MEL5</t>
  </si>
  <si>
    <t>103 Palm Springs Road RAVENHALL,VIC 3023 AU</t>
  </si>
  <si>
    <t>XME6</t>
  </si>
  <si>
    <t>32 Titan Drive 3064 - Mickleham, VIC</t>
  </si>
  <si>
    <t>布里斯班</t>
  </si>
  <si>
    <t>XAU6</t>
  </si>
  <si>
    <t>82A Noosa Street ,Heathwood,QLD</t>
  </si>
  <si>
    <t>BNE1</t>
  </si>
  <si>
    <t>42-52 EXPORT STREETY LYTTON,QUEENLAND 4178 AU</t>
  </si>
  <si>
    <t>珀斯</t>
  </si>
  <si>
    <t>PER2/PER3</t>
  </si>
  <si>
    <t>60 Paltridge Road Perth Airport WA 6105
Perth, Western Australia 6105</t>
  </si>
  <si>
    <t>PER4</t>
  </si>
  <si>
    <t>Site 516 2 Centurion PlJandakot,WA,6164,AU</t>
  </si>
  <si>
    <t>万邑通</t>
  </si>
  <si>
    <t>WINIT-SYD</t>
  </si>
  <si>
    <t>C/O Warehouse 2,54 Ferndell St South Granville 2142 AU</t>
  </si>
  <si>
    <t>WINIT-MEL</t>
  </si>
  <si>
    <t>1-5 Felstead Drive, Trunganina, Victoria, 3029</t>
  </si>
  <si>
    <t>出口易</t>
  </si>
  <si>
    <t>CK1-SYD</t>
  </si>
  <si>
    <t>Gate4 9/2 Christina Road NSW  Villawood 2163</t>
  </si>
  <si>
    <t>warehouse 6 45-53 davies road， padstow， nsw 2211</t>
  </si>
  <si>
    <t>4PX</t>
  </si>
  <si>
    <t>4PX-SYD</t>
  </si>
  <si>
    <t>G2/391 Park Road, Regents Park,NSW 2143 AU</t>
  </si>
  <si>
    <t>4PX-MEL</t>
  </si>
  <si>
    <t>19-23 McNaughton Road, Clayton VIC 3168 AU</t>
  </si>
  <si>
    <t>京东</t>
  </si>
  <si>
    <t>JD-2164</t>
  </si>
  <si>
    <t>UNIT 2C&amp;D, 149 MCCREDIE RD, SMITHFIELD NSW 2164</t>
  </si>
  <si>
    <t>JD-2143</t>
  </si>
  <si>
    <t>block A，391 park rd regents park 2143,NSW</t>
  </si>
  <si>
    <t>橙联</t>
  </si>
  <si>
    <t>CL-SYD</t>
  </si>
  <si>
    <t>Block A1, 391 Park Rd，Regents Park，NSW AU 2143</t>
  </si>
  <si>
    <t>Centre-AU03</t>
  </si>
  <si>
    <t>Warehouse L,Building 5,161 Manchester Rd ，Auburn  2144</t>
  </si>
  <si>
    <t>谷仓</t>
  </si>
  <si>
    <t>GC-SYD</t>
  </si>
  <si>
    <t>C/O 2B/246 Miller Road Villawood NSW 2163</t>
  </si>
  <si>
    <t>GC-MEL-1</t>
  </si>
  <si>
    <t>C/O 63-69 Pound Road West,DandenongSouth,VIC 3175</t>
  </si>
  <si>
    <t>GC-MEL-2</t>
  </si>
  <si>
    <t>C/O 42-62 Pound Road West,Dandenong South VIC 3175</t>
  </si>
  <si>
    <t>易达云</t>
  </si>
  <si>
    <t>EDA</t>
  </si>
  <si>
    <t>99 St Hilliers road Auburn nsw 2144</t>
  </si>
  <si>
    <t>加拿大偏远查询</t>
  </si>
  <si>
    <t>Postal Code From</t>
  </si>
  <si>
    <t>Postal Code To</t>
  </si>
  <si>
    <t>附加类型</t>
  </si>
  <si>
    <t>附加费</t>
  </si>
  <si>
    <t>A0A0A0</t>
  </si>
  <si>
    <t>A0K1M0</t>
  </si>
  <si>
    <t>30元/件，最低100元/票</t>
  </si>
  <si>
    <t>A0K1P0</t>
  </si>
  <si>
    <t>A0K1S0</t>
  </si>
  <si>
    <t>A0K1W0</t>
  </si>
  <si>
    <t>A0K2N0</t>
  </si>
  <si>
    <t>A0K2V0</t>
  </si>
  <si>
    <t>A0K3H0</t>
  </si>
  <si>
    <t>A0K3M0</t>
  </si>
  <si>
    <t>A0K3N0</t>
  </si>
  <si>
    <t>A0K3R0</t>
  </si>
  <si>
    <t>A0K3X0</t>
  </si>
  <si>
    <t>A0K3Z0</t>
  </si>
  <si>
    <t>A0K4C0</t>
  </si>
  <si>
    <t>A0K4G0</t>
  </si>
  <si>
    <t>A0K4J0</t>
  </si>
  <si>
    <t>A0K4L0</t>
  </si>
  <si>
    <t>A0K4V0</t>
  </si>
  <si>
    <t>A0K4X0</t>
  </si>
  <si>
    <t>A0K4Y0</t>
  </si>
  <si>
    <t>A0K5R0</t>
  </si>
  <si>
    <t>A0K5T0</t>
  </si>
  <si>
    <t>A0K5X0</t>
  </si>
  <si>
    <t>A0L0A1</t>
  </si>
  <si>
    <t>A0P0B1</t>
  </si>
  <si>
    <t>A0P1C0</t>
  </si>
  <si>
    <t>A0P1E0</t>
  </si>
  <si>
    <t>A0P1S0</t>
  </si>
  <si>
    <t>A0R0A2</t>
  </si>
  <si>
    <t>A0R1B0</t>
  </si>
  <si>
    <t>A1V0A0</t>
  </si>
  <si>
    <t>A1V2X1</t>
  </si>
  <si>
    <t>A1Y0A6</t>
  </si>
  <si>
    <t>A8A3P7</t>
  </si>
  <si>
    <t>B0C0A1</t>
  </si>
  <si>
    <t>B0W3T0</t>
  </si>
  <si>
    <t>B2S0A1</t>
  </si>
  <si>
    <t>B2S3K7</t>
  </si>
  <si>
    <t>C0B1B0</t>
  </si>
  <si>
    <t>C0B1E0</t>
  </si>
  <si>
    <t>C0B1H0</t>
  </si>
  <si>
    <t>C0B1K0</t>
  </si>
  <si>
    <t>C0B1P0</t>
  </si>
  <si>
    <t>C0B1S0</t>
  </si>
  <si>
    <t>C0B1V0</t>
  </si>
  <si>
    <t>C0B1Y0</t>
  </si>
  <si>
    <t>C0B1Z0</t>
  </si>
  <si>
    <t>C0B2B0</t>
  </si>
  <si>
    <t>C0B2E0</t>
  </si>
  <si>
    <t>E1N0A1</t>
  </si>
  <si>
    <t>E1V8A5</t>
  </si>
  <si>
    <t>E2A6W6</t>
  </si>
  <si>
    <t>E2A6W9</t>
  </si>
  <si>
    <t>E2A7H2</t>
  </si>
  <si>
    <t>E2A7J3</t>
  </si>
  <si>
    <t>E2A7S3</t>
  </si>
  <si>
    <t>E2A7S4</t>
  </si>
  <si>
    <t>E3L0A1</t>
  </si>
  <si>
    <t>E3N6M8</t>
  </si>
  <si>
    <t>E3Y0A1</t>
  </si>
  <si>
    <t>E4A3R8</t>
  </si>
  <si>
    <t>E4B3V4</t>
  </si>
  <si>
    <t>E4B3W8</t>
  </si>
  <si>
    <t>E4B3X1</t>
  </si>
  <si>
    <t>E4B3X2</t>
  </si>
  <si>
    <t>E4B3X8</t>
  </si>
  <si>
    <t>E4B3Z8</t>
  </si>
  <si>
    <t>E4B4A1</t>
  </si>
  <si>
    <t>E4B4A7</t>
  </si>
  <si>
    <t>E4B4A8</t>
  </si>
  <si>
    <t>E4B4B4</t>
  </si>
  <si>
    <t>E4B4B8</t>
  </si>
  <si>
    <t>E4B4C8</t>
  </si>
  <si>
    <t>E4C0A1</t>
  </si>
  <si>
    <t>E4G4J2</t>
  </si>
  <si>
    <t>E4M0A1</t>
  </si>
  <si>
    <t>E4M4B9</t>
  </si>
  <si>
    <t>E4W0A1</t>
  </si>
  <si>
    <t>E5C3W5</t>
  </si>
  <si>
    <t>E5G0A1</t>
  </si>
  <si>
    <t>E5H2N3</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</si>
  <si>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</si>
  <si>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</si>
  <si>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</si>
  <si>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</si>
  <si>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</si>
  <si>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</si>
  <si>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</si>
  <si>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</si>
  <si>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</si>
  <si>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</si>
  <si>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</si>
  <si>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</si>
  <si>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</si>
  <si>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</si>
  <si>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</si>
  <si>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</si>
  <si>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</si>
  <si>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</si>
  <si>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</si>
  <si>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</si>
  <si>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</si>
  <si>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</si>
  <si>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E5P0A1</t>
  </si>
  <si>
    <t>E5R0A1</t>
  </si>
  <si>
    <t>E5T1K4</t>
  </si>
  <si>
    <t>E5T1K6</t>
  </si>
  <si>
    <t>E5V0A1</t>
  </si>
  <si>
    <t>E6A3A1</t>
  </si>
  <si>
    <t>E6B0A2</t>
  </si>
  <si>
    <t>E6B1C4</t>
  </si>
  <si>
    <t>E6B1C5</t>
  </si>
  <si>
    <t>E6B1C9</t>
  </si>
  <si>
    <t>E6B1E2</t>
  </si>
  <si>
    <t>E6B1G8</t>
  </si>
  <si>
    <t>E6B1H6</t>
  </si>
  <si>
    <t>E6B1L8</t>
  </si>
  <si>
    <t>E6B1M4</t>
  </si>
  <si>
    <t>E6B1M6</t>
  </si>
  <si>
    <t>E6B1M8</t>
  </si>
  <si>
    <t>E6B1N2</t>
  </si>
  <si>
    <t>E6B1N4</t>
  </si>
  <si>
    <t>E6B1P1</t>
  </si>
  <si>
    <t>E6B1P4</t>
  </si>
  <si>
    <t>E6B1R1</t>
  </si>
  <si>
    <t>E6B1S1</t>
  </si>
  <si>
    <t>E6B1T1</t>
  </si>
  <si>
    <t>E6B1T8</t>
  </si>
  <si>
    <t>E6B1X3</t>
  </si>
  <si>
    <t>E6B1Y6</t>
  </si>
  <si>
    <t>E6B2J8</t>
  </si>
  <si>
    <t>E6B2K7</t>
  </si>
  <si>
    <t>E6B2K9</t>
  </si>
  <si>
    <t>E6C1E5</t>
  </si>
  <si>
    <t>E6C1E8</t>
  </si>
  <si>
    <t>E6C1Y6</t>
  </si>
  <si>
    <t>E6C1Z4</t>
  </si>
  <si>
    <t>E6C2H5</t>
  </si>
  <si>
    <t>E6E1A6</t>
  </si>
  <si>
    <t>E6E1B1</t>
  </si>
  <si>
    <t>E6E1M9</t>
  </si>
  <si>
    <t>E6E1N7</t>
  </si>
  <si>
    <t>E6E1N8</t>
  </si>
  <si>
    <t>E6E1P2</t>
  </si>
  <si>
    <t>E6E1P6</t>
  </si>
  <si>
    <t>E6E1T6</t>
  </si>
  <si>
    <t>E6E1X7</t>
  </si>
  <si>
    <t>E6E1X8</t>
  </si>
  <si>
    <t>E6E1Y6</t>
  </si>
  <si>
    <t>E6E2A8</t>
  </si>
  <si>
    <t>E6E2L4</t>
  </si>
  <si>
    <t>E6G1J2</t>
  </si>
  <si>
    <t>E6G1N3</t>
  </si>
  <si>
    <t>E6G1Y9</t>
  </si>
  <si>
    <t>E6G1Z6</t>
  </si>
  <si>
    <t>E6G2H6</t>
  </si>
  <si>
    <t>E6G2H8</t>
  </si>
  <si>
    <t>E6G2J8</t>
  </si>
  <si>
    <t>E6G2K4</t>
  </si>
  <si>
    <t>E6G2L5</t>
  </si>
  <si>
    <t>E6G2N4</t>
  </si>
  <si>
    <t>E6G2N6</t>
  </si>
  <si>
    <t>E6H0A1</t>
  </si>
  <si>
    <t>E6J2C1</t>
  </si>
  <si>
    <t>E6K1Y1</t>
  </si>
  <si>
    <t>E6K1Z9</t>
  </si>
  <si>
    <t>E6K2B1</t>
  </si>
  <si>
    <t>E6K2C5</t>
  </si>
  <si>
    <t>E6K3K4</t>
  </si>
  <si>
    <t>E6K3W2</t>
  </si>
  <si>
    <t>E7A0A1</t>
  </si>
  <si>
    <t>E8J3Y5</t>
  </si>
  <si>
    <t>E8L0A1</t>
  </si>
  <si>
    <t>E8N2V7</t>
  </si>
  <si>
    <t>E8R0A1</t>
  </si>
  <si>
    <t>E8R2E4</t>
  </si>
  <si>
    <t>E8T0A1</t>
  </si>
  <si>
    <t>E9H2C8</t>
  </si>
  <si>
    <t>G0A0A1</t>
  </si>
  <si>
    <t>G0G0G0</t>
  </si>
  <si>
    <t>G0G1H0</t>
  </si>
  <si>
    <t>G0G1H9</t>
  </si>
  <si>
    <t>G0G1K0</t>
  </si>
  <si>
    <t>G0G1L0</t>
  </si>
  <si>
    <t>G0G1P0</t>
  </si>
  <si>
    <t>G0H0A1</t>
  </si>
  <si>
    <t>G0W2X0</t>
  </si>
  <si>
    <t>G0X0A1</t>
  </si>
  <si>
    <t>G0X3L0</t>
  </si>
  <si>
    <t>G0X3N0</t>
  </si>
  <si>
    <t>G0Y0A1</t>
  </si>
  <si>
    <t>G0Z1K0</t>
  </si>
  <si>
    <t>G3L0A1</t>
  </si>
  <si>
    <t>G3L5B6</t>
  </si>
  <si>
    <t>G4A0A1</t>
  </si>
  <si>
    <t>G5C3X4</t>
  </si>
  <si>
    <t>G5J0A1</t>
  </si>
  <si>
    <t>G5J3T7</t>
  </si>
  <si>
    <t>G5R0A1</t>
  </si>
  <si>
    <t>G5T2K3</t>
  </si>
  <si>
    <t>G6L0A1</t>
  </si>
  <si>
    <t>G6L5V7</t>
  </si>
  <si>
    <t>G7X7V6</t>
  </si>
  <si>
    <t>G8G0A1</t>
  </si>
  <si>
    <t>G8L7C9</t>
  </si>
  <si>
    <t>G8L8A7</t>
  </si>
  <si>
    <t>G8L8A8</t>
  </si>
  <si>
    <t>G8M0A1</t>
  </si>
  <si>
    <t>G8P3C5</t>
  </si>
  <si>
    <t>G9X0A1</t>
  </si>
  <si>
    <t>G9X4W3</t>
  </si>
  <si>
    <t>H0M0A1</t>
  </si>
  <si>
    <t>J0A0A1</t>
  </si>
  <si>
    <t>J0B4B0</t>
  </si>
  <si>
    <t>J0E0A1</t>
  </si>
  <si>
    <t>J0K1L0</t>
  </si>
  <si>
    <t>J0K1N0</t>
  </si>
  <si>
    <t>J0M0B8</t>
  </si>
  <si>
    <t>J0P0A1</t>
  </si>
  <si>
    <t>J0P0B1</t>
  </si>
  <si>
    <t>J0S0A1</t>
  </si>
  <si>
    <t>J0W1Y0</t>
  </si>
  <si>
    <t>J0X0A3</t>
  </si>
  <si>
    <t>J0X1A0</t>
  </si>
  <si>
    <t>J0X1G0</t>
  </si>
  <si>
    <t>J0X2G0</t>
  </si>
  <si>
    <t>J0X2L0</t>
  </si>
  <si>
    <t>J0X2P0</t>
  </si>
  <si>
    <t>J0X2Y0</t>
  </si>
  <si>
    <t>J0X3B0</t>
  </si>
  <si>
    <t>J0X3K0</t>
  </si>
  <si>
    <t>J0Y0A1</t>
  </si>
  <si>
    <t>J0Y2S0</t>
  </si>
  <si>
    <t>J0Y3M0</t>
  </si>
  <si>
    <t>J0Z3V0</t>
  </si>
  <si>
    <t>J8G0A1</t>
  </si>
  <si>
    <t>J8G3E3</t>
  </si>
  <si>
    <t>J8N0A2</t>
  </si>
  <si>
    <t>J8N9P9</t>
  </si>
  <si>
    <t>J9E0A1</t>
  </si>
  <si>
    <t>J9E3P6</t>
  </si>
  <si>
    <t>J9L0A2</t>
  </si>
  <si>
    <t>J9L3X6</t>
  </si>
  <si>
    <t>J9P7A5</t>
  </si>
  <si>
    <t>J9P7A8</t>
  </si>
  <si>
    <t>J9P7B9</t>
  </si>
  <si>
    <t>J9P7E9</t>
  </si>
  <si>
    <t>J9P7G3</t>
  </si>
  <si>
    <t>J9P7G5</t>
  </si>
  <si>
    <t>J9T0A1</t>
  </si>
  <si>
    <t>J9T4P1</t>
  </si>
  <si>
    <t>J9X0A1</t>
  </si>
  <si>
    <t>J9Z3S7</t>
  </si>
  <si>
    <t>K0A0A1</t>
  </si>
  <si>
    <t>K0A0E1</t>
  </si>
  <si>
    <t>K0B0A1</t>
  </si>
  <si>
    <t>K0J1C0</t>
  </si>
  <si>
    <t>K0J1G0</t>
  </si>
  <si>
    <t>K0J1P0</t>
  </si>
  <si>
    <t>K0J1S0</t>
  </si>
  <si>
    <t>K0J2A0</t>
  </si>
  <si>
    <t>K0J2C0</t>
  </si>
  <si>
    <t>K0J2G0</t>
  </si>
  <si>
    <t>K0J2J0</t>
  </si>
  <si>
    <t>K0J2L0</t>
  </si>
  <si>
    <t>K0J2R0</t>
  </si>
  <si>
    <t>K0K0A1</t>
  </si>
  <si>
    <t>K0K0E6</t>
  </si>
  <si>
    <t>K0L0A1</t>
  </si>
  <si>
    <t>K0M2T0</t>
  </si>
  <si>
    <t>L0C0A1</t>
  </si>
  <si>
    <t>L0C0A2</t>
  </si>
  <si>
    <t>L0K0A1</t>
  </si>
  <si>
    <t>L0K0B3</t>
  </si>
  <si>
    <t>L0N0A2</t>
  </si>
  <si>
    <t>L0N0A3</t>
  </si>
  <si>
    <t>N0A0A1</t>
  </si>
  <si>
    <t>N0A0A9</t>
  </si>
  <si>
    <t>N0C0A1</t>
  </si>
  <si>
    <t>N0E0B2</t>
  </si>
  <si>
    <t>N0G0A1</t>
  </si>
  <si>
    <t>N0J0B5</t>
  </si>
  <si>
    <t>N0L0A1</t>
  </si>
  <si>
    <t>N0L0B7</t>
  </si>
  <si>
    <t>N0M0A1</t>
  </si>
  <si>
    <t>N0M0C4</t>
  </si>
  <si>
    <t>N0N0A1</t>
  </si>
  <si>
    <t>N0N0A9</t>
  </si>
  <si>
    <t>P0A0A1</t>
  </si>
  <si>
    <t>P0H1B0</t>
  </si>
  <si>
    <t>P0H1E0</t>
  </si>
  <si>
    <t>P0H2H0</t>
  </si>
  <si>
    <t>P0H2K0</t>
  </si>
  <si>
    <t>P0J1H0</t>
  </si>
  <si>
    <t>P0J1K0</t>
  </si>
  <si>
    <t>P0K1R0</t>
  </si>
  <si>
    <t>P0K1T0</t>
  </si>
  <si>
    <t>P0L0B6</t>
  </si>
  <si>
    <t>P0L1C0</t>
  </si>
  <si>
    <t>P0L1G0</t>
  </si>
  <si>
    <t>P0L1K0</t>
  </si>
  <si>
    <t>P0L1M0</t>
  </si>
  <si>
    <t>P0L1R0</t>
  </si>
  <si>
    <t>P0L1T0</t>
  </si>
  <si>
    <t>P0L1V0</t>
  </si>
  <si>
    <t>P0L1Z0</t>
  </si>
  <si>
    <t>P0L2G0</t>
  </si>
  <si>
    <t>P0L2P0</t>
  </si>
  <si>
    <t>P0M1B0</t>
  </si>
  <si>
    <t>P0M1E0</t>
  </si>
  <si>
    <t>P0M1J0</t>
  </si>
  <si>
    <t>P0M1L0</t>
  </si>
  <si>
    <t>P0M1S0</t>
  </si>
  <si>
    <t>P0M1X0</t>
  </si>
  <si>
    <t>P0M2G0</t>
  </si>
  <si>
    <t>P0M2K0</t>
  </si>
  <si>
    <t>P0M2R0</t>
  </si>
  <si>
    <t>P0M2W0</t>
  </si>
  <si>
    <t>P0M2Y0</t>
  </si>
  <si>
    <t>P0M3C0</t>
  </si>
  <si>
    <t>P0M3H0</t>
  </si>
  <si>
    <t>P0N0A0</t>
  </si>
  <si>
    <t>P0N0A4</t>
  </si>
  <si>
    <t>P0N1A0</t>
  </si>
  <si>
    <t>P0N1K0</t>
  </si>
  <si>
    <t>P0P0A1</t>
  </si>
  <si>
    <t>P0T0C8</t>
  </si>
  <si>
    <t>P0T1C1</t>
  </si>
  <si>
    <t>P0T1G0</t>
  </si>
  <si>
    <t>P0T1K0</t>
  </si>
  <si>
    <t>P0T1M0</t>
  </si>
  <si>
    <t>P0T1R0</t>
  </si>
  <si>
    <t>P0T1W0</t>
  </si>
  <si>
    <t>P0T2A0</t>
  </si>
  <si>
    <t>P0T2C0</t>
  </si>
  <si>
    <t>P0T2K0</t>
  </si>
  <si>
    <t>P0T2M0</t>
  </si>
  <si>
    <t>P0T2P0</t>
  </si>
  <si>
    <t>P0T2W0</t>
  </si>
  <si>
    <t>P0T3E0</t>
  </si>
  <si>
    <t>P0V1C0</t>
  </si>
  <si>
    <t>P0V1L0</t>
  </si>
  <si>
    <t>P0V1P0</t>
  </si>
  <si>
    <t>P0V1T0</t>
  </si>
  <si>
    <t>P0V1X0</t>
  </si>
  <si>
    <t>P0V2B0</t>
  </si>
  <si>
    <t>P0V2E0</t>
  </si>
  <si>
    <t>P0V2J0</t>
  </si>
  <si>
    <t>P0V2K0</t>
  </si>
  <si>
    <t>P0V2M0</t>
  </si>
  <si>
    <t>P0V2V0</t>
  </si>
  <si>
    <t>P0V2X0</t>
  </si>
  <si>
    <t>P0V3H0</t>
  </si>
  <si>
    <t>P0X0A6</t>
  </si>
  <si>
    <t>P0X1C0</t>
  </si>
  <si>
    <t>P0X1H0</t>
  </si>
  <si>
    <t>P0X1K0</t>
  </si>
  <si>
    <t>P0X1M0</t>
  </si>
  <si>
    <t>P0X1N0</t>
  </si>
  <si>
    <t>P0X1S0</t>
  </si>
  <si>
    <t>R0A0A1</t>
  </si>
  <si>
    <t>R0A9A2</t>
  </si>
  <si>
    <t>R0B1R0</t>
  </si>
  <si>
    <t>R0B2J0</t>
  </si>
  <si>
    <t>R0C0H0</t>
  </si>
  <si>
    <t>R0C0K0</t>
  </si>
  <si>
    <t>R0C0S0</t>
  </si>
  <si>
    <t>R0C0W0</t>
  </si>
  <si>
    <t>R0C1C0</t>
  </si>
  <si>
    <t>R0C1G0</t>
  </si>
  <si>
    <t>R0C1Z0</t>
  </si>
  <si>
    <t>R0C2B0</t>
  </si>
  <si>
    <t>R0C2N0</t>
  </si>
  <si>
    <t>R0C2R0</t>
  </si>
  <si>
    <t>R0C3B0</t>
  </si>
  <si>
    <t>R0C3E0</t>
  </si>
  <si>
    <t>R0E0E2</t>
  </si>
  <si>
    <t>R0E0K0</t>
  </si>
  <si>
    <t>R0E0K1</t>
  </si>
  <si>
    <t>R0E0M0</t>
  </si>
  <si>
    <t>R0E1C0</t>
  </si>
  <si>
    <t>R0E1J0</t>
  </si>
  <si>
    <t>R0E1J3</t>
  </si>
  <si>
    <t>R0E1L0</t>
  </si>
  <si>
    <t>R0E1M0</t>
  </si>
  <si>
    <t>R0E1P0</t>
  </si>
  <si>
    <t>R0E2C0</t>
  </si>
  <si>
    <t>R0E2G0</t>
  </si>
  <si>
    <t>R0G2W0</t>
  </si>
  <si>
    <t>R0H0C0</t>
  </si>
  <si>
    <t>R0H0K0</t>
  </si>
  <si>
    <t>R0H0P0</t>
  </si>
  <si>
    <t>R0H0S0</t>
  </si>
  <si>
    <t>R0H0V0</t>
  </si>
  <si>
    <t>R0H1E0</t>
  </si>
  <si>
    <t>R0H1H0</t>
  </si>
  <si>
    <t>R0H1L0</t>
  </si>
  <si>
    <t>R0H1N0</t>
  </si>
  <si>
    <t>R0J0Y0</t>
  </si>
  <si>
    <t>R0J1A0</t>
  </si>
  <si>
    <t>R0L0A9</t>
  </si>
  <si>
    <t>R0L0B1</t>
  </si>
  <si>
    <t>R0L0E2</t>
  </si>
  <si>
    <t>R0L0H0</t>
  </si>
  <si>
    <t>R0L0L0</t>
  </si>
  <si>
    <t>R0L0P0</t>
  </si>
  <si>
    <t>R0L0T0</t>
  </si>
  <si>
    <t>R0L0Z0</t>
  </si>
  <si>
    <t>R0L1C0</t>
  </si>
  <si>
    <t>R0L1G0</t>
  </si>
  <si>
    <t>R0L1K0</t>
  </si>
  <si>
    <t>R0L1M0</t>
  </si>
  <si>
    <t>R0L1P0</t>
  </si>
  <si>
    <t>R0L1S0</t>
  </si>
  <si>
    <t>R0L1W0</t>
  </si>
  <si>
    <t>R0L1X0</t>
  </si>
  <si>
    <t>R0L1Z0</t>
  </si>
  <si>
    <t>R0L2G0</t>
  </si>
  <si>
    <t>R0L2L0</t>
  </si>
  <si>
    <t>R0M2H0</t>
  </si>
  <si>
    <t>R4J1B9</t>
  </si>
  <si>
    <t>R4J1C2</t>
  </si>
  <si>
    <t>R4K1B8</t>
  </si>
  <si>
    <t>R4K1C1</t>
  </si>
  <si>
    <t>R4K1C3</t>
  </si>
  <si>
    <t>R4L1B1</t>
  </si>
  <si>
    <t>R4L1B6</t>
  </si>
  <si>
    <t>R8A0A1</t>
  </si>
  <si>
    <t>R8A1V9</t>
  </si>
  <si>
    <t>R9A1K2</t>
  </si>
  <si>
    <t>R9A1V4</t>
  </si>
  <si>
    <t>S0A0A0</t>
  </si>
  <si>
    <t>S0A0E9</t>
  </si>
  <si>
    <t>S0A0H0</t>
  </si>
  <si>
    <t>S0A2Z0</t>
  </si>
  <si>
    <t>S0A3B0</t>
  </si>
  <si>
    <t>S0A4P0</t>
  </si>
  <si>
    <t>S0A4S0</t>
  </si>
  <si>
    <t>S0C2P0</t>
  </si>
  <si>
    <t>S0E0A0</t>
  </si>
  <si>
    <t>S0E0A9</t>
  </si>
  <si>
    <t>S0E0E0</t>
  </si>
  <si>
    <t>S0E0R0</t>
  </si>
  <si>
    <t>S0E0T0</t>
  </si>
  <si>
    <t>S0E0W0</t>
  </si>
  <si>
    <t>S0E0Y0</t>
  </si>
  <si>
    <t>S0E1J0</t>
  </si>
  <si>
    <t>S0E1L0</t>
  </si>
  <si>
    <t>S0E1P0</t>
  </si>
  <si>
    <t>S0E1T0</t>
  </si>
  <si>
    <t>S0G0R0</t>
  </si>
  <si>
    <t>S0G0T0</t>
  </si>
  <si>
    <t>S0G2Y0</t>
  </si>
  <si>
    <t>S0G3A0</t>
  </si>
  <si>
    <t>S0G3J0</t>
  </si>
  <si>
    <t>S0G3L0</t>
  </si>
  <si>
    <t>S0H0E9</t>
  </si>
  <si>
    <t>S0H0K0</t>
  </si>
  <si>
    <t>S0H4M0</t>
  </si>
  <si>
    <t>S0J0B1</t>
  </si>
  <si>
    <t>S0J0Z0</t>
  </si>
  <si>
    <t>S0J1C0</t>
  </si>
  <si>
    <t>S0J1H0</t>
  </si>
  <si>
    <t>S0J1X0</t>
  </si>
  <si>
    <t>S0J2A0</t>
  </si>
  <si>
    <t>S0J2B0</t>
  </si>
  <si>
    <t>S0J2E0</t>
  </si>
  <si>
    <t>S0J2S0</t>
  </si>
  <si>
    <t>S0J2W0</t>
  </si>
  <si>
    <t>S0J3C0</t>
  </si>
  <si>
    <t>S0J3G0</t>
  </si>
  <si>
    <t>S0K0G9</t>
  </si>
  <si>
    <t>S0K0J0</t>
  </si>
  <si>
    <t>S0K0T0</t>
  </si>
  <si>
    <t>S0K0X0</t>
  </si>
  <si>
    <t>S0K0Z0</t>
  </si>
  <si>
    <t>S0K1B0</t>
  </si>
  <si>
    <t>S0K1E0</t>
  </si>
  <si>
    <t>S0K1J0</t>
  </si>
  <si>
    <t>S0K1K1</t>
  </si>
  <si>
    <t>S0K1M0</t>
  </si>
  <si>
    <t>S0K1X1</t>
  </si>
  <si>
    <t>S0K1Z0</t>
  </si>
  <si>
    <t>S0K2G0</t>
  </si>
  <si>
    <t>S0K2J0</t>
  </si>
  <si>
    <t>S0K2M0</t>
  </si>
  <si>
    <t>S0K2R0</t>
  </si>
  <si>
    <t>S0K2W0</t>
  </si>
  <si>
    <t>S0K2Y0</t>
  </si>
  <si>
    <t>S0K3E0</t>
  </si>
  <si>
    <t>S0K3H0</t>
  </si>
  <si>
    <t>S0K3S0</t>
  </si>
  <si>
    <t>S0K3V0</t>
  </si>
  <si>
    <t>S0K3X0</t>
  </si>
  <si>
    <t>S0K4C0</t>
  </si>
  <si>
    <t>S0K4E0</t>
  </si>
  <si>
    <t>S0K4K0</t>
  </si>
  <si>
    <t>S0K5S0</t>
  </si>
  <si>
    <t>S0L0B0</t>
  </si>
  <si>
    <t>S0L0E9</t>
  </si>
  <si>
    <t>S0L0H0</t>
  </si>
  <si>
    <t>S0L0K0</t>
  </si>
  <si>
    <t>S0L0N0</t>
  </si>
  <si>
    <t>S0L0S0</t>
  </si>
  <si>
    <t>S0L0V0</t>
  </si>
  <si>
    <t>S0L0Y0</t>
  </si>
  <si>
    <t>S0L1A0</t>
  </si>
  <si>
    <t>S0L1C0</t>
  </si>
  <si>
    <t>S0L1K0</t>
  </si>
  <si>
    <t>S0L1L0</t>
  </si>
  <si>
    <t>S0L1R0</t>
  </si>
  <si>
    <t>S0L1T0</t>
  </si>
  <si>
    <t>S0L1W0</t>
  </si>
  <si>
    <t>S0L1Z0</t>
  </si>
  <si>
    <t>S0L2C0</t>
  </si>
  <si>
    <t>S0L2G0</t>
  </si>
  <si>
    <t>S0L2J0</t>
  </si>
  <si>
    <t>S0L2M0</t>
  </si>
  <si>
    <t>S0L2V0</t>
  </si>
  <si>
    <t>S0L3A0</t>
  </si>
  <si>
    <t>S0L3L0</t>
  </si>
  <si>
    <t>S0L3N0</t>
  </si>
  <si>
    <t>S0L3R0</t>
  </si>
  <si>
    <t>S0M0B0</t>
  </si>
  <si>
    <t>S0M0B9</t>
  </si>
  <si>
    <t>S0M0E0</t>
  </si>
  <si>
    <t>S0M0E9</t>
  </si>
  <si>
    <t>S0M0H0</t>
  </si>
  <si>
    <t>S0M0L0</t>
  </si>
  <si>
    <t>S0M0N0</t>
  </si>
  <si>
    <t>S0M0R0</t>
  </si>
  <si>
    <t>S0M0V0</t>
  </si>
  <si>
    <t>S0M0Y0</t>
  </si>
  <si>
    <t>S0M1H0</t>
  </si>
  <si>
    <t>S0M1K0</t>
  </si>
  <si>
    <t>S0M1R0</t>
  </si>
  <si>
    <t>S0M1T0</t>
  </si>
  <si>
    <t>S0M1X0</t>
  </si>
  <si>
    <t>S0M2C0</t>
  </si>
  <si>
    <t>S0M2G0</t>
  </si>
  <si>
    <t>S0M2J0</t>
  </si>
  <si>
    <t>S0M2R0</t>
  </si>
  <si>
    <t>S0M2T0</t>
  </si>
  <si>
    <t>S0M2W0</t>
  </si>
  <si>
    <t>S0M3A0</t>
  </si>
  <si>
    <t>S0M3C0</t>
  </si>
  <si>
    <t>S0N0A0</t>
  </si>
  <si>
    <t>S0P0B0</t>
  </si>
  <si>
    <t>S0P0H0</t>
  </si>
  <si>
    <t>S0P0J0</t>
  </si>
  <si>
    <t>S9X0A1</t>
  </si>
  <si>
    <t>S9X2A1</t>
  </si>
  <si>
    <t>T0A0K0</t>
  </si>
  <si>
    <t>T0A0K5</t>
  </si>
  <si>
    <t>T0A0T0</t>
  </si>
  <si>
    <t>T0A1H0</t>
  </si>
  <si>
    <t>T0A1N0</t>
  </si>
  <si>
    <t>T0A1N6</t>
  </si>
  <si>
    <t>T0A2E0</t>
  </si>
  <si>
    <t>T0A2H0</t>
  </si>
  <si>
    <t>T0A2K0</t>
  </si>
  <si>
    <t>T0A2N0</t>
  </si>
  <si>
    <t>T0A2W0</t>
  </si>
  <si>
    <t>T0A2Y0</t>
  </si>
  <si>
    <t>T0A3T0</t>
  </si>
  <si>
    <t>T0B0G0</t>
  </si>
  <si>
    <t>T0B0G9</t>
  </si>
  <si>
    <t>T0B0J1</t>
  </si>
  <si>
    <t>T0B0J5</t>
  </si>
  <si>
    <t>T0B0S0</t>
  </si>
  <si>
    <t>T0B0T0</t>
  </si>
  <si>
    <t>T0B1J0</t>
  </si>
  <si>
    <t>T0B1M0</t>
  </si>
  <si>
    <t>T0B1S0</t>
  </si>
  <si>
    <t>T0B1W0</t>
  </si>
  <si>
    <t>T0B1X0</t>
  </si>
  <si>
    <t>T0B2M0</t>
  </si>
  <si>
    <t>T0B2M2</t>
  </si>
  <si>
    <t>T0B2R0</t>
  </si>
  <si>
    <t>T0B2S0</t>
  </si>
  <si>
    <t>T0B3B0</t>
  </si>
  <si>
    <t>T0B3L0</t>
  </si>
  <si>
    <t>T0B3P0</t>
  </si>
  <si>
    <t>T0B3T0</t>
  </si>
  <si>
    <t>T0B3Y0</t>
  </si>
  <si>
    <t>T0B3Z0</t>
  </si>
  <si>
    <t>T0B4E0</t>
  </si>
  <si>
    <t>T0B4J0</t>
  </si>
  <si>
    <t>T0B4J5</t>
  </si>
  <si>
    <t>T0B4R0</t>
  </si>
  <si>
    <t>T0C0J0</t>
  </si>
  <si>
    <t>T0C0L0</t>
  </si>
  <si>
    <t>T0C0V0</t>
  </si>
  <si>
    <t>T0C0W0</t>
  </si>
  <si>
    <t>T0C0Y0</t>
  </si>
  <si>
    <t>T0C1L0</t>
  </si>
  <si>
    <t>T0C1N0</t>
  </si>
  <si>
    <t>T0C1Z0</t>
  </si>
  <si>
    <t>T0C1Z1</t>
  </si>
  <si>
    <t>T0C2E0</t>
  </si>
  <si>
    <t>T0C2K0</t>
  </si>
  <si>
    <t>T0E1Z0</t>
  </si>
  <si>
    <t>T0G0A2</t>
  </si>
  <si>
    <t>T0G0A9</t>
  </si>
  <si>
    <t>T0G0J0</t>
  </si>
  <si>
    <t>T0G1Y0</t>
  </si>
  <si>
    <t>T0H0G1</t>
  </si>
  <si>
    <t>T0H0G8</t>
  </si>
  <si>
    <t>T0H0J0</t>
  </si>
  <si>
    <t>T0H0P0</t>
  </si>
  <si>
    <t>T0H1B0</t>
  </si>
  <si>
    <t>T0H1E0</t>
  </si>
  <si>
    <t>T0H3A0</t>
  </si>
  <si>
    <t>T0H3C1</t>
  </si>
  <si>
    <t>T0H3C7</t>
  </si>
  <si>
    <t>T0H3G0</t>
  </si>
  <si>
    <t>T0H3M0</t>
  </si>
  <si>
    <t>T0H3V0</t>
  </si>
  <si>
    <t>T0H3Z0</t>
  </si>
  <si>
    <t>T0J0M0</t>
  </si>
  <si>
    <t>T0J0V0</t>
  </si>
  <si>
    <t>T0J0Y0</t>
  </si>
  <si>
    <t>T0J0Y7</t>
  </si>
  <si>
    <t>T0J1B0</t>
  </si>
  <si>
    <t>T0J1S0</t>
  </si>
  <si>
    <t>T0J1X0</t>
  </si>
  <si>
    <t>T0J1Y1</t>
  </si>
  <si>
    <t>T0J2B0</t>
  </si>
  <si>
    <t>T0J2C0</t>
  </si>
  <si>
    <t>T0J2R0</t>
  </si>
  <si>
    <t>T0J2T0</t>
  </si>
  <si>
    <t>T0J2V0</t>
  </si>
  <si>
    <t>T0J3G0</t>
  </si>
  <si>
    <t>T0J3R0</t>
  </si>
  <si>
    <t>T0L0A0</t>
  </si>
  <si>
    <t>T0L0A9</t>
  </si>
  <si>
    <t>T0L0H0</t>
  </si>
  <si>
    <t>T0L0K0</t>
  </si>
  <si>
    <t>T0L0P0</t>
  </si>
  <si>
    <t>T0L0X0</t>
  </si>
  <si>
    <t>T0L1E0</t>
  </si>
  <si>
    <t>T0L1H0</t>
  </si>
  <si>
    <t>T0L1K0</t>
  </si>
  <si>
    <t>T0L1N0</t>
  </si>
  <si>
    <t>T0L1R0</t>
  </si>
  <si>
    <t>T0L1W0</t>
  </si>
  <si>
    <t>T0L1W4</t>
  </si>
  <si>
    <t>T0L2A0</t>
  </si>
  <si>
    <t>T0L2C0</t>
  </si>
  <si>
    <t>T0M0A9</t>
  </si>
  <si>
    <t>T0M0C0</t>
  </si>
  <si>
    <t>T0M0C2</t>
  </si>
  <si>
    <t>T0M0G0</t>
  </si>
  <si>
    <t>T0M0J0</t>
  </si>
  <si>
    <t>T0M0L0</t>
  </si>
  <si>
    <t>T0M0N0</t>
  </si>
  <si>
    <t>T0M0S0</t>
  </si>
  <si>
    <t>T0M0T0</t>
  </si>
  <si>
    <t>T0M0W0</t>
  </si>
  <si>
    <t>T0M0Y0</t>
  </si>
  <si>
    <t>T0M1G0</t>
  </si>
  <si>
    <t>T0M1J0</t>
  </si>
  <si>
    <t>T0M1N0</t>
  </si>
  <si>
    <t>T0M1W0</t>
  </si>
  <si>
    <t>T0M1Y0</t>
  </si>
  <si>
    <t>T0M2C0</t>
  </si>
  <si>
    <t>T0M2G0</t>
  </si>
  <si>
    <t>T0M2N0</t>
  </si>
  <si>
    <t>T1P0A2</t>
  </si>
  <si>
    <t>T1P1Z9</t>
  </si>
  <si>
    <t>T1V0A1</t>
  </si>
  <si>
    <t>T1V2C8</t>
  </si>
  <si>
    <t>V0A0A0</t>
  </si>
  <si>
    <t>V0B1T1</t>
  </si>
  <si>
    <t>V0B1T3</t>
  </si>
  <si>
    <t>V0B1V1</t>
  </si>
  <si>
    <t>V0E1H0</t>
  </si>
  <si>
    <t>V0E1H2</t>
  </si>
  <si>
    <t>V0E1M0</t>
  </si>
  <si>
    <t>V0E1M1</t>
  </si>
  <si>
    <t>V0E1M3</t>
  </si>
  <si>
    <t>V0E2W0</t>
  </si>
  <si>
    <t>V0E2W2</t>
  </si>
  <si>
    <t>V0E3B1</t>
  </si>
  <si>
    <t>V0E3W0</t>
  </si>
  <si>
    <t>V0H1X0</t>
  </si>
  <si>
    <t>V0H1X9</t>
  </si>
  <si>
    <t>V0H1Z0</t>
  </si>
  <si>
    <t>V0H1Z9</t>
  </si>
  <si>
    <t>V0H3H0</t>
  </si>
  <si>
    <t>V0J1E4</t>
  </si>
  <si>
    <t>V0J2X1</t>
  </si>
  <si>
    <t>V0J2X3</t>
  </si>
  <si>
    <t>V0J3W0</t>
  </si>
  <si>
    <t>V0K0A0</t>
  </si>
  <si>
    <t>V0K1H1</t>
  </si>
  <si>
    <t>V0M1A0</t>
  </si>
  <si>
    <t>V0N0A9</t>
  </si>
  <si>
    <t>V0N1B0</t>
  </si>
  <si>
    <t>V0N1B9</t>
  </si>
  <si>
    <t>V0N1H0</t>
  </si>
  <si>
    <t>V0N1J0</t>
  </si>
  <si>
    <t>V0N1T0</t>
  </si>
  <si>
    <t>V0N2E0</t>
  </si>
  <si>
    <t>V0N2K0</t>
  </si>
  <si>
    <t>V0N2L3</t>
  </si>
  <si>
    <t>V0N3Z0</t>
  </si>
  <si>
    <t>V0N3Z2</t>
  </si>
  <si>
    <t>V0R1G0</t>
  </si>
  <si>
    <t>V0R1K5</t>
  </si>
  <si>
    <t>V0R1M0</t>
  </si>
  <si>
    <t>V0R1R0</t>
  </si>
  <si>
    <t>V0R1V0</t>
  </si>
  <si>
    <t>V0R2L0</t>
  </si>
  <si>
    <t>V0R4K0</t>
  </si>
  <si>
    <t>V0R5K0</t>
  </si>
  <si>
    <t>V0X1X0</t>
  </si>
  <si>
    <t>V0X1X2</t>
  </si>
  <si>
    <t>X1A0A1</t>
  </si>
  <si>
    <t>X1A3Z6</t>
  </si>
  <si>
    <t>Y1A0A1</t>
  </si>
  <si>
    <t>Y1A7A4</t>
  </si>
  <si>
    <t>T0A0A0</t>
  </si>
  <si>
    <t>T0A0A9</t>
  </si>
  <si>
    <t>超偏远</t>
  </si>
  <si>
    <t>30元/件，最低200元/票</t>
  </si>
  <si>
    <t>T0A0B1</t>
  </si>
  <si>
    <t>T0A0E9</t>
  </si>
  <si>
    <t>T0A0M0</t>
  </si>
  <si>
    <t>T0A0R0</t>
  </si>
  <si>
    <t>T0A0Z0</t>
  </si>
  <si>
    <t>T0A1A0</t>
  </si>
  <si>
    <t>T0A1V0</t>
  </si>
  <si>
    <t>T0A1Z0</t>
  </si>
  <si>
    <t>T0A2C0</t>
  </si>
  <si>
    <t>T0A2C2</t>
  </si>
  <si>
    <t>T0A2P0</t>
  </si>
  <si>
    <t>T0A2V0</t>
  </si>
  <si>
    <t>T0A3A0</t>
  </si>
  <si>
    <t>T0A3E0</t>
  </si>
  <si>
    <t>T0A3J0</t>
  </si>
  <si>
    <t>T0A3N0</t>
  </si>
  <si>
    <t>T0A3P0</t>
  </si>
  <si>
    <t>T0B0A0</t>
  </si>
  <si>
    <t>T0B0E9</t>
  </si>
  <si>
    <t>T0B0H0</t>
  </si>
  <si>
    <t>T0B0J0</t>
  </si>
  <si>
    <t>T0B0L0</t>
  </si>
  <si>
    <t>T0B0R0</t>
  </si>
  <si>
    <t>T0B0V0</t>
  </si>
  <si>
    <t>T0B0W0</t>
  </si>
  <si>
    <t>T0B0Z0</t>
  </si>
  <si>
    <t>T0B1B0</t>
  </si>
  <si>
    <t>T0B1H0</t>
  </si>
  <si>
    <t>T0B1K0</t>
  </si>
  <si>
    <t>T0B1N0</t>
  </si>
  <si>
    <t>T0B1R0</t>
  </si>
  <si>
    <t>T0B1V0</t>
  </si>
  <si>
    <t>T0B2A0</t>
  </si>
  <si>
    <t>T0B2L0</t>
  </si>
  <si>
    <t>T0B2N0</t>
  </si>
  <si>
    <t>T0B2P0</t>
  </si>
  <si>
    <t>T0B2V0</t>
  </si>
  <si>
    <t>T0B2W0</t>
  </si>
  <si>
    <t>T0B2Z0</t>
  </si>
  <si>
    <t>T0B3A0</t>
  </si>
  <si>
    <t>T0B3C0</t>
  </si>
  <si>
    <t>T0B3H0</t>
  </si>
  <si>
    <t>T0B3S0</t>
  </si>
  <si>
    <t>T0B4A0</t>
  </si>
  <si>
    <t>T0B4C0</t>
  </si>
  <si>
    <t>T0B4H0</t>
  </si>
  <si>
    <t>T0B4N0</t>
  </si>
  <si>
    <t>T0B4S0</t>
  </si>
  <si>
    <t>T0C0C9</t>
  </si>
  <si>
    <t>T0C0M0</t>
  </si>
  <si>
    <t>T0C0P0</t>
  </si>
  <si>
    <t>T0C0S0</t>
  </si>
  <si>
    <t>T0C0T0</t>
  </si>
  <si>
    <t>T0C1B0</t>
  </si>
  <si>
    <t>T0C1K0</t>
  </si>
  <si>
    <t>T0C1M0</t>
  </si>
  <si>
    <t>T0C1X0</t>
  </si>
  <si>
    <t>T0C2J0</t>
  </si>
  <si>
    <t>T0C2L0</t>
  </si>
  <si>
    <t>T0C2S0</t>
  </si>
  <si>
    <t>T0C2V0</t>
  </si>
  <si>
    <t>T0C2X0</t>
  </si>
  <si>
    <t>T0E0A0</t>
  </si>
  <si>
    <t>T0E0B9</t>
  </si>
  <si>
    <t>T0E0N0</t>
  </si>
  <si>
    <t>T0E1E0</t>
  </si>
  <si>
    <t>T0E1N0</t>
  </si>
  <si>
    <t>T0E1V0</t>
  </si>
  <si>
    <t>T0E1V8</t>
  </si>
  <si>
    <t>T0E1Y0</t>
  </si>
  <si>
    <t>T0E2A0</t>
  </si>
  <si>
    <t>T0G0A1</t>
  </si>
  <si>
    <t>T0G0B1</t>
  </si>
  <si>
    <t>T0G0B9</t>
  </si>
  <si>
    <t>T0G0E1</t>
  </si>
  <si>
    <t>T0G0H0</t>
  </si>
  <si>
    <t>T0G0P0</t>
  </si>
  <si>
    <t>T0G0S0</t>
  </si>
  <si>
    <t>T0G0W0</t>
  </si>
  <si>
    <t>T0G0Y0</t>
  </si>
  <si>
    <t>T0G1A0</t>
  </si>
  <si>
    <t>T0G1E0</t>
  </si>
  <si>
    <t>T0G1H0</t>
  </si>
  <si>
    <t>T0G1L0</t>
  </si>
  <si>
    <t>T0G1R0</t>
  </si>
  <si>
    <t>T0G1W0</t>
  </si>
  <si>
    <t>T0G1Z0</t>
  </si>
  <si>
    <t>T0G2A1</t>
  </si>
  <si>
    <t>T0G2A3</t>
  </si>
  <si>
    <t>T0G2C0</t>
  </si>
  <si>
    <t>T0G2J0</t>
  </si>
  <si>
    <t>T0G2S0</t>
  </si>
  <si>
    <t>T0H0C0</t>
  </si>
  <si>
    <t>T0H0G0</t>
  </si>
  <si>
    <t>T0H0L0</t>
  </si>
  <si>
    <t>T0H0Y0</t>
  </si>
  <si>
    <t>T0H1G0</t>
  </si>
  <si>
    <t>T0H1H0</t>
  </si>
  <si>
    <t>T0H1M0</t>
  </si>
  <si>
    <t>T0H1P0</t>
  </si>
  <si>
    <t>T0H1S0</t>
  </si>
  <si>
    <t>T0H1W0</t>
  </si>
  <si>
    <t>T0H1Y0</t>
  </si>
  <si>
    <t>T0H1Z0</t>
  </si>
  <si>
    <t>T0H2C0</t>
  </si>
  <si>
    <t>T0H2H0</t>
  </si>
  <si>
    <t>T0H2M0</t>
  </si>
  <si>
    <t>T0H2T0</t>
  </si>
  <si>
    <t>T0H3J0</t>
  </si>
  <si>
    <t>T0H3N0</t>
  </si>
  <si>
    <t>T0H3T0</t>
  </si>
  <si>
    <t>T0H4H0</t>
  </si>
  <si>
    <t>T0J0C1</t>
  </si>
  <si>
    <t>T0J0C9</t>
  </si>
  <si>
    <t>T0J0G0</t>
  </si>
  <si>
    <t>T0J0N0</t>
  </si>
  <si>
    <t>T0J0R0</t>
  </si>
  <si>
    <t>T0J0T0</t>
  </si>
  <si>
    <t>T0J0W0</t>
  </si>
  <si>
    <t>T0J1K0</t>
  </si>
  <si>
    <t>T0J2J0</t>
  </si>
  <si>
    <t>T0J2N0</t>
  </si>
  <si>
    <t>T0J2P2</t>
  </si>
  <si>
    <t>T0J3K0</t>
  </si>
  <si>
    <t>T0J3P0</t>
  </si>
  <si>
    <t>T0K0B0</t>
  </si>
  <si>
    <t>T0K0J0</t>
  </si>
  <si>
    <t>T0K0M0</t>
  </si>
  <si>
    <t>T0K0R0</t>
  </si>
  <si>
    <t>T0K0T0</t>
  </si>
  <si>
    <t>T0K0V0</t>
  </si>
  <si>
    <t>T0K0X0</t>
  </si>
  <si>
    <t>T0K1C0</t>
  </si>
  <si>
    <t>T0K1G0</t>
  </si>
  <si>
    <t>T0K1J0</t>
  </si>
  <si>
    <t>T0K1M0</t>
  </si>
  <si>
    <t>T0K1P0</t>
  </si>
  <si>
    <t>T0K1V0</t>
  </si>
  <si>
    <t>T0K1Y0</t>
  </si>
  <si>
    <t>T0K2A0</t>
  </si>
  <si>
    <t>T0K2C0</t>
  </si>
  <si>
    <t>T0K2H0</t>
  </si>
  <si>
    <t>T0K2K0</t>
  </si>
  <si>
    <t>T0K2N0</t>
  </si>
  <si>
    <t>T0K2R0</t>
  </si>
  <si>
    <t>T0K2S0</t>
  </si>
  <si>
    <t>T0L0C1</t>
  </si>
  <si>
    <t>T0L0G0</t>
  </si>
  <si>
    <t>T0L0N0</t>
  </si>
  <si>
    <t>T0L0R0</t>
  </si>
  <si>
    <t>T0L0V2</t>
  </si>
  <si>
    <t>T0L0Z0</t>
  </si>
  <si>
    <t>T0L1A0</t>
  </si>
  <si>
    <t>T0L1M0</t>
  </si>
  <si>
    <t>T0L1S0</t>
  </si>
  <si>
    <t>T0L1Y0</t>
  </si>
  <si>
    <t>T0M0B1</t>
  </si>
  <si>
    <t>T0M0B9</t>
  </si>
  <si>
    <t>T0M0C3</t>
  </si>
  <si>
    <t>T0M0C9</t>
  </si>
  <si>
    <t>T0M0H0</t>
  </si>
  <si>
    <t>T0M0M0</t>
  </si>
  <si>
    <t>T0M0P0</t>
  </si>
  <si>
    <t>T0M0R0</t>
  </si>
  <si>
    <t>T0M0V0</t>
  </si>
  <si>
    <t>T0M0X0</t>
  </si>
  <si>
    <t>T0M1H0</t>
  </si>
  <si>
    <t>T0M1K0</t>
  </si>
  <si>
    <t>T0M1X0</t>
  </si>
  <si>
    <t>T0M2E1</t>
  </si>
  <si>
    <t>T0P0A1</t>
  </si>
  <si>
    <t>T0P1C0</t>
  </si>
  <si>
    <t>T0P1J0</t>
  </si>
  <si>
    <t>T7A0A1</t>
  </si>
  <si>
    <t>T7E3A1</t>
  </si>
  <si>
    <t>T7N0A1</t>
  </si>
  <si>
    <t>T7V2G5</t>
  </si>
  <si>
    <t>T8S0A1</t>
  </si>
  <si>
    <t>T8S2A5</t>
  </si>
  <si>
    <t>T9C0A1</t>
  </si>
  <si>
    <t>T9C1Z2</t>
  </si>
  <si>
    <t>T9M0A1</t>
  </si>
  <si>
    <t>T9S3A3</t>
  </si>
  <si>
    <t>T9W0A2</t>
  </si>
  <si>
    <t>T9X2C1</t>
  </si>
  <si>
    <t>V0A0A1</t>
  </si>
  <si>
    <t>V0A0A6</t>
  </si>
  <si>
    <t>V0A1H1</t>
  </si>
  <si>
    <t>V0A1H7</t>
  </si>
  <si>
    <t>V0A1K2</t>
  </si>
  <si>
    <t>V0A1K7</t>
  </si>
  <si>
    <t>V0B0A1</t>
  </si>
  <si>
    <t>V0B0B9</t>
  </si>
  <si>
    <t>V0B1A1</t>
  </si>
  <si>
    <t>V0B1C1</t>
  </si>
  <si>
    <t>V0B1G1</t>
  </si>
  <si>
    <t>V0B1L2</t>
  </si>
  <si>
    <t>V0B1M1</t>
  </si>
  <si>
    <t>V0B1M7</t>
  </si>
  <si>
    <t>V0B1R1</t>
  </si>
  <si>
    <t>V0B1T0</t>
  </si>
  <si>
    <t>V0B1W1</t>
  </si>
  <si>
    <t>V0B1W2</t>
  </si>
  <si>
    <t>V0B2A0</t>
  </si>
  <si>
    <t>V0B2E0</t>
  </si>
  <si>
    <t>V0B2G1</t>
  </si>
  <si>
    <t>V0B2L2</t>
  </si>
  <si>
    <t>V0B2P0</t>
  </si>
  <si>
    <t>V0C0B8</t>
  </si>
  <si>
    <t>V0C1N0</t>
  </si>
  <si>
    <t>V0C1T0</t>
  </si>
  <si>
    <t>V0C2K0</t>
  </si>
  <si>
    <t>V0E0A1</t>
  </si>
  <si>
    <t>V0E0E4</t>
  </si>
  <si>
    <t>V0E1B1</t>
  </si>
  <si>
    <t>V0E1B8</t>
  </si>
  <si>
    <t>V0E1E1</t>
  </si>
  <si>
    <t>V0E1K0</t>
  </si>
  <si>
    <t>V0E1M4</t>
  </si>
  <si>
    <t>V0E1M9</t>
  </si>
  <si>
    <t>V0E1N1</t>
  </si>
  <si>
    <t>V0E1R0</t>
  </si>
  <si>
    <t>V0E1T0</t>
  </si>
  <si>
    <t>V0E1V1</t>
  </si>
  <si>
    <t>V0E1Z0</t>
  </si>
  <si>
    <t>V0E1Z2</t>
  </si>
  <si>
    <t>V0E2C0</t>
  </si>
  <si>
    <t>V0E2E0</t>
  </si>
  <si>
    <t>V0E2G4</t>
  </si>
  <si>
    <t>V0E2H0</t>
  </si>
  <si>
    <t>V0E2K0</t>
  </si>
  <si>
    <t>V0E2K2</t>
  </si>
  <si>
    <t>V0E2M0</t>
  </si>
  <si>
    <t>V0E2P0</t>
  </si>
  <si>
    <t>V0E2S0</t>
  </si>
  <si>
    <t>V0E2V5</t>
  </si>
  <si>
    <t>V0E2X1</t>
  </si>
  <si>
    <t>V0E2X3</t>
  </si>
  <si>
    <t>V0E3B0</t>
  </si>
  <si>
    <t>V0E3K0</t>
  </si>
  <si>
    <t>V0E3S0</t>
  </si>
  <si>
    <t>V0E3Z0</t>
  </si>
  <si>
    <t>V0G0C1</t>
  </si>
  <si>
    <t>V0G1H0</t>
  </si>
  <si>
    <t>V0G1H2</t>
  </si>
  <si>
    <t>V0G1L0</t>
  </si>
  <si>
    <t>V0G1L1</t>
  </si>
  <si>
    <t>V0G1X0</t>
  </si>
  <si>
    <t>V0G2G1</t>
  </si>
  <si>
    <t>V0G2G3</t>
  </si>
  <si>
    <t>V0H0A1</t>
  </si>
  <si>
    <t>V0H1A0</t>
  </si>
  <si>
    <t>V0H1E1</t>
  </si>
  <si>
    <t>V0H1V7</t>
  </si>
  <si>
    <t>V0H2V0</t>
  </si>
  <si>
    <t>V0J0A1</t>
  </si>
  <si>
    <t>V0J0C6</t>
  </si>
  <si>
    <t>V0J1E1</t>
  </si>
  <si>
    <t>V0J1E3</t>
  </si>
  <si>
    <t>V0J1L0</t>
  </si>
  <si>
    <t>V0J1N0</t>
  </si>
  <si>
    <t>V0J1Y1</t>
  </si>
  <si>
    <t>V0J1Z2</t>
  </si>
  <si>
    <t>V0J2C0</t>
  </si>
  <si>
    <t>V0J2G0</t>
  </si>
  <si>
    <t>V0J2N1</t>
  </si>
  <si>
    <t>V0J2N7</t>
  </si>
  <si>
    <t>V0J2S0</t>
  </si>
  <si>
    <t>V0J2X0</t>
  </si>
  <si>
    <t>V0J2Y0</t>
  </si>
  <si>
    <t>V0J3A1</t>
  </si>
  <si>
    <t>V0J3A3</t>
  </si>
  <si>
    <t>V0J3M0</t>
  </si>
  <si>
    <t>V0K0A1</t>
  </si>
  <si>
    <t>V0K1A0</t>
  </si>
  <si>
    <t>V0K1C1</t>
  </si>
  <si>
    <t>V0K1H0</t>
  </si>
  <si>
    <t>V0K1S1</t>
  </si>
  <si>
    <t>V0K1X3</t>
  </si>
  <si>
    <t>V0K2E1</t>
  </si>
  <si>
    <t>V0K2E3</t>
  </si>
  <si>
    <t>V0K2L0</t>
  </si>
  <si>
    <t>V0K2Z0</t>
  </si>
  <si>
    <t>V0L0B1</t>
  </si>
  <si>
    <t>V0M0A2</t>
  </si>
  <si>
    <t>V0M0A6</t>
  </si>
  <si>
    <t>V0N0B1</t>
  </si>
  <si>
    <t>V0N0E6</t>
  </si>
  <si>
    <t>V0N1G0</t>
  </si>
  <si>
    <t>V0N1G2</t>
  </si>
  <si>
    <t>V0N1K0</t>
  </si>
  <si>
    <t>V0N1S0</t>
  </si>
  <si>
    <t>V0N1S1</t>
  </si>
  <si>
    <t>V0N1V1</t>
  </si>
  <si>
    <t>V0N1Z0</t>
  </si>
  <si>
    <t>V0N2H1</t>
  </si>
  <si>
    <t>V0N2H4</t>
  </si>
  <si>
    <t>V0N2R0</t>
  </si>
  <si>
    <t>V0N2S0</t>
  </si>
  <si>
    <t>V0N2W0</t>
  </si>
  <si>
    <t>V0N2W6</t>
  </si>
  <si>
    <t>V0N3A0</t>
  </si>
  <si>
    <t>V0N3A8</t>
  </si>
  <si>
    <t>V0P0A1</t>
  </si>
  <si>
    <t>V0P0A9</t>
  </si>
  <si>
    <t>V0P2A0</t>
  </si>
  <si>
    <t>V0R0C7</t>
  </si>
  <si>
    <t>V0R1K6</t>
  </si>
  <si>
    <t>V0R1L7</t>
  </si>
  <si>
    <t>V0R1N0</t>
  </si>
  <si>
    <t>V0R1N2</t>
  </si>
  <si>
    <t>V0R1S0</t>
  </si>
  <si>
    <t>V0R1X0</t>
  </si>
  <si>
    <t>V0R1X7</t>
  </si>
  <si>
    <t>V0R2C0</t>
  </si>
  <si>
    <t>V0R2G1</t>
  </si>
  <si>
    <t>V0R2K0</t>
  </si>
  <si>
    <t>V0R2M0</t>
  </si>
  <si>
    <t>V0R2P0</t>
  </si>
  <si>
    <t>V0R2W5</t>
  </si>
  <si>
    <t>V0R3A0</t>
  </si>
  <si>
    <t>V0R3E1</t>
  </si>
  <si>
    <t>V0S0A1</t>
  </si>
  <si>
    <t>V0T0A1</t>
  </si>
  <si>
    <t>V0T0B3</t>
  </si>
  <si>
    <t>V0T1R0</t>
  </si>
  <si>
    <t>V0T1S1</t>
  </si>
  <si>
    <t>V0T1T0</t>
  </si>
  <si>
    <t>V0V0A1</t>
  </si>
  <si>
    <t>V0V0A2</t>
  </si>
  <si>
    <t>V0W0A1</t>
  </si>
  <si>
    <t>V0X0A1</t>
  </si>
  <si>
    <t>V0X1C3</t>
  </si>
  <si>
    <t>V0X1K0</t>
  </si>
  <si>
    <t>V0X1L1</t>
  </si>
  <si>
    <t>V0X1L5</t>
  </si>
  <si>
    <t>V0X1N1</t>
  </si>
  <si>
    <t>V0X1N6</t>
  </si>
  <si>
    <t>V0X2W0</t>
  </si>
  <si>
    <t>V2J0A1</t>
  </si>
  <si>
    <t>V2J3H4</t>
  </si>
  <si>
    <t>V2J3J1</t>
  </si>
  <si>
    <t>V2J6R2</t>
  </si>
  <si>
    <t>V2J6R4</t>
  </si>
  <si>
    <t>V2J7K1</t>
  </si>
  <si>
    <t>A0K1N0</t>
  </si>
  <si>
    <t>超距离</t>
  </si>
  <si>
    <t>30元/件，最低800元/票</t>
  </si>
  <si>
    <t>A0K1T0</t>
  </si>
  <si>
    <t>A0K1V0</t>
  </si>
  <si>
    <t>A0K2P0</t>
  </si>
  <si>
    <t>A0K3K0</t>
  </si>
  <si>
    <t>A0K3L0</t>
  </si>
  <si>
    <t>A0K3P0</t>
  </si>
  <si>
    <t>A0K3Y0</t>
  </si>
  <si>
    <t>A0K4E0</t>
  </si>
  <si>
    <t>A0K4K0</t>
  </si>
  <si>
    <t>A0K4W0</t>
  </si>
  <si>
    <t>A0K5S0</t>
  </si>
  <si>
    <t>A0K5Y0</t>
  </si>
  <si>
    <t>A0P1A0</t>
  </si>
  <si>
    <t>A0P1G0</t>
  </si>
  <si>
    <t>A0P1P0</t>
  </si>
  <si>
    <t>A0R1A0</t>
  </si>
  <si>
    <t>E5E0A1</t>
  </si>
  <si>
    <t>E5E1Z8</t>
  </si>
  <si>
    <t>G0G1A0</t>
  </si>
  <si>
    <t>G0G1G0</t>
  </si>
  <si>
    <t>G0G1J0</t>
  </si>
  <si>
    <t>G0G1M0</t>
  </si>
  <si>
    <t>G0G1N0</t>
  </si>
  <si>
    <t>G0G1R0</t>
  </si>
  <si>
    <t>G0G1T0</t>
  </si>
  <si>
    <t>G0G1V0</t>
  </si>
  <si>
    <t>G0G1W0</t>
  </si>
  <si>
    <t>G0G2G0</t>
  </si>
  <si>
    <t>G0G2L0</t>
  </si>
  <si>
    <t>G0G2N0</t>
  </si>
  <si>
    <t>G0G2Z0</t>
  </si>
  <si>
    <t>G0W3B0</t>
  </si>
  <si>
    <t>G0W3C0</t>
  </si>
  <si>
    <t>G0X3M0</t>
  </si>
  <si>
    <t>G0X3P0</t>
  </si>
  <si>
    <t>G0X3R0</t>
  </si>
  <si>
    <t>G8L8A1</t>
  </si>
  <si>
    <t>G8L8A6</t>
  </si>
  <si>
    <t>H0M1A0</t>
  </si>
  <si>
    <t>H0M1A1</t>
  </si>
  <si>
    <t>J0K1M0</t>
  </si>
  <si>
    <t>J0M1A0</t>
  </si>
  <si>
    <t>J0M1Y0</t>
  </si>
  <si>
    <t>J0W2C0</t>
  </si>
  <si>
    <t>J0X1C0</t>
  </si>
  <si>
    <t>J0X1E0</t>
  </si>
  <si>
    <t>J0X2J0</t>
  </si>
  <si>
    <t>J0X2M0</t>
  </si>
  <si>
    <t>J0X2Z0</t>
  </si>
  <si>
    <t>J0X3M0</t>
  </si>
  <si>
    <t>J0Y2X0</t>
  </si>
  <si>
    <t>J0Y3H0</t>
  </si>
  <si>
    <t>K0J1E0</t>
  </si>
  <si>
    <t>K0J1R0</t>
  </si>
  <si>
    <t>K0J2B0</t>
  </si>
  <si>
    <t>K0J2H0</t>
  </si>
  <si>
    <t>K0J2K0</t>
  </si>
  <si>
    <t>P0H1C0</t>
  </si>
  <si>
    <t>P0H2J0</t>
  </si>
  <si>
    <t>P0J1J0</t>
  </si>
  <si>
    <t>P0K1S0</t>
  </si>
  <si>
    <t>P0L1A0</t>
  </si>
  <si>
    <t>P0L1B0</t>
  </si>
  <si>
    <t>P0L1H0</t>
  </si>
  <si>
    <t>P0L1N0</t>
  </si>
  <si>
    <t>P0L1P0</t>
  </si>
  <si>
    <t>P0L1S0</t>
  </si>
  <si>
    <t>P0L1W0</t>
  </si>
  <si>
    <t>P0L1Y0</t>
  </si>
  <si>
    <t>P0L2H0</t>
  </si>
  <si>
    <t>P0M1C0</t>
  </si>
  <si>
    <t>P0M1K0</t>
  </si>
  <si>
    <t>P0M1T0</t>
  </si>
  <si>
    <t>P0M1W0</t>
  </si>
  <si>
    <t>P0M2H0</t>
  </si>
  <si>
    <t>P0M2J9</t>
  </si>
  <si>
    <t>P0M2S0</t>
  </si>
  <si>
    <t>P0M2X0</t>
  </si>
  <si>
    <t>P0M2Z0</t>
  </si>
  <si>
    <t>P0T1A0</t>
  </si>
  <si>
    <t>P0T1A9</t>
  </si>
  <si>
    <t>P0T1B0</t>
  </si>
  <si>
    <t>P0T1B9</t>
  </si>
  <si>
    <t>P0T1C0</t>
  </si>
  <si>
    <t>P0T1J0</t>
  </si>
  <si>
    <t>P0T1L0</t>
  </si>
  <si>
    <t>P0T1N0</t>
  </si>
  <si>
    <t>P0T1P0</t>
  </si>
  <si>
    <t>P0T1X0</t>
  </si>
  <si>
    <t>P0T1Z0</t>
  </si>
  <si>
    <t>P0T2B0</t>
  </si>
  <si>
    <t>P0T2B9</t>
  </si>
  <si>
    <t>P0T2L0</t>
  </si>
  <si>
    <t>P0T2L9</t>
  </si>
  <si>
    <t>P0T2N0</t>
  </si>
  <si>
    <t>P0T2Y0</t>
  </si>
  <si>
    <t>P0T3C0</t>
  </si>
  <si>
    <t>P0V1E0</t>
  </si>
  <si>
    <t>P0V1G0</t>
  </si>
  <si>
    <t>P0V1J0</t>
  </si>
  <si>
    <t>P0V1N0</t>
  </si>
  <si>
    <t>P0V1V0</t>
  </si>
  <si>
    <t>P0V1W0</t>
  </si>
  <si>
    <t>P0V1Y0</t>
  </si>
  <si>
    <t>P0V2A0</t>
  </si>
  <si>
    <t>P0V2G0</t>
  </si>
  <si>
    <t>P0V2H0</t>
  </si>
  <si>
    <t>P0V2L0</t>
  </si>
  <si>
    <t>P0V2P0</t>
  </si>
  <si>
    <t>P0V2S0</t>
  </si>
  <si>
    <t>P0V2Y0</t>
  </si>
  <si>
    <t>P0V3G0</t>
  </si>
  <si>
    <t>P0X1B0</t>
  </si>
  <si>
    <t>P0X1E0</t>
  </si>
  <si>
    <t>P0X1L0</t>
  </si>
  <si>
    <t>P0X1P0</t>
  </si>
  <si>
    <t>P0Y1A0</t>
  </si>
  <si>
    <t>R0B0A0</t>
  </si>
  <si>
    <t>R0B1P0</t>
  </si>
  <si>
    <t>R0B1S0</t>
  </si>
  <si>
    <t>R0B2H0</t>
  </si>
  <si>
    <t>R0C0J0</t>
  </si>
  <si>
    <t>R0C0V0</t>
  </si>
  <si>
    <t>R0C1E0</t>
  </si>
  <si>
    <t>R0C2A0</t>
  </si>
  <si>
    <t>R0C2P0</t>
  </si>
  <si>
    <t>R0C3C0</t>
  </si>
  <si>
    <t>R0E0J0</t>
  </si>
  <si>
    <t>R0E0L0</t>
  </si>
  <si>
    <t>R0E1E0</t>
  </si>
  <si>
    <t>R0E1K0</t>
  </si>
  <si>
    <t>R0E1N0</t>
  </si>
  <si>
    <t>R0E2E0</t>
  </si>
  <si>
    <t>R0H0A0</t>
  </si>
  <si>
    <t>R0H0B5</t>
  </si>
  <si>
    <t>R0H0L0</t>
  </si>
  <si>
    <t>R0H0N0</t>
  </si>
  <si>
    <t>R0H0T0</t>
  </si>
  <si>
    <t>R0H1G0</t>
  </si>
  <si>
    <t>R0H1M0</t>
  </si>
  <si>
    <t>R0J0Z0</t>
  </si>
  <si>
    <t>R0L0B0</t>
  </si>
  <si>
    <t>R0L0G0</t>
  </si>
  <si>
    <t>R0L0J0</t>
  </si>
  <si>
    <t>R0L0K0</t>
  </si>
  <si>
    <t>R0L0M0</t>
  </si>
  <si>
    <t>R0L0N0</t>
  </si>
  <si>
    <t>R0L0R0</t>
  </si>
  <si>
    <t>R0L0S0</t>
  </si>
  <si>
    <t>R0L1B0</t>
  </si>
  <si>
    <t>R0L1E0</t>
  </si>
  <si>
    <t>R0L1L0</t>
  </si>
  <si>
    <t>R0L1R0</t>
  </si>
  <si>
    <t>R0L1T0</t>
  </si>
  <si>
    <t>R0L1Y0</t>
  </si>
  <si>
    <t>R0L2A0</t>
  </si>
  <si>
    <t>R0L2C0</t>
  </si>
  <si>
    <t>R0L2K0</t>
  </si>
  <si>
    <t>S0A0G0</t>
  </si>
  <si>
    <t>S0A0G9</t>
  </si>
  <si>
    <t>S0A3A0</t>
  </si>
  <si>
    <t>S0A4R0</t>
  </si>
  <si>
    <t>S0C2S0</t>
  </si>
  <si>
    <t>S0E0B0</t>
  </si>
  <si>
    <t>S0E0C6</t>
  </si>
  <si>
    <t>S0E0S0</t>
  </si>
  <si>
    <t>S0E0V0</t>
  </si>
  <si>
    <t>S0E0X0</t>
  </si>
  <si>
    <t>S0E1K0</t>
  </si>
  <si>
    <t>S0E1M0</t>
  </si>
  <si>
    <t>S0E1S0</t>
  </si>
  <si>
    <t>S0G0S0</t>
  </si>
  <si>
    <t>S0G2Z0</t>
  </si>
  <si>
    <t>S0G3K0</t>
  </si>
  <si>
    <t>S0H0G0</t>
  </si>
  <si>
    <t>S0H0G5</t>
  </si>
  <si>
    <t>S0J0A0</t>
  </si>
  <si>
    <t>S0J0A9</t>
  </si>
  <si>
    <t>S0J1A0</t>
  </si>
  <si>
    <t>S0J1B0</t>
  </si>
  <si>
    <t>S0J1E0</t>
  </si>
  <si>
    <t>S0J1G0</t>
  </si>
  <si>
    <t>S0J1Y0</t>
  </si>
  <si>
    <t>S0J1Z0</t>
  </si>
  <si>
    <t>S0J2C0</t>
  </si>
  <si>
    <t>S0J2T0</t>
  </si>
  <si>
    <t>S0J3E0</t>
  </si>
  <si>
    <t>S0K0H0</t>
  </si>
  <si>
    <t>S0K0H9</t>
  </si>
  <si>
    <t>S0K0V0</t>
  </si>
  <si>
    <t>S0K1A0</t>
  </si>
  <si>
    <t>S0K1G0</t>
  </si>
  <si>
    <t>S0K1H0</t>
  </si>
  <si>
    <t>S0K1L0</t>
  </si>
  <si>
    <t>S0K1Y0</t>
  </si>
  <si>
    <t>S0K2H0</t>
  </si>
  <si>
    <t>S0K2P0</t>
  </si>
  <si>
    <t>S0K2X0</t>
  </si>
  <si>
    <t>S0K3G0</t>
  </si>
  <si>
    <t>S0K3T0</t>
  </si>
  <si>
    <t>S0K3Y0</t>
  </si>
  <si>
    <t>S0K4B0</t>
  </si>
  <si>
    <t>S0K4H0</t>
  </si>
  <si>
    <t>S0L0A0</t>
  </si>
  <si>
    <t>S0L0A9</t>
  </si>
  <si>
    <t>S0L0G0</t>
  </si>
  <si>
    <t>S0L0G2</t>
  </si>
  <si>
    <t>S0L0J0</t>
  </si>
  <si>
    <t>S0L0L0</t>
  </si>
  <si>
    <t>S0L0T0</t>
  </si>
  <si>
    <t>S0L0Z0</t>
  </si>
  <si>
    <t>S0L1E0</t>
  </si>
  <si>
    <t>S0L1H0</t>
  </si>
  <si>
    <t>S0L1M0</t>
  </si>
  <si>
    <t>S0L1V0</t>
  </si>
  <si>
    <t>S0L1Y0</t>
  </si>
  <si>
    <t>S0L2E0</t>
  </si>
  <si>
    <t>S0L2H0</t>
  </si>
  <si>
    <t>S0L2K0</t>
  </si>
  <si>
    <t>S0L2L0</t>
  </si>
  <si>
    <t>S0L2Y0</t>
  </si>
  <si>
    <t>S0L2Z0</t>
  </si>
  <si>
    <t>S0L3M0</t>
  </si>
  <si>
    <t>S0M0A0</t>
  </si>
  <si>
    <t>S0M0A9</t>
  </si>
  <si>
    <t>S0M0C0</t>
  </si>
  <si>
    <t>S0M0C9</t>
  </si>
  <si>
    <t>S0M0G0</t>
  </si>
  <si>
    <t>S0M0G9</t>
  </si>
  <si>
    <t>S0M0J0</t>
  </si>
  <si>
    <t>S0M0K0</t>
  </si>
  <si>
    <t>S0M0M0</t>
  </si>
  <si>
    <t>S0M0S0</t>
  </si>
  <si>
    <t>S0M0T0</t>
  </si>
  <si>
    <t>S0M0Z0</t>
  </si>
  <si>
    <t>S0M1G0</t>
  </si>
  <si>
    <t>S0M1J0</t>
  </si>
  <si>
    <t>S0M1S0</t>
  </si>
  <si>
    <t>S0M1W0</t>
  </si>
  <si>
    <t>S0M2E0</t>
  </si>
  <si>
    <t>S0M2H0</t>
  </si>
  <si>
    <t>S0M2K0</t>
  </si>
  <si>
    <t>S0M2P0</t>
  </si>
  <si>
    <t>S0M2V0</t>
  </si>
  <si>
    <t>S0M3B0</t>
  </si>
  <si>
    <t>S0M3E0</t>
  </si>
  <si>
    <t>S0M3H0</t>
  </si>
  <si>
    <t>S0P0C0</t>
  </si>
  <si>
    <t>S0P0G0</t>
  </si>
  <si>
    <t>T0A0B0</t>
  </si>
  <si>
    <t>T0A0J0</t>
  </si>
  <si>
    <t>T0A0N0</t>
  </si>
  <si>
    <t>T0A0P0</t>
  </si>
  <si>
    <t>T0A1B0</t>
  </si>
  <si>
    <t>T0A1E0</t>
  </si>
  <si>
    <t>T0A1M0</t>
  </si>
  <si>
    <t>T0A1P0</t>
  </si>
  <si>
    <t>T0A1S1</t>
  </si>
  <si>
    <t>T0A1X0</t>
  </si>
  <si>
    <t>T0A2A0</t>
  </si>
  <si>
    <t>T0A2B0</t>
  </si>
  <si>
    <t>T0A2G0</t>
  </si>
  <si>
    <t>T0A2J0</t>
  </si>
  <si>
    <t>T0A2L0</t>
  </si>
  <si>
    <t>T0A2Z0</t>
  </si>
  <si>
    <t>T0A3G0</t>
  </si>
  <si>
    <t>T0A3K0</t>
  </si>
  <si>
    <t>T0A3M0</t>
  </si>
  <si>
    <t>T0A3Z0</t>
  </si>
  <si>
    <t>T0A4A0</t>
  </si>
  <si>
    <t>T0B0K0</t>
  </si>
  <si>
    <t>T0B0M0</t>
  </si>
  <si>
    <t>T0B0P0</t>
  </si>
  <si>
    <t>T0B0X0</t>
  </si>
  <si>
    <t>T0B1C0</t>
  </si>
  <si>
    <t>T0B1G0</t>
  </si>
  <si>
    <t>T0B2X0</t>
  </si>
  <si>
    <t>T0B2Y0</t>
  </si>
  <si>
    <t>T0B3J0</t>
  </si>
  <si>
    <t>T0B3K0</t>
  </si>
  <si>
    <t>T0B3R0</t>
  </si>
  <si>
    <t>T0B3V0</t>
  </si>
  <si>
    <t>T0B3X0</t>
  </si>
  <si>
    <t>T0B4G0</t>
  </si>
  <si>
    <t>T0B4K0</t>
  </si>
  <si>
    <t>T0C0E0</t>
  </si>
  <si>
    <t>T0C0E2</t>
  </si>
  <si>
    <t>T0C0R0</t>
  </si>
  <si>
    <t>T0C0X0</t>
  </si>
  <si>
    <t>T0C1A0</t>
  </si>
  <si>
    <t>T0C1R0</t>
  </si>
  <si>
    <t>T0C1W0</t>
  </si>
  <si>
    <t>T0C2A0</t>
  </si>
  <si>
    <t>T0C2C0</t>
  </si>
  <si>
    <t>T0C2T0</t>
  </si>
  <si>
    <t>T0C3B0</t>
  </si>
  <si>
    <t>T0E0C0</t>
  </si>
  <si>
    <t>T0E0L0</t>
  </si>
  <si>
    <t>T0E1H0</t>
  </si>
  <si>
    <t>T0E1K0</t>
  </si>
  <si>
    <t>T0E1S0</t>
  </si>
  <si>
    <t>T0E1W0</t>
  </si>
  <si>
    <t>T0E1X0</t>
  </si>
  <si>
    <t>T0G0C0</t>
  </si>
  <si>
    <t>T0G0C9</t>
  </si>
  <si>
    <t>T0G0K0</t>
  </si>
  <si>
    <t>T0G0N0</t>
  </si>
  <si>
    <t>T0G0V0</t>
  </si>
  <si>
    <t>T0G0X0</t>
  </si>
  <si>
    <t>T0G1B0</t>
  </si>
  <si>
    <t>T0G1C0</t>
  </si>
  <si>
    <t>T0G1J0</t>
  </si>
  <si>
    <t>T0G1K0</t>
  </si>
  <si>
    <t>T0G1L1</t>
  </si>
  <si>
    <t>T0G1M0</t>
  </si>
  <si>
    <t>T0G1X0</t>
  </si>
  <si>
    <t>T0G2A2</t>
  </si>
  <si>
    <t>T0G2A4</t>
  </si>
  <si>
    <t>T0G2B0</t>
  </si>
  <si>
    <t>T0G2K0</t>
  </si>
  <si>
    <t>T0G2N0</t>
  </si>
  <si>
    <t>T0G2W0</t>
  </si>
  <si>
    <t>T0H0B9</t>
  </si>
  <si>
    <t>T0H0H0</t>
  </si>
  <si>
    <t>T0H0K0</t>
  </si>
  <si>
    <t>T0H0N0</t>
  </si>
  <si>
    <t>T0H0S0</t>
  </si>
  <si>
    <t>T0H0T0</t>
  </si>
  <si>
    <t>T0H1A0</t>
  </si>
  <si>
    <t>T0H1C0</t>
  </si>
  <si>
    <t>T0H1J0</t>
  </si>
  <si>
    <t>T0H1L0</t>
  </si>
  <si>
    <t>T0H1R0</t>
  </si>
  <si>
    <t>T0H1T0</t>
  </si>
  <si>
    <t>T0H1V0</t>
  </si>
  <si>
    <t>T0H1X0</t>
  </si>
  <si>
    <t>T0H2A0</t>
  </si>
  <si>
    <t>T0H2B0</t>
  </si>
  <si>
    <t>T0H2E0</t>
  </si>
  <si>
    <t>T0H2G0</t>
  </si>
  <si>
    <t>T0H2N0</t>
  </si>
  <si>
    <t>T0H2R0</t>
  </si>
  <si>
    <t>T0H2V0</t>
  </si>
  <si>
    <t>T0H2Y0</t>
  </si>
  <si>
    <t>T0H3B0</t>
  </si>
  <si>
    <t>T0H3C0</t>
  </si>
  <si>
    <t>T0H3E0</t>
  </si>
  <si>
    <t>T0H3H0</t>
  </si>
  <si>
    <t>T0H3W0</t>
  </si>
  <si>
    <t>T0H3Y0</t>
  </si>
  <si>
    <t>T0H4A0</t>
  </si>
  <si>
    <t>T0H4G0</t>
  </si>
  <si>
    <t>T0H4J0</t>
  </si>
  <si>
    <t>T0J0B9</t>
  </si>
  <si>
    <t>T0J0E0</t>
  </si>
  <si>
    <t>T0J0E8</t>
  </si>
  <si>
    <t>T0J0H0</t>
  </si>
  <si>
    <t>T0J0L0</t>
  </si>
  <si>
    <t>T0J0P0</t>
  </si>
  <si>
    <t>T0J0S0</t>
  </si>
  <si>
    <t>T0J0X0</t>
  </si>
  <si>
    <t>T0J0Z0</t>
  </si>
  <si>
    <t>T0J1C0</t>
  </si>
  <si>
    <t>T0J1H0</t>
  </si>
  <si>
    <t>T0J1L0</t>
  </si>
  <si>
    <t>T0J1R0</t>
  </si>
  <si>
    <t>T0J1T0</t>
  </si>
  <si>
    <t>T0J1W0</t>
  </si>
  <si>
    <t>T0J2A0</t>
  </si>
  <si>
    <t>T0J2G0</t>
  </si>
  <si>
    <t>T0J2K0</t>
  </si>
  <si>
    <t>T0J2M0</t>
  </si>
  <si>
    <t>T0J2S0</t>
  </si>
  <si>
    <t>T0J2W0</t>
  </si>
  <si>
    <t>T0J3E0</t>
  </si>
  <si>
    <t>T0J3J0</t>
  </si>
  <si>
    <t>T0J3L0</t>
  </si>
  <si>
    <t>T0J3M0</t>
  </si>
  <si>
    <t>T0J3W0</t>
  </si>
  <si>
    <t>T0K0A9</t>
  </si>
  <si>
    <t>T0K0K0</t>
  </si>
  <si>
    <t>T0K0S0</t>
  </si>
  <si>
    <t>T0K0W0</t>
  </si>
  <si>
    <t>T0K1E0</t>
  </si>
  <si>
    <t>T0K1K0</t>
  </si>
  <si>
    <t>T0K1L0</t>
  </si>
  <si>
    <t>T0K1N0</t>
  </si>
  <si>
    <t>T0K1R0</t>
  </si>
  <si>
    <t>T0K1S0</t>
  </si>
  <si>
    <t>T0K1W0</t>
  </si>
  <si>
    <t>T0K1X0</t>
  </si>
  <si>
    <t>T0K2B0</t>
  </si>
  <si>
    <t>T0K2E0</t>
  </si>
  <si>
    <t>T0K2J0</t>
  </si>
  <si>
    <t>T0K2P0</t>
  </si>
  <si>
    <t>T0L0B0</t>
  </si>
  <si>
    <t>T0L0B9</t>
  </si>
  <si>
    <t>T0L0L0</t>
  </si>
  <si>
    <t>T0L1G0</t>
  </si>
  <si>
    <t>T0L1L0</t>
  </si>
  <si>
    <t>T0L1P0</t>
  </si>
  <si>
    <t>T0L1V0</t>
  </si>
  <si>
    <t>T0L1Z0</t>
  </si>
  <si>
    <t>T0L2B0</t>
  </si>
  <si>
    <t>T0M1L0</t>
  </si>
  <si>
    <t>T0M1M0</t>
  </si>
  <si>
    <t>T0M2E0</t>
  </si>
  <si>
    <t>T0M2H0</t>
  </si>
  <si>
    <t>T0P1B0</t>
  </si>
  <si>
    <t>T0P1G0</t>
  </si>
  <si>
    <t>T0P1H1</t>
  </si>
  <si>
    <t>T0V1A0</t>
  </si>
  <si>
    <t>T7E3A2</t>
  </si>
  <si>
    <t>T7E4A2</t>
  </si>
  <si>
    <t>V0A1B0</t>
  </si>
  <si>
    <t>V0A1H0</t>
  </si>
  <si>
    <t>V0A1J0</t>
  </si>
  <si>
    <t>V0A1K0</t>
  </si>
  <si>
    <t>V0A1L0</t>
  </si>
  <si>
    <t>V0A1T0</t>
  </si>
  <si>
    <t>V0B1A0</t>
  </si>
  <si>
    <t>V0B1E0</t>
  </si>
  <si>
    <t>V0B1G0</t>
  </si>
  <si>
    <t>V0B1M0</t>
  </si>
  <si>
    <t>V0B1N0</t>
  </si>
  <si>
    <t>V0B1R0</t>
  </si>
  <si>
    <t>V0B1S0</t>
  </si>
  <si>
    <t>V0B1T4</t>
  </si>
  <si>
    <t>V0B1T7</t>
  </si>
  <si>
    <t>V0B1X0</t>
  </si>
  <si>
    <t>V0B2B0</t>
  </si>
  <si>
    <t>V0B2C0</t>
  </si>
  <si>
    <t>V0B2G0</t>
  </si>
  <si>
    <t>V0B2N0</t>
  </si>
  <si>
    <t>V0B2N2</t>
  </si>
  <si>
    <t>V0C1B0</t>
  </si>
  <si>
    <t>V0C1L0</t>
  </si>
  <si>
    <t>V0C1R0</t>
  </si>
  <si>
    <t>V0C1S0</t>
  </si>
  <si>
    <t>V0C1V0</t>
  </si>
  <si>
    <t>V0C2J0</t>
  </si>
  <si>
    <t>V0C2L0</t>
  </si>
  <si>
    <t>V0C2Z0</t>
  </si>
  <si>
    <t>V0E1B0</t>
  </si>
  <si>
    <t>V0E1C0</t>
  </si>
  <si>
    <t>V0E1E0</t>
  </si>
  <si>
    <t>V0E1J0</t>
  </si>
  <si>
    <t>V0E1M2</t>
  </si>
  <si>
    <t>V0E1N0</t>
  </si>
  <si>
    <t>V0E1S0</t>
  </si>
  <si>
    <t>V0E1V0</t>
  </si>
  <si>
    <t>V0E1Z1</t>
  </si>
  <si>
    <t>V0E2A0</t>
  </si>
  <si>
    <t>V0E2G0</t>
  </si>
  <si>
    <t>V0E2G3</t>
  </si>
  <si>
    <t>V0E2J0</t>
  </si>
  <si>
    <t>V0E2L0</t>
  </si>
  <si>
    <t>V0E2R0</t>
  </si>
  <si>
    <t>V0E2X0</t>
  </si>
  <si>
    <t>V0E2Z0</t>
  </si>
  <si>
    <t>V0E3A0</t>
  </si>
  <si>
    <t>V0E3E0</t>
  </si>
  <si>
    <t>V0E3E1</t>
  </si>
  <si>
    <t>V0G1A0</t>
  </si>
  <si>
    <t>V0G1G0</t>
  </si>
  <si>
    <t>V0G1J0</t>
  </si>
  <si>
    <t>V0G1K0</t>
  </si>
  <si>
    <t>V0G1M0</t>
  </si>
  <si>
    <t>V0G1V0</t>
  </si>
  <si>
    <t>V0G1Y0</t>
  </si>
  <si>
    <t>V0G2G0</t>
  </si>
  <si>
    <t>V0G2J0</t>
  </si>
  <si>
    <t>V0G2K0</t>
  </si>
  <si>
    <t>V0H1B0</t>
  </si>
  <si>
    <t>V0H1E0</t>
  </si>
  <si>
    <t>V0H1Y0</t>
  </si>
  <si>
    <t>V0H2B0</t>
  </si>
  <si>
    <t>V0J1A0</t>
  </si>
  <si>
    <t>V0J1E0</t>
  </si>
  <si>
    <t>V0J1G0</t>
  </si>
  <si>
    <t>V0J1K0</t>
  </si>
  <si>
    <t>V0J1P0</t>
  </si>
  <si>
    <t>V0J1Y0</t>
  </si>
  <si>
    <t>V0J2A0</t>
  </si>
  <si>
    <t>V0J2B0</t>
  </si>
  <si>
    <t>V0J2E0</t>
  </si>
  <si>
    <t>V0J2H0</t>
  </si>
  <si>
    <t>V0J2N0</t>
  </si>
  <si>
    <t>V0J2P0</t>
  </si>
  <si>
    <t>V0J2T0</t>
  </si>
  <si>
    <t>V0J2W0</t>
  </si>
  <si>
    <t>V0J2Z0</t>
  </si>
  <si>
    <t>V0J3A0</t>
  </si>
  <si>
    <t>V0J3B0</t>
  </si>
  <si>
    <t>V0J3C0</t>
  </si>
  <si>
    <t>V0J3E0</t>
  </si>
  <si>
    <t>V0J3G0</t>
  </si>
  <si>
    <t>V0J3J0</t>
  </si>
  <si>
    <t>V0J3N0</t>
  </si>
  <si>
    <t>V0J3T0</t>
  </si>
  <si>
    <t>V0K1B0</t>
  </si>
  <si>
    <t>V0K1C0</t>
  </si>
  <si>
    <t>V0K1E0</t>
  </si>
  <si>
    <t>V0K1G0</t>
  </si>
  <si>
    <t>V0K1J0</t>
  </si>
  <si>
    <t>V0K1S0</t>
  </si>
  <si>
    <t>V0K1Y0</t>
  </si>
  <si>
    <t>V0K2E0</t>
  </si>
  <si>
    <t>V0K2G0</t>
  </si>
  <si>
    <t>V0K2K2</t>
  </si>
  <si>
    <t>V0K2P0</t>
  </si>
  <si>
    <t>V0K2S1</t>
  </si>
  <si>
    <t>V0L1A0</t>
  </si>
  <si>
    <t>V0L1X0</t>
  </si>
  <si>
    <t>V0N1A0</t>
  </si>
  <si>
    <t>V0N1E0</t>
  </si>
  <si>
    <t>V0N1L0</t>
  </si>
  <si>
    <t>V0N1P0</t>
  </si>
  <si>
    <t>V0N1V0</t>
  </si>
  <si>
    <t>V0N2B0</t>
  </si>
  <si>
    <t>V0N2G0</t>
  </si>
  <si>
    <t>V0N2H0</t>
  </si>
  <si>
    <t>V0N2J0</t>
  </si>
  <si>
    <t>V0N2J2</t>
  </si>
  <si>
    <t>V0N2M0</t>
  </si>
  <si>
    <t>V0N2P0</t>
  </si>
  <si>
    <t>V0N2V0</t>
  </si>
  <si>
    <t>V0N2Y0</t>
  </si>
  <si>
    <t>V0N3B0</t>
  </si>
  <si>
    <t>V0N3P0</t>
  </si>
  <si>
    <t>V0P1B0</t>
  </si>
  <si>
    <t>V0P1Z0</t>
  </si>
  <si>
    <t>V0R1A0</t>
  </si>
  <si>
    <t>V0R1B0</t>
  </si>
  <si>
    <t>V0R1T0</t>
  </si>
  <si>
    <t>V0R1W0</t>
  </si>
  <si>
    <t>V0R1Y0</t>
  </si>
  <si>
    <t>V0R2B0</t>
  </si>
  <si>
    <t>V0R2J0</t>
  </si>
  <si>
    <t>V0R2N0</t>
  </si>
  <si>
    <t>V0R2Y0</t>
  </si>
  <si>
    <t>V0R2Z0</t>
  </si>
  <si>
    <t>V0S1K0</t>
  </si>
  <si>
    <t>V0T1B0</t>
  </si>
  <si>
    <t>V0T1P0</t>
  </si>
  <si>
    <t>V0T1S0</t>
  </si>
  <si>
    <t>V0T1W0</t>
  </si>
  <si>
    <t>V0T2B0</t>
  </si>
  <si>
    <t>V0V1A0</t>
  </si>
  <si>
    <t>V0V1H0</t>
  </si>
  <si>
    <t>V0W1A0</t>
  </si>
  <si>
    <t>V0X1G0</t>
  </si>
  <si>
    <t>V0X1L0</t>
  </si>
  <si>
    <t>V0X1N0</t>
  </si>
  <si>
    <t>V0X1R0</t>
  </si>
  <si>
    <t>V0X1W0</t>
  </si>
  <si>
    <t>V0X2L0</t>
  </si>
  <si>
    <t>V1G4E8</t>
  </si>
  <si>
    <t>V1K1B8</t>
  </si>
  <si>
    <t>V1L5P3</t>
  </si>
  <si>
    <t>V1L5P6</t>
  </si>
  <si>
    <t>V1N3H3</t>
  </si>
  <si>
    <t>V1Z3P8</t>
  </si>
  <si>
    <t>V1Z3R9</t>
  </si>
  <si>
    <t>V1Z3S1</t>
  </si>
  <si>
    <t>V1Z3S2</t>
  </si>
  <si>
    <t>V1Z3S4</t>
  </si>
  <si>
    <t>V1Z3S6</t>
  </si>
  <si>
    <t>V1Z3S7</t>
  </si>
  <si>
    <t>V1Z3S9</t>
  </si>
  <si>
    <t>V1Z3T1</t>
  </si>
  <si>
    <t>V1Z3T5</t>
  </si>
  <si>
    <t>V1Z3V3</t>
  </si>
  <si>
    <t>V1Z3V9</t>
  </si>
  <si>
    <t>V1Z3W8</t>
  </si>
  <si>
    <t>V1Z3W9</t>
  </si>
  <si>
    <t>V1Z3X1</t>
  </si>
  <si>
    <t>V1Z3X3</t>
  </si>
  <si>
    <t>V1Z3Y3</t>
  </si>
  <si>
    <t>V1Z3Y6</t>
  </si>
  <si>
    <t>V1Z4C1</t>
  </si>
  <si>
    <t>V2J3H9</t>
  </si>
  <si>
    <t>V2J6R3</t>
  </si>
  <si>
    <t>V2K5E1</t>
  </si>
  <si>
    <t>V2K5N8</t>
  </si>
  <si>
    <t>V4V2H2</t>
  </si>
  <si>
    <t>V4V2H8</t>
  </si>
  <si>
    <t>V4V2J3</t>
  </si>
  <si>
    <t>V4V2J7</t>
  </si>
  <si>
    <t>V8A1G7</t>
  </si>
  <si>
    <t>V9Z1G3</t>
  </si>
  <si>
    <t>V9Z1G9</t>
  </si>
  <si>
    <t>V9Z1K2</t>
  </si>
  <si>
    <t>V9Z1L1</t>
  </si>
  <si>
    <t>X0A0A0</t>
  </si>
  <si>
    <t>X0E0R1</t>
  </si>
  <si>
    <t>X0E0R2</t>
  </si>
  <si>
    <t>X0E0R9</t>
  </si>
  <si>
    <t>X0E0S0</t>
  </si>
  <si>
    <t>X0E1E0</t>
  </si>
  <si>
    <t>X0E1G1</t>
  </si>
  <si>
    <t>X0E1G5</t>
  </si>
  <si>
    <t>X0E1L0</t>
  </si>
  <si>
    <t>X0G0A1</t>
  </si>
  <si>
    <t>Y0A0A1</t>
  </si>
  <si>
    <t>Y0B1Y2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</si>
</sst>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409]#,##0.00"/>
    <numFmt numFmtId="177" formatCode="[$USD]\ #,##0.00_);\([$USD]\ #,##0.00\)"/>
    <numFmt numFmtId="178" formatCode="_([$€-2]* #,##0.00_);_([$€-2]* \(#,##0.00\);_([$€-2]* &quot;-&quot;??_)"/>
    <numFmt numFmtId="179" formatCode="_-[$£-809]* #,##0.00_-;\-[$£-809]* #,##0.00_-;_-[$£-809]* \-??_-;_-@_-"/>
    <numFmt numFmtId="180" formatCode="[$USD]\ #,##0.00_);[Red]\([$USD]\ #,##0.00\)"/>
    <numFmt numFmtId="181" formatCode="[$-1010804]General"/>
    <numFmt numFmtId="182" formatCode="\¥#,##0.0_);[Red]\(\¥#,##0.0\)"/>
    <numFmt numFmtId="183" formatCode="0.00_ "/>
    <numFmt numFmtId="184" formatCode="0.0_ "/>
    <numFmt numFmtId="185" formatCode="0_ "/>
    <numFmt numFmtId="186" formatCode="yyyy/m/d;@"/>
    <numFmt numFmtId="187" formatCode="m&quot;月&quot;d&quot;日&quot;;@"/>
    <numFmt numFmtId="188" formatCode="0_);[Red]\(0\)"/>
    <numFmt numFmtId="189" formatCode="yyyy/mm/dd\ aaaa"/>
  </numFmts>
  <fonts count="78">
    <font>
      <sz val="11"/>
      <color theme="1"/>
      <name val="宋体"/>
      <charset val="134"/>
      <scheme val="minor"/>
    </font>
    <font>
      <sz val="10"/>
      <color theme="1"/>
      <name val="宋体"/>
      <charset val="134"/>
      <scheme val="minor"/>
    </font>
    <font>
      <b/>
      <sz val="26"/>
      <name val="宋体"/>
      <charset val="134"/>
      <scheme val="minor"/>
    </font>
    <font>
      <b/>
      <sz val="10"/>
      <color rgb="FF0070C0"/>
      <name val="微软雅黑"/>
      <charset val="134"/>
    </font>
    <font>
      <sz val="10"/>
      <color indexed="8"/>
      <name val="微软雅黑"/>
      <charset val="134"/>
    </font>
    <font>
      <b/>
      <sz val="20"/>
      <name val="微软雅黑"/>
      <charset val="134"/>
    </font>
    <font>
      <sz val="12"/>
      <name val="微软雅黑"/>
      <charset val="134"/>
    </font>
    <font>
      <sz val="12"/>
      <color rgb="FFFF0000"/>
      <name val="微软雅黑"/>
      <charset val="134"/>
    </font>
    <font>
      <sz val="12"/>
      <color theme="1"/>
      <name val="微软雅黑"/>
      <charset val="134"/>
    </font>
    <font>
      <b/>
      <sz val="12"/>
      <name val="微软雅黑"/>
      <charset val="134"/>
    </font>
    <font>
      <sz val="11"/>
      <color theme="1"/>
      <name val="微软雅黑"/>
      <charset val="134"/>
    </font>
    <font>
      <b/>
      <sz val="18"/>
      <color rgb="FFFF0000"/>
      <name val="微软雅黑"/>
      <charset val="134"/>
    </font>
    <font>
      <sz val="11"/>
      <color rgb="FFFF0000"/>
      <name val="微软雅黑"/>
      <charset val="134"/>
    </font>
    <font>
      <sz val="14"/>
      <color theme="1"/>
      <name val="微软雅黑"/>
      <charset val="134"/>
    </font>
    <font>
      <b/>
      <sz val="26"/>
      <name val="微软雅黑"/>
      <charset val="134"/>
    </font>
    <font>
      <u/>
      <sz val="14"/>
      <color rgb="FF800080"/>
      <name val="微软雅黑"/>
      <charset val="134"/>
    </font>
    <font>
      <b/>
      <sz val="12"/>
      <color theme="1"/>
      <name val="微软雅黑"/>
      <charset val="134"/>
    </font>
    <font>
      <b/>
      <sz val="11"/>
      <color rgb="FFFF0000"/>
      <name val="微软雅黑"/>
      <charset val="134"/>
    </font>
    <font>
      <sz val="16"/>
      <color theme="1"/>
      <name val="微软雅黑"/>
      <charset val="134"/>
    </font>
    <font>
      <b/>
      <sz val="16"/>
      <name val="微软雅黑"/>
      <charset val="134"/>
    </font>
    <font>
      <b/>
      <sz val="16"/>
      <color rgb="FF0070C0"/>
      <name val="微软雅黑"/>
      <charset val="134"/>
    </font>
    <font>
      <b/>
      <sz val="11"/>
      <name val="微软雅黑"/>
      <charset val="134"/>
    </font>
    <font>
      <b/>
      <sz val="14"/>
      <color theme="1"/>
      <name val="微软雅黑"/>
      <charset val="134"/>
    </font>
    <font>
      <sz val="16"/>
      <name val="微软雅黑"/>
      <charset val="134"/>
    </font>
    <font>
      <b/>
      <sz val="11"/>
      <color theme="1"/>
      <name val="微软雅黑"/>
      <charset val="134"/>
    </font>
    <font>
      <sz val="11"/>
      <name val="微软雅黑"/>
      <charset val="134"/>
    </font>
    <font>
      <u/>
      <sz val="12"/>
      <color rgb="FFFF0000"/>
      <name val="微软雅黑"/>
      <charset val="134"/>
    </font>
    <font>
      <sz val="12"/>
      <name val="宋体"/>
      <charset val="134"/>
    </font>
    <font>
      <sz val="26"/>
      <color rgb="FFFF0000"/>
      <name val="微软雅黑"/>
      <charset val="134"/>
    </font>
    <font>
      <sz val="18"/>
      <color rgb="FFFF0000"/>
      <name val="微软雅黑"/>
      <charset val="134"/>
    </font>
    <font>
      <sz val="16"/>
      <color rgb="FFFF0000"/>
      <name val="微软雅黑"/>
      <charset val="134"/>
    </font>
    <font>
      <b/>
      <sz val="12"/>
      <color rgb="FFFF0000"/>
      <name val="微软雅黑"/>
      <charset val="134"/>
    </font>
    <font>
      <sz val="14"/>
      <color indexed="10"/>
      <name val="微软雅黑"/>
      <charset val="134"/>
    </font>
    <font>
      <sz val="11"/>
      <color indexed="8"/>
      <name val="微软雅黑"/>
      <charset val="134"/>
    </font>
    <font>
      <b/>
      <sz val="22"/>
      <name val="微软雅黑"/>
      <charset val="134"/>
    </font>
    <font>
      <b/>
      <sz val="16"/>
      <color rgb="FF000000"/>
      <name val="微软雅黑"/>
      <charset val="134"/>
    </font>
    <font>
      <sz val="16"/>
      <color rgb="FF000000"/>
      <name val="微软雅黑"/>
      <charset val="134"/>
    </font>
    <font>
      <sz val="16"/>
      <color rgb="FF000000"/>
      <name val="Microsoft YaHei"/>
      <charset val="134"/>
    </font>
    <font>
      <b/>
      <sz val="16"/>
      <name val="Microsoft YaHei"/>
      <charset val="134"/>
    </font>
    <font>
      <b/>
      <sz val="16"/>
      <color rgb="FF000000"/>
      <name val="Microsoft YaHei"/>
      <charset val="134"/>
    </font>
    <font>
      <u/>
      <sz val="11"/>
      <color rgb="FF800080"/>
      <name val="宋体"/>
      <charset val="134"/>
      <scheme val="minor"/>
    </font>
    <font>
      <b/>
      <sz val="36"/>
      <color rgb="FF0070C0"/>
      <name val="微软雅黑"/>
      <charset val="134"/>
    </font>
    <font>
      <sz val="12"/>
      <name val="Arial"/>
      <charset val="134"/>
    </font>
    <font>
      <sz val="18"/>
      <name val="Arial"/>
      <charset val="134"/>
    </font>
    <font>
      <sz val="18"/>
      <name val="微软雅黑"/>
      <charset val="134"/>
    </font>
    <font>
      <b/>
      <sz val="24"/>
      <name val="微软雅黑"/>
      <charset val="134"/>
    </font>
    <font>
      <b/>
      <sz val="18"/>
      <color theme="1"/>
      <name val="微软雅黑"/>
      <charset val="134"/>
    </font>
    <font>
      <u/>
      <sz val="18"/>
      <name val="微软雅黑"/>
      <charset val="134"/>
    </font>
    <font>
      <b/>
      <sz val="16"/>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name val="Geneva"/>
      <charset val="134"/>
    </font>
    <font>
      <sz val="11"/>
      <color indexed="8"/>
      <name val="Tahoma"/>
      <charset val="134"/>
    </font>
    <font>
      <sz val="10"/>
      <name val="Arial"/>
      <charset val="134"/>
    </font>
    <font>
      <sz val="11"/>
      <color indexed="8"/>
      <name val="宋体"/>
      <charset val="134"/>
    </font>
    <font>
      <sz val="10"/>
      <color theme="1"/>
      <name val="思源黑体"/>
      <charset val="134"/>
    </font>
    <font>
      <b/>
      <sz val="14"/>
      <color rgb="FFFF0000"/>
      <name val="微软雅黑"/>
      <charset val="134"/>
    </font>
    <font>
      <sz val="12"/>
      <color theme="1"/>
      <name val="Arial"/>
      <charset val="134"/>
    </font>
    <font>
      <sz val="12"/>
      <color theme="9"/>
      <name val="微软雅黑"/>
      <charset val="134"/>
    </font>
    <font>
      <sz val="14"/>
      <color rgb="FFFF0000"/>
      <name val="微软雅黑"/>
      <charset val="134"/>
    </font>
  </fonts>
  <fills count="3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6"/>
        <bgColor indexed="64"/>
      </patternFill>
    </fill>
    <fill>
      <patternFill patternType="solid">
        <fgColor rgb="FFFFFF00"/>
        <bgColor indexed="64"/>
      </patternFill>
    </fill>
    <fill>
      <patternFill patternType="solid">
        <fgColor rgb="FFFFC000"/>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s>
  <borders count="30">
    <border>
      <left/>
      <right/>
      <top/>
      <bottom/>
      <diagonal/>
    </border>
    <border>
      <left style="thin">
        <color rgb="FF00B0F0"/>
      </left>
      <right/>
      <top/>
      <bottom/>
      <diagonal/>
    </border>
    <border>
      <left style="thin">
        <color rgb="FF00B0F0"/>
      </left>
      <right style="thin">
        <color rgb="FF00B0F0"/>
      </right>
      <top style="thin">
        <color rgb="FF00B0F0"/>
      </top>
      <bottom style="thin">
        <color rgb="FF00B0F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style="thin">
        <color rgb="FF00B0F0"/>
      </bottom>
      <diagonal/>
    </border>
    <border>
      <left style="thin">
        <color rgb="FF00B0F0"/>
      </left>
      <right style="thin">
        <color rgb="FF00B0F0"/>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7" borderId="22"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23" applyNumberFormat="0" applyFill="0" applyAlignment="0" applyProtection="0">
      <alignment vertical="center"/>
    </xf>
    <xf numFmtId="0" fontId="55" fillId="0" borderId="23" applyNumberFormat="0" applyFill="0" applyAlignment="0" applyProtection="0">
      <alignment vertical="center"/>
    </xf>
    <xf numFmtId="0" fontId="56" fillId="0" borderId="24" applyNumberFormat="0" applyFill="0" applyAlignment="0" applyProtection="0">
      <alignment vertical="center"/>
    </xf>
    <xf numFmtId="0" fontId="56" fillId="0" borderId="0" applyNumberFormat="0" applyFill="0" applyBorder="0" applyAlignment="0" applyProtection="0">
      <alignment vertical="center"/>
    </xf>
    <xf numFmtId="0" fontId="57" fillId="8" borderId="25" applyNumberFormat="0" applyAlignment="0" applyProtection="0">
      <alignment vertical="center"/>
    </xf>
    <xf numFmtId="0" fontId="58" fillId="9" borderId="26" applyNumberFormat="0" applyAlignment="0" applyProtection="0">
      <alignment vertical="center"/>
    </xf>
    <xf numFmtId="0" fontId="59" fillId="9" borderId="25" applyNumberFormat="0" applyAlignment="0" applyProtection="0">
      <alignment vertical="center"/>
    </xf>
    <xf numFmtId="0" fontId="60" fillId="10" borderId="27" applyNumberFormat="0" applyAlignment="0" applyProtection="0">
      <alignment vertical="center"/>
    </xf>
    <xf numFmtId="0" fontId="61" fillId="0" borderId="28" applyNumberFormat="0" applyFill="0" applyAlignment="0" applyProtection="0">
      <alignment vertical="center"/>
    </xf>
    <xf numFmtId="0" fontId="62" fillId="0" borderId="29" applyNumberFormat="0" applyFill="0" applyAlignment="0" applyProtection="0">
      <alignment vertical="center"/>
    </xf>
    <xf numFmtId="0" fontId="63" fillId="11" borderId="0" applyNumberFormat="0" applyBorder="0" applyAlignment="0" applyProtection="0">
      <alignment vertical="center"/>
    </xf>
    <xf numFmtId="0" fontId="64" fillId="12" borderId="0" applyNumberFormat="0" applyBorder="0" applyAlignment="0" applyProtection="0">
      <alignment vertical="center"/>
    </xf>
    <xf numFmtId="0" fontId="65" fillId="13" borderId="0" applyNumberFormat="0" applyBorder="0" applyAlignment="0" applyProtection="0">
      <alignment vertical="center"/>
    </xf>
    <xf numFmtId="0" fontId="66"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6" fillId="17" borderId="0" applyNumberFormat="0" applyBorder="0" applyAlignment="0" applyProtection="0">
      <alignment vertical="center"/>
    </xf>
    <xf numFmtId="0" fontId="66"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6" fillId="21" borderId="0" applyNumberFormat="0" applyBorder="0" applyAlignment="0" applyProtection="0">
      <alignment vertical="center"/>
    </xf>
    <xf numFmtId="0" fontId="66" fillId="4" borderId="0" applyNumberFormat="0" applyBorder="0" applyAlignment="0" applyProtection="0">
      <alignment vertical="center"/>
    </xf>
    <xf numFmtId="0" fontId="67" fillId="22" borderId="0" applyNumberFormat="0" applyBorder="0" applyAlignment="0" applyProtection="0">
      <alignment vertical="center"/>
    </xf>
    <xf numFmtId="0" fontId="67" fillId="23" borderId="0" applyNumberFormat="0" applyBorder="0" applyAlignment="0" applyProtection="0">
      <alignment vertical="center"/>
    </xf>
    <xf numFmtId="0" fontId="66" fillId="24" borderId="0" applyNumberFormat="0" applyBorder="0" applyAlignment="0" applyProtection="0">
      <alignment vertical="center"/>
    </xf>
    <xf numFmtId="0" fontId="66" fillId="25"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6" fillId="28" borderId="0" applyNumberFormat="0" applyBorder="0" applyAlignment="0" applyProtection="0">
      <alignment vertical="center"/>
    </xf>
    <xf numFmtId="0" fontId="66"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6" fillId="32" borderId="0" applyNumberFormat="0" applyBorder="0" applyAlignment="0" applyProtection="0">
      <alignment vertical="center"/>
    </xf>
    <xf numFmtId="0" fontId="66"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6" fillId="36" borderId="0" applyNumberFormat="0" applyBorder="0" applyAlignment="0" applyProtection="0">
      <alignment vertical="center"/>
    </xf>
    <xf numFmtId="0" fontId="68" fillId="0" borderId="0" applyBorder="0"/>
    <xf numFmtId="176" fontId="69" fillId="0" borderId="0" applyBorder="0"/>
    <xf numFmtId="0" fontId="70" fillId="0" borderId="0" applyBorder="0"/>
    <xf numFmtId="0" fontId="71" fillId="0" borderId="0"/>
    <xf numFmtId="0" fontId="27" fillId="0" borderId="0" applyBorder="0"/>
    <xf numFmtId="0" fontId="72" fillId="0" borderId="0">
      <alignment vertical="center"/>
    </xf>
    <xf numFmtId="0" fontId="0" fillId="0" borderId="0" applyBorder="0">
      <alignment vertical="center"/>
    </xf>
    <xf numFmtId="0" fontId="27" fillId="0" borderId="0" applyBorder="0"/>
    <xf numFmtId="177" fontId="72" fillId="0" borderId="0">
      <alignment vertical="center"/>
    </xf>
    <xf numFmtId="178" fontId="0" fillId="0" borderId="0" applyBorder="0">
      <alignment vertical="center"/>
    </xf>
    <xf numFmtId="179" fontId="72" fillId="0" borderId="0" applyBorder="0">
      <alignment vertical="center"/>
    </xf>
    <xf numFmtId="180" fontId="0" fillId="0" borderId="0" applyBorder="0"/>
    <xf numFmtId="181" fontId="0" fillId="0" borderId="0" applyBorder="0">
      <alignment vertical="center"/>
    </xf>
    <xf numFmtId="180" fontId="72" fillId="0" borderId="0" applyBorder="0">
      <alignment vertical="center"/>
    </xf>
    <xf numFmtId="0" fontId="73" fillId="0" borderId="0">
      <alignment vertical="center"/>
    </xf>
    <xf numFmtId="176" fontId="72" fillId="0" borderId="0" applyBorder="0">
      <alignment vertical="center"/>
    </xf>
    <xf numFmtId="177" fontId="0" fillId="0" borderId="0">
      <alignment vertical="center"/>
    </xf>
    <xf numFmtId="0" fontId="72" fillId="37" borderId="0" applyNumberFormat="0" applyBorder="0" applyAlignment="0" applyProtection="0">
      <alignment vertical="center"/>
    </xf>
    <xf numFmtId="182" fontId="72" fillId="0" borderId="0">
      <alignment vertical="center"/>
    </xf>
    <xf numFmtId="0" fontId="72" fillId="0" borderId="0">
      <alignment vertical="center"/>
    </xf>
  </cellStyleXfs>
  <cellXfs count="273">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2"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0" fillId="0" borderId="0" xfId="0" applyAlignment="1">
      <alignment horizontal="center" vertical="center"/>
    </xf>
    <xf numFmtId="0" fontId="2" fillId="0" borderId="3" xfId="0" applyFont="1" applyBorder="1" applyAlignment="1">
      <alignment horizontal="center" vertical="center"/>
    </xf>
    <xf numFmtId="0" fontId="5" fillId="2" borderId="3" xfId="0" applyFont="1" applyFill="1" applyBorder="1" applyAlignment="1">
      <alignment horizontal="center" vertical="center" wrapText="1"/>
    </xf>
    <xf numFmtId="183" fontId="5" fillId="2" borderId="3"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0" fillId="3" borderId="0" xfId="0" applyFont="1" applyFill="1">
      <alignment vertical="center"/>
    </xf>
    <xf numFmtId="0" fontId="2" fillId="0" borderId="3" xfId="0" applyFont="1" applyFill="1" applyBorder="1" applyAlignment="1">
      <alignment horizontal="center" vertical="center"/>
    </xf>
    <xf numFmtId="0" fontId="11" fillId="3" borderId="3" xfId="0" applyFont="1" applyFill="1" applyBorder="1" applyAlignment="1">
      <alignment horizontal="center" vertical="center"/>
    </xf>
    <xf numFmtId="0" fontId="8" fillId="2" borderId="3" xfId="67" applyNumberFormat="1" applyFont="1" applyFill="1" applyBorder="1" applyAlignment="1">
      <alignment horizontal="center" vertical="center"/>
    </xf>
    <xf numFmtId="0" fontId="8" fillId="3" borderId="3" xfId="67" applyNumberFormat="1" applyFont="1" applyFill="1" applyBorder="1" applyAlignment="1">
      <alignment horizontal="center" vertical="center" wrapText="1"/>
    </xf>
    <xf numFmtId="181" fontId="6" fillId="3" borderId="0" xfId="0" applyNumberFormat="1" applyFont="1" applyFill="1" applyAlignment="1">
      <alignment vertical="center"/>
    </xf>
    <xf numFmtId="0" fontId="8" fillId="3" borderId="3" xfId="67" applyNumberFormat="1" applyFont="1" applyFill="1" applyBorder="1" applyAlignment="1">
      <alignment horizontal="center" vertical="center"/>
    </xf>
    <xf numFmtId="0" fontId="7" fillId="3" borderId="3" xfId="67" applyNumberFormat="1" applyFont="1" applyFill="1" applyBorder="1" applyAlignment="1">
      <alignment horizontal="left" vertical="center" wrapText="1"/>
    </xf>
    <xf numFmtId="0" fontId="12" fillId="3" borderId="3" xfId="67" applyNumberFormat="1" applyFont="1" applyFill="1" applyBorder="1" applyAlignment="1">
      <alignment horizontal="left" vertical="top" wrapText="1"/>
    </xf>
    <xf numFmtId="0" fontId="8" fillId="3" borderId="3" xfId="67" applyNumberFormat="1" applyFont="1" applyFill="1" applyBorder="1" applyAlignment="1">
      <alignment horizontal="left" vertical="top" wrapText="1"/>
    </xf>
    <xf numFmtId="178" fontId="10" fillId="0" borderId="0" xfId="0" applyNumberFormat="1" applyFont="1">
      <alignment vertical="center"/>
    </xf>
    <xf numFmtId="178" fontId="13" fillId="0" borderId="0" xfId="0" applyNumberFormat="1" applyFont="1">
      <alignment vertical="center"/>
    </xf>
    <xf numFmtId="178" fontId="13" fillId="0" borderId="0" xfId="0" applyNumberFormat="1" applyFont="1" applyAlignment="1">
      <alignment horizontal="center" vertical="center"/>
    </xf>
    <xf numFmtId="178" fontId="10" fillId="0" borderId="0" xfId="0" applyNumberFormat="1" applyFont="1" applyAlignment="1">
      <alignment horizontal="center" vertical="center"/>
    </xf>
    <xf numFmtId="0" fontId="14" fillId="0" borderId="3" xfId="0" applyFont="1" applyBorder="1" applyAlignment="1">
      <alignment horizontal="center" vertical="center"/>
    </xf>
    <xf numFmtId="176" fontId="5" fillId="2" borderId="3" xfId="50" applyFont="1" applyFill="1" applyBorder="1" applyAlignment="1">
      <alignment horizontal="center" vertical="center"/>
    </xf>
    <xf numFmtId="0" fontId="15" fillId="0" borderId="0" xfId="6" applyNumberFormat="1" applyFont="1" applyAlignment="1" applyProtection="1">
      <alignment vertical="center"/>
    </xf>
    <xf numFmtId="178" fontId="16" fillId="0" borderId="3" xfId="0" applyNumberFormat="1" applyFont="1" applyBorder="1" applyAlignment="1">
      <alignment horizontal="center" vertical="center"/>
    </xf>
    <xf numFmtId="0" fontId="15" fillId="0" borderId="0" xfId="6" applyNumberFormat="1" applyFont="1" applyAlignment="1" applyProtection="1">
      <alignment horizontal="center" vertical="center"/>
    </xf>
    <xf numFmtId="178" fontId="10" fillId="0" borderId="3" xfId="0" applyNumberFormat="1" applyFont="1" applyBorder="1" applyAlignment="1">
      <alignment horizontal="center" vertical="center"/>
    </xf>
    <xf numFmtId="0" fontId="10" fillId="0" borderId="3" xfId="0" applyNumberFormat="1" applyFont="1" applyBorder="1" applyAlignment="1">
      <alignment horizontal="center" vertical="center"/>
    </xf>
    <xf numFmtId="178" fontId="10" fillId="0" borderId="3" xfId="0" applyNumberFormat="1" applyFont="1" applyBorder="1" applyAlignment="1">
      <alignment horizontal="left" vertical="center"/>
    </xf>
    <xf numFmtId="178" fontId="10" fillId="0" borderId="0" xfId="0" applyNumberFormat="1" applyFont="1" applyFill="1" applyAlignment="1">
      <alignment vertical="center"/>
    </xf>
    <xf numFmtId="178" fontId="10" fillId="0" borderId="3" xfId="0" applyNumberFormat="1" applyFont="1" applyBorder="1" applyAlignment="1">
      <alignment horizontal="left" vertical="center" wrapText="1"/>
    </xf>
    <xf numFmtId="178" fontId="17" fillId="0" borderId="3" xfId="0" applyNumberFormat="1" applyFont="1" applyBorder="1" applyAlignment="1">
      <alignment horizontal="left" vertical="center"/>
    </xf>
    <xf numFmtId="0" fontId="10" fillId="0" borderId="0" xfId="0" applyFont="1" applyAlignment="1">
      <alignment horizontal="center" vertical="center"/>
    </xf>
    <xf numFmtId="0" fontId="8"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vertical="center"/>
    </xf>
    <xf numFmtId="0" fontId="18" fillId="0" borderId="0" xfId="0" applyFont="1" applyAlignment="1">
      <alignment horizontal="center" vertical="center"/>
    </xf>
    <xf numFmtId="0" fontId="19" fillId="2" borderId="3" xfId="0" applyFont="1" applyFill="1" applyBorder="1" applyAlignment="1">
      <alignment horizontal="center" vertical="center" wrapText="1"/>
    </xf>
    <xf numFmtId="26" fontId="9" fillId="2" borderId="3" xfId="0" applyNumberFormat="1" applyFont="1" applyFill="1" applyBorder="1" applyAlignment="1">
      <alignment horizontal="center" vertical="center" wrapText="1"/>
    </xf>
    <xf numFmtId="0" fontId="16" fillId="0" borderId="3" xfId="0" applyFont="1" applyFill="1" applyBorder="1" applyAlignment="1" applyProtection="1">
      <alignment horizontal="center" vertical="center" wrapText="1"/>
      <protection locked="0"/>
    </xf>
    <xf numFmtId="26" fontId="6" fillId="0" borderId="3" xfId="0" applyNumberFormat="1" applyFont="1" applyFill="1" applyBorder="1" applyAlignment="1">
      <alignment horizontal="center" vertical="center" wrapText="1"/>
    </xf>
    <xf numFmtId="26" fontId="9" fillId="0" borderId="3" xfId="0" applyNumberFormat="1" applyFont="1" applyFill="1" applyBorder="1" applyAlignment="1">
      <alignment horizontal="center" vertical="center" wrapText="1"/>
    </xf>
    <xf numFmtId="26" fontId="9" fillId="0" borderId="3" xfId="0" applyNumberFormat="1" applyFont="1" applyFill="1" applyBorder="1" applyAlignment="1">
      <alignment horizontal="left" vertical="center" wrapText="1"/>
    </xf>
    <xf numFmtId="0" fontId="10" fillId="0" borderId="0" xfId="0" applyFont="1">
      <alignment vertical="center"/>
    </xf>
    <xf numFmtId="0" fontId="10" fillId="0" borderId="0" xfId="0" applyFont="1" applyProtection="1">
      <alignment vertical="center"/>
    </xf>
    <xf numFmtId="0" fontId="10" fillId="0" borderId="0" xfId="0" applyFont="1" applyAlignment="1">
      <alignment horizontal="center" vertical="center" wrapText="1"/>
    </xf>
    <xf numFmtId="0" fontId="10" fillId="0" borderId="0" xfId="0" applyFont="1" applyAlignment="1" applyProtection="1">
      <alignment horizontal="center" vertical="center"/>
    </xf>
    <xf numFmtId="176" fontId="6" fillId="0" borderId="0" xfId="0" applyNumberFormat="1" applyFont="1" applyFill="1" applyAlignment="1"/>
    <xf numFmtId="0" fontId="20" fillId="0" borderId="3" xfId="64" applyNumberFormat="1" applyFont="1" applyBorder="1" applyAlignment="1" applyProtection="1">
      <alignment horizontal="center" vertical="center"/>
    </xf>
    <xf numFmtId="0" fontId="21" fillId="2" borderId="3" xfId="0" applyFont="1" applyFill="1" applyBorder="1" applyAlignment="1" applyProtection="1">
      <alignment horizontal="center" vertical="center"/>
      <protection locked="0"/>
    </xf>
    <xf numFmtId="0" fontId="5" fillId="2" borderId="3" xfId="0" applyFont="1" applyFill="1" applyBorder="1" applyAlignment="1" applyProtection="1">
      <alignment horizontal="center" vertical="center"/>
      <protection locked="0"/>
    </xf>
    <xf numFmtId="0" fontId="21" fillId="2" borderId="3" xfId="0" applyFont="1" applyFill="1" applyBorder="1" applyAlignment="1" applyProtection="1">
      <alignment horizontal="center" vertical="center" wrapText="1"/>
      <protection locked="0"/>
    </xf>
    <xf numFmtId="0" fontId="19" fillId="2" borderId="3" xfId="0" applyFont="1" applyFill="1" applyBorder="1" applyAlignment="1" applyProtection="1">
      <alignment horizontal="center" vertical="center"/>
      <protection locked="0"/>
    </xf>
    <xf numFmtId="0" fontId="19" fillId="2" borderId="3" xfId="0" applyFont="1" applyFill="1" applyBorder="1" applyAlignment="1">
      <alignment horizontal="center" vertical="center"/>
    </xf>
    <xf numFmtId="0" fontId="9" fillId="2" borderId="3" xfId="0" applyFont="1" applyFill="1" applyBorder="1" applyAlignment="1">
      <alignment horizontal="center" vertical="center" wrapText="1"/>
    </xf>
    <xf numFmtId="0" fontId="22" fillId="0" borderId="3" xfId="0" applyFont="1" applyFill="1" applyBorder="1" applyAlignment="1" applyProtection="1">
      <alignment horizontal="center" vertical="center" wrapText="1"/>
      <protection locked="0"/>
    </xf>
    <xf numFmtId="184" fontId="23" fillId="0" borderId="3" xfId="54" applyNumberFormat="1" applyFont="1" applyBorder="1" applyAlignment="1" applyProtection="1">
      <alignment horizontal="center" vertical="center" wrapText="1"/>
    </xf>
    <xf numFmtId="0" fontId="23" fillId="0" borderId="3" xfId="0" applyFont="1" applyBorder="1" applyAlignment="1" applyProtection="1">
      <alignment horizontal="center" vertical="center"/>
    </xf>
    <xf numFmtId="185" fontId="23" fillId="0" borderId="3" xfId="0" applyNumberFormat="1" applyFont="1" applyBorder="1" applyAlignment="1" applyProtection="1">
      <alignment horizontal="center" vertical="center"/>
    </xf>
    <xf numFmtId="0" fontId="23" fillId="0" borderId="3" xfId="0" applyNumberFormat="1" applyFont="1" applyBorder="1" applyAlignment="1" applyProtection="1">
      <alignment horizontal="center" vertical="center"/>
    </xf>
    <xf numFmtId="185" fontId="18" fillId="0" borderId="3" xfId="0" applyNumberFormat="1" applyFont="1" applyFill="1" applyBorder="1" applyAlignment="1" applyProtection="1">
      <alignment horizontal="center" vertical="center"/>
    </xf>
    <xf numFmtId="0" fontId="10" fillId="0" borderId="3" xfId="0" applyFont="1" applyBorder="1" applyAlignment="1" applyProtection="1">
      <alignment horizontal="center" vertical="center"/>
    </xf>
    <xf numFmtId="0" fontId="23" fillId="0" borderId="3" xfId="54" applyFont="1" applyBorder="1" applyAlignment="1" applyProtection="1">
      <alignment horizontal="center" vertical="center" wrapText="1"/>
    </xf>
    <xf numFmtId="0" fontId="22" fillId="0" borderId="3" xfId="0" applyFont="1" applyFill="1" applyBorder="1" applyAlignment="1" applyProtection="1">
      <alignment horizontal="center" vertical="center"/>
      <protection locked="0"/>
    </xf>
    <xf numFmtId="0" fontId="19" fillId="4" borderId="3" xfId="0" applyFont="1" applyFill="1" applyBorder="1" applyAlignment="1">
      <alignment horizontal="center" vertical="center"/>
    </xf>
    <xf numFmtId="0" fontId="21" fillId="4" borderId="3" xfId="0" applyFont="1" applyFill="1" applyBorder="1" applyAlignment="1" applyProtection="1">
      <alignment horizontal="center" vertical="center" wrapText="1"/>
      <protection locked="0"/>
    </xf>
    <xf numFmtId="0" fontId="9" fillId="4" borderId="3" xfId="0" applyFont="1" applyFill="1" applyBorder="1" applyAlignment="1">
      <alignment horizontal="center" vertical="center" wrapText="1"/>
    </xf>
    <xf numFmtId="0" fontId="9" fillId="4" borderId="3" xfId="54" applyFont="1" applyFill="1" applyBorder="1" applyAlignment="1" applyProtection="1">
      <alignment horizontal="center" vertical="center" wrapText="1"/>
    </xf>
    <xf numFmtId="0" fontId="9" fillId="4" borderId="3" xfId="0" applyFont="1" applyFill="1" applyBorder="1" applyAlignment="1" applyProtection="1">
      <alignment horizontal="center" vertical="center"/>
    </xf>
    <xf numFmtId="185" fontId="18" fillId="0" borderId="3" xfId="0" applyNumberFormat="1" applyFont="1" applyBorder="1" applyAlignment="1" applyProtection="1">
      <alignment horizontal="center" vertical="center"/>
    </xf>
    <xf numFmtId="0" fontId="16" fillId="0" borderId="3" xfId="0" applyFont="1" applyFill="1" applyBorder="1" applyAlignment="1" applyProtection="1">
      <alignment horizontal="center" vertical="center" wrapText="1"/>
      <protection locked="0" hidden="1"/>
    </xf>
    <xf numFmtId="0" fontId="8" fillId="0" borderId="3" xfId="66" applyFont="1" applyFill="1" applyBorder="1" applyAlignment="1">
      <alignment horizontal="left" vertical="center" wrapText="1"/>
    </xf>
    <xf numFmtId="176" fontId="8" fillId="0" borderId="3" xfId="66" applyNumberFormat="1" applyFont="1" applyFill="1" applyBorder="1" applyAlignment="1">
      <alignment horizontal="left" vertical="center" wrapText="1"/>
    </xf>
    <xf numFmtId="0" fontId="8" fillId="0" borderId="3" xfId="66" applyFont="1" applyFill="1" applyBorder="1" applyAlignment="1" applyProtection="1">
      <alignment horizontal="left" vertical="center" wrapText="1"/>
    </xf>
    <xf numFmtId="0" fontId="8" fillId="0" borderId="3" xfId="66" applyFont="1" applyFill="1" applyBorder="1" applyAlignment="1">
      <alignment horizontal="center" vertical="center" wrapText="1"/>
    </xf>
    <xf numFmtId="176" fontId="8" fillId="0" borderId="3" xfId="66" applyNumberFormat="1" applyFont="1" applyFill="1" applyBorder="1" applyAlignment="1">
      <alignment horizontal="center" vertical="center" wrapText="1"/>
    </xf>
    <xf numFmtId="0" fontId="8" fillId="0" borderId="3" xfId="66" applyFont="1" applyFill="1" applyBorder="1" applyAlignment="1" applyProtection="1">
      <alignment horizontal="left" vertical="center" wrapText="1"/>
      <protection locked="0" hidden="1"/>
    </xf>
    <xf numFmtId="178" fontId="10" fillId="0" borderId="3" xfId="0" applyNumberFormat="1" applyFont="1" applyBorder="1" applyAlignment="1">
      <alignment horizontal="center" vertical="center" wrapText="1"/>
    </xf>
    <xf numFmtId="178" fontId="24" fillId="0" borderId="3" xfId="0" applyNumberFormat="1" applyFont="1" applyBorder="1" applyAlignment="1">
      <alignment horizontal="left" vertical="center" wrapText="1"/>
    </xf>
    <xf numFmtId="0" fontId="9" fillId="2" borderId="3" xfId="0" applyFont="1" applyFill="1" applyBorder="1" applyAlignment="1" applyProtection="1">
      <alignment horizontal="center" vertical="center"/>
      <protection locked="0"/>
    </xf>
    <xf numFmtId="0" fontId="9" fillId="2" borderId="3" xfId="0" applyFont="1" applyFill="1" applyBorder="1" applyAlignment="1">
      <alignment horizontal="center" vertical="center"/>
    </xf>
    <xf numFmtId="184" fontId="23" fillId="0" borderId="3" xfId="54" applyNumberFormat="1" applyFont="1" applyFill="1" applyBorder="1" applyAlignment="1" applyProtection="1">
      <alignment horizontal="center" vertical="center" wrapText="1"/>
    </xf>
    <xf numFmtId="184" fontId="23" fillId="0" borderId="3" xfId="0" applyNumberFormat="1" applyFont="1" applyFill="1" applyBorder="1" applyAlignment="1" applyProtection="1">
      <alignment horizontal="center" vertical="center"/>
    </xf>
    <xf numFmtId="0" fontId="25" fillId="0" borderId="3" xfId="0" applyFont="1" applyFill="1" applyBorder="1" applyAlignment="1" applyProtection="1">
      <alignment horizontal="center" vertical="center"/>
    </xf>
    <xf numFmtId="0" fontId="8" fillId="5" borderId="3" xfId="0" applyFont="1" applyFill="1" applyBorder="1" applyAlignment="1" applyProtection="1">
      <alignment horizontal="center" vertical="center"/>
    </xf>
    <xf numFmtId="0" fontId="12" fillId="0" borderId="3" xfId="0" applyFont="1" applyFill="1" applyBorder="1" applyAlignment="1" applyProtection="1">
      <alignment horizontal="left" vertical="center" wrapText="1"/>
    </xf>
    <xf numFmtId="0" fontId="6" fillId="0" borderId="3" xfId="0" applyFont="1" applyFill="1" applyBorder="1" applyAlignment="1" applyProtection="1">
      <alignment horizontal="center" vertical="center" wrapText="1"/>
      <protection locked="0" hidden="1"/>
    </xf>
    <xf numFmtId="0" fontId="6" fillId="0" borderId="3" xfId="66" applyFont="1" applyFill="1" applyBorder="1" applyAlignment="1">
      <alignment horizontal="left" vertical="center" wrapText="1"/>
    </xf>
    <xf numFmtId="0" fontId="26" fillId="0" borderId="3" xfId="6" applyFont="1" applyFill="1" applyBorder="1" applyAlignment="1">
      <alignment horizontal="left" vertical="center" wrapText="1"/>
    </xf>
    <xf numFmtId="0" fontId="8" fillId="0" borderId="3" xfId="0" applyFont="1" applyFill="1" applyBorder="1" applyAlignment="1" applyProtection="1">
      <alignment horizontal="center" vertical="center" wrapText="1"/>
      <protection locked="0" hidden="1"/>
    </xf>
    <xf numFmtId="0" fontId="8" fillId="0" borderId="3" xfId="66" applyFont="1" applyFill="1" applyBorder="1" applyAlignment="1">
      <alignment vertical="center" wrapText="1"/>
    </xf>
    <xf numFmtId="176" fontId="27" fillId="0" borderId="0" xfId="0" applyNumberFormat="1" applyFont="1" applyAlignment="1" applyProtection="1"/>
    <xf numFmtId="176" fontId="20" fillId="0" borderId="3" xfId="64" applyFont="1" applyBorder="1" applyAlignment="1" applyProtection="1">
      <alignment horizontal="center" vertical="center"/>
    </xf>
    <xf numFmtId="176" fontId="5" fillId="2" borderId="3" xfId="50" applyFont="1" applyFill="1" applyBorder="1" applyAlignment="1" applyProtection="1">
      <alignment horizontal="center" vertical="center"/>
    </xf>
    <xf numFmtId="0" fontId="9" fillId="2" borderId="3" xfId="49" applyFont="1" applyFill="1" applyBorder="1" applyAlignment="1" applyProtection="1">
      <alignment horizontal="center" vertical="center"/>
    </xf>
    <xf numFmtId="0" fontId="9" fillId="6" borderId="3" xfId="0" applyFont="1" applyFill="1" applyBorder="1" applyAlignment="1" applyProtection="1">
      <alignment horizontal="center" vertical="center"/>
    </xf>
    <xf numFmtId="0" fontId="9" fillId="6" borderId="3" xfId="0" applyFont="1" applyFill="1" applyBorder="1" applyAlignment="1" applyProtection="1">
      <alignment horizontal="center" vertical="center" wrapText="1"/>
    </xf>
    <xf numFmtId="0" fontId="13" fillId="0" borderId="3" xfId="49" applyFont="1" applyBorder="1" applyAlignment="1" applyProtection="1">
      <alignment horizontal="center" vertical="center"/>
    </xf>
    <xf numFmtId="184" fontId="28" fillId="0" borderId="3" xfId="49" applyNumberFormat="1" applyFont="1" applyFill="1" applyBorder="1" applyAlignment="1" applyProtection="1">
      <alignment horizontal="center" vertical="center" wrapText="1"/>
    </xf>
    <xf numFmtId="0" fontId="29" fillId="0" borderId="3" xfId="0" applyFont="1" applyBorder="1" applyAlignment="1" applyProtection="1">
      <alignment horizontal="center" vertical="center" wrapText="1"/>
    </xf>
    <xf numFmtId="184" fontId="28" fillId="0" borderId="3" xfId="49" applyNumberFormat="1" applyFont="1" applyBorder="1" applyAlignment="1" applyProtection="1">
      <alignment horizontal="center" vertical="center" wrapText="1"/>
    </xf>
    <xf numFmtId="0" fontId="30" fillId="0" borderId="3" xfId="49" applyFont="1" applyBorder="1" applyAlignment="1" applyProtection="1">
      <alignment horizontal="center" vertical="center" wrapText="1"/>
    </xf>
    <xf numFmtId="0" fontId="19" fillId="0" borderId="3" xfId="49" applyFont="1" applyBorder="1" applyAlignment="1" applyProtection="1">
      <alignment horizontal="center" vertical="center" wrapText="1"/>
    </xf>
    <xf numFmtId="0" fontId="23" fillId="0" borderId="3" xfId="49" applyFont="1" applyBorder="1" applyAlignment="1" applyProtection="1">
      <alignment horizontal="center" vertical="center" wrapText="1"/>
    </xf>
    <xf numFmtId="0" fontId="7" fillId="0" borderId="3" xfId="49" applyFont="1" applyBorder="1" applyAlignment="1" applyProtection="1">
      <alignment horizontal="left" vertical="center" wrapText="1"/>
    </xf>
    <xf numFmtId="0" fontId="31" fillId="0" borderId="3" xfId="49" applyFont="1" applyBorder="1" applyAlignment="1" applyProtection="1">
      <alignment horizontal="left" vertical="center" wrapText="1"/>
    </xf>
    <xf numFmtId="0" fontId="6" fillId="0" borderId="3" xfId="0" applyFont="1" applyBorder="1" applyAlignment="1" applyProtection="1">
      <alignment horizontal="center" vertical="center"/>
    </xf>
    <xf numFmtId="0" fontId="6" fillId="0" borderId="3" xfId="0" applyFont="1" applyBorder="1" applyAlignment="1" applyProtection="1">
      <alignment horizontal="left" vertical="center"/>
    </xf>
    <xf numFmtId="0" fontId="6" fillId="0" borderId="3" xfId="0" applyFont="1" applyBorder="1" applyAlignment="1" applyProtection="1">
      <alignment horizontal="left" vertical="center" wrapText="1"/>
    </xf>
    <xf numFmtId="0" fontId="8" fillId="0" borderId="3" xfId="0" applyFont="1" applyBorder="1" applyAlignment="1" applyProtection="1">
      <alignment horizontal="left" vertical="center" wrapText="1"/>
    </xf>
    <xf numFmtId="0" fontId="7" fillId="0" borderId="3" xfId="0" applyFont="1" applyBorder="1" applyAlignment="1" applyProtection="1">
      <alignment horizontal="center" vertical="center" wrapText="1"/>
    </xf>
    <xf numFmtId="0" fontId="32" fillId="0" borderId="3" xfId="0" applyFont="1" applyBorder="1" applyAlignment="1" applyProtection="1">
      <alignment horizontal="left" vertical="center" wrapText="1"/>
    </xf>
    <xf numFmtId="176" fontId="6" fillId="5" borderId="3" xfId="0" applyNumberFormat="1" applyFont="1" applyFill="1" applyBorder="1" applyAlignment="1" applyProtection="1">
      <alignment horizontal="center" vertical="center" wrapText="1"/>
    </xf>
    <xf numFmtId="0" fontId="9" fillId="2" borderId="8" xfId="0" applyFont="1" applyFill="1" applyBorder="1" applyAlignment="1" applyProtection="1">
      <alignment horizontal="center" vertical="center"/>
      <protection locked="0"/>
    </xf>
    <xf numFmtId="0" fontId="9" fillId="2" borderId="9" xfId="0" applyFont="1" applyFill="1" applyBorder="1" applyAlignment="1" applyProtection="1">
      <alignment horizontal="center" vertical="center"/>
      <protection locked="0"/>
    </xf>
    <xf numFmtId="0" fontId="19" fillId="2" borderId="8" xfId="0" applyFont="1" applyFill="1" applyBorder="1" applyAlignment="1" applyProtection="1">
      <alignment horizontal="center" vertical="center"/>
      <protection locked="0"/>
    </xf>
    <xf numFmtId="0" fontId="19" fillId="2" borderId="9" xfId="0" applyFont="1" applyFill="1" applyBorder="1" applyAlignment="1" applyProtection="1">
      <alignment horizontal="center" vertical="center"/>
      <protection locked="0"/>
    </xf>
    <xf numFmtId="0" fontId="9" fillId="2" borderId="3" xfId="0" applyFont="1" applyFill="1" applyBorder="1" applyAlignment="1" applyProtection="1">
      <alignment horizontal="center" vertical="center" wrapText="1"/>
      <protection locked="0"/>
    </xf>
    <xf numFmtId="0" fontId="9" fillId="2" borderId="10" xfId="0" applyFont="1" applyFill="1" applyBorder="1" applyAlignment="1" applyProtection="1">
      <alignment horizontal="center" vertical="center" wrapText="1"/>
      <protection locked="0"/>
    </xf>
    <xf numFmtId="0" fontId="9" fillId="2" borderId="10" xfId="0" applyFont="1" applyFill="1" applyBorder="1" applyAlignment="1">
      <alignment horizontal="center" vertical="center"/>
    </xf>
    <xf numFmtId="0" fontId="9" fillId="2" borderId="11" xfId="0" applyFont="1" applyFill="1" applyBorder="1" applyAlignment="1" applyProtection="1">
      <alignment horizontal="center" vertical="center" wrapText="1"/>
      <protection locked="0"/>
    </xf>
    <xf numFmtId="0" fontId="9" fillId="2" borderId="11" xfId="0" applyFont="1" applyFill="1" applyBorder="1" applyAlignment="1">
      <alignment horizontal="center" vertical="center"/>
    </xf>
    <xf numFmtId="0" fontId="22" fillId="0" borderId="10" xfId="0" applyFont="1" applyFill="1" applyBorder="1" applyAlignment="1" applyProtection="1">
      <alignment horizontal="center" vertical="center"/>
      <protection locked="0"/>
    </xf>
    <xf numFmtId="185" fontId="23" fillId="0" borderId="3" xfId="54" applyNumberFormat="1" applyFont="1" applyFill="1" applyBorder="1" applyAlignment="1" applyProtection="1">
      <alignment horizontal="center" vertical="center" wrapText="1"/>
    </xf>
    <xf numFmtId="0" fontId="23" fillId="0" borderId="3" xfId="0" applyFont="1" applyFill="1" applyBorder="1" applyAlignment="1" applyProtection="1">
      <alignment horizontal="center" vertical="center"/>
    </xf>
    <xf numFmtId="185" fontId="23" fillId="0" borderId="3" xfId="0" applyNumberFormat="1" applyFont="1" applyFill="1" applyBorder="1" applyAlignment="1" applyProtection="1">
      <alignment horizontal="center" vertical="center"/>
    </xf>
    <xf numFmtId="0" fontId="6" fillId="0" borderId="10" xfId="0" applyFont="1" applyFill="1" applyBorder="1" applyAlignment="1" applyProtection="1">
      <alignment horizontal="center" vertical="center" wrapText="1"/>
    </xf>
    <xf numFmtId="0" fontId="6" fillId="0" borderId="3" xfId="0" applyFont="1" applyFill="1" applyBorder="1" applyAlignment="1" applyProtection="1">
      <alignment horizontal="center" vertical="center"/>
    </xf>
    <xf numFmtId="0" fontId="10" fillId="0" borderId="0" xfId="0" applyFont="1" applyFill="1" applyAlignment="1" applyProtection="1">
      <alignment horizontal="center" vertical="center"/>
    </xf>
    <xf numFmtId="0" fontId="22" fillId="0" borderId="12" xfId="0" applyFont="1" applyFill="1" applyBorder="1" applyAlignment="1" applyProtection="1">
      <alignment horizontal="center" vertical="center"/>
      <protection locked="0"/>
    </xf>
    <xf numFmtId="0" fontId="6" fillId="0" borderId="12" xfId="0" applyFont="1" applyFill="1" applyBorder="1" applyAlignment="1" applyProtection="1">
      <alignment horizontal="center" vertical="center" wrapText="1"/>
    </xf>
    <xf numFmtId="0" fontId="22" fillId="0" borderId="11" xfId="0" applyFont="1" applyFill="1" applyBorder="1" applyAlignment="1" applyProtection="1">
      <alignment horizontal="center" vertical="center"/>
      <protection locked="0"/>
    </xf>
    <xf numFmtId="0" fontId="6" fillId="0" borderId="11" xfId="0" applyFont="1" applyFill="1" applyBorder="1" applyAlignment="1" applyProtection="1">
      <alignment horizontal="center" vertical="center" wrapText="1"/>
    </xf>
    <xf numFmtId="0" fontId="6" fillId="0" borderId="3" xfId="54" applyFont="1" applyFill="1" applyBorder="1" applyAlignment="1" applyProtection="1">
      <alignment horizontal="center" vertical="center" wrapText="1"/>
    </xf>
    <xf numFmtId="0" fontId="12" fillId="0" borderId="3" xfId="0" applyFont="1" applyBorder="1" applyAlignment="1" applyProtection="1">
      <alignment horizontal="left" vertical="center" wrapText="1"/>
    </xf>
    <xf numFmtId="0" fontId="6" fillId="0" borderId="13" xfId="0" applyFont="1" applyFill="1" applyBorder="1" applyAlignment="1" applyProtection="1">
      <alignment horizontal="center" vertical="center" wrapText="1"/>
      <protection locked="0" hidden="1"/>
    </xf>
    <xf numFmtId="0" fontId="6" fillId="0" borderId="14" xfId="0" applyFont="1" applyFill="1" applyBorder="1" applyAlignment="1" applyProtection="1">
      <alignment horizontal="center" vertical="center" wrapText="1"/>
      <protection locked="0" hidden="1"/>
    </xf>
    <xf numFmtId="0" fontId="6" fillId="0" borderId="15" xfId="0" applyFont="1" applyFill="1" applyBorder="1" applyAlignment="1" applyProtection="1">
      <alignment horizontal="center" vertical="center" wrapText="1"/>
      <protection locked="0" hidden="1"/>
    </xf>
    <xf numFmtId="0" fontId="6" fillId="0" borderId="16" xfId="0" applyFont="1" applyFill="1" applyBorder="1" applyAlignment="1" applyProtection="1">
      <alignment horizontal="center" vertical="center" wrapText="1"/>
      <protection locked="0" hidden="1"/>
    </xf>
    <xf numFmtId="0" fontId="6" fillId="0" borderId="17" xfId="0" applyFont="1" applyFill="1" applyBorder="1" applyAlignment="1" applyProtection="1">
      <alignment horizontal="center" vertical="center" wrapText="1"/>
      <protection locked="0" hidden="1"/>
    </xf>
    <xf numFmtId="0" fontId="6" fillId="0" borderId="18" xfId="0" applyFont="1" applyFill="1" applyBorder="1" applyAlignment="1" applyProtection="1">
      <alignment horizontal="center" vertical="center" wrapText="1"/>
      <protection locked="0" hidden="1"/>
    </xf>
    <xf numFmtId="0" fontId="16" fillId="0" borderId="8" xfId="0" applyFont="1" applyFill="1" applyBorder="1" applyAlignment="1" applyProtection="1">
      <alignment horizontal="center" vertical="center" wrapText="1"/>
      <protection locked="0" hidden="1"/>
    </xf>
    <xf numFmtId="0" fontId="16" fillId="0" borderId="19" xfId="0" applyFont="1" applyFill="1" applyBorder="1" applyAlignment="1" applyProtection="1">
      <alignment horizontal="center" vertical="center" wrapText="1"/>
      <protection locked="0" hidden="1"/>
    </xf>
    <xf numFmtId="0" fontId="16" fillId="0" borderId="9" xfId="0" applyFont="1" applyFill="1" applyBorder="1" applyAlignment="1" applyProtection="1">
      <alignment horizontal="center" vertical="center" wrapText="1"/>
      <protection locked="0" hidden="1"/>
    </xf>
    <xf numFmtId="0" fontId="8" fillId="0" borderId="13" xfId="0" applyFont="1" applyFill="1" applyBorder="1" applyAlignment="1" applyProtection="1">
      <alignment horizontal="center" vertical="center" wrapText="1"/>
      <protection locked="0" hidden="1"/>
    </xf>
    <xf numFmtId="0" fontId="8" fillId="0" borderId="14" xfId="0" applyFont="1" applyFill="1" applyBorder="1" applyAlignment="1" applyProtection="1">
      <alignment horizontal="center" vertical="center" wrapText="1"/>
      <protection locked="0" hidden="1"/>
    </xf>
    <xf numFmtId="0" fontId="8" fillId="0" borderId="15" xfId="0" applyFont="1" applyFill="1" applyBorder="1" applyAlignment="1" applyProtection="1">
      <alignment horizontal="center" vertical="center" wrapText="1"/>
      <protection locked="0" hidden="1"/>
    </xf>
    <xf numFmtId="0" fontId="8" fillId="0" borderId="20" xfId="0" applyFont="1" applyFill="1" applyBorder="1" applyAlignment="1" applyProtection="1">
      <alignment horizontal="center" vertical="center" wrapText="1"/>
      <protection locked="0" hidden="1"/>
    </xf>
    <xf numFmtId="0" fontId="8" fillId="0" borderId="0" xfId="0" applyFont="1" applyFill="1" applyAlignment="1" applyProtection="1">
      <alignment horizontal="center" vertical="center" wrapText="1"/>
      <protection locked="0" hidden="1"/>
    </xf>
    <xf numFmtId="0" fontId="8" fillId="0" borderId="21" xfId="0" applyFont="1" applyFill="1" applyBorder="1" applyAlignment="1" applyProtection="1">
      <alignment horizontal="center" vertical="center" wrapText="1"/>
      <protection locked="0" hidden="1"/>
    </xf>
    <xf numFmtId="0" fontId="8" fillId="0" borderId="16" xfId="0" applyFont="1" applyFill="1" applyBorder="1" applyAlignment="1" applyProtection="1">
      <alignment horizontal="center" vertical="center" wrapText="1"/>
      <protection locked="0" hidden="1"/>
    </xf>
    <xf numFmtId="0" fontId="8" fillId="0" borderId="17" xfId="0" applyFont="1" applyFill="1" applyBorder="1" applyAlignment="1" applyProtection="1">
      <alignment horizontal="center" vertical="center" wrapText="1"/>
      <protection locked="0" hidden="1"/>
    </xf>
    <xf numFmtId="0" fontId="8" fillId="0" borderId="18" xfId="0" applyFont="1" applyFill="1" applyBorder="1" applyAlignment="1" applyProtection="1">
      <alignment horizontal="center" vertical="center" wrapText="1"/>
      <protection locked="0" hidden="1"/>
    </xf>
    <xf numFmtId="0" fontId="8" fillId="0" borderId="8" xfId="0" applyFont="1" applyFill="1" applyBorder="1" applyAlignment="1" applyProtection="1">
      <alignment horizontal="center" vertical="center" wrapText="1"/>
      <protection locked="0" hidden="1"/>
    </xf>
    <xf numFmtId="0" fontId="8" fillId="0" borderId="19" xfId="0" applyFont="1" applyFill="1" applyBorder="1" applyAlignment="1" applyProtection="1">
      <alignment horizontal="center" vertical="center" wrapText="1"/>
      <protection locked="0" hidden="1"/>
    </xf>
    <xf numFmtId="0" fontId="8" fillId="0" borderId="9" xfId="0" applyFont="1" applyFill="1" applyBorder="1" applyAlignment="1" applyProtection="1">
      <alignment horizontal="center" vertical="center" wrapText="1"/>
      <protection locked="0" hidden="1"/>
    </xf>
    <xf numFmtId="0" fontId="6" fillId="0" borderId="3" xfId="66" applyFont="1" applyFill="1" applyBorder="1" applyAlignment="1">
      <alignment vertical="center" wrapText="1"/>
    </xf>
    <xf numFmtId="0" fontId="7" fillId="0" borderId="3" xfId="66" applyFont="1" applyFill="1" applyBorder="1" applyAlignment="1">
      <alignment vertical="center" wrapText="1"/>
    </xf>
    <xf numFmtId="0" fontId="31" fillId="0" borderId="3" xfId="66" applyFont="1" applyFill="1" applyBorder="1" applyAlignment="1">
      <alignment vertical="center" wrapText="1"/>
    </xf>
    <xf numFmtId="0" fontId="10" fillId="0" borderId="0" xfId="0" applyFont="1" applyFill="1" applyAlignment="1" applyProtection="1">
      <alignment vertical="center"/>
    </xf>
    <xf numFmtId="0" fontId="10" fillId="0" borderId="0" xfId="0" applyFont="1" applyFill="1" applyProtection="1">
      <alignment vertical="center"/>
    </xf>
    <xf numFmtId="0" fontId="33" fillId="0" borderId="0" xfId="0" applyFont="1" applyFill="1" applyAlignment="1">
      <alignment vertical="center"/>
    </xf>
    <xf numFmtId="0" fontId="6" fillId="0" borderId="3" xfId="0" applyFont="1" applyFill="1" applyBorder="1" applyAlignment="1" applyProtection="1">
      <alignment horizontal="center" vertical="center" wrapText="1"/>
    </xf>
    <xf numFmtId="0" fontId="9" fillId="0" borderId="8" xfId="54" applyFont="1" applyFill="1" applyBorder="1" applyAlignment="1">
      <alignment horizontal="center" vertical="center" wrapText="1"/>
    </xf>
    <xf numFmtId="0" fontId="9" fillId="0" borderId="19" xfId="54" applyFont="1" applyFill="1" applyBorder="1" applyAlignment="1">
      <alignment horizontal="center" vertical="center" wrapText="1"/>
    </xf>
    <xf numFmtId="0" fontId="9" fillId="0" borderId="9" xfId="54" applyFont="1" applyFill="1" applyBorder="1" applyAlignment="1">
      <alignment horizontal="center" vertical="center" wrapText="1"/>
    </xf>
    <xf numFmtId="0" fontId="6" fillId="0" borderId="3" xfId="0" applyFont="1" applyBorder="1" applyAlignment="1" applyProtection="1">
      <alignment horizontal="center" vertical="center" wrapText="1"/>
    </xf>
    <xf numFmtId="0" fontId="8" fillId="0" borderId="3" xfId="0" applyFont="1" applyBorder="1" applyAlignment="1" applyProtection="1">
      <alignment horizontal="center" vertical="center"/>
    </xf>
    <xf numFmtId="0" fontId="6" fillId="0" borderId="3" xfId="54" applyFont="1" applyBorder="1" applyAlignment="1" applyProtection="1">
      <alignment horizontal="center" vertical="center" wrapText="1"/>
    </xf>
    <xf numFmtId="0" fontId="9" fillId="0" borderId="3" xfId="54" applyFont="1" applyFill="1" applyBorder="1" applyAlignment="1">
      <alignment horizontal="center" vertical="center" wrapText="1"/>
    </xf>
    <xf numFmtId="176" fontId="6" fillId="0" borderId="0" xfId="0" applyNumberFormat="1" applyFont="1" applyAlignment="1"/>
    <xf numFmtId="0" fontId="20" fillId="0" borderId="3" xfId="64" applyNumberFormat="1" applyFont="1" applyBorder="1" applyAlignment="1" applyProtection="1">
      <alignment horizontal="center" vertical="center"/>
      <protection locked="0"/>
    </xf>
    <xf numFmtId="184" fontId="23" fillId="0" borderId="3" xfId="0" applyNumberFormat="1" applyFont="1" applyBorder="1" applyAlignment="1" applyProtection="1">
      <alignment horizontal="center" vertical="center"/>
    </xf>
    <xf numFmtId="184" fontId="18" fillId="0" borderId="3" xfId="0" applyNumberFormat="1" applyFont="1" applyFill="1" applyBorder="1" applyAlignment="1" applyProtection="1">
      <alignment horizontal="center" vertical="center"/>
    </xf>
    <xf numFmtId="0" fontId="8" fillId="3" borderId="3" xfId="66" applyFont="1" applyFill="1" applyBorder="1" applyAlignment="1">
      <alignment vertical="center" wrapText="1"/>
    </xf>
    <xf numFmtId="0" fontId="7" fillId="0" borderId="3" xfId="66" applyFont="1" applyFill="1" applyBorder="1" applyAlignment="1">
      <alignment horizontal="left" vertical="center" wrapText="1"/>
    </xf>
    <xf numFmtId="0" fontId="31" fillId="0" borderId="3" xfId="66" applyFont="1" applyFill="1" applyBorder="1" applyAlignment="1">
      <alignment horizontal="left" vertical="center" wrapText="1"/>
    </xf>
    <xf numFmtId="0" fontId="8" fillId="3" borderId="3" xfId="66" applyFont="1" applyFill="1" applyBorder="1" applyAlignment="1">
      <alignment horizontal="left" vertical="center" wrapText="1"/>
    </xf>
    <xf numFmtId="181" fontId="6" fillId="0" borderId="3" xfId="0" applyNumberFormat="1" applyFont="1" applyBorder="1" applyAlignment="1">
      <alignment horizontal="center" vertical="center" wrapText="1"/>
    </xf>
    <xf numFmtId="181" fontId="8" fillId="0" borderId="3" xfId="0" applyNumberFormat="1" applyFont="1" applyBorder="1" applyAlignment="1">
      <alignment horizontal="center" vertical="center" wrapText="1"/>
    </xf>
    <xf numFmtId="176" fontId="6" fillId="0" borderId="0" xfId="0" applyNumberFormat="1" applyFont="1" applyAlignment="1">
      <alignment horizontal="center" vertical="center"/>
    </xf>
    <xf numFmtId="176" fontId="6" fillId="0" borderId="0" xfId="0" applyNumberFormat="1" applyFont="1" applyAlignment="1">
      <alignment horizontal="center"/>
    </xf>
    <xf numFmtId="186" fontId="6" fillId="0" borderId="0" xfId="0" applyNumberFormat="1" applyFont="1" applyAlignment="1">
      <alignment horizontal="center"/>
    </xf>
    <xf numFmtId="0" fontId="20" fillId="0" borderId="3" xfId="64" applyNumberFormat="1" applyFont="1" applyBorder="1" applyAlignment="1">
      <alignment horizontal="center" vertical="center"/>
    </xf>
    <xf numFmtId="0" fontId="34" fillId="2" borderId="3" xfId="0" applyFont="1" applyFill="1" applyBorder="1" applyAlignment="1" applyProtection="1">
      <alignment horizontal="center" vertical="center"/>
      <protection locked="0"/>
    </xf>
    <xf numFmtId="186" fontId="34" fillId="2" borderId="3" xfId="0" applyNumberFormat="1" applyFont="1" applyFill="1" applyBorder="1" applyAlignment="1" applyProtection="1">
      <alignment horizontal="center" vertical="center"/>
      <protection locked="0"/>
    </xf>
    <xf numFmtId="0" fontId="34" fillId="2" borderId="3" xfId="0" applyFont="1" applyFill="1" applyBorder="1" applyAlignment="1" applyProtection="1">
      <alignment horizontal="center" vertical="center" wrapText="1"/>
      <protection locked="0"/>
    </xf>
    <xf numFmtId="176" fontId="19" fillId="0" borderId="3" xfId="0" applyNumberFormat="1" applyFont="1" applyBorder="1" applyAlignment="1">
      <alignment horizontal="center" vertical="center"/>
    </xf>
    <xf numFmtId="58" fontId="35" fillId="0" borderId="10" xfId="0" applyNumberFormat="1" applyFont="1" applyBorder="1" applyAlignment="1">
      <alignment horizontal="center" vertical="center" wrapText="1"/>
    </xf>
    <xf numFmtId="58" fontId="36" fillId="0" borderId="3" xfId="0" applyNumberFormat="1" applyFont="1" applyBorder="1" applyAlignment="1">
      <alignment horizontal="center" vertical="center"/>
    </xf>
    <xf numFmtId="176" fontId="23" fillId="0" borderId="3" xfId="0" applyNumberFormat="1" applyFont="1" applyFill="1" applyBorder="1" applyAlignment="1">
      <alignment horizontal="center" vertical="center" wrapText="1"/>
    </xf>
    <xf numFmtId="187" fontId="23" fillId="0" borderId="3" xfId="0" applyNumberFormat="1" applyFont="1" applyFill="1" applyBorder="1" applyAlignment="1">
      <alignment horizontal="center" vertical="center"/>
    </xf>
    <xf numFmtId="188" fontId="23" fillId="0" borderId="3" xfId="0" applyNumberFormat="1" applyFont="1" applyBorder="1" applyAlignment="1">
      <alignment horizontal="center" vertical="center"/>
    </xf>
    <xf numFmtId="58" fontId="37" fillId="0" borderId="3" xfId="0" applyNumberFormat="1" applyFont="1" applyBorder="1" applyAlignment="1">
      <alignment horizontal="center" vertical="center"/>
    </xf>
    <xf numFmtId="58" fontId="37" fillId="0" borderId="3" xfId="0" applyNumberFormat="1" applyFont="1" applyBorder="1" applyAlignment="1">
      <alignment horizontal="center" vertical="center" wrapText="1"/>
    </xf>
    <xf numFmtId="187" fontId="23" fillId="0" borderId="3" xfId="0" applyNumberFormat="1" applyFont="1" applyBorder="1" applyAlignment="1">
      <alignment horizontal="center" vertical="center"/>
    </xf>
    <xf numFmtId="58" fontId="35" fillId="0" borderId="12" xfId="0" applyNumberFormat="1" applyFont="1" applyBorder="1" applyAlignment="1">
      <alignment horizontal="center" vertical="center" wrapText="1"/>
    </xf>
    <xf numFmtId="176" fontId="23" fillId="0" borderId="3" xfId="0" applyNumberFormat="1" applyFont="1" applyFill="1" applyBorder="1" applyAlignment="1">
      <alignment horizontal="center" vertical="center"/>
    </xf>
    <xf numFmtId="188" fontId="23" fillId="0" borderId="3" xfId="0" applyNumberFormat="1" applyFont="1" applyFill="1" applyBorder="1" applyAlignment="1">
      <alignment horizontal="center" vertical="center"/>
    </xf>
    <xf numFmtId="58" fontId="38" fillId="0" borderId="3" xfId="0" applyNumberFormat="1" applyFont="1" applyFill="1" applyBorder="1" applyAlignment="1">
      <alignment horizontal="center" vertical="center"/>
    </xf>
    <xf numFmtId="58" fontId="37" fillId="0" borderId="3" xfId="0" applyNumberFormat="1" applyFont="1" applyFill="1" applyBorder="1" applyAlignment="1">
      <alignment horizontal="center" vertical="center"/>
    </xf>
    <xf numFmtId="58" fontId="37" fillId="0" borderId="3" xfId="0" applyNumberFormat="1" applyFont="1" applyFill="1" applyBorder="1" applyAlignment="1">
      <alignment horizontal="center" vertical="center" wrapText="1"/>
    </xf>
    <xf numFmtId="58" fontId="35" fillId="0" borderId="3" xfId="0" applyNumberFormat="1" applyFont="1" applyBorder="1" applyAlignment="1">
      <alignment horizontal="center" vertical="center"/>
    </xf>
    <xf numFmtId="58" fontId="36" fillId="0" borderId="3" xfId="0" applyNumberFormat="1" applyFont="1" applyFill="1" applyBorder="1" applyAlignment="1">
      <alignment horizontal="center" vertical="center"/>
    </xf>
    <xf numFmtId="176" fontId="23" fillId="0" borderId="3" xfId="0" applyNumberFormat="1" applyFont="1" applyFill="1" applyBorder="1" applyAlignment="1">
      <alignment horizontal="center" vertical="center"/>
    </xf>
    <xf numFmtId="176" fontId="19" fillId="0" borderId="0" xfId="0" applyNumberFormat="1" applyFont="1" applyAlignment="1">
      <alignment horizontal="center" vertical="center"/>
    </xf>
    <xf numFmtId="58" fontId="35" fillId="0" borderId="0" xfId="0" applyNumberFormat="1" applyFont="1" applyAlignment="1">
      <alignment horizontal="center" vertical="center"/>
    </xf>
    <xf numFmtId="189" fontId="19" fillId="0" borderId="0" xfId="0" applyNumberFormat="1" applyFont="1" applyAlignment="1">
      <alignment horizontal="center" vertical="center"/>
    </xf>
    <xf numFmtId="188" fontId="19" fillId="0" borderId="0" xfId="0" applyNumberFormat="1" applyFont="1" applyAlignment="1">
      <alignment horizontal="center" vertical="center"/>
    </xf>
    <xf numFmtId="58" fontId="39" fillId="0" borderId="0" xfId="0" applyNumberFormat="1" applyFont="1" applyAlignment="1">
      <alignment horizontal="center" vertical="center"/>
    </xf>
    <xf numFmtId="58" fontId="39" fillId="0" borderId="0" xfId="0" applyNumberFormat="1" applyFont="1" applyBorder="1" applyAlignment="1">
      <alignment horizontal="center" vertical="center"/>
    </xf>
    <xf numFmtId="58" fontId="39" fillId="0" borderId="0" xfId="0" applyNumberFormat="1" applyFont="1" applyBorder="1" applyAlignment="1">
      <alignment horizontal="center" vertical="center" wrapText="1"/>
    </xf>
    <xf numFmtId="186" fontId="19" fillId="0" borderId="0" xfId="0" applyNumberFormat="1" applyFont="1" applyFill="1" applyAlignment="1">
      <alignment horizontal="center" vertical="center"/>
    </xf>
    <xf numFmtId="178" fontId="0" fillId="0" borderId="0" xfId="0" applyNumberFormat="1">
      <alignment vertical="center"/>
    </xf>
    <xf numFmtId="0" fontId="24" fillId="0" borderId="3" xfId="0" applyFont="1" applyBorder="1" applyAlignment="1">
      <alignment horizontal="center" vertical="center"/>
    </xf>
    <xf numFmtId="0" fontId="40" fillId="0" borderId="0" xfId="6" applyNumberFormat="1" applyFont="1" applyAlignment="1" applyProtection="1">
      <alignment vertical="center"/>
    </xf>
    <xf numFmtId="0" fontId="10" fillId="0" borderId="3" xfId="0" applyFont="1" applyBorder="1" applyAlignment="1">
      <alignment horizontal="center" vertical="center"/>
    </xf>
    <xf numFmtId="0" fontId="10" fillId="0" borderId="3" xfId="0" applyFont="1" applyBorder="1" applyAlignment="1">
      <alignment horizontal="left" vertical="center" wrapText="1"/>
    </xf>
    <xf numFmtId="178" fontId="0" fillId="0" borderId="0" xfId="0" applyNumberFormat="1" applyAlignment="1">
      <alignment horizontal="center" vertical="center" wrapText="1"/>
    </xf>
    <xf numFmtId="0" fontId="10" fillId="0" borderId="3" xfId="0" applyFont="1" applyBorder="1" applyAlignment="1">
      <alignment horizontal="left" vertical="center"/>
    </xf>
    <xf numFmtId="0" fontId="17" fillId="0" borderId="3" xfId="0" applyFont="1" applyBorder="1" applyAlignment="1">
      <alignment vertical="center" wrapText="1"/>
    </xf>
    <xf numFmtId="176" fontId="27" fillId="0" borderId="0" xfId="0" applyNumberFormat="1" applyFont="1" applyAlignment="1">
      <alignment horizontal="center" vertical="center"/>
    </xf>
    <xf numFmtId="176" fontId="27" fillId="0" borderId="0" xfId="0" applyNumberFormat="1" applyFont="1" applyAlignment="1">
      <alignment wrapText="1"/>
    </xf>
    <xf numFmtId="176" fontId="27" fillId="0" borderId="0" xfId="0" applyNumberFormat="1" applyFont="1" applyAlignment="1"/>
    <xf numFmtId="176" fontId="27" fillId="0" borderId="0" xfId="0" applyNumberFormat="1" applyFont="1" applyAlignment="1">
      <alignment horizontal="center"/>
    </xf>
    <xf numFmtId="176" fontId="20" fillId="0" borderId="3" xfId="64" applyFont="1" applyBorder="1" applyAlignment="1" applyProtection="1">
      <alignment horizontal="center" vertical="center"/>
      <protection locked="0"/>
    </xf>
    <xf numFmtId="176" fontId="41" fillId="0" borderId="0" xfId="64" applyFont="1">
      <alignment vertical="center"/>
    </xf>
    <xf numFmtId="0" fontId="6" fillId="0" borderId="3" xfId="58" applyNumberFormat="1" applyFont="1" applyBorder="1" applyAlignment="1">
      <alignment vertical="center" wrapText="1"/>
    </xf>
    <xf numFmtId="176" fontId="27" fillId="0" borderId="0" xfId="0" applyNumberFormat="1" applyFont="1">
      <alignment vertical="center"/>
    </xf>
    <xf numFmtId="176" fontId="42" fillId="0" borderId="0" xfId="0" applyNumberFormat="1" applyFont="1">
      <alignment vertical="center"/>
    </xf>
    <xf numFmtId="176" fontId="43" fillId="0" borderId="0" xfId="0" applyNumberFormat="1" applyFont="1">
      <alignment vertical="center"/>
    </xf>
    <xf numFmtId="176" fontId="6" fillId="0" borderId="3" xfId="0" applyNumberFormat="1" applyFont="1" applyBorder="1" applyAlignment="1">
      <alignment horizontal="left" vertical="center" wrapText="1"/>
    </xf>
    <xf numFmtId="176" fontId="7" fillId="0" borderId="3" xfId="0" applyNumberFormat="1" applyFont="1" applyBorder="1" applyAlignment="1">
      <alignment horizontal="left" vertical="center" wrapText="1"/>
    </xf>
    <xf numFmtId="176" fontId="6" fillId="0" borderId="3" xfId="0" applyNumberFormat="1" applyFont="1" applyFill="1" applyBorder="1" applyAlignment="1">
      <alignment horizontal="left" vertical="center" wrapText="1"/>
    </xf>
    <xf numFmtId="176" fontId="6" fillId="0" borderId="3" xfId="0" applyNumberFormat="1" applyFont="1" applyFill="1" applyBorder="1" applyAlignment="1">
      <alignment horizontal="center" vertical="center"/>
    </xf>
    <xf numFmtId="176" fontId="43" fillId="0" borderId="0" xfId="0" applyNumberFormat="1" applyFont="1" applyAlignment="1">
      <alignment horizontal="center" vertical="center"/>
    </xf>
    <xf numFmtId="176" fontId="6" fillId="0" borderId="0" xfId="0" applyNumberFormat="1" applyFont="1" applyAlignment="1" applyProtection="1">
      <alignment horizontal="center" vertical="center"/>
    </xf>
    <xf numFmtId="176" fontId="6" fillId="0" borderId="0" xfId="0" applyNumberFormat="1" applyFont="1" applyAlignment="1" applyProtection="1"/>
    <xf numFmtId="176" fontId="44" fillId="0" borderId="0" xfId="0" applyNumberFormat="1" applyFont="1" applyAlignment="1" applyProtection="1"/>
    <xf numFmtId="176" fontId="6" fillId="0" borderId="0" xfId="0" applyNumberFormat="1" applyFont="1" applyAlignment="1" applyProtection="1">
      <alignment horizontal="center"/>
    </xf>
    <xf numFmtId="176" fontId="41" fillId="0" borderId="0" xfId="64" applyFont="1" applyProtection="1">
      <alignment vertical="center"/>
    </xf>
    <xf numFmtId="0" fontId="45" fillId="2" borderId="3" xfId="0" applyFont="1" applyFill="1" applyBorder="1" applyAlignment="1" applyProtection="1">
      <alignment horizontal="center" vertical="center" wrapText="1"/>
    </xf>
    <xf numFmtId="176" fontId="46" fillId="0" borderId="3" xfId="50" applyFont="1" applyBorder="1" applyAlignment="1" applyProtection="1">
      <alignment horizontal="center" vertical="center"/>
    </xf>
    <xf numFmtId="0" fontId="47" fillId="0" borderId="3" xfId="6" applyFont="1" applyBorder="1" applyAlignment="1">
      <alignment horizontal="center" vertical="center"/>
    </xf>
    <xf numFmtId="49" fontId="18" fillId="0" borderId="3" xfId="0" applyNumberFormat="1" applyFont="1" applyBorder="1" applyAlignment="1" applyProtection="1">
      <alignment horizontal="center" vertical="center" wrapText="1"/>
    </xf>
    <xf numFmtId="176" fontId="44" fillId="0" borderId="3" xfId="50" applyFont="1" applyBorder="1" applyAlignment="1" applyProtection="1">
      <alignment horizontal="center" vertical="center" wrapText="1"/>
    </xf>
    <xf numFmtId="176" fontId="44" fillId="0" borderId="3" xfId="0" applyNumberFormat="1" applyFont="1" applyFill="1" applyBorder="1" applyAlignment="1" applyProtection="1">
      <alignment horizontal="center" vertical="center"/>
    </xf>
    <xf numFmtId="176" fontId="48" fillId="0" borderId="0" xfId="0" applyNumberFormat="1" applyFont="1" applyAlignment="1" applyProtection="1">
      <alignment vertical="top" wrapText="1"/>
    </xf>
    <xf numFmtId="176" fontId="47" fillId="0" borderId="3" xfId="6" applyNumberFormat="1" applyFont="1" applyFill="1" applyBorder="1" applyAlignment="1" applyProtection="1">
      <alignment horizontal="center" vertical="center"/>
    </xf>
    <xf numFmtId="176" fontId="47" fillId="0" borderId="3" xfId="6" applyNumberFormat="1" applyFont="1" applyBorder="1" applyAlignment="1" applyProtection="1">
      <alignment horizontal="center" vertical="center"/>
    </xf>
    <xf numFmtId="176" fontId="11" fillId="0" borderId="3" xfId="0" applyNumberFormat="1" applyFont="1" applyFill="1" applyBorder="1" applyAlignment="1" applyProtection="1">
      <alignment horizontal="center" vertical="center"/>
    </xf>
    <xf numFmtId="176" fontId="19" fillId="2" borderId="3" xfId="0" applyNumberFormat="1" applyFont="1" applyFill="1" applyBorder="1" applyAlignment="1" applyProtection="1">
      <alignment horizontal="center" vertical="center" wrapText="1"/>
    </xf>
    <xf numFmtId="176" fontId="11" fillId="0" borderId="0" xfId="0" applyNumberFormat="1" applyFont="1" applyAlignment="1" applyProtection="1">
      <alignment vertical="top" wrapText="1"/>
    </xf>
    <xf numFmtId="176" fontId="19" fillId="0" borderId="3" xfId="0" applyNumberFormat="1" applyFont="1" applyBorder="1" applyAlignment="1" applyProtection="1">
      <alignment horizontal="left" vertical="center"/>
    </xf>
    <xf numFmtId="176" fontId="19" fillId="0" borderId="3" xfId="0" applyNumberFormat="1" applyFont="1" applyBorder="1" applyAlignment="1" applyProtection="1">
      <alignment horizontal="center" vertical="center"/>
    </xf>
    <xf numFmtId="176" fontId="11" fillId="0" borderId="0" xfId="0" applyNumberFormat="1" applyFont="1" applyBorder="1" applyAlignment="1" applyProtection="1">
      <alignment vertical="top" wrapText="1"/>
    </xf>
    <xf numFmtId="176" fontId="48" fillId="5" borderId="3" xfId="0" applyNumberFormat="1" applyFont="1" applyFill="1" applyBorder="1" applyAlignment="1" applyProtection="1">
      <alignment horizontal="lef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0,0_x000d__x000a_NA_x000d__x000a_" xfId="50"/>
    <cellStyle name="Monétaire [0]_INTERC12 2 3 3" xfId="51"/>
    <cellStyle name="Normal 2" xfId="52"/>
    <cellStyle name="常规 10 2 5 3" xfId="53"/>
    <cellStyle name="常规 10 3" xfId="54"/>
    <cellStyle name="常规 11 4" xfId="55"/>
    <cellStyle name="常规 110 2 10" xfId="56"/>
    <cellStyle name="常规 12" xfId="57"/>
    <cellStyle name="常规 18 2 2 3" xfId="58"/>
    <cellStyle name="常规 2 10 4" xfId="59"/>
    <cellStyle name="常规 27" xfId="60"/>
    <cellStyle name="常规 3" xfId="61"/>
    <cellStyle name="常规 4" xfId="62"/>
    <cellStyle name="常规 6" xfId="63"/>
    <cellStyle name="常规_中技易送-同行现金VIP-2016-8-1" xfId="64"/>
    <cellStyle name="常规 2" xfId="65"/>
    <cellStyle name="40% - 强调文字颜色 3 3 5" xfId="66"/>
    <cellStyle name="常规 10" xfId="67"/>
    <cellStyle name="標準 2" xfId="6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79117"/>
      <color rgb="002E54A1"/>
      <color rgb="00ED9C46"/>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5.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www.wps.cn/officeDocument/2020/cellImage" Target="cellimag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2.xml"/><Relationship Id="rId27" Type="http://schemas.openxmlformats.org/officeDocument/2006/relationships/externalLink" Target="externalLinks/externalLink1.xml"/><Relationship Id="rId26" Type="http://schemas.openxmlformats.org/officeDocument/2006/relationships/customXml" Target="../customXml/item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4.svg"/><Relationship Id="rId8" Type="http://schemas.openxmlformats.org/officeDocument/2006/relationships/image" Target="../media/image3.png"/><Relationship Id="rId7" Type="http://schemas.openxmlformats.org/officeDocument/2006/relationships/hyperlink" Target="#&#21152;&#25343;&#22823;FBA&#20179;&#24211;!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3337;&#26399;&#34920;!A1"/><Relationship Id="rId3" Type="http://schemas.openxmlformats.org/officeDocument/2006/relationships/hyperlink" Target="#DG&#36135;&#29289;&#21253;&#35013;&#21644;&#25991;&#20214;&#35201;&#27714;!A1"/><Relationship Id="rId20" Type="http://schemas.openxmlformats.org/officeDocument/2006/relationships/image" Target="../media/image12.svg"/><Relationship Id="rId2" Type="http://schemas.openxmlformats.org/officeDocument/2006/relationships/hyperlink" Target="#&#26131;&#36890;&#22269;&#20869;&#20179;&#26381;&#21153;!A1"/><Relationship Id="rId19" Type="http://schemas.openxmlformats.org/officeDocument/2006/relationships/image" Target="../media/image11.png"/><Relationship Id="rId18" Type="http://schemas.openxmlformats.org/officeDocument/2006/relationships/hyperlink" Target="#&#36180;&#20607;&#26631;&#20934;&#21644;&#20813;&#36180;&#22768;&#26126;!A1"/><Relationship Id="rId17" Type="http://schemas.openxmlformats.org/officeDocument/2006/relationships/hyperlink" Target="#&#21457;&#36135;&#39035;&#30693;!A1"/><Relationship Id="rId16" Type="http://schemas.openxmlformats.org/officeDocument/2006/relationships/image" Target="../media/image10.svg"/><Relationship Id="rId15" Type="http://schemas.openxmlformats.org/officeDocument/2006/relationships/image" Target="../media/image9.png"/><Relationship Id="rId14" Type="http://schemas.openxmlformats.org/officeDocument/2006/relationships/hyperlink" Target="#&#21152;&#25343;&#22823;&#21457;&#36135;&#39035;&#30693;!A1"/><Relationship Id="rId13" Type="http://schemas.openxmlformats.org/officeDocument/2006/relationships/image" Target="../media/image8.svg"/><Relationship Id="rId12" Type="http://schemas.openxmlformats.org/officeDocument/2006/relationships/image" Target="../media/image7.png"/><Relationship Id="rId11" Type="http://schemas.openxmlformats.org/officeDocument/2006/relationships/image" Target="../media/image6.svg"/><Relationship Id="rId10" Type="http://schemas.openxmlformats.org/officeDocument/2006/relationships/image" Target="../media/image5.png"/><Relationship Id="rId1" Type="http://schemas.openxmlformats.org/officeDocument/2006/relationships/hyperlink" Target="#&#28192;&#36947;&#30446;&#24405;!A1"/></Relationships>
</file>

<file path=xl/drawings/_rels/drawing2.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3.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4.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5.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6.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7.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8.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9.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0.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1.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2.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3.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4.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5.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6.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7.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8.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19.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20.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21.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22.xml.rels><?xml version="1.0" encoding="UTF-8" standalone="yes"?>
<Relationships xmlns="http://schemas.openxmlformats.org/package/2006/relationships"><Relationship Id="rId4" Type="http://schemas.openxmlformats.org/officeDocument/2006/relationships/hyperlink" Target="#&#28192;&#36947;&#30446;&#24405;!A1"/><Relationship Id="rId3" Type="http://schemas.openxmlformats.org/officeDocument/2006/relationships/hyperlink" Target="#&#26597;&#35810;&#39318;&#39029;!A1"/><Relationship Id="rId2" Type="http://schemas.openxmlformats.org/officeDocument/2006/relationships/image" Target="../media/image14.png"/><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_rels/drawing24.xml.rels><?xml version="1.0" encoding="UTF-8" standalone="yes"?>
<Relationships xmlns="http://schemas.openxmlformats.org/package/2006/relationships"><Relationship Id="rId2" Type="http://schemas.openxmlformats.org/officeDocument/2006/relationships/hyperlink" Target="#&#28192;&#36947;&#30446;&#24405;!A1"/><Relationship Id="rId1" Type="http://schemas.openxmlformats.org/officeDocument/2006/relationships/hyperlink" Target="#&#26597;&#35810;&#39318;&#39029;!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1127125</xdr:rowOff>
    </xdr:from>
    <xdr:to>
      <xdr:col>11</xdr:col>
      <xdr:colOff>28346</xdr:colOff>
      <xdr:row>29</xdr:row>
      <xdr:rowOff>198872</xdr:rowOff>
    </xdr:to>
    <xdr:grpSp>
      <xdr:nvGrpSpPr>
        <xdr:cNvPr id="2" name="组合 1"/>
        <xdr:cNvGrpSpPr/>
      </xdr:nvGrpSpPr>
      <xdr:grpSpPr>
        <a:xfrm>
          <a:off x="635" y="1127125"/>
          <a:ext cx="13249910" cy="7436485"/>
          <a:chOff x="0" y="1149928"/>
          <a:chExt cx="11961406" cy="7208357"/>
        </a:xfrm>
      </xdr:grpSpPr>
      <xdr:sp>
        <xdr:nvSpPr>
          <xdr:cNvPr id="3" name="箭头: 五边形 10"/>
          <xdr:cNvSpPr/>
        </xdr:nvSpPr>
        <xdr:spPr>
          <a:xfrm rot="16200000">
            <a:off x="4029442" y="426322"/>
            <a:ext cx="3902521"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 name="箭头: 五边形 8"/>
          <xdr:cNvSpPr/>
        </xdr:nvSpPr>
        <xdr:spPr>
          <a:xfrm rot="5400000">
            <a:off x="4026976" y="-2877048"/>
            <a:ext cx="3907453"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nvGrpSpPr>
          <xdr:cNvPr id="5" name="组合 4"/>
          <xdr:cNvGrpSpPr/>
        </xdr:nvGrpSpPr>
        <xdr:grpSpPr>
          <a:xfrm>
            <a:off x="1459425" y="2376406"/>
            <a:ext cx="9453966" cy="4636576"/>
            <a:chOff x="1214035" y="2324745"/>
            <a:chExt cx="9453966" cy="4636576"/>
          </a:xfrm>
        </xdr:grpSpPr>
        <xdr:sp>
          <xdr:nvSpPr>
            <xdr:cNvPr id="6" name="矩形 5"/>
            <xdr:cNvSpPr/>
          </xdr:nvSpPr>
          <xdr:spPr>
            <a:xfrm>
              <a:off x="1214035" y="2324745"/>
              <a:ext cx="9453966" cy="4636576"/>
            </a:xfrm>
            <a:prstGeom prst="rect">
              <a:avLst/>
            </a:prstGeom>
            <a:solidFill>
              <a:schemeClr val="bg1">
                <a:lumMod val="95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zh-CN" altLang="en-US" sz="1100"/>
            </a:p>
          </xdr:txBody>
        </xdr:sp>
        <xdr:sp>
          <xdr:nvSpPr>
            <xdr:cNvPr id="7" name="矩形: 圆角 5">
              <a:hlinkClick xmlns:r="http://schemas.openxmlformats.org/officeDocument/2006/relationships" r:id="rId1"/>
            </xdr:cNvPr>
            <xdr:cNvSpPr/>
          </xdr:nvSpPr>
          <xdr:spPr>
            <a:xfrm>
              <a:off x="2759516" y="4094240"/>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渠道目录</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8" name="矩形: 圆角 6">
              <a:hlinkClick xmlns:r="http://schemas.openxmlformats.org/officeDocument/2006/relationships" r:id="rId2"/>
            </xdr:cNvPr>
            <xdr:cNvSpPr/>
          </xdr:nvSpPr>
          <xdr:spPr>
            <a:xfrm>
              <a:off x="4310601" y="4094450"/>
              <a:ext cx="1575591" cy="347972"/>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国内仓服务</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9" name="矩形: 圆角 7">
              <a:hlinkClick xmlns:r="http://schemas.openxmlformats.org/officeDocument/2006/relationships" r:id="rId3"/>
            </xdr:cNvPr>
            <xdr:cNvSpPr/>
          </xdr:nvSpPr>
          <xdr:spPr>
            <a:xfrm>
              <a:off x="6134035"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altLang="zh-CN" sz="1800" b="1">
                  <a:solidFill>
                    <a:srgbClr val="174C81"/>
                  </a:solidFill>
                  <a:latin typeface="微软雅黑" panose="020B0503020204020204" charset="-122"/>
                  <a:ea typeface="微软雅黑" panose="020B0503020204020204" charset="-122"/>
                  <a:cs typeface="+mn-cs"/>
                </a:rPr>
                <a:t>DG</a:t>
              </a:r>
              <a:r>
                <a:rPr lang="zh-CN" altLang="en-US" sz="1800" b="1">
                  <a:solidFill>
                    <a:srgbClr val="174C81"/>
                  </a:solidFill>
                  <a:latin typeface="微软雅黑" panose="020B0503020204020204" charset="-122"/>
                  <a:ea typeface="微软雅黑" panose="020B0503020204020204" charset="-122"/>
                  <a:cs typeface="+mn-cs"/>
                </a:rPr>
                <a:t>货物</a:t>
              </a:r>
              <a:endParaRPr lang="en-US" altLang="zh-CN" sz="1800" b="1">
                <a:solidFill>
                  <a:srgbClr val="174C81"/>
                </a:solidFill>
                <a:latin typeface="微软雅黑" panose="020B0503020204020204" charset="-122"/>
                <a:ea typeface="微软雅黑" panose="020B0503020204020204" charset="-122"/>
                <a:cs typeface="+mn-cs"/>
              </a:endParaRPr>
            </a:p>
          </xdr:txBody>
        </xdr:sp>
        <xdr:pic>
          <xdr:nvPicPr>
            <xdr:cNvPr id="10" name="图片 22" descr="C:\Users\asus\Desktop\修改.svg修改">
              <a:hlinkClick xmlns:r="http://schemas.openxmlformats.org/officeDocument/2006/relationships" r:id="rId4"/>
            </xdr:cNvPr>
            <xdr:cNvPicPr/>
          </xdr:nvPicPr>
          <xdr:blipFill>
            <a:blip r:embed="rId5">
              <a:extLst>
                <a:ext uri="{96DAC541-7B7A-43D3-8B79-37D633B846F1}">
                  <asvg:svgBlip xmlns:asvg="http://schemas.microsoft.com/office/drawing/2016/SVG/main" r:embed="rId6"/>
                </a:ext>
              </a:extLst>
            </a:blip>
            <a:srcRect/>
            <a:stretch>
              <a:fillRect/>
            </a:stretch>
          </xdr:blipFill>
          <xdr:spPr>
            <a:xfrm>
              <a:off x="8194518" y="3279425"/>
              <a:ext cx="665268" cy="688187"/>
            </a:xfrm>
            <a:prstGeom prst="rect">
              <a:avLst/>
            </a:prstGeom>
            <a:solidFill>
              <a:schemeClr val="bg1">
                <a:lumMod val="95000"/>
              </a:schemeClr>
            </a:solidFill>
          </xdr:spPr>
        </xdr:pic>
        <xdr:pic>
          <xdr:nvPicPr>
            <xdr:cNvPr id="11" name="图片 14" descr="C:\Users\asus\Desktop\查询.svg查询">
              <a:hlinkClick xmlns:r="http://schemas.openxmlformats.org/officeDocument/2006/relationships" r:id="rId7"/>
            </xdr:cNvPr>
            <xdr:cNvPicPr/>
          </xdr:nvPicPr>
          <xdr:blipFill>
            <a:blip r:embed="rId8">
              <a:extLst>
                <a:ext uri="{96DAC541-7B7A-43D3-8B79-37D633B846F1}">
                  <asvg:svgBlip xmlns:asvg="http://schemas.microsoft.com/office/drawing/2016/SVG/main" r:embed="rId9"/>
                </a:ext>
              </a:extLst>
            </a:blip>
            <a:srcRect/>
            <a:stretch>
              <a:fillRect/>
            </a:stretch>
          </xdr:blipFill>
          <xdr:spPr>
            <a:xfrm>
              <a:off x="4812079" y="3301430"/>
              <a:ext cx="614449" cy="644742"/>
            </a:xfrm>
            <a:prstGeom prst="rect">
              <a:avLst/>
            </a:prstGeom>
            <a:solidFill>
              <a:schemeClr val="bg1">
                <a:lumMod val="95000"/>
              </a:schemeClr>
            </a:solidFill>
          </xdr:spPr>
        </xdr:pic>
        <xdr:pic>
          <xdr:nvPicPr>
            <xdr:cNvPr id="12" name="图片 15" descr="C:\Users\asus\Desktop\我的借阅.svg我的借阅">
              <a:hlinkClick xmlns:r="http://schemas.openxmlformats.org/officeDocument/2006/relationships" r:id="rId3"/>
            </xdr:cNvPr>
            <xdr:cNvPicPr/>
          </xdr:nvPicPr>
          <xdr:blipFill>
            <a:blip r:embed="rId10">
              <a:extLst>
                <a:ext uri="{96DAC541-7B7A-43D3-8B79-37D633B846F1}">
                  <asvg:svgBlip xmlns:asvg="http://schemas.microsoft.com/office/drawing/2016/SVG/main" r:embed="rId11"/>
                </a:ext>
              </a:extLst>
            </a:blip>
            <a:srcRect/>
            <a:stretch>
              <a:fillRect/>
            </a:stretch>
          </xdr:blipFill>
          <xdr:spPr>
            <a:xfrm>
              <a:off x="6500989" y="3280553"/>
              <a:ext cx="678468" cy="700036"/>
            </a:xfrm>
            <a:prstGeom prst="rect">
              <a:avLst/>
            </a:prstGeom>
            <a:solidFill>
              <a:schemeClr val="bg1">
                <a:lumMod val="95000"/>
              </a:schemeClr>
            </a:solidFill>
          </xdr:spPr>
        </xdr:pic>
        <xdr:sp>
          <xdr:nvSpPr>
            <xdr:cNvPr id="13" name="矩形: 圆角 7">
              <a:hlinkClick xmlns:r="http://schemas.openxmlformats.org/officeDocument/2006/relationships" r:id="rId4"/>
            </xdr:cNvPr>
            <xdr:cNvSpPr/>
          </xdr:nvSpPr>
          <xdr:spPr>
            <a:xfrm>
              <a:off x="7828225" y="4094240"/>
              <a:ext cx="13265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船期列表</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14" name="图片 10" descr="C:\Users\asus\Desktop\目录.svg目录">
              <a:hlinkClick xmlns:r="http://schemas.openxmlformats.org/officeDocument/2006/relationships" r:id="rId1"/>
            </xdr:cNvPr>
            <xdr:cNvPicPr/>
          </xdr:nvPicPr>
          <xdr:blipFill>
            <a:blip r:embed="rId12">
              <a:extLst>
                <a:ext uri="{96DAC541-7B7A-43D3-8B79-37D633B846F1}">
                  <asvg:svgBlip xmlns:asvg="http://schemas.microsoft.com/office/drawing/2016/SVG/main" r:embed="rId13"/>
                </a:ext>
              </a:extLst>
            </a:blip>
            <a:srcRect/>
            <a:stretch>
              <a:fillRect/>
            </a:stretch>
          </xdr:blipFill>
          <xdr:spPr>
            <a:xfrm>
              <a:off x="3134389" y="3279425"/>
              <a:ext cx="665268" cy="688187"/>
            </a:xfrm>
            <a:prstGeom prst="rect">
              <a:avLst/>
            </a:prstGeom>
            <a:solidFill>
              <a:schemeClr val="bg1">
                <a:lumMod val="95000"/>
              </a:schemeClr>
            </a:solidFill>
          </xdr:spPr>
        </xdr:pic>
        <xdr:pic>
          <xdr:nvPicPr>
            <xdr:cNvPr id="15" name="图形 12" descr="建筑 轮廓">
              <a:hlinkClick xmlns:r="http://schemas.openxmlformats.org/officeDocument/2006/relationships" r:id="rId14"/>
            </xdr:cNvPr>
            <xdr:cNvPicPr>
              <a:picLocks noChangeAspect="1"/>
            </xdr:cNvPicPr>
          </xdr:nvPicPr>
          <xdr:blipFill>
            <a:blip r:embed="rId15">
              <a:extLst>
                <a:ext uri="{96DAC541-7B7A-43D3-8B79-37D633B846F1}">
                  <asvg:svgBlip xmlns:asvg="http://schemas.microsoft.com/office/drawing/2016/SVG/main" r:embed="rId16"/>
                </a:ext>
              </a:extLst>
            </a:blip>
            <a:stretch>
              <a:fillRect/>
            </a:stretch>
          </xdr:blipFill>
          <xdr:spPr>
            <a:xfrm>
              <a:off x="4726983" y="4866466"/>
              <a:ext cx="852407" cy="852407"/>
            </a:xfrm>
            <a:prstGeom prst="rect">
              <a:avLst/>
            </a:prstGeom>
          </xdr:spPr>
        </xdr:pic>
        <xdr:sp>
          <xdr:nvSpPr>
            <xdr:cNvPr id="16" name="矩形: 圆角 5">
              <a:hlinkClick xmlns:r="http://schemas.openxmlformats.org/officeDocument/2006/relationships" r:id="rId17"/>
            </xdr:cNvPr>
            <xdr:cNvSpPr/>
          </xdr:nvSpPr>
          <xdr:spPr>
            <a:xfrm>
              <a:off x="4429932" y="5798947"/>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发货须知</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17" name="图形 29" descr="剪贴板 纯色填充">
              <a:hlinkClick xmlns:r="http://schemas.openxmlformats.org/officeDocument/2006/relationships" r:id="rId18"/>
            </xdr:cNvPr>
            <xdr:cNvPicPr>
              <a:picLocks noChangeAspect="1"/>
            </xdr:cNvPicPr>
          </xdr:nvPicPr>
          <xdr:blipFill>
            <a:blip r:embed="rId19">
              <a:extLst>
                <a:ext uri="{96DAC541-7B7A-43D3-8B79-37D633B846F1}">
                  <asvg:svgBlip xmlns:asvg="http://schemas.microsoft.com/office/drawing/2016/SVG/main" r:embed="rId20"/>
                </a:ext>
              </a:extLst>
            </a:blip>
            <a:stretch>
              <a:fillRect/>
            </a:stretch>
          </xdr:blipFill>
          <xdr:spPr>
            <a:xfrm>
              <a:off x="6418882" y="4905214"/>
              <a:ext cx="787830" cy="787830"/>
            </a:xfrm>
            <a:prstGeom prst="rect">
              <a:avLst/>
            </a:prstGeom>
          </xdr:spPr>
        </xdr:pic>
        <xdr:sp>
          <xdr:nvSpPr>
            <xdr:cNvPr id="18" name="矩形: 圆角 5">
              <a:hlinkClick xmlns:r="http://schemas.openxmlformats.org/officeDocument/2006/relationships" r:id="rId18"/>
            </xdr:cNvPr>
            <xdr:cNvSpPr/>
          </xdr:nvSpPr>
          <xdr:spPr>
            <a:xfrm>
              <a:off x="6119248" y="5809279"/>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免赔声明</a:t>
              </a:r>
              <a:endParaRPr lang="zh-CN" altLang="en-US" sz="1800" b="1">
                <a:solidFill>
                  <a:srgbClr val="174C81"/>
                </a:solidFill>
                <a:latin typeface="微软雅黑" panose="020B0503020204020204" charset="-122"/>
                <a:ea typeface="微软雅黑" panose="020B0503020204020204" charset="-122"/>
                <a:cs typeface="+mn-cs"/>
              </a:endParaRPr>
            </a:p>
          </xdr:txBody>
        </xdr:sp>
      </xdr:grp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9525</xdr:colOff>
      <xdr:row>1</xdr:row>
      <xdr:rowOff>161925</xdr:rowOff>
    </xdr:from>
    <xdr:to>
      <xdr:col>4</xdr:col>
      <xdr:colOff>19050</xdr:colOff>
      <xdr:row>1</xdr:row>
      <xdr:rowOff>171450</xdr:rowOff>
    </xdr:to>
    <xdr:sp>
      <xdr:nvSpPr>
        <xdr:cNvPr id="2" name="WordArt 1"/>
        <xdr:cNvSpPr/>
      </xdr:nvSpPr>
      <xdr:spPr>
        <a:xfrm>
          <a:off x="896556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8" name="WordArt 1"/>
        <xdr:cNvSpPr/>
      </xdr:nvSpPr>
      <xdr:spPr>
        <a:xfrm>
          <a:off x="145440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54610</xdr:colOff>
      <xdr:row>0</xdr:row>
      <xdr:rowOff>69215</xdr:rowOff>
    </xdr:from>
    <xdr:to>
      <xdr:col>7</xdr:col>
      <xdr:colOff>1014730</xdr:colOff>
      <xdr:row>0</xdr:row>
      <xdr:rowOff>429260</xdr:rowOff>
    </xdr:to>
    <xdr:sp>
      <xdr:nvSpPr>
        <xdr:cNvPr id="50" name="矩形: 圆角 49">
          <a:hlinkClick xmlns:r="http://schemas.openxmlformats.org/officeDocument/2006/relationships" r:id="rId1"/>
        </xdr:cNvPr>
        <xdr:cNvSpPr/>
      </xdr:nvSpPr>
      <xdr:spPr>
        <a:xfrm>
          <a:off x="21162645" y="6921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75" name="WordArt 1"/>
        <xdr:cNvSpPr/>
      </xdr:nvSpPr>
      <xdr:spPr>
        <a:xfrm>
          <a:off x="896556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76" name="WordArt 1"/>
        <xdr:cNvSpPr/>
      </xdr:nvSpPr>
      <xdr:spPr>
        <a:xfrm>
          <a:off x="145440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64135</xdr:colOff>
      <xdr:row>0</xdr:row>
      <xdr:rowOff>612140</xdr:rowOff>
    </xdr:from>
    <xdr:to>
      <xdr:col>8</xdr:col>
      <xdr:colOff>516255</xdr:colOff>
      <xdr:row>0</xdr:row>
      <xdr:rowOff>964565</xdr:rowOff>
    </xdr:to>
    <xdr:sp>
      <xdr:nvSpPr>
        <xdr:cNvPr id="3" name="矩形: 圆角 49">
          <a:hlinkClick xmlns:r="http://schemas.openxmlformats.org/officeDocument/2006/relationships" r:id="rId2"/>
        </xdr:cNvPr>
        <xdr:cNvSpPr/>
      </xdr:nvSpPr>
      <xdr:spPr>
        <a:xfrm>
          <a:off x="21172170" y="612140"/>
          <a:ext cx="158623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9028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3" name="WordArt 1"/>
        <xdr:cNvSpPr/>
      </xdr:nvSpPr>
      <xdr:spPr>
        <a:xfrm>
          <a:off x="80943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76200</xdr:colOff>
      <xdr:row>0</xdr:row>
      <xdr:rowOff>635</xdr:rowOff>
    </xdr:from>
    <xdr:to>
      <xdr:col>5</xdr:col>
      <xdr:colOff>1036320</xdr:colOff>
      <xdr:row>0</xdr:row>
      <xdr:rowOff>360680</xdr:rowOff>
    </xdr:to>
    <xdr:sp>
      <xdr:nvSpPr>
        <xdr:cNvPr id="6" name="矩形: 圆角 49">
          <a:hlinkClick xmlns:r="http://schemas.openxmlformats.org/officeDocument/2006/relationships" r:id="rId1"/>
        </xdr:cNvPr>
        <xdr:cNvSpPr/>
      </xdr:nvSpPr>
      <xdr:spPr>
        <a:xfrm>
          <a:off x="13622020" y="63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81915</xdr:colOff>
      <xdr:row>0</xdr:row>
      <xdr:rowOff>542925</xdr:rowOff>
    </xdr:from>
    <xdr:to>
      <xdr:col>6</xdr:col>
      <xdr:colOff>534035</xdr:colOff>
      <xdr:row>0</xdr:row>
      <xdr:rowOff>895350</xdr:rowOff>
    </xdr:to>
    <xdr:sp>
      <xdr:nvSpPr>
        <xdr:cNvPr id="7" name="矩形: 圆角 49">
          <a:hlinkClick xmlns:r="http://schemas.openxmlformats.org/officeDocument/2006/relationships" r:id="rId2"/>
        </xdr:cNvPr>
        <xdr:cNvSpPr/>
      </xdr:nvSpPr>
      <xdr:spPr>
        <a:xfrm>
          <a:off x="13627735" y="542925"/>
          <a:ext cx="158623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545338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8941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100330</xdr:colOff>
      <xdr:row>0</xdr:row>
      <xdr:rowOff>127635</xdr:rowOff>
    </xdr:from>
    <xdr:to>
      <xdr:col>6</xdr:col>
      <xdr:colOff>20955</xdr:colOff>
      <xdr:row>0</xdr:row>
      <xdr:rowOff>487680</xdr:rowOff>
    </xdr:to>
    <xdr:sp>
      <xdr:nvSpPr>
        <xdr:cNvPr id="3" name="矩形: 圆角 49">
          <a:hlinkClick xmlns:r="http://schemas.openxmlformats.org/officeDocument/2006/relationships" r:id="rId1"/>
        </xdr:cNvPr>
        <xdr:cNvSpPr/>
      </xdr:nvSpPr>
      <xdr:spPr>
        <a:xfrm>
          <a:off x="14493240" y="127635"/>
          <a:ext cx="1054735"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106045</xdr:colOff>
      <xdr:row>0</xdr:row>
      <xdr:rowOff>669290</xdr:rowOff>
    </xdr:from>
    <xdr:to>
      <xdr:col>6</xdr:col>
      <xdr:colOff>558165</xdr:colOff>
      <xdr:row>0</xdr:row>
      <xdr:rowOff>1021715</xdr:rowOff>
    </xdr:to>
    <xdr:sp>
      <xdr:nvSpPr>
        <xdr:cNvPr id="4" name="矩形: 圆角 49">
          <a:hlinkClick xmlns:r="http://schemas.openxmlformats.org/officeDocument/2006/relationships" r:id="rId2"/>
        </xdr:cNvPr>
        <xdr:cNvSpPr/>
      </xdr:nvSpPr>
      <xdr:spPr>
        <a:xfrm>
          <a:off x="14498955" y="669290"/>
          <a:ext cx="158623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53975</xdr:colOff>
      <xdr:row>0</xdr:row>
      <xdr:rowOff>635</xdr:rowOff>
    </xdr:from>
    <xdr:to>
      <xdr:col>6</xdr:col>
      <xdr:colOff>1014095</xdr:colOff>
      <xdr:row>0</xdr:row>
      <xdr:rowOff>360680</xdr:rowOff>
    </xdr:to>
    <xdr:sp>
      <xdr:nvSpPr>
        <xdr:cNvPr id="4" name="矩形: 圆角 49">
          <a:hlinkClick xmlns:r="http://schemas.openxmlformats.org/officeDocument/2006/relationships" r:id="rId1"/>
        </xdr:cNvPr>
        <xdr:cNvSpPr/>
      </xdr:nvSpPr>
      <xdr:spPr>
        <a:xfrm>
          <a:off x="10864215" y="63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59690</xdr:colOff>
      <xdr:row>0</xdr:row>
      <xdr:rowOff>542290</xdr:rowOff>
    </xdr:from>
    <xdr:to>
      <xdr:col>7</xdr:col>
      <xdr:colOff>441960</xdr:colOff>
      <xdr:row>0</xdr:row>
      <xdr:rowOff>894715</xdr:rowOff>
    </xdr:to>
    <xdr:sp>
      <xdr:nvSpPr>
        <xdr:cNvPr id="5" name="矩形: 圆角 49">
          <a:hlinkClick xmlns:r="http://schemas.openxmlformats.org/officeDocument/2006/relationships" r:id="rId2"/>
        </xdr:cNvPr>
        <xdr:cNvSpPr/>
      </xdr:nvSpPr>
      <xdr:spPr>
        <a:xfrm>
          <a:off x="10869930" y="542290"/>
          <a:ext cx="159258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20</xdr:col>
      <xdr:colOff>120015</xdr:colOff>
      <xdr:row>0</xdr:row>
      <xdr:rowOff>9525</xdr:rowOff>
    </xdr:from>
    <xdr:to>
      <xdr:col>21</xdr:col>
      <xdr:colOff>451485</xdr:colOff>
      <xdr:row>0</xdr:row>
      <xdr:rowOff>369570</xdr:rowOff>
    </xdr:to>
    <xdr:sp>
      <xdr:nvSpPr>
        <xdr:cNvPr id="2" name="矩形: 圆角 49">
          <a:hlinkClick xmlns:r="http://schemas.openxmlformats.org/officeDocument/2006/relationships" r:id="rId1"/>
        </xdr:cNvPr>
        <xdr:cNvSpPr/>
      </xdr:nvSpPr>
      <xdr:spPr>
        <a:xfrm>
          <a:off x="30639385" y="952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20</xdr:col>
      <xdr:colOff>125730</xdr:colOff>
      <xdr:row>0</xdr:row>
      <xdr:rowOff>551180</xdr:rowOff>
    </xdr:from>
    <xdr:to>
      <xdr:col>22</xdr:col>
      <xdr:colOff>360045</xdr:colOff>
      <xdr:row>0</xdr:row>
      <xdr:rowOff>903605</xdr:rowOff>
    </xdr:to>
    <xdr:sp>
      <xdr:nvSpPr>
        <xdr:cNvPr id="3" name="矩形: 圆角 49">
          <a:hlinkClick xmlns:r="http://schemas.openxmlformats.org/officeDocument/2006/relationships" r:id="rId2"/>
        </xdr:cNvPr>
        <xdr:cNvSpPr/>
      </xdr:nvSpPr>
      <xdr:spPr>
        <a:xfrm>
          <a:off x="30645100" y="55118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12</xdr:col>
      <xdr:colOff>102235</xdr:colOff>
      <xdr:row>0</xdr:row>
      <xdr:rowOff>35560</xdr:rowOff>
    </xdr:from>
    <xdr:to>
      <xdr:col>13</xdr:col>
      <xdr:colOff>433705</xdr:colOff>
      <xdr:row>0</xdr:row>
      <xdr:rowOff>395605</xdr:rowOff>
    </xdr:to>
    <xdr:sp>
      <xdr:nvSpPr>
        <xdr:cNvPr id="5" name="矩形: 圆角 49">
          <a:hlinkClick xmlns:r="http://schemas.openxmlformats.org/officeDocument/2006/relationships" r:id="rId1"/>
        </xdr:cNvPr>
        <xdr:cNvSpPr/>
      </xdr:nvSpPr>
      <xdr:spPr>
        <a:xfrm>
          <a:off x="16218535" y="35560"/>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12</xdr:col>
      <xdr:colOff>107950</xdr:colOff>
      <xdr:row>0</xdr:row>
      <xdr:rowOff>577215</xdr:rowOff>
    </xdr:from>
    <xdr:to>
      <xdr:col>14</xdr:col>
      <xdr:colOff>342265</xdr:colOff>
      <xdr:row>0</xdr:row>
      <xdr:rowOff>929640</xdr:rowOff>
    </xdr:to>
    <xdr:sp>
      <xdr:nvSpPr>
        <xdr:cNvPr id="6" name="矩形: 圆角 49">
          <a:hlinkClick xmlns:r="http://schemas.openxmlformats.org/officeDocument/2006/relationships" r:id="rId2"/>
        </xdr:cNvPr>
        <xdr:cNvSpPr/>
      </xdr:nvSpPr>
      <xdr:spPr>
        <a:xfrm>
          <a:off x="16224250" y="577215"/>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12</xdr:col>
      <xdr:colOff>132080</xdr:colOff>
      <xdr:row>0</xdr:row>
      <xdr:rowOff>46990</xdr:rowOff>
    </xdr:from>
    <xdr:to>
      <xdr:col>13</xdr:col>
      <xdr:colOff>463550</xdr:colOff>
      <xdr:row>0</xdr:row>
      <xdr:rowOff>407035</xdr:rowOff>
    </xdr:to>
    <xdr:sp>
      <xdr:nvSpPr>
        <xdr:cNvPr id="2" name="矩形: 圆角 49">
          <a:hlinkClick xmlns:r="http://schemas.openxmlformats.org/officeDocument/2006/relationships" r:id="rId1"/>
        </xdr:cNvPr>
        <xdr:cNvSpPr/>
      </xdr:nvSpPr>
      <xdr:spPr>
        <a:xfrm>
          <a:off x="16248380" y="46990"/>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12</xdr:col>
      <xdr:colOff>137795</xdr:colOff>
      <xdr:row>0</xdr:row>
      <xdr:rowOff>588645</xdr:rowOff>
    </xdr:from>
    <xdr:to>
      <xdr:col>14</xdr:col>
      <xdr:colOff>372110</xdr:colOff>
      <xdr:row>0</xdr:row>
      <xdr:rowOff>941070</xdr:rowOff>
    </xdr:to>
    <xdr:sp>
      <xdr:nvSpPr>
        <xdr:cNvPr id="3" name="矩形: 圆角 49">
          <a:hlinkClick xmlns:r="http://schemas.openxmlformats.org/officeDocument/2006/relationships" r:id="rId2"/>
        </xdr:cNvPr>
        <xdr:cNvSpPr/>
      </xdr:nvSpPr>
      <xdr:spPr>
        <a:xfrm>
          <a:off x="16254095" y="588645"/>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11</xdr:col>
      <xdr:colOff>114935</xdr:colOff>
      <xdr:row>0</xdr:row>
      <xdr:rowOff>93345</xdr:rowOff>
    </xdr:from>
    <xdr:to>
      <xdr:col>12</xdr:col>
      <xdr:colOff>446405</xdr:colOff>
      <xdr:row>0</xdr:row>
      <xdr:rowOff>453390</xdr:rowOff>
    </xdr:to>
    <xdr:sp>
      <xdr:nvSpPr>
        <xdr:cNvPr id="2" name="矩形: 圆角 49">
          <a:hlinkClick xmlns:r="http://schemas.openxmlformats.org/officeDocument/2006/relationships" r:id="rId1"/>
        </xdr:cNvPr>
        <xdr:cNvSpPr/>
      </xdr:nvSpPr>
      <xdr:spPr>
        <a:xfrm>
          <a:off x="13897610" y="9334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11</xdr:col>
      <xdr:colOff>120650</xdr:colOff>
      <xdr:row>0</xdr:row>
      <xdr:rowOff>635000</xdr:rowOff>
    </xdr:from>
    <xdr:to>
      <xdr:col>13</xdr:col>
      <xdr:colOff>354965</xdr:colOff>
      <xdr:row>0</xdr:row>
      <xdr:rowOff>987425</xdr:rowOff>
    </xdr:to>
    <xdr:sp>
      <xdr:nvSpPr>
        <xdr:cNvPr id="3" name="矩形: 圆角 49">
          <a:hlinkClick xmlns:r="http://schemas.openxmlformats.org/officeDocument/2006/relationships" r:id="rId2"/>
        </xdr:cNvPr>
        <xdr:cNvSpPr/>
      </xdr:nvSpPr>
      <xdr:spPr>
        <a:xfrm>
          <a:off x="13903325" y="63500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15</xdr:col>
      <xdr:colOff>114935</xdr:colOff>
      <xdr:row>0</xdr:row>
      <xdr:rowOff>93345</xdr:rowOff>
    </xdr:from>
    <xdr:to>
      <xdr:col>16</xdr:col>
      <xdr:colOff>446405</xdr:colOff>
      <xdr:row>0</xdr:row>
      <xdr:rowOff>453390</xdr:rowOff>
    </xdr:to>
    <xdr:sp>
      <xdr:nvSpPr>
        <xdr:cNvPr id="2" name="矩形: 圆角 49">
          <a:hlinkClick xmlns:r="http://schemas.openxmlformats.org/officeDocument/2006/relationships" r:id="rId1"/>
        </xdr:cNvPr>
        <xdr:cNvSpPr/>
      </xdr:nvSpPr>
      <xdr:spPr>
        <a:xfrm>
          <a:off x="18432145" y="9334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15</xdr:col>
      <xdr:colOff>120650</xdr:colOff>
      <xdr:row>0</xdr:row>
      <xdr:rowOff>635000</xdr:rowOff>
    </xdr:from>
    <xdr:to>
      <xdr:col>17</xdr:col>
      <xdr:colOff>354965</xdr:colOff>
      <xdr:row>0</xdr:row>
      <xdr:rowOff>987425</xdr:rowOff>
    </xdr:to>
    <xdr:sp>
      <xdr:nvSpPr>
        <xdr:cNvPr id="4" name="矩形: 圆角 49">
          <a:hlinkClick xmlns:r="http://schemas.openxmlformats.org/officeDocument/2006/relationships" r:id="rId2"/>
        </xdr:cNvPr>
        <xdr:cNvSpPr/>
      </xdr:nvSpPr>
      <xdr:spPr>
        <a:xfrm>
          <a:off x="18437860" y="63500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17</xdr:col>
      <xdr:colOff>114935</xdr:colOff>
      <xdr:row>0</xdr:row>
      <xdr:rowOff>93345</xdr:rowOff>
    </xdr:from>
    <xdr:to>
      <xdr:col>18</xdr:col>
      <xdr:colOff>446405</xdr:colOff>
      <xdr:row>0</xdr:row>
      <xdr:rowOff>453390</xdr:rowOff>
    </xdr:to>
    <xdr:sp>
      <xdr:nvSpPr>
        <xdr:cNvPr id="2" name="矩形: 圆角 49">
          <a:hlinkClick xmlns:r="http://schemas.openxmlformats.org/officeDocument/2006/relationships" r:id="rId1"/>
        </xdr:cNvPr>
        <xdr:cNvSpPr/>
      </xdr:nvSpPr>
      <xdr:spPr>
        <a:xfrm>
          <a:off x="13098145" y="9334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17</xdr:col>
      <xdr:colOff>120650</xdr:colOff>
      <xdr:row>0</xdr:row>
      <xdr:rowOff>635000</xdr:rowOff>
    </xdr:from>
    <xdr:to>
      <xdr:col>19</xdr:col>
      <xdr:colOff>354965</xdr:colOff>
      <xdr:row>0</xdr:row>
      <xdr:rowOff>987425</xdr:rowOff>
    </xdr:to>
    <xdr:sp>
      <xdr:nvSpPr>
        <xdr:cNvPr id="3" name="矩形: 圆角 49">
          <a:hlinkClick xmlns:r="http://schemas.openxmlformats.org/officeDocument/2006/relationships" r:id="rId2"/>
        </xdr:cNvPr>
        <xdr:cNvSpPr/>
      </xdr:nvSpPr>
      <xdr:spPr>
        <a:xfrm>
          <a:off x="13103860" y="63500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33826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3" name="WordArt 1"/>
        <xdr:cNvSpPr/>
      </xdr:nvSpPr>
      <xdr:spPr>
        <a:xfrm>
          <a:off x="4802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5</xdr:row>
      <xdr:rowOff>161925</xdr:rowOff>
    </xdr:from>
    <xdr:to>
      <xdr:col>2</xdr:col>
      <xdr:colOff>19050</xdr:colOff>
      <xdr:row>5</xdr:row>
      <xdr:rowOff>381000</xdr:rowOff>
    </xdr:to>
    <xdr:sp>
      <xdr:nvSpPr>
        <xdr:cNvPr id="4" name="WordArt 1"/>
        <xdr:cNvSpPr/>
      </xdr:nvSpPr>
      <xdr:spPr>
        <a:xfrm>
          <a:off x="3382645" y="2915285"/>
          <a:ext cx="9525" cy="21907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xdr:row>
      <xdr:rowOff>161925</xdr:rowOff>
    </xdr:from>
    <xdr:to>
      <xdr:col>3</xdr:col>
      <xdr:colOff>19050</xdr:colOff>
      <xdr:row>5</xdr:row>
      <xdr:rowOff>381000</xdr:rowOff>
    </xdr:to>
    <xdr:sp>
      <xdr:nvSpPr>
        <xdr:cNvPr id="5" name="WordArt 1"/>
        <xdr:cNvSpPr/>
      </xdr:nvSpPr>
      <xdr:spPr>
        <a:xfrm>
          <a:off x="4802505" y="2915285"/>
          <a:ext cx="9525" cy="21907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7" name="WordArt 1"/>
        <xdr:cNvSpPr/>
      </xdr:nvSpPr>
      <xdr:spPr>
        <a:xfrm>
          <a:off x="33826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4802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5</xdr:row>
      <xdr:rowOff>161925</xdr:rowOff>
    </xdr:from>
    <xdr:to>
      <xdr:col>2</xdr:col>
      <xdr:colOff>19050</xdr:colOff>
      <xdr:row>5</xdr:row>
      <xdr:rowOff>381000</xdr:rowOff>
    </xdr:to>
    <xdr:sp>
      <xdr:nvSpPr>
        <xdr:cNvPr id="9" name="WordArt 1"/>
        <xdr:cNvSpPr/>
      </xdr:nvSpPr>
      <xdr:spPr>
        <a:xfrm>
          <a:off x="3382645" y="2915285"/>
          <a:ext cx="9525" cy="21907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xdr:row>
      <xdr:rowOff>161925</xdr:rowOff>
    </xdr:from>
    <xdr:to>
      <xdr:col>3</xdr:col>
      <xdr:colOff>19050</xdr:colOff>
      <xdr:row>5</xdr:row>
      <xdr:rowOff>381000</xdr:rowOff>
    </xdr:to>
    <xdr:sp>
      <xdr:nvSpPr>
        <xdr:cNvPr id="10" name="WordArt 1"/>
        <xdr:cNvSpPr/>
      </xdr:nvSpPr>
      <xdr:spPr>
        <a:xfrm>
          <a:off x="4802505" y="2915285"/>
          <a:ext cx="9525" cy="21907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67945</xdr:colOff>
      <xdr:row>0</xdr:row>
      <xdr:rowOff>635</xdr:rowOff>
    </xdr:from>
    <xdr:to>
      <xdr:col>9</xdr:col>
      <xdr:colOff>224790</xdr:colOff>
      <xdr:row>0</xdr:row>
      <xdr:rowOff>360680</xdr:rowOff>
    </xdr:to>
    <xdr:sp>
      <xdr:nvSpPr>
        <xdr:cNvPr id="12" name="矩形: 圆角 49">
          <a:hlinkClick xmlns:r="http://schemas.openxmlformats.org/officeDocument/2006/relationships" r:id="rId1"/>
        </xdr:cNvPr>
        <xdr:cNvSpPr/>
      </xdr:nvSpPr>
      <xdr:spPr>
        <a:xfrm>
          <a:off x="12673965" y="635"/>
          <a:ext cx="1033145"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73660</xdr:colOff>
      <xdr:row>0</xdr:row>
      <xdr:rowOff>541655</xdr:rowOff>
    </xdr:from>
    <xdr:to>
      <xdr:col>10</xdr:col>
      <xdr:colOff>133350</xdr:colOff>
      <xdr:row>0</xdr:row>
      <xdr:rowOff>894080</xdr:rowOff>
    </xdr:to>
    <xdr:sp>
      <xdr:nvSpPr>
        <xdr:cNvPr id="13" name="矩形: 圆角 49">
          <a:hlinkClick xmlns:r="http://schemas.openxmlformats.org/officeDocument/2006/relationships" r:id="rId2"/>
        </xdr:cNvPr>
        <xdr:cNvSpPr/>
      </xdr:nvSpPr>
      <xdr:spPr>
        <a:xfrm>
          <a:off x="12679680" y="541655"/>
          <a:ext cx="162179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11</xdr:col>
      <xdr:colOff>80645</xdr:colOff>
      <xdr:row>0</xdr:row>
      <xdr:rowOff>64135</xdr:rowOff>
    </xdr:from>
    <xdr:to>
      <xdr:col>12</xdr:col>
      <xdr:colOff>412115</xdr:colOff>
      <xdr:row>0</xdr:row>
      <xdr:rowOff>424180</xdr:rowOff>
    </xdr:to>
    <xdr:sp>
      <xdr:nvSpPr>
        <xdr:cNvPr id="3" name="矩形: 圆角 49">
          <a:hlinkClick xmlns:r="http://schemas.openxmlformats.org/officeDocument/2006/relationships" r:id="rId1"/>
        </xdr:cNvPr>
        <xdr:cNvSpPr/>
      </xdr:nvSpPr>
      <xdr:spPr>
        <a:xfrm>
          <a:off x="14625320" y="6413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11</xdr:col>
      <xdr:colOff>86360</xdr:colOff>
      <xdr:row>0</xdr:row>
      <xdr:rowOff>605790</xdr:rowOff>
    </xdr:from>
    <xdr:to>
      <xdr:col>13</xdr:col>
      <xdr:colOff>320675</xdr:colOff>
      <xdr:row>0</xdr:row>
      <xdr:rowOff>958215</xdr:rowOff>
    </xdr:to>
    <xdr:sp>
      <xdr:nvSpPr>
        <xdr:cNvPr id="4" name="矩形: 圆角 49">
          <a:hlinkClick xmlns:r="http://schemas.openxmlformats.org/officeDocument/2006/relationships" r:id="rId2"/>
        </xdr:cNvPr>
        <xdr:cNvSpPr/>
      </xdr:nvSpPr>
      <xdr:spPr>
        <a:xfrm>
          <a:off x="14631035" y="60579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4</xdr:col>
      <xdr:colOff>88900</xdr:colOff>
      <xdr:row>0</xdr:row>
      <xdr:rowOff>75565</xdr:rowOff>
    </xdr:from>
    <xdr:to>
      <xdr:col>4</xdr:col>
      <xdr:colOff>1049020</xdr:colOff>
      <xdr:row>0</xdr:row>
      <xdr:rowOff>435610</xdr:rowOff>
    </xdr:to>
    <xdr:sp>
      <xdr:nvSpPr>
        <xdr:cNvPr id="2" name="矩形: 圆角 49">
          <a:hlinkClick xmlns:r="http://schemas.openxmlformats.org/officeDocument/2006/relationships" r:id="rId1"/>
        </xdr:cNvPr>
        <xdr:cNvSpPr/>
      </xdr:nvSpPr>
      <xdr:spPr>
        <a:xfrm>
          <a:off x="13693140" y="7556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94615</xdr:colOff>
      <xdr:row>0</xdr:row>
      <xdr:rowOff>617220</xdr:rowOff>
    </xdr:from>
    <xdr:to>
      <xdr:col>5</xdr:col>
      <xdr:colOff>476885</xdr:colOff>
      <xdr:row>0</xdr:row>
      <xdr:rowOff>969645</xdr:rowOff>
    </xdr:to>
    <xdr:sp>
      <xdr:nvSpPr>
        <xdr:cNvPr id="3" name="矩形: 圆角 49">
          <a:hlinkClick xmlns:r="http://schemas.openxmlformats.org/officeDocument/2006/relationships" r:id="rId2"/>
        </xdr:cNvPr>
        <xdr:cNvSpPr/>
      </xdr:nvSpPr>
      <xdr:spPr>
        <a:xfrm>
          <a:off x="13698855" y="617220"/>
          <a:ext cx="159258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15</xdr:col>
      <xdr:colOff>51435</xdr:colOff>
      <xdr:row>0</xdr:row>
      <xdr:rowOff>35560</xdr:rowOff>
    </xdr:from>
    <xdr:to>
      <xdr:col>16</xdr:col>
      <xdr:colOff>382905</xdr:colOff>
      <xdr:row>0</xdr:row>
      <xdr:rowOff>395605</xdr:rowOff>
    </xdr:to>
    <xdr:sp>
      <xdr:nvSpPr>
        <xdr:cNvPr id="3" name="矩形: 圆角 49">
          <a:hlinkClick xmlns:r="http://schemas.openxmlformats.org/officeDocument/2006/relationships" r:id="rId1"/>
        </xdr:cNvPr>
        <xdr:cNvSpPr/>
      </xdr:nvSpPr>
      <xdr:spPr>
        <a:xfrm>
          <a:off x="19379565" y="35560"/>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15</xdr:col>
      <xdr:colOff>57150</xdr:colOff>
      <xdr:row>0</xdr:row>
      <xdr:rowOff>577215</xdr:rowOff>
    </xdr:from>
    <xdr:to>
      <xdr:col>17</xdr:col>
      <xdr:colOff>291465</xdr:colOff>
      <xdr:row>0</xdr:row>
      <xdr:rowOff>929640</xdr:rowOff>
    </xdr:to>
    <xdr:sp>
      <xdr:nvSpPr>
        <xdr:cNvPr id="4" name="矩形: 圆角 49">
          <a:hlinkClick xmlns:r="http://schemas.openxmlformats.org/officeDocument/2006/relationships" r:id="rId2"/>
        </xdr:cNvPr>
        <xdr:cNvSpPr/>
      </xdr:nvSpPr>
      <xdr:spPr>
        <a:xfrm>
          <a:off x="19385280" y="577215"/>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9</xdr:col>
      <xdr:colOff>85725</xdr:colOff>
      <xdr:row>0</xdr:row>
      <xdr:rowOff>23495</xdr:rowOff>
    </xdr:from>
    <xdr:to>
      <xdr:col>9</xdr:col>
      <xdr:colOff>1045845</xdr:colOff>
      <xdr:row>0</xdr:row>
      <xdr:rowOff>383540</xdr:rowOff>
    </xdr:to>
    <xdr:sp>
      <xdr:nvSpPr>
        <xdr:cNvPr id="3" name="矩形: 圆角 49">
          <a:hlinkClick xmlns:r="http://schemas.openxmlformats.org/officeDocument/2006/relationships" r:id="rId1"/>
        </xdr:cNvPr>
        <xdr:cNvSpPr/>
      </xdr:nvSpPr>
      <xdr:spPr>
        <a:xfrm>
          <a:off x="8555355" y="2349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9</xdr:col>
      <xdr:colOff>91440</xdr:colOff>
      <xdr:row>0</xdr:row>
      <xdr:rowOff>565150</xdr:rowOff>
    </xdr:from>
    <xdr:to>
      <xdr:col>10</xdr:col>
      <xdr:colOff>141605</xdr:colOff>
      <xdr:row>1</xdr:row>
      <xdr:rowOff>79375</xdr:rowOff>
    </xdr:to>
    <xdr:sp>
      <xdr:nvSpPr>
        <xdr:cNvPr id="4" name="矩形: 圆角 49">
          <a:hlinkClick xmlns:r="http://schemas.openxmlformats.org/officeDocument/2006/relationships" r:id="rId2"/>
        </xdr:cNvPr>
        <xdr:cNvSpPr/>
      </xdr:nvSpPr>
      <xdr:spPr>
        <a:xfrm>
          <a:off x="8561070" y="565150"/>
          <a:ext cx="162242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15</xdr:col>
      <xdr:colOff>55880</xdr:colOff>
      <xdr:row>0</xdr:row>
      <xdr:rowOff>69850</xdr:rowOff>
    </xdr:from>
    <xdr:to>
      <xdr:col>16</xdr:col>
      <xdr:colOff>387350</xdr:colOff>
      <xdr:row>0</xdr:row>
      <xdr:rowOff>429895</xdr:rowOff>
    </xdr:to>
    <xdr:sp>
      <xdr:nvSpPr>
        <xdr:cNvPr id="3" name="矩形: 圆角 49">
          <a:hlinkClick xmlns:r="http://schemas.openxmlformats.org/officeDocument/2006/relationships" r:id="rId1"/>
        </xdr:cNvPr>
        <xdr:cNvSpPr/>
      </xdr:nvSpPr>
      <xdr:spPr>
        <a:xfrm>
          <a:off x="19384010" y="69850"/>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15</xdr:col>
      <xdr:colOff>61595</xdr:colOff>
      <xdr:row>0</xdr:row>
      <xdr:rowOff>611505</xdr:rowOff>
    </xdr:from>
    <xdr:to>
      <xdr:col>17</xdr:col>
      <xdr:colOff>295910</xdr:colOff>
      <xdr:row>0</xdr:row>
      <xdr:rowOff>963930</xdr:rowOff>
    </xdr:to>
    <xdr:sp>
      <xdr:nvSpPr>
        <xdr:cNvPr id="4" name="矩形: 圆角 49">
          <a:hlinkClick xmlns:r="http://schemas.openxmlformats.org/officeDocument/2006/relationships" r:id="rId2"/>
        </xdr:cNvPr>
        <xdr:cNvSpPr/>
      </xdr:nvSpPr>
      <xdr:spPr>
        <a:xfrm>
          <a:off x="19389725" y="611505"/>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27</xdr:col>
      <xdr:colOff>78740</xdr:colOff>
      <xdr:row>0</xdr:row>
      <xdr:rowOff>104775</xdr:rowOff>
    </xdr:from>
    <xdr:to>
      <xdr:col>28</xdr:col>
      <xdr:colOff>410210</xdr:colOff>
      <xdr:row>0</xdr:row>
      <xdr:rowOff>464820</xdr:rowOff>
    </xdr:to>
    <xdr:sp>
      <xdr:nvSpPr>
        <xdr:cNvPr id="3" name="矩形: 圆角 49">
          <a:hlinkClick xmlns:r="http://schemas.openxmlformats.org/officeDocument/2006/relationships" r:id="rId1"/>
        </xdr:cNvPr>
        <xdr:cNvSpPr/>
      </xdr:nvSpPr>
      <xdr:spPr>
        <a:xfrm>
          <a:off x="30958790" y="104775"/>
          <a:ext cx="101727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27</xdr:col>
      <xdr:colOff>84455</xdr:colOff>
      <xdr:row>0</xdr:row>
      <xdr:rowOff>646430</xdr:rowOff>
    </xdr:from>
    <xdr:to>
      <xdr:col>29</xdr:col>
      <xdr:colOff>318770</xdr:colOff>
      <xdr:row>0</xdr:row>
      <xdr:rowOff>998855</xdr:rowOff>
    </xdr:to>
    <xdr:sp>
      <xdr:nvSpPr>
        <xdr:cNvPr id="4" name="矩形: 圆角 49">
          <a:hlinkClick xmlns:r="http://schemas.openxmlformats.org/officeDocument/2006/relationships" r:id="rId2"/>
        </xdr:cNvPr>
        <xdr:cNvSpPr/>
      </xdr:nvSpPr>
      <xdr:spPr>
        <a:xfrm>
          <a:off x="30964505" y="646430"/>
          <a:ext cx="160591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16</xdr:col>
      <xdr:colOff>97155</xdr:colOff>
      <xdr:row>0</xdr:row>
      <xdr:rowOff>93345</xdr:rowOff>
    </xdr:from>
    <xdr:to>
      <xdr:col>16</xdr:col>
      <xdr:colOff>1057275</xdr:colOff>
      <xdr:row>0</xdr:row>
      <xdr:rowOff>453390</xdr:rowOff>
    </xdr:to>
    <xdr:sp>
      <xdr:nvSpPr>
        <xdr:cNvPr id="3" name="矩形: 圆角 49">
          <a:hlinkClick xmlns:r="http://schemas.openxmlformats.org/officeDocument/2006/relationships" r:id="rId1"/>
        </xdr:cNvPr>
        <xdr:cNvSpPr/>
      </xdr:nvSpPr>
      <xdr:spPr>
        <a:xfrm>
          <a:off x="16905605" y="9334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16</xdr:col>
      <xdr:colOff>102870</xdr:colOff>
      <xdr:row>0</xdr:row>
      <xdr:rowOff>635000</xdr:rowOff>
    </xdr:from>
    <xdr:to>
      <xdr:col>17</xdr:col>
      <xdr:colOff>153035</xdr:colOff>
      <xdr:row>1</xdr:row>
      <xdr:rowOff>149225</xdr:rowOff>
    </xdr:to>
    <xdr:sp>
      <xdr:nvSpPr>
        <xdr:cNvPr id="4" name="矩形: 圆角 49">
          <a:hlinkClick xmlns:r="http://schemas.openxmlformats.org/officeDocument/2006/relationships" r:id="rId2"/>
        </xdr:cNvPr>
        <xdr:cNvSpPr/>
      </xdr:nvSpPr>
      <xdr:spPr>
        <a:xfrm>
          <a:off x="16911320" y="635000"/>
          <a:ext cx="162242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15</xdr:col>
      <xdr:colOff>94615</xdr:colOff>
      <xdr:row>0</xdr:row>
      <xdr:rowOff>64135</xdr:rowOff>
    </xdr:from>
    <xdr:to>
      <xdr:col>16</xdr:col>
      <xdr:colOff>650875</xdr:colOff>
      <xdr:row>0</xdr:row>
      <xdr:rowOff>424180</xdr:rowOff>
    </xdr:to>
    <xdr:sp>
      <xdr:nvSpPr>
        <xdr:cNvPr id="3" name="矩形: 圆角 49">
          <a:hlinkClick xmlns:r="http://schemas.openxmlformats.org/officeDocument/2006/relationships" r:id="rId1"/>
        </xdr:cNvPr>
        <xdr:cNvSpPr/>
      </xdr:nvSpPr>
      <xdr:spPr>
        <a:xfrm>
          <a:off x="19498945" y="64135"/>
          <a:ext cx="99695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15</xdr:col>
      <xdr:colOff>100330</xdr:colOff>
      <xdr:row>0</xdr:row>
      <xdr:rowOff>605790</xdr:rowOff>
    </xdr:from>
    <xdr:to>
      <xdr:col>16</xdr:col>
      <xdr:colOff>1188085</xdr:colOff>
      <xdr:row>1</xdr:row>
      <xdr:rowOff>120015</xdr:rowOff>
    </xdr:to>
    <xdr:sp>
      <xdr:nvSpPr>
        <xdr:cNvPr id="4" name="矩形: 圆角 49">
          <a:hlinkClick xmlns:r="http://schemas.openxmlformats.org/officeDocument/2006/relationships" r:id="rId2"/>
        </xdr:cNvPr>
        <xdr:cNvSpPr/>
      </xdr:nvSpPr>
      <xdr:spPr>
        <a:xfrm>
          <a:off x="19504660" y="605790"/>
          <a:ext cx="1528445"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4</xdr:col>
      <xdr:colOff>88900</xdr:colOff>
      <xdr:row>0</xdr:row>
      <xdr:rowOff>75565</xdr:rowOff>
    </xdr:from>
    <xdr:to>
      <xdr:col>4</xdr:col>
      <xdr:colOff>1049020</xdr:colOff>
      <xdr:row>0</xdr:row>
      <xdr:rowOff>435610</xdr:rowOff>
    </xdr:to>
    <xdr:sp>
      <xdr:nvSpPr>
        <xdr:cNvPr id="4" name="矩形: 圆角 49">
          <a:hlinkClick xmlns:r="http://schemas.openxmlformats.org/officeDocument/2006/relationships" r:id="rId1"/>
        </xdr:cNvPr>
        <xdr:cNvSpPr/>
      </xdr:nvSpPr>
      <xdr:spPr>
        <a:xfrm>
          <a:off x="14378940" y="7556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94615</xdr:colOff>
      <xdr:row>0</xdr:row>
      <xdr:rowOff>617220</xdr:rowOff>
    </xdr:from>
    <xdr:to>
      <xdr:col>5</xdr:col>
      <xdr:colOff>476885</xdr:colOff>
      <xdr:row>0</xdr:row>
      <xdr:rowOff>969645</xdr:rowOff>
    </xdr:to>
    <xdr:sp>
      <xdr:nvSpPr>
        <xdr:cNvPr id="5" name="矩形: 圆角 49">
          <a:hlinkClick xmlns:r="http://schemas.openxmlformats.org/officeDocument/2006/relationships" r:id="rId2"/>
        </xdr:cNvPr>
        <xdr:cNvSpPr/>
      </xdr:nvSpPr>
      <xdr:spPr>
        <a:xfrm>
          <a:off x="14384655" y="617220"/>
          <a:ext cx="159258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5</xdr:col>
      <xdr:colOff>76200</xdr:colOff>
      <xdr:row>7</xdr:row>
      <xdr:rowOff>7620</xdr:rowOff>
    </xdr:from>
    <xdr:to>
      <xdr:col>9</xdr:col>
      <xdr:colOff>23495</xdr:colOff>
      <xdr:row>8</xdr:row>
      <xdr:rowOff>292735</xdr:rowOff>
    </xdr:to>
    <xdr:sp>
      <xdr:nvSpPr>
        <xdr:cNvPr id="2" name="文本框 1"/>
        <xdr:cNvSpPr txBox="1"/>
      </xdr:nvSpPr>
      <xdr:spPr>
        <a:xfrm>
          <a:off x="8190865" y="3017520"/>
          <a:ext cx="4269105" cy="678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b="1">
              <a:solidFill>
                <a:sysClr val="windowText" lastClr="000000"/>
              </a:solidFill>
              <a:effectLst>
                <a:outerShdw blurRad="38100" dist="19050" dir="2700000" algn="tl" rotWithShape="0">
                  <a:schemeClr val="dk1">
                    <a:alpha val="40000"/>
                  </a:schemeClr>
                </a:outerShdw>
              </a:effectLst>
            </a:rPr>
            <a:t>电池资料为：</a:t>
          </a:r>
          <a:r>
            <a:rPr lang="en-US" altLang="zh-CN" b="1">
              <a:solidFill>
                <a:sysClr val="windowText" lastClr="000000"/>
              </a:solidFill>
              <a:effectLst>
                <a:outerShdw blurRad="38100" dist="19050" dir="2700000" algn="tl" rotWithShape="0">
                  <a:schemeClr val="dk1">
                    <a:alpha val="40000"/>
                  </a:schemeClr>
                </a:outerShdw>
              </a:effectLst>
            </a:rPr>
            <a:t>MSDS</a:t>
          </a:r>
          <a:r>
            <a:rPr lang="zh-CN" altLang="en-US" b="1">
              <a:solidFill>
                <a:sysClr val="windowText" lastClr="000000"/>
              </a:solidFill>
              <a:effectLst>
                <a:outerShdw blurRad="38100" dist="19050" dir="2700000" algn="tl" rotWithShape="0">
                  <a:schemeClr val="dk1">
                    <a:alpha val="40000"/>
                  </a:schemeClr>
                </a:outerShdw>
              </a:effectLst>
            </a:rPr>
            <a:t>、</a:t>
          </a:r>
          <a:r>
            <a:rPr lang="en-US" altLang="zh-CN" b="1">
              <a:solidFill>
                <a:sysClr val="windowText" lastClr="000000"/>
              </a:solidFill>
              <a:effectLst>
                <a:outerShdw blurRad="38100" dist="19050" dir="2700000" algn="tl" rotWithShape="0">
                  <a:schemeClr val="dk1">
                    <a:alpha val="40000"/>
                  </a:schemeClr>
                </a:outerShdw>
              </a:effectLst>
            </a:rPr>
            <a:t>UN38.3</a:t>
          </a:r>
          <a:r>
            <a:rPr lang="zh-CN" altLang="en-US" b="1">
              <a:solidFill>
                <a:sysClr val="windowText" lastClr="000000"/>
              </a:solidFill>
              <a:effectLst>
                <a:outerShdw blurRad="38100" dist="19050" dir="2700000" algn="tl" rotWithShape="0">
                  <a:schemeClr val="dk1">
                    <a:alpha val="40000"/>
                  </a:schemeClr>
                </a:outerShdw>
              </a:effectLst>
            </a:rPr>
            <a:t>、海运鉴定报告</a:t>
          </a:r>
          <a:endParaRPr lang="zh-CN" altLang="en-US" b="1">
            <a:solidFill>
              <a:sysClr val="windowText" lastClr="000000"/>
            </a:solidFill>
            <a:effectLst>
              <a:outerShdw blurRad="38100" dist="19050" dir="2700000" algn="tl" rotWithShape="0">
                <a:schemeClr val="dk1">
                  <a:alpha val="40000"/>
                </a:schemeClr>
              </a:outerShdw>
            </a:effectLst>
          </a:endParaRPr>
        </a:p>
        <a:p>
          <a:pPr algn="l"/>
          <a:r>
            <a:rPr lang="zh-CN" altLang="en-US" b="1">
              <a:solidFill>
                <a:sysClr val="windowText" lastClr="000000"/>
              </a:solidFill>
              <a:effectLst>
                <a:outerShdw blurRad="38100" dist="19050" dir="2700000" algn="tl" rotWithShape="0">
                  <a:schemeClr val="dk1">
                    <a:alpha val="40000"/>
                  </a:schemeClr>
                </a:outerShdw>
              </a:effectLst>
            </a:rPr>
            <a:t>危包证资料为：性能单、使用单。两份必须同时提供并核销</a:t>
          </a:r>
          <a:endParaRPr lang="zh-CN" altLang="en-US" b="1">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xdr:from>
      <xdr:col>5</xdr:col>
      <xdr:colOff>157480</xdr:colOff>
      <xdr:row>8</xdr:row>
      <xdr:rowOff>379730</xdr:rowOff>
    </xdr:from>
    <xdr:to>
      <xdr:col>8</xdr:col>
      <xdr:colOff>988695</xdr:colOff>
      <xdr:row>10</xdr:row>
      <xdr:rowOff>260350</xdr:rowOff>
    </xdr:to>
    <xdr:grpSp>
      <xdr:nvGrpSpPr>
        <xdr:cNvPr id="3" name="组合 2"/>
        <xdr:cNvGrpSpPr/>
      </xdr:nvGrpSpPr>
      <xdr:grpSpPr>
        <a:xfrm>
          <a:off x="8272145" y="3783330"/>
          <a:ext cx="3968750" cy="668020"/>
          <a:chOff x="11454" y="10246"/>
          <a:chExt cx="5708" cy="958"/>
        </a:xfrm>
      </xdr:grpSpPr>
      <xdr:pic>
        <xdr:nvPicPr>
          <xdr:cNvPr id="4" name="图片 3"/>
          <xdr:cNvPicPr>
            <a:picLocks noChangeAspect="1"/>
          </xdr:cNvPicPr>
        </xdr:nvPicPr>
        <xdr:blipFill>
          <a:blip r:embed="rId1"/>
          <a:stretch>
            <a:fillRect/>
          </a:stretch>
        </xdr:blipFill>
        <xdr:spPr>
          <a:xfrm>
            <a:off x="11454" y="10246"/>
            <a:ext cx="5709" cy="958"/>
          </a:xfrm>
          <a:prstGeom prst="rect">
            <a:avLst/>
          </a:prstGeom>
          <a:noFill/>
          <a:ln w="9525">
            <a:noFill/>
          </a:ln>
        </xdr:spPr>
      </xdr:pic>
      <xdr:sp>
        <xdr:nvSpPr>
          <xdr:cNvPr id="5" name="文本框 4"/>
          <xdr:cNvSpPr txBox="1"/>
        </xdr:nvSpPr>
        <xdr:spPr>
          <a:xfrm>
            <a:off x="15715" y="10272"/>
            <a:ext cx="1438" cy="339"/>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使用单</a:t>
            </a:r>
            <a:endParaRPr lang="zh-CN" altLang="en-US" sz="1100"/>
          </a:p>
        </xdr:txBody>
      </xdr:sp>
    </xdr:grpSp>
    <xdr:clientData/>
  </xdr:twoCellAnchor>
  <xdr:twoCellAnchor>
    <xdr:from>
      <xdr:col>5</xdr:col>
      <xdr:colOff>74295</xdr:colOff>
      <xdr:row>5</xdr:row>
      <xdr:rowOff>271145</xdr:rowOff>
    </xdr:from>
    <xdr:to>
      <xdr:col>8</xdr:col>
      <xdr:colOff>1028065</xdr:colOff>
      <xdr:row>6</xdr:row>
      <xdr:rowOff>393700</xdr:rowOff>
    </xdr:to>
    <xdr:grpSp>
      <xdr:nvGrpSpPr>
        <xdr:cNvPr id="6" name="组合 5"/>
        <xdr:cNvGrpSpPr/>
      </xdr:nvGrpSpPr>
      <xdr:grpSpPr>
        <a:xfrm>
          <a:off x="8188960" y="2493645"/>
          <a:ext cx="4091305" cy="516255"/>
          <a:chOff x="11276" y="9205"/>
          <a:chExt cx="5460" cy="866"/>
        </a:xfrm>
      </xdr:grpSpPr>
      <xdr:pic>
        <xdr:nvPicPr>
          <xdr:cNvPr id="7" name="图片 6"/>
          <xdr:cNvPicPr>
            <a:picLocks noChangeAspect="1"/>
          </xdr:cNvPicPr>
        </xdr:nvPicPr>
        <xdr:blipFill>
          <a:blip r:embed="rId2"/>
          <a:stretch>
            <a:fillRect/>
          </a:stretch>
        </xdr:blipFill>
        <xdr:spPr>
          <a:xfrm>
            <a:off x="11276" y="9205"/>
            <a:ext cx="5461" cy="866"/>
          </a:xfrm>
          <a:prstGeom prst="rect">
            <a:avLst/>
          </a:prstGeom>
          <a:noFill/>
          <a:ln w="9525">
            <a:noFill/>
          </a:ln>
        </xdr:spPr>
      </xdr:pic>
      <xdr:sp>
        <xdr:nvSpPr>
          <xdr:cNvPr id="8" name="文本框 7"/>
          <xdr:cNvSpPr txBox="1"/>
        </xdr:nvSpPr>
        <xdr:spPr>
          <a:xfrm>
            <a:off x="15253" y="9345"/>
            <a:ext cx="1438" cy="401"/>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性能单</a:t>
            </a:r>
            <a:endParaRPr lang="zh-CN" altLang="en-US" sz="1100"/>
          </a:p>
        </xdr:txBody>
      </xdr:sp>
    </xdr:grpSp>
    <xdr:clientData/>
  </xdr:twoCellAnchor>
  <xdr:twoCellAnchor>
    <xdr:from>
      <xdr:col>11</xdr:col>
      <xdr:colOff>76835</xdr:colOff>
      <xdr:row>0</xdr:row>
      <xdr:rowOff>60325</xdr:rowOff>
    </xdr:from>
    <xdr:to>
      <xdr:col>12</xdr:col>
      <xdr:colOff>78105</xdr:colOff>
      <xdr:row>0</xdr:row>
      <xdr:rowOff>420370</xdr:rowOff>
    </xdr:to>
    <xdr:sp>
      <xdr:nvSpPr>
        <xdr:cNvPr id="10" name="矩形: 圆角 49">
          <a:hlinkClick xmlns:r="http://schemas.openxmlformats.org/officeDocument/2006/relationships" r:id="rId3"/>
        </xdr:cNvPr>
        <xdr:cNvSpPr/>
      </xdr:nvSpPr>
      <xdr:spPr>
        <a:xfrm>
          <a:off x="14605000" y="60325"/>
          <a:ext cx="1047115"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11</xdr:col>
      <xdr:colOff>82550</xdr:colOff>
      <xdr:row>0</xdr:row>
      <xdr:rowOff>601980</xdr:rowOff>
    </xdr:from>
    <xdr:to>
      <xdr:col>12</xdr:col>
      <xdr:colOff>615315</xdr:colOff>
      <xdr:row>1</xdr:row>
      <xdr:rowOff>179705</xdr:rowOff>
    </xdr:to>
    <xdr:sp>
      <xdr:nvSpPr>
        <xdr:cNvPr id="11" name="矩形: 圆角 49">
          <a:hlinkClick xmlns:r="http://schemas.openxmlformats.org/officeDocument/2006/relationships" r:id="rId4"/>
        </xdr:cNvPr>
        <xdr:cNvSpPr/>
      </xdr:nvSpPr>
      <xdr:spPr>
        <a:xfrm>
          <a:off x="14610715" y="601980"/>
          <a:ext cx="1578610" cy="3524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8</xdr:col>
      <xdr:colOff>111760</xdr:colOff>
      <xdr:row>0</xdr:row>
      <xdr:rowOff>67945</xdr:rowOff>
    </xdr:from>
    <xdr:to>
      <xdr:col>8</xdr:col>
      <xdr:colOff>1176020</xdr:colOff>
      <xdr:row>0</xdr:row>
      <xdr:rowOff>427990</xdr:rowOff>
    </xdr:to>
    <xdr:sp>
      <xdr:nvSpPr>
        <xdr:cNvPr id="2" name="矩形: 圆角 49">
          <a:hlinkClick xmlns:r="http://schemas.openxmlformats.org/officeDocument/2006/relationships" r:id="rId1"/>
        </xdr:cNvPr>
        <xdr:cNvSpPr/>
      </xdr:nvSpPr>
      <xdr:spPr>
        <a:xfrm>
          <a:off x="19347815" y="67945"/>
          <a:ext cx="106426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117475</xdr:colOff>
      <xdr:row>0</xdr:row>
      <xdr:rowOff>609600</xdr:rowOff>
    </xdr:from>
    <xdr:to>
      <xdr:col>8</xdr:col>
      <xdr:colOff>1518920</xdr:colOff>
      <xdr:row>0</xdr:row>
      <xdr:rowOff>1145540</xdr:rowOff>
    </xdr:to>
    <xdr:sp>
      <xdr:nvSpPr>
        <xdr:cNvPr id="4" name="矩形: 圆角 49">
          <a:hlinkClick xmlns:r="http://schemas.openxmlformats.org/officeDocument/2006/relationships" r:id="rId2"/>
        </xdr:cNvPr>
        <xdr:cNvSpPr/>
      </xdr:nvSpPr>
      <xdr:spPr>
        <a:xfrm>
          <a:off x="19353530" y="609600"/>
          <a:ext cx="1401445" cy="53594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5</xdr:col>
      <xdr:colOff>104775</xdr:colOff>
      <xdr:row>0</xdr:row>
      <xdr:rowOff>55245</xdr:rowOff>
    </xdr:from>
    <xdr:to>
      <xdr:col>5</xdr:col>
      <xdr:colOff>1064895</xdr:colOff>
      <xdr:row>0</xdr:row>
      <xdr:rowOff>415290</xdr:rowOff>
    </xdr:to>
    <xdr:sp>
      <xdr:nvSpPr>
        <xdr:cNvPr id="3" name="矩形: 圆角 49">
          <a:hlinkClick xmlns:r="http://schemas.openxmlformats.org/officeDocument/2006/relationships" r:id="rId1"/>
        </xdr:cNvPr>
        <xdr:cNvSpPr/>
      </xdr:nvSpPr>
      <xdr:spPr>
        <a:xfrm>
          <a:off x="12293600" y="55245"/>
          <a:ext cx="960120" cy="3600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109855</xdr:colOff>
      <xdr:row>0</xdr:row>
      <xdr:rowOff>596900</xdr:rowOff>
    </xdr:from>
    <xdr:to>
      <xdr:col>5</xdr:col>
      <xdr:colOff>1412875</xdr:colOff>
      <xdr:row>0</xdr:row>
      <xdr:rowOff>1009650</xdr:rowOff>
    </xdr:to>
    <xdr:sp>
      <xdr:nvSpPr>
        <xdr:cNvPr id="4" name="矩形: 圆角 49">
          <a:hlinkClick xmlns:r="http://schemas.openxmlformats.org/officeDocument/2006/relationships" r:id="rId2"/>
        </xdr:cNvPr>
        <xdr:cNvSpPr/>
      </xdr:nvSpPr>
      <xdr:spPr>
        <a:xfrm>
          <a:off x="12298680" y="596900"/>
          <a:ext cx="1303020" cy="4127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chemeClr val="bg1"/>
              </a:solidFill>
              <a:latin typeface="微软雅黑 Light" panose="020B0502040204020203" pitchFamily="34" charset="-122"/>
              <a:ea typeface="微软雅黑 Light" panose="020B0502040204020203" pitchFamily="34" charset="-122"/>
            </a:rPr>
            <a:t>返回渠道目录表</a:t>
          </a:r>
          <a:endParaRPr lang="en-US" altLang="zh-CN"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xwechat_files\wxid_ae9xull8qs4421_976f\msg\file\2026-04\2026&#24180;3&#26376;30&#26085;%20ETTON%20&#26131;&#36890;&#31185;&#25216;&#29289;&#27969;&#20215;&#26684;&#34920;&#26356;&#26032;xls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ONOR\Documents\xwechat_files\wxid_ae9xull8qs4421_976f\msg\file\2026-05\2026&#24180;5&#26376;11&#26085;%20ETTON%20&#26131;&#36890;&#31185;&#25216;&#29289;&#27969;&#20215;&#26684;&#34920;&#26356;&#2603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查询首页"/>
      <sheetName val="美国赔偿标准和免赔声明"/>
      <sheetName val="渠道目录"/>
      <sheetName val="美国发货须知"/>
      <sheetName val="价格快速查询"/>
      <sheetName val="美西整柜直送"/>
      <sheetName val="美国海派"/>
      <sheetName val="美西12-15日达"/>
      <sheetName val="美西17-20日达"/>
      <sheetName val="美西22-25日达"/>
      <sheetName val="DG海卡"/>
      <sheetName val="东部稳速达"/>
      <sheetName val="美西北专线"/>
      <sheetName val="芝加哥专线"/>
      <sheetName val="休斯顿专线"/>
      <sheetName val="纽约专线"/>
      <sheetName val="萨凡纳专线"/>
      <sheetName val="美西私人地址"/>
      <sheetName val="美国拦截服务"/>
      <sheetName val="易通国内仓服务"/>
      <sheetName val="FBA偏远仓"/>
      <sheetName val="美国偏远地址邮编"/>
      <sheetName val="美国超偏远地址邮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查询首页"/>
      <sheetName val="美国赔偿标准和免赔声明"/>
      <sheetName val="渠道目录"/>
      <sheetName val="美国发货须知"/>
      <sheetName val="船期表"/>
      <sheetName val="价格快速查询"/>
      <sheetName val="FBA渠道"/>
      <sheetName val="美西整柜直送"/>
      <sheetName val="美国海派"/>
      <sheetName val="美西12-15日达"/>
      <sheetName val="美西17-20日达"/>
      <sheetName val="美西22-25日达"/>
      <sheetName val="DG海卡"/>
      <sheetName val="美西北专线"/>
      <sheetName val="芝加哥专线"/>
      <sheetName val="休斯顿专线"/>
      <sheetName val="纽约专线"/>
      <sheetName val="萨凡纳专线"/>
      <sheetName val="美西私人地址"/>
      <sheetName val="欧海通"/>
      <sheetName val="欧铁通"/>
      <sheetName val="欧卡通"/>
      <sheetName val="英卡通 "/>
      <sheetName val="英国海派"/>
      <sheetName val="美转墨准时达"/>
      <sheetName val="UPS红单"/>
      <sheetName val="美国空派"/>
      <sheetName val="欧洲空派"/>
      <sheetName val="英国空派"/>
      <sheetName val="美国拦截服务"/>
      <sheetName val="易通国内仓服务"/>
      <sheetName val="FBA偏远仓"/>
      <sheetName val="美国偏远地址邮编"/>
      <sheetName val="美国超偏远地址邮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44"/>
  <sheetViews>
    <sheetView showGridLines="0" zoomScale="59" zoomScaleNormal="59" workbookViewId="0">
      <selection activeCell="A1" sqref="A1:K1"/>
    </sheetView>
  </sheetViews>
  <sheetFormatPr defaultColWidth="9" defaultRowHeight="13.5"/>
  <cols>
    <col min="1" max="18" width="15.775" customWidth="1"/>
  </cols>
  <sheetData>
    <row r="1" ht="100.05" customHeight="1" spans="1:11">
      <c r="A1" s="7" t="str">
        <f>_xlfn.DISPIMG("ID_D6697A225B864C34A678052B48D4E660",1)</f>
        <v>=DISPIMG("ID_D6697A225B864C34A678052B48D4E660",1)</v>
      </c>
      <c r="B1" s="7"/>
      <c r="C1" s="7"/>
      <c r="D1" s="7"/>
      <c r="E1" s="7"/>
      <c r="F1" s="7"/>
      <c r="G1" s="7"/>
      <c r="H1" s="7"/>
      <c r="I1" s="7"/>
      <c r="J1" s="7"/>
      <c r="K1" s="7"/>
    </row>
    <row r="2" ht="19.95" customHeight="1"/>
    <row r="3" ht="19.95" customHeight="1"/>
    <row r="4" ht="19.95" customHeight="1"/>
    <row r="5" ht="19.95" customHeight="1"/>
    <row r="6" ht="19.95" customHeight="1"/>
    <row r="7" ht="19.95" customHeight="1"/>
    <row r="8" ht="19.95" customHeight="1"/>
    <row r="9" ht="19.95" customHeight="1"/>
    <row r="10" ht="19.95" customHeight="1"/>
    <row r="11" ht="19.95" customHeight="1"/>
    <row r="12" ht="19.95" customHeight="1"/>
    <row r="13" ht="19.95" customHeight="1"/>
    <row r="14" ht="19.95" customHeight="1"/>
    <row r="15" ht="19.95" customHeight="1"/>
    <row r="16" ht="19.95" customHeight="1"/>
    <row r="17" ht="19.95" customHeight="1"/>
    <row r="18" ht="19.95" customHeight="1"/>
    <row r="19" ht="19.95" customHeight="1"/>
    <row r="20" ht="19.95" customHeight="1"/>
    <row r="21" ht="19.95" customHeight="1"/>
    <row r="22" ht="19.95" customHeight="1"/>
    <row r="23" ht="19.95" customHeight="1"/>
    <row r="24" ht="19.95" customHeight="1"/>
    <row r="25" ht="19.95" customHeight="1"/>
    <row r="26" ht="19.95" customHeight="1"/>
    <row r="27" ht="19.95" customHeight="1"/>
    <row r="28" ht="19.95" customHeight="1"/>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sheetData>
  <mergeCells count="1">
    <mergeCell ref="A1:K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29"/>
  <sheetViews>
    <sheetView showGridLines="0" tabSelected="1" zoomScale="55" zoomScaleNormal="55" workbookViewId="0">
      <pane ySplit="2" topLeftCell="A3" activePane="bottomLeft" state="frozen"/>
      <selection/>
      <selection pane="bottomLeft" activeCell="A1" sqref="A1:G1"/>
    </sheetView>
  </sheetViews>
  <sheetFormatPr defaultColWidth="9" defaultRowHeight="17.25"/>
  <cols>
    <col min="1" max="1" width="15.6333333333333" style="253" customWidth="1"/>
    <col min="2" max="2" width="35.6333333333333" style="255" customWidth="1"/>
    <col min="3" max="3" width="30.6333333333333" style="255" customWidth="1"/>
    <col min="4" max="4" width="35.6333333333333" style="253" customWidth="1"/>
    <col min="5" max="5" width="73.2083333333333" style="253" customWidth="1"/>
    <col min="6" max="6" width="30.6333333333333" style="253" customWidth="1"/>
    <col min="7" max="7" width="55.6333333333333" style="253" customWidth="1"/>
    <col min="8" max="8" width="14.8833333333333" style="253" customWidth="1"/>
    <col min="9" max="16384" width="9" style="253"/>
  </cols>
  <sheetData>
    <row r="1" s="252" customFormat="1" ht="100.05" customHeight="1" spans="1:21">
      <c r="A1" s="64" t="str">
        <f>_xlfn.DISPIMG("ID_D6697A225B864C34A678052B48D4E660",1)</f>
        <v>=DISPIMG("ID_D6697A225B864C34A678052B48D4E660",1)</v>
      </c>
      <c r="B1" s="108"/>
      <c r="C1" s="108"/>
      <c r="D1" s="108"/>
      <c r="E1" s="108"/>
      <c r="F1" s="108"/>
      <c r="G1" s="108"/>
      <c r="H1" s="256"/>
      <c r="I1" s="256"/>
      <c r="J1" s="256"/>
      <c r="K1" s="256"/>
      <c r="L1" s="256"/>
      <c r="M1" s="256"/>
      <c r="N1" s="256"/>
      <c r="O1" s="256"/>
      <c r="P1" s="256"/>
      <c r="Q1" s="256"/>
      <c r="R1" s="256"/>
      <c r="S1" s="256"/>
      <c r="T1" s="256"/>
      <c r="U1" s="256"/>
    </row>
    <row r="2" s="253" customFormat="1" ht="40" customHeight="1" spans="1:21">
      <c r="A2" s="257" t="s">
        <v>0</v>
      </c>
      <c r="B2" s="257" t="s">
        <v>1</v>
      </c>
      <c r="C2" s="257" t="s">
        <v>2</v>
      </c>
      <c r="D2" s="257" t="s">
        <v>3</v>
      </c>
      <c r="E2" s="257" t="s">
        <v>4</v>
      </c>
      <c r="F2" s="257" t="s">
        <v>5</v>
      </c>
      <c r="G2" s="257" t="s">
        <v>6</v>
      </c>
    </row>
    <row r="3" s="253" customFormat="1" ht="35" customHeight="1" spans="1:21">
      <c r="A3" s="258" t="s">
        <v>7</v>
      </c>
      <c r="B3" s="258" t="s">
        <v>8</v>
      </c>
      <c r="C3" s="259" t="s">
        <v>9</v>
      </c>
      <c r="D3" s="260" t="s">
        <v>10</v>
      </c>
      <c r="E3" s="260" t="s">
        <v>11</v>
      </c>
      <c r="F3" s="261" t="s">
        <v>12</v>
      </c>
      <c r="G3" s="262" t="s">
        <v>13</v>
      </c>
      <c r="H3" s="263"/>
    </row>
    <row r="4" s="253" customFormat="1" ht="35" customHeight="1" spans="1:21">
      <c r="A4" s="258"/>
      <c r="B4" s="258"/>
      <c r="C4" s="259"/>
      <c r="D4" s="260" t="s">
        <v>14</v>
      </c>
      <c r="E4" s="260" t="s">
        <v>15</v>
      </c>
      <c r="F4" s="261" t="s">
        <v>16</v>
      </c>
      <c r="G4" s="262" t="s">
        <v>13</v>
      </c>
      <c r="H4" s="263"/>
    </row>
    <row r="5" s="253" customFormat="1" ht="35" customHeight="1" spans="1:21">
      <c r="A5" s="258"/>
      <c r="B5" s="258"/>
      <c r="C5" s="259"/>
      <c r="D5" s="260" t="s">
        <v>17</v>
      </c>
      <c r="E5" s="260" t="s">
        <v>18</v>
      </c>
      <c r="F5" s="261" t="s">
        <v>19</v>
      </c>
      <c r="G5" s="262" t="s">
        <v>13</v>
      </c>
      <c r="H5" s="263"/>
    </row>
    <row r="6" s="253" customFormat="1" ht="35" customHeight="1" spans="1:21">
      <c r="A6" s="258"/>
      <c r="B6" s="258"/>
      <c r="C6" s="264"/>
      <c r="D6" s="260" t="s">
        <v>20</v>
      </c>
      <c r="E6" s="260" t="s">
        <v>21</v>
      </c>
      <c r="F6" s="261" t="s">
        <v>22</v>
      </c>
      <c r="G6" s="262" t="s">
        <v>13</v>
      </c>
      <c r="H6" s="263"/>
    </row>
    <row r="7" s="253" customFormat="1" ht="35" customHeight="1" spans="1:21">
      <c r="A7" s="258"/>
      <c r="B7" s="258" t="s">
        <v>23</v>
      </c>
      <c r="C7" s="259" t="s">
        <v>9</v>
      </c>
      <c r="D7" s="260" t="s">
        <v>24</v>
      </c>
      <c r="E7" s="260" t="s">
        <v>25</v>
      </c>
      <c r="F7" s="261" t="s">
        <v>26</v>
      </c>
      <c r="G7" s="262" t="s">
        <v>13</v>
      </c>
    </row>
    <row r="8" s="253" customFormat="1" ht="35" customHeight="1" spans="1:21">
      <c r="A8" s="258"/>
      <c r="B8" s="258"/>
      <c r="C8" s="265"/>
      <c r="D8" s="260" t="s">
        <v>27</v>
      </c>
      <c r="E8" s="260" t="s">
        <v>18</v>
      </c>
      <c r="F8" s="261" t="s">
        <v>28</v>
      </c>
      <c r="G8" s="262" t="s">
        <v>13</v>
      </c>
      <c r="H8" s="263"/>
    </row>
    <row r="9" s="253" customFormat="1" ht="35" customHeight="1" spans="1:21">
      <c r="A9" s="258"/>
      <c r="B9" s="258"/>
      <c r="C9" s="264"/>
      <c r="D9" s="260" t="s">
        <v>29</v>
      </c>
      <c r="E9" s="260" t="s">
        <v>21</v>
      </c>
      <c r="F9" s="261" t="s">
        <v>30</v>
      </c>
      <c r="G9" s="262" t="s">
        <v>13</v>
      </c>
      <c r="H9" s="263"/>
    </row>
    <row r="10" s="253" customFormat="1" ht="35" customHeight="1" spans="1:21">
      <c r="A10" s="258"/>
      <c r="B10" s="258" t="s">
        <v>31</v>
      </c>
      <c r="C10" s="259" t="s">
        <v>9</v>
      </c>
      <c r="D10" s="260" t="s">
        <v>32</v>
      </c>
      <c r="E10" s="260" t="s">
        <v>33</v>
      </c>
      <c r="F10" s="261" t="s">
        <v>34</v>
      </c>
      <c r="G10" s="262" t="s">
        <v>13</v>
      </c>
    </row>
    <row r="11" s="253" customFormat="1" ht="35" customHeight="1" spans="1:21">
      <c r="A11" s="258"/>
      <c r="B11" s="258"/>
      <c r="C11" s="264"/>
      <c r="D11" s="260" t="s">
        <v>35</v>
      </c>
      <c r="E11" s="260" t="s">
        <v>36</v>
      </c>
      <c r="F11" s="261" t="s">
        <v>37</v>
      </c>
      <c r="G11" s="262" t="s">
        <v>13</v>
      </c>
    </row>
    <row r="12" s="253" customFormat="1" ht="35" customHeight="1" spans="1:21">
      <c r="A12" s="258"/>
      <c r="B12" s="258" t="s">
        <v>38</v>
      </c>
      <c r="C12" s="259" t="s">
        <v>9</v>
      </c>
      <c r="D12" s="260" t="s">
        <v>39</v>
      </c>
      <c r="E12" s="260" t="s">
        <v>40</v>
      </c>
      <c r="F12" s="261" t="s">
        <v>41</v>
      </c>
      <c r="G12" s="262" t="s">
        <v>13</v>
      </c>
    </row>
    <row r="13" s="253" customFormat="1" ht="35" customHeight="1" spans="1:21">
      <c r="A13" s="258"/>
      <c r="B13" s="258"/>
      <c r="C13" s="264"/>
      <c r="D13" s="260" t="s">
        <v>42</v>
      </c>
      <c r="E13" s="260" t="s">
        <v>36</v>
      </c>
      <c r="F13" s="261" t="s">
        <v>43</v>
      </c>
      <c r="G13" s="262" t="s">
        <v>13</v>
      </c>
    </row>
    <row r="14" s="253" customFormat="1" ht="35" customHeight="1" spans="1:21">
      <c r="A14" s="258"/>
      <c r="B14" s="258" t="s">
        <v>44</v>
      </c>
      <c r="C14" s="259" t="s">
        <v>9</v>
      </c>
      <c r="D14" s="260" t="s">
        <v>45</v>
      </c>
      <c r="E14" s="260" t="s">
        <v>46</v>
      </c>
      <c r="F14" s="261" t="s">
        <v>47</v>
      </c>
      <c r="G14" s="262" t="s">
        <v>13</v>
      </c>
    </row>
    <row r="15" s="253" customFormat="1" ht="35" customHeight="1" spans="1:21">
      <c r="A15" s="258"/>
      <c r="B15" s="258" t="s">
        <v>48</v>
      </c>
      <c r="C15" s="259" t="s">
        <v>9</v>
      </c>
      <c r="D15" s="260" t="s">
        <v>49</v>
      </c>
      <c r="E15" s="260" t="s">
        <v>50</v>
      </c>
      <c r="F15" s="261" t="s">
        <v>51</v>
      </c>
      <c r="G15" s="262" t="s">
        <v>13</v>
      </c>
    </row>
    <row r="16" s="253" customFormat="1" ht="35" customHeight="1" spans="1:21">
      <c r="A16" s="258"/>
      <c r="B16" s="258" t="s">
        <v>52</v>
      </c>
      <c r="C16" s="259" t="s">
        <v>9</v>
      </c>
      <c r="D16" s="260" t="s">
        <v>53</v>
      </c>
      <c r="E16" s="260"/>
      <c r="F16" s="260"/>
      <c r="G16" s="262" t="s">
        <v>13</v>
      </c>
    </row>
    <row r="17" s="253" customFormat="1" ht="35" customHeight="1" spans="1:8">
      <c r="A17" s="258" t="s">
        <v>54</v>
      </c>
      <c r="B17" s="258" t="s">
        <v>55</v>
      </c>
      <c r="C17" s="259" t="s">
        <v>9</v>
      </c>
      <c r="D17" s="260" t="s">
        <v>55</v>
      </c>
      <c r="E17" s="260" t="s">
        <v>56</v>
      </c>
      <c r="F17" s="261" t="s">
        <v>57</v>
      </c>
      <c r="G17" s="262" t="s">
        <v>13</v>
      </c>
    </row>
    <row r="18" s="253" customFormat="1" ht="35" customHeight="1" spans="1:8">
      <c r="A18" s="258"/>
      <c r="B18" s="258" t="s">
        <v>58</v>
      </c>
      <c r="C18" s="259" t="s">
        <v>9</v>
      </c>
      <c r="D18" s="260" t="s">
        <v>58</v>
      </c>
      <c r="E18" s="260" t="s">
        <v>59</v>
      </c>
      <c r="F18" s="261" t="s">
        <v>60</v>
      </c>
      <c r="G18" s="266" t="s">
        <v>61</v>
      </c>
    </row>
    <row r="19" s="253" customFormat="1" ht="35" customHeight="1" spans="1:8">
      <c r="A19" s="258"/>
      <c r="B19" s="258" t="s">
        <v>62</v>
      </c>
      <c r="C19" s="259" t="s">
        <v>9</v>
      </c>
      <c r="D19" s="260" t="s">
        <v>62</v>
      </c>
      <c r="E19" s="260" t="s">
        <v>59</v>
      </c>
      <c r="F19" s="261" t="s">
        <v>60</v>
      </c>
      <c r="G19" s="266" t="s">
        <v>63</v>
      </c>
    </row>
    <row r="20" s="253" customFormat="1" ht="35" customHeight="1" spans="1:8">
      <c r="A20" s="258"/>
      <c r="B20" s="258" t="s">
        <v>64</v>
      </c>
      <c r="C20" s="259" t="s">
        <v>9</v>
      </c>
      <c r="D20" s="260" t="s">
        <v>65</v>
      </c>
      <c r="E20" s="260"/>
      <c r="F20" s="260"/>
      <c r="G20" s="262" t="s">
        <v>13</v>
      </c>
    </row>
    <row r="21" s="254" customFormat="1" ht="40" customHeight="1" spans="1:8">
      <c r="A21" s="267" t="s">
        <v>66</v>
      </c>
      <c r="B21" s="267"/>
      <c r="C21" s="267"/>
      <c r="D21" s="267"/>
      <c r="E21" s="267"/>
      <c r="F21" s="267"/>
      <c r="G21" s="267"/>
      <c r="H21" s="268"/>
    </row>
    <row r="22" s="254" customFormat="1" ht="30" customHeight="1" spans="1:8">
      <c r="A22" s="269" t="s">
        <v>67</v>
      </c>
      <c r="B22" s="269"/>
      <c r="C22" s="269"/>
      <c r="D22" s="269"/>
      <c r="E22" s="269"/>
      <c r="F22" s="269"/>
      <c r="G22" s="270" t="s">
        <v>68</v>
      </c>
      <c r="H22" s="271"/>
    </row>
    <row r="23" s="254" customFormat="1" ht="30" customHeight="1" spans="1:8">
      <c r="A23" s="269" t="s">
        <v>69</v>
      </c>
      <c r="B23" s="269"/>
      <c r="C23" s="269"/>
      <c r="D23" s="269"/>
      <c r="E23" s="269"/>
      <c r="F23" s="269"/>
      <c r="G23" s="270" t="s">
        <v>70</v>
      </c>
      <c r="H23" s="268"/>
    </row>
    <row r="24" s="254" customFormat="1" ht="30" customHeight="1" spans="1:8">
      <c r="A24" s="269" t="s">
        <v>71</v>
      </c>
      <c r="B24" s="269"/>
      <c r="C24" s="269"/>
      <c r="D24" s="269"/>
      <c r="E24" s="269"/>
      <c r="F24" s="269"/>
      <c r="G24" s="270" t="s">
        <v>72</v>
      </c>
      <c r="H24" s="268"/>
    </row>
    <row r="25" s="254" customFormat="1" ht="30" customHeight="1" spans="1:8">
      <c r="A25" s="269" t="s">
        <v>73</v>
      </c>
      <c r="B25" s="269"/>
      <c r="C25" s="269"/>
      <c r="D25" s="269"/>
      <c r="E25" s="269"/>
      <c r="F25" s="269"/>
      <c r="G25" s="270" t="s">
        <v>74</v>
      </c>
      <c r="H25" s="268"/>
    </row>
    <row r="26" s="254" customFormat="1" ht="30" customHeight="1" spans="1:8">
      <c r="A26" s="272" t="s">
        <v>75</v>
      </c>
      <c r="B26" s="272"/>
      <c r="C26" s="272"/>
      <c r="D26" s="272"/>
      <c r="E26" s="272"/>
      <c r="F26" s="272"/>
      <c r="G26" s="270" t="s">
        <v>76</v>
      </c>
      <c r="H26" s="268"/>
    </row>
    <row r="27" s="254" customFormat="1" ht="30" customHeight="1" spans="1:8">
      <c r="A27" s="269" t="s">
        <v>77</v>
      </c>
      <c r="B27" s="269"/>
      <c r="C27" s="269"/>
      <c r="D27" s="269"/>
      <c r="E27" s="269"/>
      <c r="F27" s="269"/>
      <c r="G27" s="270" t="s">
        <v>78</v>
      </c>
      <c r="H27" s="268"/>
    </row>
    <row r="28" s="254" customFormat="1" ht="30" customHeight="1" spans="1:8">
      <c r="A28" s="269" t="s">
        <v>79</v>
      </c>
      <c r="B28" s="269"/>
      <c r="C28" s="269"/>
      <c r="D28" s="269"/>
      <c r="E28" s="269"/>
      <c r="F28" s="269"/>
      <c r="G28" s="270" t="s">
        <v>80</v>
      </c>
      <c r="H28" s="268"/>
    </row>
    <row r="29" s="254" customFormat="1" ht="30" customHeight="1" spans="1:8">
      <c r="A29" s="269" t="s">
        <v>81</v>
      </c>
      <c r="B29" s="269"/>
      <c r="C29" s="269"/>
      <c r="D29" s="269"/>
      <c r="E29" s="269"/>
      <c r="F29" s="269"/>
      <c r="G29" s="270" t="s">
        <v>82</v>
      </c>
      <c r="H29" s="268"/>
    </row>
  </sheetData>
  <mergeCells count="22">
    <mergeCell ref="A1:G1"/>
    <mergeCell ref="D16:F16"/>
    <mergeCell ref="D20:F20"/>
    <mergeCell ref="A21:G21"/>
    <mergeCell ref="A22:F22"/>
    <mergeCell ref="A23:F23"/>
    <mergeCell ref="A24:F24"/>
    <mergeCell ref="A25:F25"/>
    <mergeCell ref="A26:F26"/>
    <mergeCell ref="A27:F27"/>
    <mergeCell ref="A28:F28"/>
    <mergeCell ref="A29:F29"/>
    <mergeCell ref="A3:A16"/>
    <mergeCell ref="A17:A20"/>
    <mergeCell ref="B3:B6"/>
    <mergeCell ref="B7:B9"/>
    <mergeCell ref="B10:B11"/>
    <mergeCell ref="B12:B13"/>
    <mergeCell ref="C3:C6"/>
    <mergeCell ref="C7:C9"/>
    <mergeCell ref="C10:C11"/>
    <mergeCell ref="C12:C13"/>
  </mergeCells>
  <hyperlinks>
    <hyperlink ref="C12:C13" location="加拿大直航卡派!A1" display="进入报价"/>
    <hyperlink ref="C18" location="澳洲海运含税!A1" display="进入报价"/>
    <hyperlink ref="C19" location="澳洲海运不含税!A1" display="进入报价"/>
    <hyperlink ref="C17" location="澳洲空运含税!A1" display="进入报价"/>
    <hyperlink ref="C20" location="澳洲海外仓增值服务!A1" display="进入报价"/>
    <hyperlink ref="C16" location="加拿大海外仓增值服务!A1" display="进入报价"/>
    <hyperlink ref="C7:C9" location="美转加卡派!A1" display="进入报价"/>
    <hyperlink ref="C3:C6" location="美转加海派!A1" display="进入报价"/>
    <hyperlink ref="C10:C11" location="加拿大直航海派!A1" display="进入报价"/>
    <hyperlink ref="C15" location="加拿大DG卡派!A1" display="进入报价"/>
    <hyperlink ref="C14" location="加拿大香港UPS红单!A1" display="进入报价"/>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17"/>
  <sheetViews>
    <sheetView zoomScale="70" zoomScaleNormal="70" workbookViewId="0">
      <selection activeCell="A1" sqref="A1:E1"/>
    </sheetView>
  </sheetViews>
  <sheetFormatPr defaultColWidth="9" defaultRowHeight="14.25"/>
  <cols>
    <col min="1" max="1" width="33.4416666666667" style="244" customWidth="1"/>
    <col min="2" max="2" width="30.775" style="237" customWidth="1"/>
    <col min="3" max="3" width="41.8833333333333" style="244" customWidth="1"/>
    <col min="4" max="4" width="39.6666666666667" style="244" customWidth="1"/>
    <col min="5" max="5" width="32" style="244" customWidth="1"/>
    <col min="6" max="6" width="14.8833333333333" style="244" customWidth="1"/>
    <col min="7" max="16384" width="9" style="244"/>
  </cols>
  <sheetData>
    <row r="1" s="237" customFormat="1" ht="100.05" customHeight="1" spans="1:19">
      <c r="A1" s="187" t="str">
        <f>_xlfn.DISPIMG("ID_D6697A225B864C34A678052B48D4E660",1)</f>
        <v>=DISPIMG("ID_D6697A225B864C34A678052B48D4E660",1)</v>
      </c>
      <c r="B1" s="187"/>
      <c r="C1" s="187"/>
      <c r="D1" s="187"/>
      <c r="E1" s="187"/>
      <c r="F1" s="242"/>
      <c r="G1" s="242"/>
      <c r="H1" s="242"/>
      <c r="I1" s="242"/>
      <c r="J1" s="242"/>
      <c r="K1" s="242"/>
      <c r="L1" s="242"/>
      <c r="M1" s="242"/>
      <c r="N1" s="242"/>
      <c r="O1" s="242"/>
      <c r="P1" s="242"/>
      <c r="Q1" s="242"/>
      <c r="R1" s="242"/>
      <c r="S1" s="242"/>
    </row>
    <row r="2" s="244" customFormat="1" ht="45" customHeight="1" spans="1:19">
      <c r="A2" s="38" t="s">
        <v>83</v>
      </c>
      <c r="B2" s="38"/>
      <c r="C2" s="38"/>
      <c r="D2" s="38"/>
      <c r="E2" s="38"/>
    </row>
    <row r="3" s="244" customFormat="1" ht="48" customHeight="1" spans="1:19">
      <c r="A3" s="247" t="s">
        <v>84</v>
      </c>
      <c r="B3" s="247"/>
      <c r="C3" s="247"/>
      <c r="D3" s="247"/>
      <c r="E3" s="247"/>
    </row>
    <row r="4" s="244" customFormat="1" ht="48" customHeight="1" spans="1:19">
      <c r="A4" s="247" t="s">
        <v>85</v>
      </c>
      <c r="B4" s="247"/>
      <c r="C4" s="247"/>
      <c r="D4" s="247"/>
      <c r="E4" s="247"/>
    </row>
    <row r="5" s="244" customFormat="1" ht="48" customHeight="1" spans="1:19">
      <c r="A5" s="247" t="s">
        <v>86</v>
      </c>
      <c r="B5" s="247"/>
      <c r="C5" s="247"/>
      <c r="D5" s="247"/>
      <c r="E5" s="247"/>
    </row>
    <row r="6" s="244" customFormat="1" ht="48" customHeight="1" spans="1:19">
      <c r="A6" s="247" t="s">
        <v>87</v>
      </c>
      <c r="B6" s="247"/>
      <c r="C6" s="247"/>
      <c r="D6" s="247"/>
      <c r="E6" s="247"/>
    </row>
    <row r="7" s="244" customFormat="1" ht="48" customHeight="1" spans="1:19">
      <c r="A7" s="247" t="s">
        <v>88</v>
      </c>
      <c r="B7" s="247"/>
      <c r="C7" s="247"/>
      <c r="D7" s="247"/>
      <c r="E7" s="247"/>
    </row>
    <row r="8" s="244" customFormat="1" ht="53" customHeight="1" spans="1:19">
      <c r="A8" s="247" t="s">
        <v>89</v>
      </c>
      <c r="B8" s="247"/>
      <c r="C8" s="247"/>
      <c r="D8" s="247"/>
      <c r="E8" s="247"/>
    </row>
    <row r="9" s="244" customFormat="1" ht="48" customHeight="1" spans="1:19">
      <c r="A9" s="247" t="s">
        <v>90</v>
      </c>
      <c r="B9" s="247"/>
      <c r="C9" s="247"/>
      <c r="D9" s="247"/>
      <c r="E9" s="247"/>
    </row>
    <row r="10" s="244" customFormat="1" ht="48" customHeight="1" spans="1:19">
      <c r="A10" s="248" t="s">
        <v>91</v>
      </c>
      <c r="B10" s="248"/>
      <c r="C10" s="248"/>
      <c r="D10" s="248"/>
      <c r="E10" s="248"/>
    </row>
    <row r="11" s="244" customFormat="1" ht="48" customHeight="1" spans="1:19">
      <c r="A11" s="249" t="s">
        <v>92</v>
      </c>
      <c r="B11" s="249"/>
      <c r="C11" s="249"/>
      <c r="D11" s="249"/>
      <c r="E11" s="249"/>
    </row>
    <row r="12" s="245" customFormat="1" ht="48" customHeight="1" spans="1:19">
      <c r="A12" s="250"/>
      <c r="B12" s="250" t="s">
        <v>93</v>
      </c>
      <c r="C12" s="250" t="s">
        <v>94</v>
      </c>
      <c r="D12" s="250" t="s">
        <v>95</v>
      </c>
      <c r="E12" s="250"/>
    </row>
    <row r="13" s="245" customFormat="1" ht="48" customHeight="1" spans="1:19">
      <c r="A13" s="250" t="s">
        <v>96</v>
      </c>
      <c r="B13" s="250"/>
      <c r="C13" s="250" t="s">
        <v>97</v>
      </c>
      <c r="D13" s="250" t="s">
        <v>98</v>
      </c>
      <c r="E13" s="250"/>
    </row>
    <row r="14" s="245" customFormat="1" ht="48" customHeight="1" spans="1:19">
      <c r="A14" s="250" t="s">
        <v>99</v>
      </c>
      <c r="B14" s="250" t="s">
        <v>100</v>
      </c>
      <c r="C14" s="250" t="s">
        <v>100</v>
      </c>
      <c r="D14" s="250" t="s">
        <v>100</v>
      </c>
      <c r="E14" s="250"/>
    </row>
    <row r="15" s="246" customFormat="1" ht="48" customHeight="1" spans="1:19">
      <c r="B15" s="251"/>
    </row>
    <row r="16" s="246" customFormat="1" ht="23.25" spans="1:19">
      <c r="B16" s="251"/>
    </row>
    <row r="17" s="246" customFormat="1" ht="23.25" spans="2:2">
      <c r="B17" s="251"/>
    </row>
  </sheetData>
  <mergeCells count="14">
    <mergeCell ref="A1:E1"/>
    <mergeCell ref="A2:E2"/>
    <mergeCell ref="A3:E3"/>
    <mergeCell ref="A4:E4"/>
    <mergeCell ref="A5:E5"/>
    <mergeCell ref="A6:E6"/>
    <mergeCell ref="A7:E7"/>
    <mergeCell ref="A8:E8"/>
    <mergeCell ref="A9:E9"/>
    <mergeCell ref="A10:E10"/>
    <mergeCell ref="A11:E11"/>
    <mergeCell ref="D12:E12"/>
    <mergeCell ref="D13:E13"/>
    <mergeCell ref="D14:E14"/>
  </mergeCells>
  <pageMargins left="0.75" right="0.75" top="1" bottom="1" header="0.5" footer="0.5"/>
  <headerFooter/>
  <ignoredErrors>
    <ignoredError sqref="A1"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27"/>
  <sheetViews>
    <sheetView showGridLines="0" zoomScale="70" zoomScaleNormal="70" workbookViewId="0">
      <pane ySplit="2" topLeftCell="A3" activePane="bottomLeft" state="frozen"/>
      <selection/>
      <selection pane="bottomLeft" activeCell="A1" sqref="A1:E1"/>
    </sheetView>
  </sheetViews>
  <sheetFormatPr defaultColWidth="9" defaultRowHeight="14.25"/>
  <cols>
    <col min="1" max="1" width="37.6666666666667" style="239" customWidth="1"/>
    <col min="2" max="2" width="33.775" style="240" customWidth="1"/>
    <col min="3" max="3" width="45.775" style="239" customWidth="1"/>
    <col min="4" max="4" width="39.6666666666667" style="239" customWidth="1"/>
    <col min="5" max="5" width="32" style="239" customWidth="1"/>
    <col min="6" max="6" width="14.8833333333333" style="239" customWidth="1"/>
    <col min="7" max="16384" width="9" style="239"/>
  </cols>
  <sheetData>
    <row r="1" s="237" customFormat="1" ht="100.05" customHeight="1" spans="1:19">
      <c r="A1" s="241" t="str">
        <f>_xlfn.DISPIMG("ID_D6697A225B864C34A678052B48D4E660",1)</f>
        <v>=DISPIMG("ID_D6697A225B864C34A678052B48D4E660",1)</v>
      </c>
      <c r="B1" s="241"/>
      <c r="C1" s="241"/>
      <c r="D1" s="241"/>
      <c r="E1" s="241"/>
      <c r="F1" s="242"/>
      <c r="G1" s="242"/>
      <c r="H1" s="242"/>
      <c r="I1" s="242"/>
      <c r="J1" s="242"/>
      <c r="K1" s="242"/>
      <c r="L1" s="242"/>
      <c r="M1" s="242"/>
      <c r="N1" s="242"/>
      <c r="O1" s="242"/>
      <c r="P1" s="242"/>
      <c r="Q1" s="242"/>
      <c r="R1" s="242"/>
      <c r="S1" s="242"/>
    </row>
    <row r="2" ht="40.05" customHeight="1" spans="1:19">
      <c r="A2" s="38" t="s">
        <v>101</v>
      </c>
      <c r="B2" s="38"/>
      <c r="C2" s="38"/>
      <c r="D2" s="38"/>
      <c r="E2" s="38"/>
    </row>
    <row r="3" s="238" customFormat="1" ht="26.85" customHeight="1" spans="1:19">
      <c r="A3" s="243" t="s">
        <v>102</v>
      </c>
      <c r="B3" s="243"/>
      <c r="C3" s="243"/>
      <c r="D3" s="243"/>
      <c r="E3" s="243"/>
    </row>
    <row r="4" ht="26.85" customHeight="1" spans="1:19">
      <c r="A4" s="243" t="s">
        <v>103</v>
      </c>
      <c r="B4" s="243"/>
      <c r="C4" s="243"/>
      <c r="D4" s="243"/>
      <c r="E4" s="243"/>
    </row>
    <row r="5" ht="26.85" customHeight="1" spans="1:19">
      <c r="A5" s="243" t="s">
        <v>104</v>
      </c>
      <c r="B5" s="243"/>
      <c r="C5" s="243"/>
      <c r="D5" s="243"/>
      <c r="E5" s="243"/>
    </row>
    <row r="6" ht="26.85" customHeight="1" spans="1:19">
      <c r="A6" s="243" t="s">
        <v>105</v>
      </c>
      <c r="B6" s="243"/>
      <c r="C6" s="243"/>
      <c r="D6" s="243"/>
      <c r="E6" s="243"/>
    </row>
    <row r="7" ht="26.85" customHeight="1" spans="1:19">
      <c r="A7" s="243" t="s">
        <v>106</v>
      </c>
      <c r="B7" s="243"/>
      <c r="C7" s="243"/>
      <c r="D7" s="243"/>
      <c r="E7" s="243"/>
    </row>
    <row r="8" ht="26.85" customHeight="1" spans="1:19">
      <c r="A8" s="243" t="s">
        <v>107</v>
      </c>
      <c r="B8" s="243"/>
      <c r="C8" s="243"/>
      <c r="D8" s="243"/>
      <c r="E8" s="243"/>
    </row>
    <row r="9" ht="26.85" customHeight="1" spans="1:19">
      <c r="A9" s="243" t="s">
        <v>108</v>
      </c>
      <c r="B9" s="243"/>
      <c r="C9" s="243"/>
      <c r="D9" s="243"/>
      <c r="E9" s="243"/>
    </row>
    <row r="10" ht="54.9" customHeight="1" spans="1:19">
      <c r="A10" s="243" t="s">
        <v>109</v>
      </c>
      <c r="B10" s="243"/>
      <c r="C10" s="243"/>
      <c r="D10" s="243"/>
      <c r="E10" s="243"/>
    </row>
    <row r="11" ht="26.85" customHeight="1" spans="1:19">
      <c r="A11" s="243" t="s">
        <v>110</v>
      </c>
      <c r="B11" s="243"/>
      <c r="C11" s="243"/>
      <c r="D11" s="243"/>
      <c r="E11" s="243"/>
    </row>
    <row r="12" ht="57.9" customHeight="1" spans="1:19">
      <c r="A12" s="243" t="s">
        <v>111</v>
      </c>
      <c r="B12" s="243"/>
      <c r="C12" s="243"/>
      <c r="D12" s="243"/>
      <c r="E12" s="243"/>
    </row>
    <row r="13" ht="53.1" customHeight="1" spans="1:19">
      <c r="A13" s="243" t="s">
        <v>112</v>
      </c>
      <c r="B13" s="243"/>
      <c r="C13" s="243"/>
      <c r="D13" s="243"/>
      <c r="E13" s="243"/>
    </row>
    <row r="14" ht="62.1" customHeight="1" spans="1:19">
      <c r="A14" s="243" t="s">
        <v>113</v>
      </c>
      <c r="B14" s="243"/>
      <c r="C14" s="243"/>
      <c r="D14" s="243"/>
      <c r="E14" s="243"/>
    </row>
    <row r="15" ht="62.1" customHeight="1" spans="1:19">
      <c r="A15" s="243" t="s">
        <v>114</v>
      </c>
      <c r="B15" s="243"/>
      <c r="C15" s="243"/>
      <c r="D15" s="243"/>
      <c r="E15" s="243"/>
    </row>
    <row r="16" ht="57.9" customHeight="1" spans="1:19">
      <c r="A16" s="243" t="s">
        <v>115</v>
      </c>
      <c r="B16" s="243"/>
      <c r="C16" s="243"/>
      <c r="D16" s="243"/>
      <c r="E16" s="243"/>
    </row>
    <row r="17" ht="26.85" customHeight="1" spans="1:5">
      <c r="A17" s="243" t="s">
        <v>116</v>
      </c>
      <c r="B17" s="243"/>
      <c r="C17" s="243"/>
      <c r="D17" s="243"/>
      <c r="E17" s="243"/>
    </row>
    <row r="18" ht="26.85" customHeight="1" spans="1:5">
      <c r="A18" s="243" t="s">
        <v>117</v>
      </c>
      <c r="B18" s="243"/>
      <c r="C18" s="243"/>
      <c r="D18" s="243"/>
      <c r="E18" s="243"/>
    </row>
    <row r="19" ht="26.85" customHeight="1" spans="1:5">
      <c r="A19" s="243" t="s">
        <v>118</v>
      </c>
      <c r="B19" s="243"/>
      <c r="C19" s="243"/>
      <c r="D19" s="243"/>
      <c r="E19" s="243"/>
    </row>
    <row r="20" ht="26.85" customHeight="1" spans="1:5">
      <c r="A20" s="243" t="s">
        <v>119</v>
      </c>
      <c r="B20" s="243"/>
      <c r="C20" s="243"/>
      <c r="D20" s="243"/>
      <c r="E20" s="243"/>
    </row>
    <row r="21" ht="70" customHeight="1" spans="1:5">
      <c r="A21" s="243" t="s">
        <v>120</v>
      </c>
      <c r="B21" s="243"/>
      <c r="C21" s="243"/>
      <c r="D21" s="243"/>
      <c r="E21" s="243"/>
    </row>
    <row r="22" ht="78" customHeight="1" spans="1:5">
      <c r="A22" s="243" t="s">
        <v>121</v>
      </c>
      <c r="B22" s="243"/>
      <c r="C22" s="243"/>
      <c r="D22" s="243"/>
      <c r="E22" s="243"/>
    </row>
    <row r="23" ht="62" customHeight="1" spans="1:5">
      <c r="A23" s="243" t="s">
        <v>122</v>
      </c>
      <c r="B23" s="243"/>
      <c r="C23" s="243"/>
      <c r="D23" s="243"/>
      <c r="E23" s="243"/>
    </row>
    <row r="24" ht="17.25" spans="1:5">
      <c r="A24" s="243" t="s">
        <v>123</v>
      </c>
      <c r="B24" s="243"/>
      <c r="C24" s="243"/>
      <c r="D24" s="243"/>
      <c r="E24" s="243"/>
    </row>
    <row r="25" ht="26.85" customHeight="1" spans="1:5">
      <c r="A25" s="243" t="s">
        <v>124</v>
      </c>
      <c r="B25" s="243"/>
      <c r="C25" s="243"/>
      <c r="D25" s="243"/>
      <c r="E25" s="243"/>
    </row>
    <row r="26" ht="26.85" customHeight="1" spans="1:5">
      <c r="A26" s="243" t="s">
        <v>125</v>
      </c>
      <c r="B26" s="243"/>
      <c r="C26" s="243"/>
      <c r="D26" s="243"/>
      <c r="E26" s="243"/>
    </row>
    <row r="27" ht="56.1" customHeight="1" spans="1:5">
      <c r="A27" s="243" t="s">
        <v>126</v>
      </c>
      <c r="B27" s="243"/>
      <c r="C27" s="243"/>
      <c r="D27" s="243"/>
      <c r="E27" s="243"/>
    </row>
  </sheetData>
  <mergeCells count="27">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G15"/>
  <sheetViews>
    <sheetView showGridLines="0" zoomScale="80" zoomScaleNormal="80" workbookViewId="0">
      <pane ySplit="3" topLeftCell="A4" activePane="bottomLeft" state="frozen"/>
      <selection/>
      <selection pane="bottomLeft" activeCell="A1" sqref="A1:F1"/>
    </sheetView>
  </sheetViews>
  <sheetFormatPr defaultColWidth="9" defaultRowHeight="13.5" outlineLevelCol="6"/>
  <cols>
    <col min="1" max="1" width="22.2083333333333" style="229" customWidth="1"/>
    <col min="2" max="2" width="15.775" style="229" customWidth="1"/>
    <col min="3" max="3" width="14.4416666666667" style="229" customWidth="1"/>
    <col min="4" max="4" width="8" style="229"/>
    <col min="5" max="5" width="10.4416666666667" style="229" customWidth="1"/>
    <col min="6" max="6" width="71" style="229" customWidth="1"/>
    <col min="7" max="7" width="15.8833333333333" style="229" customWidth="1"/>
    <col min="8" max="32" width="8" style="229"/>
    <col min="33" max="16384" width="9" style="229"/>
  </cols>
  <sheetData>
    <row r="1" s="229" customFormat="1" ht="100.05" customHeight="1" spans="1:7">
      <c r="A1" s="8" t="str">
        <f>_xlfn.DISPIMG("ID_D6697A225B864C34A678052B48D4E660",1)</f>
        <v>=DISPIMG("ID_D6697A225B864C34A678052B48D4E660",1)</v>
      </c>
      <c r="B1" s="8"/>
      <c r="C1" s="8"/>
      <c r="D1" s="8"/>
      <c r="E1" s="8"/>
      <c r="F1" s="8"/>
    </row>
    <row r="2" s="229" customFormat="1" ht="48" customHeight="1" spans="1:7">
      <c r="A2" s="38" t="s">
        <v>127</v>
      </c>
      <c r="B2" s="38"/>
      <c r="C2" s="38"/>
      <c r="D2" s="38"/>
      <c r="E2" s="38"/>
      <c r="F2" s="38"/>
    </row>
    <row r="3" s="229" customFormat="1" ht="29.1" customHeight="1" spans="1:7">
      <c r="A3" s="230" t="s">
        <v>128</v>
      </c>
      <c r="B3" s="230" t="s">
        <v>129</v>
      </c>
      <c r="C3" s="230" t="s">
        <v>130</v>
      </c>
      <c r="D3" s="230"/>
      <c r="E3" s="230"/>
      <c r="F3" s="230"/>
      <c r="G3" s="231"/>
    </row>
    <row r="4" s="229" customFormat="1" ht="40" customHeight="1" spans="1:7">
      <c r="A4" s="232" t="s">
        <v>131</v>
      </c>
      <c r="B4" s="232" t="s">
        <v>132</v>
      </c>
      <c r="C4" s="233" t="s">
        <v>133</v>
      </c>
      <c r="D4" s="233"/>
      <c r="E4" s="233"/>
      <c r="F4" s="233"/>
      <c r="G4" s="231"/>
    </row>
    <row r="5" s="229" customFormat="1" ht="92" customHeight="1" spans="1:7">
      <c r="A5" s="232" t="s">
        <v>134</v>
      </c>
      <c r="B5" s="232" t="s">
        <v>135</v>
      </c>
      <c r="C5" s="233" t="s">
        <v>136</v>
      </c>
      <c r="D5" s="233"/>
      <c r="E5" s="233"/>
      <c r="F5" s="233"/>
    </row>
    <row r="6" s="229" customFormat="1" ht="50.1" customHeight="1" spans="1:7">
      <c r="A6" s="232" t="s">
        <v>137</v>
      </c>
      <c r="B6" s="232" t="s">
        <v>135</v>
      </c>
      <c r="C6" s="233" t="s">
        <v>138</v>
      </c>
      <c r="D6" s="233"/>
      <c r="E6" s="233"/>
      <c r="F6" s="233"/>
      <c r="G6" s="234"/>
    </row>
    <row r="7" s="229" customFormat="1" ht="68.1" customHeight="1" spans="1:7">
      <c r="A7" s="232" t="s">
        <v>139</v>
      </c>
      <c r="B7" s="232" t="s">
        <v>135</v>
      </c>
      <c r="C7" s="233" t="s">
        <v>140</v>
      </c>
      <c r="D7" s="233"/>
      <c r="E7" s="233"/>
      <c r="F7" s="233"/>
    </row>
    <row r="8" s="229" customFormat="1" ht="91" customHeight="1" spans="1:7">
      <c r="A8" s="232" t="s">
        <v>141</v>
      </c>
      <c r="B8" s="232" t="s">
        <v>135</v>
      </c>
      <c r="C8" s="233" t="s">
        <v>142</v>
      </c>
      <c r="D8" s="233"/>
      <c r="E8" s="233"/>
      <c r="F8" s="233"/>
      <c r="G8" s="234"/>
    </row>
    <row r="9" s="229" customFormat="1" ht="32.1" customHeight="1" spans="1:7">
      <c r="A9" s="232" t="s">
        <v>143</v>
      </c>
      <c r="B9" s="232" t="s">
        <v>144</v>
      </c>
      <c r="C9" s="235" t="s">
        <v>145</v>
      </c>
      <c r="D9" s="235"/>
      <c r="E9" s="235"/>
      <c r="F9" s="235"/>
    </row>
    <row r="10" s="229" customFormat="1" ht="32.1" customHeight="1" spans="1:7">
      <c r="A10" s="232" t="s">
        <v>146</v>
      </c>
      <c r="B10" s="232" t="s">
        <v>147</v>
      </c>
      <c r="C10" s="235" t="s">
        <v>148</v>
      </c>
      <c r="D10" s="235"/>
      <c r="E10" s="235"/>
      <c r="F10" s="235"/>
    </row>
    <row r="11" s="229" customFormat="1" ht="32.1" customHeight="1" spans="1:7">
      <c r="A11" s="232" t="s">
        <v>149</v>
      </c>
      <c r="B11" s="232" t="s">
        <v>150</v>
      </c>
      <c r="C11" s="233" t="s">
        <v>151</v>
      </c>
      <c r="D11" s="233"/>
      <c r="E11" s="233"/>
      <c r="F11" s="233"/>
    </row>
    <row r="12" s="229" customFormat="1" ht="32.1" customHeight="1" spans="1:7">
      <c r="A12" s="232" t="s">
        <v>152</v>
      </c>
      <c r="B12" s="232" t="s">
        <v>135</v>
      </c>
      <c r="C12" s="233" t="s">
        <v>153</v>
      </c>
      <c r="D12" s="233"/>
      <c r="E12" s="233"/>
      <c r="F12" s="233"/>
    </row>
    <row r="13" s="229" customFormat="1" ht="37.2" customHeight="1" spans="1:7">
      <c r="A13" s="38" t="s">
        <v>154</v>
      </c>
      <c r="B13" s="38"/>
      <c r="C13" s="38"/>
      <c r="D13" s="38"/>
      <c r="E13" s="38"/>
      <c r="F13" s="38"/>
    </row>
    <row r="14" s="229" customFormat="1" ht="202" customHeight="1" spans="1:7">
      <c r="A14" s="233" t="s">
        <v>155</v>
      </c>
      <c r="B14" s="233"/>
      <c r="C14" s="233"/>
      <c r="D14" s="233"/>
      <c r="E14" s="233"/>
      <c r="F14" s="233"/>
    </row>
    <row r="15" s="229" customFormat="1" ht="35" customHeight="1" spans="1:7">
      <c r="A15" s="236" t="s">
        <v>156</v>
      </c>
      <c r="B15" s="236"/>
      <c r="C15" s="236"/>
      <c r="D15" s="236"/>
      <c r="E15" s="236"/>
      <c r="F15" s="236"/>
    </row>
  </sheetData>
  <mergeCells count="15">
    <mergeCell ref="A1:F1"/>
    <mergeCell ref="A2:F2"/>
    <mergeCell ref="C3:F3"/>
    <mergeCell ref="C4:F4"/>
    <mergeCell ref="C5:F5"/>
    <mergeCell ref="C6:F6"/>
    <mergeCell ref="C7:F7"/>
    <mergeCell ref="C8:F8"/>
    <mergeCell ref="C9:F9"/>
    <mergeCell ref="C10:F10"/>
    <mergeCell ref="C11:F11"/>
    <mergeCell ref="C12:F12"/>
    <mergeCell ref="A13:F13"/>
    <mergeCell ref="A14:F14"/>
    <mergeCell ref="A15:F15"/>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4"/>
  <sheetViews>
    <sheetView showGridLines="0" zoomScale="55" zoomScaleNormal="55" workbookViewId="0">
      <pane xSplit="4" ySplit="4" topLeftCell="E5" activePane="bottomRight" state="frozen"/>
      <selection/>
      <selection pane="topRight"/>
      <selection pane="bottomLeft"/>
      <selection pane="bottomRight" activeCell="A1" sqref="A1:T1"/>
    </sheetView>
  </sheetViews>
  <sheetFormatPr defaultColWidth="9" defaultRowHeight="17.25"/>
  <cols>
    <col min="1" max="1" width="18.6333333333333" style="186" customWidth="1"/>
    <col min="2" max="2" width="32.6333333333333" style="197" customWidth="1"/>
    <col min="3" max="3" width="20.625" style="197" customWidth="1"/>
    <col min="4" max="4" width="50.625" style="198" customWidth="1"/>
    <col min="5" max="6" width="18.625" style="198" customWidth="1"/>
    <col min="7" max="10" width="13.625" style="197" customWidth="1"/>
    <col min="11" max="20" width="18.625" style="197" customWidth="1"/>
    <col min="21" max="16384" width="9" style="186"/>
  </cols>
  <sheetData>
    <row r="1" s="196" customFormat="1" ht="100" customHeight="1" spans="1:20">
      <c r="A1" s="199" t="str">
        <f>_xlfn.DISPIMG("ID_D6697A225B864C34A678052B48D4E660",1)</f>
        <v>=DISPIMG("ID_D6697A225B864C34A678052B48D4E660",1)</v>
      </c>
      <c r="B1" s="199"/>
      <c r="C1" s="199"/>
      <c r="D1" s="199"/>
      <c r="E1" s="199"/>
      <c r="F1" s="199"/>
      <c r="G1" s="199"/>
      <c r="H1" s="199"/>
      <c r="I1" s="199"/>
      <c r="J1" s="199"/>
      <c r="K1" s="199"/>
      <c r="L1" s="199"/>
      <c r="M1" s="199"/>
      <c r="N1" s="199"/>
      <c r="O1" s="199"/>
      <c r="P1" s="199"/>
      <c r="Q1" s="199"/>
      <c r="R1" s="199"/>
      <c r="S1" s="199"/>
      <c r="T1" s="199"/>
    </row>
    <row r="2" s="186" customFormat="1" ht="40" customHeight="1" spans="1:20">
      <c r="A2" s="200" t="s">
        <v>0</v>
      </c>
      <c r="B2" s="200" t="s">
        <v>157</v>
      </c>
      <c r="C2" s="200" t="s">
        <v>158</v>
      </c>
      <c r="D2" s="200" t="s">
        <v>159</v>
      </c>
      <c r="E2" s="201" t="s">
        <v>160</v>
      </c>
      <c r="F2" s="201" t="s">
        <v>161</v>
      </c>
      <c r="G2" s="201" t="s">
        <v>162</v>
      </c>
      <c r="H2" s="200" t="s">
        <v>163</v>
      </c>
      <c r="I2" s="200" t="s">
        <v>164</v>
      </c>
      <c r="J2" s="200" t="s">
        <v>165</v>
      </c>
      <c r="K2" s="200" t="s">
        <v>166</v>
      </c>
      <c r="L2" s="200"/>
      <c r="M2" s="200"/>
      <c r="N2" s="200"/>
      <c r="O2" s="200"/>
      <c r="P2" s="200"/>
      <c r="Q2" s="200"/>
      <c r="R2" s="200"/>
      <c r="S2" s="200"/>
      <c r="T2" s="200"/>
    </row>
    <row r="3" s="186" customFormat="1" ht="40" customHeight="1" spans="1:20">
      <c r="A3" s="200"/>
      <c r="B3" s="200"/>
      <c r="C3" s="200"/>
      <c r="D3" s="200"/>
      <c r="E3" s="201"/>
      <c r="F3" s="201"/>
      <c r="G3" s="201"/>
      <c r="H3" s="200"/>
      <c r="I3" s="200"/>
      <c r="J3" s="200"/>
      <c r="K3" s="200" t="s">
        <v>167</v>
      </c>
      <c r="L3" s="200"/>
      <c r="M3" s="200"/>
      <c r="N3" s="200"/>
      <c r="O3" s="200"/>
      <c r="P3" s="200"/>
      <c r="Q3" s="200"/>
      <c r="R3" s="200"/>
      <c r="S3" s="200" t="s">
        <v>168</v>
      </c>
      <c r="T3" s="200"/>
    </row>
    <row r="4" s="186" customFormat="1" ht="60" customHeight="1" spans="1:20">
      <c r="A4" s="200"/>
      <c r="B4" s="200"/>
      <c r="C4" s="200"/>
      <c r="D4" s="200"/>
      <c r="E4" s="201"/>
      <c r="F4" s="201"/>
      <c r="G4" s="201"/>
      <c r="H4" s="200"/>
      <c r="I4" s="200"/>
      <c r="J4" s="200"/>
      <c r="K4" s="202" t="s">
        <v>169</v>
      </c>
      <c r="L4" s="202" t="s">
        <v>170</v>
      </c>
      <c r="M4" s="202" t="s">
        <v>171</v>
      </c>
      <c r="N4" s="202" t="s">
        <v>172</v>
      </c>
      <c r="O4" s="202" t="s">
        <v>173</v>
      </c>
      <c r="P4" s="202" t="s">
        <v>174</v>
      </c>
      <c r="Q4" s="202" t="s">
        <v>175</v>
      </c>
      <c r="R4" s="202" t="s">
        <v>176</v>
      </c>
      <c r="S4" s="202" t="s">
        <v>177</v>
      </c>
      <c r="T4" s="202" t="s">
        <v>178</v>
      </c>
    </row>
    <row r="5" s="186" customFormat="1" ht="43" customHeight="1" spans="1:20">
      <c r="A5" s="203" t="s">
        <v>179</v>
      </c>
      <c r="B5" s="204" t="s">
        <v>180</v>
      </c>
      <c r="C5" s="205" t="s">
        <v>181</v>
      </c>
      <c r="D5" s="206" t="s">
        <v>182</v>
      </c>
      <c r="E5" s="207">
        <v>46210</v>
      </c>
      <c r="F5" s="207">
        <v>46231</v>
      </c>
      <c r="G5" s="208">
        <f t="shared" ref="G5:G12" si="0">_xlfn.DAYS(F5,E5)</f>
        <v>21</v>
      </c>
      <c r="H5" s="209" t="s">
        <v>183</v>
      </c>
      <c r="I5" s="209" t="s">
        <v>184</v>
      </c>
      <c r="J5" s="210" t="s">
        <v>185</v>
      </c>
      <c r="K5" s="211">
        <f t="shared" ref="K5:K12" si="1">E5-5</f>
        <v>46205</v>
      </c>
      <c r="L5" s="211">
        <f t="shared" ref="L5:L12" si="2">K5</f>
        <v>46205</v>
      </c>
      <c r="M5" s="211">
        <f t="shared" ref="M5:M12" si="3">K5</f>
        <v>46205</v>
      </c>
      <c r="N5" s="211">
        <f t="shared" ref="N5:N12" si="4">K5-1</f>
        <v>46204</v>
      </c>
      <c r="O5" s="211">
        <f t="shared" ref="O5:O12" si="5">K5-1</f>
        <v>46204</v>
      </c>
      <c r="P5" s="211">
        <f t="shared" ref="P5:P12" si="6">K5-1</f>
        <v>46204</v>
      </c>
      <c r="Q5" s="211">
        <f t="shared" ref="Q5:Q12" si="7">K5-2</f>
        <v>46203</v>
      </c>
      <c r="R5" s="211">
        <f t="shared" ref="R5:R12" si="8">K5-2</f>
        <v>46203</v>
      </c>
      <c r="S5" s="211" t="s">
        <v>100</v>
      </c>
      <c r="T5" s="211" t="s">
        <v>100</v>
      </c>
    </row>
    <row r="6" s="186" customFormat="1" ht="43" customHeight="1" spans="1:20">
      <c r="A6" s="203"/>
      <c r="B6" s="212"/>
      <c r="C6" s="205" t="s">
        <v>181</v>
      </c>
      <c r="D6" s="206" t="s">
        <v>186</v>
      </c>
      <c r="E6" s="207">
        <v>46217</v>
      </c>
      <c r="F6" s="207">
        <v>46238</v>
      </c>
      <c r="G6" s="208">
        <f t="shared" si="0"/>
        <v>21</v>
      </c>
      <c r="H6" s="209" t="s">
        <v>183</v>
      </c>
      <c r="I6" s="209" t="s">
        <v>184</v>
      </c>
      <c r="J6" s="210" t="s">
        <v>185</v>
      </c>
      <c r="K6" s="211">
        <f t="shared" si="1"/>
        <v>46212</v>
      </c>
      <c r="L6" s="211">
        <f t="shared" si="2"/>
        <v>46212</v>
      </c>
      <c r="M6" s="211">
        <f t="shared" si="3"/>
        <v>46212</v>
      </c>
      <c r="N6" s="211">
        <f t="shared" si="4"/>
        <v>46211</v>
      </c>
      <c r="O6" s="211">
        <f t="shared" si="5"/>
        <v>46211</v>
      </c>
      <c r="P6" s="211">
        <f t="shared" si="6"/>
        <v>46211</v>
      </c>
      <c r="Q6" s="211">
        <f t="shared" si="7"/>
        <v>46210</v>
      </c>
      <c r="R6" s="211">
        <f t="shared" si="8"/>
        <v>46210</v>
      </c>
      <c r="S6" s="211" t="s">
        <v>100</v>
      </c>
      <c r="T6" s="211" t="s">
        <v>100</v>
      </c>
    </row>
    <row r="7" s="186" customFormat="1" ht="43" customHeight="1" spans="1:20">
      <c r="A7" s="203"/>
      <c r="B7" s="212"/>
      <c r="C7" s="205" t="s">
        <v>187</v>
      </c>
      <c r="D7" s="213" t="s">
        <v>188</v>
      </c>
      <c r="E7" s="207">
        <v>46214</v>
      </c>
      <c r="F7" s="207">
        <v>46236</v>
      </c>
      <c r="G7" s="208">
        <f t="shared" si="0"/>
        <v>22</v>
      </c>
      <c r="H7" s="209" t="s">
        <v>183</v>
      </c>
      <c r="I7" s="209" t="s">
        <v>184</v>
      </c>
      <c r="J7" s="210" t="s">
        <v>185</v>
      </c>
      <c r="K7" s="211">
        <f t="shared" si="1"/>
        <v>46209</v>
      </c>
      <c r="L7" s="211">
        <f t="shared" si="2"/>
        <v>46209</v>
      </c>
      <c r="M7" s="211">
        <f t="shared" si="3"/>
        <v>46209</v>
      </c>
      <c r="N7" s="211">
        <f t="shared" si="4"/>
        <v>46208</v>
      </c>
      <c r="O7" s="211">
        <f t="shared" si="5"/>
        <v>46208</v>
      </c>
      <c r="P7" s="211">
        <f t="shared" si="6"/>
        <v>46208</v>
      </c>
      <c r="Q7" s="211">
        <f t="shared" si="7"/>
        <v>46207</v>
      </c>
      <c r="R7" s="211">
        <f t="shared" si="8"/>
        <v>46207</v>
      </c>
      <c r="S7" s="207" t="s">
        <v>100</v>
      </c>
      <c r="T7" s="207" t="s">
        <v>100</v>
      </c>
    </row>
    <row r="8" s="186" customFormat="1" ht="43" customHeight="1" spans="1:20">
      <c r="A8" s="203"/>
      <c r="B8" s="212"/>
      <c r="C8" s="205" t="s">
        <v>187</v>
      </c>
      <c r="D8" s="213" t="s">
        <v>189</v>
      </c>
      <c r="E8" s="207">
        <v>46223</v>
      </c>
      <c r="F8" s="207">
        <v>46247</v>
      </c>
      <c r="G8" s="208">
        <f t="shared" si="0"/>
        <v>24</v>
      </c>
      <c r="H8" s="209" t="s">
        <v>183</v>
      </c>
      <c r="I8" s="209" t="s">
        <v>184</v>
      </c>
      <c r="J8" s="210" t="s">
        <v>185</v>
      </c>
      <c r="K8" s="211">
        <f t="shared" si="1"/>
        <v>46218</v>
      </c>
      <c r="L8" s="211">
        <f t="shared" si="2"/>
        <v>46218</v>
      </c>
      <c r="M8" s="211">
        <f t="shared" si="3"/>
        <v>46218</v>
      </c>
      <c r="N8" s="211">
        <f t="shared" si="4"/>
        <v>46217</v>
      </c>
      <c r="O8" s="211">
        <f t="shared" si="5"/>
        <v>46217</v>
      </c>
      <c r="P8" s="211">
        <f t="shared" si="6"/>
        <v>46217</v>
      </c>
      <c r="Q8" s="211">
        <f t="shared" si="7"/>
        <v>46216</v>
      </c>
      <c r="R8" s="211">
        <f t="shared" si="8"/>
        <v>46216</v>
      </c>
      <c r="S8" s="207" t="s">
        <v>100</v>
      </c>
      <c r="T8" s="207" t="s">
        <v>100</v>
      </c>
    </row>
    <row r="9" s="186" customFormat="1" ht="43" customHeight="1" spans="1:20">
      <c r="A9" s="203"/>
      <c r="B9" s="212"/>
      <c r="C9" s="205" t="s">
        <v>181</v>
      </c>
      <c r="D9" s="206" t="s">
        <v>182</v>
      </c>
      <c r="E9" s="207">
        <v>46210</v>
      </c>
      <c r="F9" s="207">
        <v>46234</v>
      </c>
      <c r="G9" s="208">
        <f t="shared" si="0"/>
        <v>24</v>
      </c>
      <c r="H9" s="209" t="s">
        <v>183</v>
      </c>
      <c r="I9" s="209" t="s">
        <v>184</v>
      </c>
      <c r="J9" s="210" t="s">
        <v>190</v>
      </c>
      <c r="K9" s="211">
        <f t="shared" si="1"/>
        <v>46205</v>
      </c>
      <c r="L9" s="211">
        <f t="shared" si="2"/>
        <v>46205</v>
      </c>
      <c r="M9" s="211">
        <f t="shared" si="3"/>
        <v>46205</v>
      </c>
      <c r="N9" s="211">
        <f t="shared" si="4"/>
        <v>46204</v>
      </c>
      <c r="O9" s="211">
        <f t="shared" si="5"/>
        <v>46204</v>
      </c>
      <c r="P9" s="211">
        <f t="shared" si="6"/>
        <v>46204</v>
      </c>
      <c r="Q9" s="211">
        <f t="shared" si="7"/>
        <v>46203</v>
      </c>
      <c r="R9" s="211">
        <f t="shared" si="8"/>
        <v>46203</v>
      </c>
      <c r="S9" s="211" t="s">
        <v>100</v>
      </c>
      <c r="T9" s="211" t="s">
        <v>100</v>
      </c>
    </row>
    <row r="10" s="186" customFormat="1" ht="43" customHeight="1" spans="1:20">
      <c r="A10" s="203"/>
      <c r="B10" s="212"/>
      <c r="C10" s="205" t="s">
        <v>181</v>
      </c>
      <c r="D10" s="206" t="s">
        <v>186</v>
      </c>
      <c r="E10" s="207">
        <v>46217</v>
      </c>
      <c r="F10" s="207">
        <v>46241</v>
      </c>
      <c r="G10" s="208">
        <f t="shared" si="0"/>
        <v>24</v>
      </c>
      <c r="H10" s="209" t="s">
        <v>183</v>
      </c>
      <c r="I10" s="209" t="s">
        <v>184</v>
      </c>
      <c r="J10" s="210" t="s">
        <v>190</v>
      </c>
      <c r="K10" s="211">
        <f t="shared" si="1"/>
        <v>46212</v>
      </c>
      <c r="L10" s="211">
        <f t="shared" si="2"/>
        <v>46212</v>
      </c>
      <c r="M10" s="211">
        <f t="shared" si="3"/>
        <v>46212</v>
      </c>
      <c r="N10" s="211">
        <f t="shared" si="4"/>
        <v>46211</v>
      </c>
      <c r="O10" s="211">
        <f t="shared" si="5"/>
        <v>46211</v>
      </c>
      <c r="P10" s="211">
        <f t="shared" si="6"/>
        <v>46211</v>
      </c>
      <c r="Q10" s="211">
        <f t="shared" si="7"/>
        <v>46210</v>
      </c>
      <c r="R10" s="211">
        <f t="shared" si="8"/>
        <v>46210</v>
      </c>
      <c r="S10" s="211" t="s">
        <v>100</v>
      </c>
      <c r="T10" s="211" t="s">
        <v>100</v>
      </c>
    </row>
    <row r="11" s="186" customFormat="1" ht="43" customHeight="1" spans="1:20">
      <c r="A11" s="203"/>
      <c r="B11" s="212"/>
      <c r="C11" s="205" t="s">
        <v>187</v>
      </c>
      <c r="D11" s="213" t="s">
        <v>188</v>
      </c>
      <c r="E11" s="207">
        <v>46214</v>
      </c>
      <c r="F11" s="207">
        <v>46239</v>
      </c>
      <c r="G11" s="208">
        <f t="shared" si="0"/>
        <v>25</v>
      </c>
      <c r="H11" s="209" t="s">
        <v>183</v>
      </c>
      <c r="I11" s="209" t="s">
        <v>184</v>
      </c>
      <c r="J11" s="210" t="s">
        <v>190</v>
      </c>
      <c r="K11" s="211">
        <f t="shared" si="1"/>
        <v>46209</v>
      </c>
      <c r="L11" s="211">
        <f t="shared" si="2"/>
        <v>46209</v>
      </c>
      <c r="M11" s="211">
        <f t="shared" si="3"/>
        <v>46209</v>
      </c>
      <c r="N11" s="211">
        <f t="shared" si="4"/>
        <v>46208</v>
      </c>
      <c r="O11" s="211">
        <f t="shared" si="5"/>
        <v>46208</v>
      </c>
      <c r="P11" s="211">
        <f t="shared" si="6"/>
        <v>46208</v>
      </c>
      <c r="Q11" s="211">
        <f t="shared" si="7"/>
        <v>46207</v>
      </c>
      <c r="R11" s="211">
        <f t="shared" si="8"/>
        <v>46207</v>
      </c>
      <c r="S11" s="207" t="s">
        <v>100</v>
      </c>
      <c r="T11" s="207" t="s">
        <v>100</v>
      </c>
    </row>
    <row r="12" s="186" customFormat="1" ht="43" customHeight="1" spans="1:20">
      <c r="A12" s="203"/>
      <c r="B12" s="212"/>
      <c r="C12" s="205" t="s">
        <v>187</v>
      </c>
      <c r="D12" s="213" t="s">
        <v>189</v>
      </c>
      <c r="E12" s="207">
        <v>46223</v>
      </c>
      <c r="F12" s="207">
        <v>46248</v>
      </c>
      <c r="G12" s="208">
        <f t="shared" si="0"/>
        <v>25</v>
      </c>
      <c r="H12" s="209" t="s">
        <v>183</v>
      </c>
      <c r="I12" s="209" t="s">
        <v>184</v>
      </c>
      <c r="J12" s="210" t="s">
        <v>190</v>
      </c>
      <c r="K12" s="211">
        <f t="shared" si="1"/>
        <v>46218</v>
      </c>
      <c r="L12" s="211">
        <f t="shared" si="2"/>
        <v>46218</v>
      </c>
      <c r="M12" s="211">
        <f t="shared" si="3"/>
        <v>46218</v>
      </c>
      <c r="N12" s="211">
        <f t="shared" si="4"/>
        <v>46217</v>
      </c>
      <c r="O12" s="211">
        <f t="shared" si="5"/>
        <v>46217</v>
      </c>
      <c r="P12" s="211">
        <f t="shared" si="6"/>
        <v>46217</v>
      </c>
      <c r="Q12" s="211">
        <f t="shared" si="7"/>
        <v>46216</v>
      </c>
      <c r="R12" s="211">
        <f t="shared" si="8"/>
        <v>46216</v>
      </c>
      <c r="S12" s="207" t="s">
        <v>100</v>
      </c>
      <c r="T12" s="207" t="s">
        <v>100</v>
      </c>
    </row>
    <row r="13" s="186" customFormat="1" ht="43" customHeight="1" spans="1:20">
      <c r="A13" s="203"/>
      <c r="B13" s="212"/>
      <c r="C13" s="205" t="s">
        <v>187</v>
      </c>
      <c r="D13" s="213" t="s">
        <v>191</v>
      </c>
      <c r="E13" s="207">
        <v>46216</v>
      </c>
      <c r="F13" s="207">
        <v>46230</v>
      </c>
      <c r="G13" s="214">
        <f t="shared" ref="G13:G21" si="9">_xlfn.DAYS(F13,E13)</f>
        <v>14</v>
      </c>
      <c r="H13" s="215" t="s">
        <v>192</v>
      </c>
      <c r="I13" s="216" t="s">
        <v>193</v>
      </c>
      <c r="J13" s="217" t="s">
        <v>185</v>
      </c>
      <c r="K13" s="207" t="s">
        <v>100</v>
      </c>
      <c r="L13" s="207" t="s">
        <v>100</v>
      </c>
      <c r="M13" s="207" t="s">
        <v>100</v>
      </c>
      <c r="N13" s="207" t="s">
        <v>100</v>
      </c>
      <c r="O13" s="207" t="s">
        <v>100</v>
      </c>
      <c r="P13" s="207" t="s">
        <v>100</v>
      </c>
      <c r="Q13" s="207" t="s">
        <v>100</v>
      </c>
      <c r="R13" s="207" t="s">
        <v>100</v>
      </c>
      <c r="S13" s="207">
        <f>E13-5</f>
        <v>46211</v>
      </c>
      <c r="T13" s="207">
        <f t="shared" ref="T13:T16" si="10">E13-5</f>
        <v>46211</v>
      </c>
    </row>
    <row r="14" s="186" customFormat="1" ht="43" customHeight="1" spans="1:20">
      <c r="A14" s="203"/>
      <c r="B14" s="212"/>
      <c r="C14" s="205" t="s">
        <v>187</v>
      </c>
      <c r="D14" s="213" t="s">
        <v>191</v>
      </c>
      <c r="E14" s="207">
        <v>46216</v>
      </c>
      <c r="F14" s="207">
        <v>46230</v>
      </c>
      <c r="G14" s="208">
        <f t="shared" si="9"/>
        <v>14</v>
      </c>
      <c r="H14" s="215" t="s">
        <v>192</v>
      </c>
      <c r="I14" s="216" t="s">
        <v>193</v>
      </c>
      <c r="J14" s="210" t="s">
        <v>190</v>
      </c>
      <c r="K14" s="211" t="s">
        <v>100</v>
      </c>
      <c r="L14" s="211" t="s">
        <v>100</v>
      </c>
      <c r="M14" s="211" t="s">
        <v>100</v>
      </c>
      <c r="N14" s="211" t="s">
        <v>100</v>
      </c>
      <c r="O14" s="211" t="s">
        <v>100</v>
      </c>
      <c r="P14" s="211" t="s">
        <v>100</v>
      </c>
      <c r="Q14" s="211" t="s">
        <v>100</v>
      </c>
      <c r="R14" s="211" t="s">
        <v>100</v>
      </c>
      <c r="S14" s="207">
        <f t="shared" ref="S13:S16" si="11">E14-5</f>
        <v>46211</v>
      </c>
      <c r="T14" s="207">
        <f t="shared" si="10"/>
        <v>46211</v>
      </c>
    </row>
    <row r="15" s="186" customFormat="1" ht="43" customHeight="1" spans="1:20">
      <c r="A15" s="203"/>
      <c r="B15" s="212"/>
      <c r="C15" s="205" t="s">
        <v>181</v>
      </c>
      <c r="D15" s="213" t="s">
        <v>194</v>
      </c>
      <c r="E15" s="207">
        <v>46215</v>
      </c>
      <c r="F15" s="207">
        <v>46231</v>
      </c>
      <c r="G15" s="214">
        <f t="shared" si="9"/>
        <v>16</v>
      </c>
      <c r="H15" s="215" t="s">
        <v>192</v>
      </c>
      <c r="I15" s="216" t="s">
        <v>184</v>
      </c>
      <c r="J15" s="217" t="s">
        <v>185</v>
      </c>
      <c r="K15" s="207" t="s">
        <v>100</v>
      </c>
      <c r="L15" s="207" t="s">
        <v>100</v>
      </c>
      <c r="M15" s="207" t="s">
        <v>100</v>
      </c>
      <c r="N15" s="207" t="s">
        <v>100</v>
      </c>
      <c r="O15" s="207" t="s">
        <v>100</v>
      </c>
      <c r="P15" s="207" t="s">
        <v>100</v>
      </c>
      <c r="Q15" s="207" t="s">
        <v>100</v>
      </c>
      <c r="R15" s="207" t="s">
        <v>100</v>
      </c>
      <c r="S15" s="207">
        <f t="shared" si="11"/>
        <v>46210</v>
      </c>
      <c r="T15" s="207">
        <f t="shared" si="10"/>
        <v>46210</v>
      </c>
    </row>
    <row r="16" s="186" customFormat="1" ht="43" customHeight="1" spans="1:20">
      <c r="A16" s="203"/>
      <c r="B16" s="212"/>
      <c r="C16" s="205" t="s">
        <v>181</v>
      </c>
      <c r="D16" s="213" t="s">
        <v>194</v>
      </c>
      <c r="E16" s="207">
        <v>46215</v>
      </c>
      <c r="F16" s="207">
        <v>46234</v>
      </c>
      <c r="G16" s="214">
        <f t="shared" si="9"/>
        <v>19</v>
      </c>
      <c r="H16" s="215" t="s">
        <v>192</v>
      </c>
      <c r="I16" s="216" t="s">
        <v>184</v>
      </c>
      <c r="J16" s="217" t="s">
        <v>190</v>
      </c>
      <c r="K16" s="207" t="s">
        <v>100</v>
      </c>
      <c r="L16" s="207" t="s">
        <v>100</v>
      </c>
      <c r="M16" s="207" t="s">
        <v>100</v>
      </c>
      <c r="N16" s="207" t="s">
        <v>100</v>
      </c>
      <c r="O16" s="207" t="s">
        <v>100</v>
      </c>
      <c r="P16" s="207" t="s">
        <v>100</v>
      </c>
      <c r="Q16" s="207" t="s">
        <v>100</v>
      </c>
      <c r="R16" s="207" t="s">
        <v>100</v>
      </c>
      <c r="S16" s="207">
        <f t="shared" si="11"/>
        <v>46210</v>
      </c>
      <c r="T16" s="207">
        <f t="shared" si="10"/>
        <v>46210</v>
      </c>
    </row>
    <row r="17" s="186" customFormat="1" ht="43" customHeight="1" spans="1:20">
      <c r="A17" s="203"/>
      <c r="B17" s="218" t="s">
        <v>195</v>
      </c>
      <c r="C17" s="205" t="s">
        <v>187</v>
      </c>
      <c r="D17" s="213" t="s">
        <v>188</v>
      </c>
      <c r="E17" s="207">
        <v>46214</v>
      </c>
      <c r="F17" s="207">
        <v>46239</v>
      </c>
      <c r="G17" s="208">
        <f t="shared" si="9"/>
        <v>25</v>
      </c>
      <c r="H17" s="209" t="s">
        <v>183</v>
      </c>
      <c r="I17" s="209" t="s">
        <v>193</v>
      </c>
      <c r="J17" s="210" t="s">
        <v>190</v>
      </c>
      <c r="K17" s="211">
        <f t="shared" ref="K17:K25" si="12">E17-5</f>
        <v>46209</v>
      </c>
      <c r="L17" s="211">
        <f t="shared" ref="L17:L21" si="13">K17</f>
        <v>46209</v>
      </c>
      <c r="M17" s="211">
        <f t="shared" ref="M17:M21" si="14">K17</f>
        <v>46209</v>
      </c>
      <c r="N17" s="211">
        <f>K17-1</f>
        <v>46208</v>
      </c>
      <c r="O17" s="211">
        <f>K17-1</f>
        <v>46208</v>
      </c>
      <c r="P17" s="211">
        <f>K17-1</f>
        <v>46208</v>
      </c>
      <c r="Q17" s="211">
        <f>K17-2</f>
        <v>46207</v>
      </c>
      <c r="R17" s="211">
        <f>K17-2</f>
        <v>46207</v>
      </c>
      <c r="S17" s="211" t="s">
        <v>100</v>
      </c>
      <c r="T17" s="211" t="s">
        <v>100</v>
      </c>
    </row>
    <row r="18" s="186" customFormat="1" ht="43" customHeight="1" spans="1:20">
      <c r="A18" s="203"/>
      <c r="B18" s="218"/>
      <c r="C18" s="205" t="s">
        <v>187</v>
      </c>
      <c r="D18" s="213" t="s">
        <v>189</v>
      </c>
      <c r="E18" s="207">
        <v>46223</v>
      </c>
      <c r="F18" s="207">
        <v>46248</v>
      </c>
      <c r="G18" s="208">
        <f t="shared" si="9"/>
        <v>25</v>
      </c>
      <c r="H18" s="209" t="s">
        <v>183</v>
      </c>
      <c r="I18" s="209" t="s">
        <v>184</v>
      </c>
      <c r="J18" s="210" t="s">
        <v>190</v>
      </c>
      <c r="K18" s="211">
        <f t="shared" si="12"/>
        <v>46218</v>
      </c>
      <c r="L18" s="211">
        <f t="shared" si="13"/>
        <v>46218</v>
      </c>
      <c r="M18" s="211">
        <f t="shared" si="14"/>
        <v>46218</v>
      </c>
      <c r="N18" s="211">
        <f>K18-1</f>
        <v>46217</v>
      </c>
      <c r="O18" s="211">
        <f>K18-1</f>
        <v>46217</v>
      </c>
      <c r="P18" s="211">
        <f>K18-1</f>
        <v>46217</v>
      </c>
      <c r="Q18" s="211">
        <f>K18-2</f>
        <v>46216</v>
      </c>
      <c r="R18" s="211">
        <f>K18-2</f>
        <v>46216</v>
      </c>
      <c r="S18" s="211" t="s">
        <v>100</v>
      </c>
      <c r="T18" s="211" t="s">
        <v>100</v>
      </c>
    </row>
    <row r="19" s="186" customFormat="1" ht="43" customHeight="1" spans="1:20">
      <c r="A19" s="203" t="s">
        <v>196</v>
      </c>
      <c r="B19" s="218" t="s">
        <v>197</v>
      </c>
      <c r="C19" s="205" t="s">
        <v>198</v>
      </c>
      <c r="D19" s="206" t="s">
        <v>199</v>
      </c>
      <c r="E19" s="207">
        <v>46211</v>
      </c>
      <c r="F19" s="207">
        <v>46222</v>
      </c>
      <c r="G19" s="208">
        <f t="shared" si="9"/>
        <v>11</v>
      </c>
      <c r="H19" s="209" t="s">
        <v>192</v>
      </c>
      <c r="I19" s="209" t="s">
        <v>100</v>
      </c>
      <c r="J19" s="209" t="s">
        <v>200</v>
      </c>
      <c r="K19" s="211">
        <f t="shared" si="12"/>
        <v>46206</v>
      </c>
      <c r="L19" s="211">
        <f t="shared" si="13"/>
        <v>46206</v>
      </c>
      <c r="M19" s="211">
        <f t="shared" si="14"/>
        <v>46206</v>
      </c>
      <c r="N19" s="211">
        <f>K19</f>
        <v>46206</v>
      </c>
      <c r="O19" s="211">
        <f>K19</f>
        <v>46206</v>
      </c>
      <c r="P19" s="211">
        <f>N19</f>
        <v>46206</v>
      </c>
      <c r="Q19" s="211">
        <f>K19</f>
        <v>46206</v>
      </c>
      <c r="R19" s="211">
        <f>K19</f>
        <v>46206</v>
      </c>
      <c r="S19" s="211">
        <f>K19+1</f>
        <v>46207</v>
      </c>
      <c r="T19" s="211">
        <f>S19</f>
        <v>46207</v>
      </c>
    </row>
    <row r="20" s="186" customFormat="1" ht="43" customHeight="1" spans="1:20">
      <c r="A20" s="203"/>
      <c r="B20" s="218"/>
      <c r="C20" s="205" t="s">
        <v>198</v>
      </c>
      <c r="D20" s="206" t="s">
        <v>201</v>
      </c>
      <c r="E20" s="207">
        <v>46218</v>
      </c>
      <c r="F20" s="207">
        <v>46229</v>
      </c>
      <c r="G20" s="208">
        <f t="shared" si="9"/>
        <v>11</v>
      </c>
      <c r="H20" s="209" t="s">
        <v>192</v>
      </c>
      <c r="I20" s="209" t="s">
        <v>100</v>
      </c>
      <c r="J20" s="209" t="s">
        <v>200</v>
      </c>
      <c r="K20" s="211">
        <f t="shared" si="12"/>
        <v>46213</v>
      </c>
      <c r="L20" s="211">
        <f t="shared" si="13"/>
        <v>46213</v>
      </c>
      <c r="M20" s="211">
        <f t="shared" si="14"/>
        <v>46213</v>
      </c>
      <c r="N20" s="211">
        <f>K20</f>
        <v>46213</v>
      </c>
      <c r="O20" s="211">
        <f>K20</f>
        <v>46213</v>
      </c>
      <c r="P20" s="211">
        <f>N20</f>
        <v>46213</v>
      </c>
      <c r="Q20" s="211">
        <f>K20</f>
        <v>46213</v>
      </c>
      <c r="R20" s="211">
        <f>K20</f>
        <v>46213</v>
      </c>
      <c r="S20" s="211">
        <f>K20+1</f>
        <v>46214</v>
      </c>
      <c r="T20" s="211">
        <f>S20</f>
        <v>46214</v>
      </c>
    </row>
    <row r="21" s="186" customFormat="1" ht="43" customHeight="1" spans="1:20">
      <c r="A21" s="203"/>
      <c r="B21" s="218" t="s">
        <v>27</v>
      </c>
      <c r="C21" s="205" t="s">
        <v>202</v>
      </c>
      <c r="D21" s="206" t="s">
        <v>203</v>
      </c>
      <c r="E21" s="207">
        <v>46211</v>
      </c>
      <c r="F21" s="207">
        <v>46225</v>
      </c>
      <c r="G21" s="208">
        <f t="shared" si="9"/>
        <v>14</v>
      </c>
      <c r="H21" s="209" t="s">
        <v>204</v>
      </c>
      <c r="I21" s="209" t="s">
        <v>100</v>
      </c>
      <c r="J21" s="210" t="s">
        <v>205</v>
      </c>
      <c r="K21" s="211">
        <f t="shared" si="12"/>
        <v>46206</v>
      </c>
      <c r="L21" s="211">
        <f t="shared" si="13"/>
        <v>46206</v>
      </c>
      <c r="M21" s="211">
        <f t="shared" si="14"/>
        <v>46206</v>
      </c>
      <c r="N21" s="211">
        <f>K21-1</f>
        <v>46205</v>
      </c>
      <c r="O21" s="211">
        <f>N21</f>
        <v>46205</v>
      </c>
      <c r="P21" s="211">
        <f>N21</f>
        <v>46205</v>
      </c>
      <c r="Q21" s="211">
        <f>N21-1</f>
        <v>46204</v>
      </c>
      <c r="R21" s="211">
        <f>Q21</f>
        <v>46204</v>
      </c>
      <c r="S21" s="207" t="s">
        <v>100</v>
      </c>
      <c r="T21" s="207" t="s">
        <v>100</v>
      </c>
    </row>
    <row r="22" s="186" customFormat="1" ht="43" customHeight="1" spans="1:20">
      <c r="A22" s="203"/>
      <c r="B22" s="218"/>
      <c r="C22" s="205" t="s">
        <v>206</v>
      </c>
      <c r="D22" s="206" t="s">
        <v>207</v>
      </c>
      <c r="E22" s="207">
        <v>46211</v>
      </c>
      <c r="F22" s="207">
        <v>46224</v>
      </c>
      <c r="G22" s="208">
        <v>13</v>
      </c>
      <c r="H22" s="209" t="s">
        <v>183</v>
      </c>
      <c r="I22" s="209" t="s">
        <v>100</v>
      </c>
      <c r="J22" s="210" t="s">
        <v>205</v>
      </c>
      <c r="K22" s="211">
        <f t="shared" si="12"/>
        <v>46206</v>
      </c>
      <c r="L22" s="211">
        <f t="shared" ref="L22:L32" si="15">K22</f>
        <v>46206</v>
      </c>
      <c r="M22" s="211">
        <f t="shared" ref="M22:M32" si="16">K22</f>
        <v>46206</v>
      </c>
      <c r="N22" s="211">
        <f t="shared" ref="N22:N32" si="17">K22-1</f>
        <v>46205</v>
      </c>
      <c r="O22" s="211">
        <f t="shared" ref="O22:O32" si="18">N22</f>
        <v>46205</v>
      </c>
      <c r="P22" s="211">
        <f t="shared" ref="P22:P32" si="19">N22</f>
        <v>46205</v>
      </c>
      <c r="Q22" s="211">
        <f>N22-1</f>
        <v>46204</v>
      </c>
      <c r="R22" s="211">
        <f t="shared" ref="R22:R32" si="20">Q22</f>
        <v>46204</v>
      </c>
      <c r="S22" s="207" t="s">
        <v>100</v>
      </c>
      <c r="T22" s="207" t="s">
        <v>100</v>
      </c>
    </row>
    <row r="23" s="186" customFormat="1" ht="43" customHeight="1" spans="1:20">
      <c r="A23" s="203"/>
      <c r="B23" s="218"/>
      <c r="C23" s="205" t="s">
        <v>206</v>
      </c>
      <c r="D23" s="206" t="s">
        <v>208</v>
      </c>
      <c r="E23" s="207">
        <v>46218</v>
      </c>
      <c r="F23" s="207">
        <v>46231</v>
      </c>
      <c r="G23" s="208">
        <v>13</v>
      </c>
      <c r="H23" s="209" t="s">
        <v>183</v>
      </c>
      <c r="I23" s="209" t="s">
        <v>100</v>
      </c>
      <c r="J23" s="210" t="s">
        <v>205</v>
      </c>
      <c r="K23" s="211">
        <f t="shared" si="12"/>
        <v>46213</v>
      </c>
      <c r="L23" s="211">
        <f t="shared" si="15"/>
        <v>46213</v>
      </c>
      <c r="M23" s="211">
        <f t="shared" si="16"/>
        <v>46213</v>
      </c>
      <c r="N23" s="211">
        <f t="shared" si="17"/>
        <v>46212</v>
      </c>
      <c r="O23" s="211">
        <f t="shared" si="18"/>
        <v>46212</v>
      </c>
      <c r="P23" s="211">
        <f t="shared" si="19"/>
        <v>46212</v>
      </c>
      <c r="Q23" s="211">
        <f>N23-1</f>
        <v>46211</v>
      </c>
      <c r="R23" s="211">
        <f t="shared" si="20"/>
        <v>46211</v>
      </c>
      <c r="S23" s="207" t="s">
        <v>100</v>
      </c>
      <c r="T23" s="207" t="s">
        <v>100</v>
      </c>
    </row>
    <row r="24" s="186" customFormat="1" ht="43" customHeight="1" spans="1:20">
      <c r="A24" s="203"/>
      <c r="B24" s="218" t="s">
        <v>29</v>
      </c>
      <c r="C24" s="205" t="s">
        <v>187</v>
      </c>
      <c r="D24" s="206" t="s">
        <v>209</v>
      </c>
      <c r="E24" s="207">
        <v>46213</v>
      </c>
      <c r="F24" s="207">
        <v>46228</v>
      </c>
      <c r="G24" s="208">
        <f t="shared" ref="G24:G32" si="21">_xlfn.DAYS(F24,E24)</f>
        <v>15</v>
      </c>
      <c r="H24" s="209" t="s">
        <v>183</v>
      </c>
      <c r="I24" s="209" t="s">
        <v>100</v>
      </c>
      <c r="J24" s="209" t="s">
        <v>200</v>
      </c>
      <c r="K24" s="211">
        <f t="shared" si="12"/>
        <v>46208</v>
      </c>
      <c r="L24" s="211">
        <f t="shared" si="15"/>
        <v>46208</v>
      </c>
      <c r="M24" s="211">
        <f t="shared" si="16"/>
        <v>46208</v>
      </c>
      <c r="N24" s="211">
        <f t="shared" si="17"/>
        <v>46207</v>
      </c>
      <c r="O24" s="211">
        <f t="shared" si="18"/>
        <v>46207</v>
      </c>
      <c r="P24" s="211">
        <f t="shared" si="19"/>
        <v>46207</v>
      </c>
      <c r="Q24" s="211">
        <f>N24-1</f>
        <v>46206</v>
      </c>
      <c r="R24" s="211">
        <f t="shared" si="20"/>
        <v>46206</v>
      </c>
      <c r="S24" s="207" t="s">
        <v>100</v>
      </c>
      <c r="T24" s="207" t="s">
        <v>100</v>
      </c>
    </row>
    <row r="25" s="186" customFormat="1" ht="43" customHeight="1" spans="1:20">
      <c r="A25" s="203"/>
      <c r="B25" s="218"/>
      <c r="C25" s="205" t="s">
        <v>187</v>
      </c>
      <c r="D25" s="206" t="s">
        <v>210</v>
      </c>
      <c r="E25" s="207">
        <v>46219</v>
      </c>
      <c r="F25" s="207">
        <v>46234</v>
      </c>
      <c r="G25" s="208">
        <f t="shared" si="21"/>
        <v>15</v>
      </c>
      <c r="H25" s="209" t="s">
        <v>183</v>
      </c>
      <c r="I25" s="209" t="s">
        <v>100</v>
      </c>
      <c r="J25" s="209" t="s">
        <v>200</v>
      </c>
      <c r="K25" s="211">
        <f t="shared" si="12"/>
        <v>46214</v>
      </c>
      <c r="L25" s="211">
        <f t="shared" si="15"/>
        <v>46214</v>
      </c>
      <c r="M25" s="211">
        <f t="shared" si="16"/>
        <v>46214</v>
      </c>
      <c r="N25" s="211">
        <f t="shared" si="17"/>
        <v>46213</v>
      </c>
      <c r="O25" s="211">
        <f t="shared" si="18"/>
        <v>46213</v>
      </c>
      <c r="P25" s="211">
        <f t="shared" si="19"/>
        <v>46213</v>
      </c>
      <c r="Q25" s="211">
        <f>N25-1</f>
        <v>46212</v>
      </c>
      <c r="R25" s="211">
        <f t="shared" si="20"/>
        <v>46212</v>
      </c>
      <c r="S25" s="207" t="s">
        <v>100</v>
      </c>
      <c r="T25" s="207" t="s">
        <v>100</v>
      </c>
    </row>
    <row r="26" s="186" customFormat="1" ht="43" customHeight="1" spans="1:20">
      <c r="A26" s="203" t="s">
        <v>54</v>
      </c>
      <c r="B26" s="203" t="s">
        <v>211</v>
      </c>
      <c r="C26" s="219" t="s">
        <v>187</v>
      </c>
      <c r="D26" s="220" t="s">
        <v>212</v>
      </c>
      <c r="E26" s="207">
        <v>46212</v>
      </c>
      <c r="F26" s="207">
        <v>46226</v>
      </c>
      <c r="G26" s="214">
        <f t="shared" si="21"/>
        <v>14</v>
      </c>
      <c r="H26" s="216" t="s">
        <v>213</v>
      </c>
      <c r="I26" s="216" t="s">
        <v>100</v>
      </c>
      <c r="J26" s="217" t="s">
        <v>214</v>
      </c>
      <c r="K26" s="207">
        <f>E26-6</f>
        <v>46206</v>
      </c>
      <c r="L26" s="207">
        <f t="shared" si="15"/>
        <v>46206</v>
      </c>
      <c r="M26" s="207">
        <f t="shared" si="16"/>
        <v>46206</v>
      </c>
      <c r="N26" s="207">
        <f t="shared" si="17"/>
        <v>46205</v>
      </c>
      <c r="O26" s="207">
        <f t="shared" si="18"/>
        <v>46205</v>
      </c>
      <c r="P26" s="207">
        <f t="shared" si="19"/>
        <v>46205</v>
      </c>
      <c r="Q26" s="207">
        <f t="shared" ref="Q26:Q28" si="22">P26</f>
        <v>46205</v>
      </c>
      <c r="R26" s="207">
        <f t="shared" si="20"/>
        <v>46205</v>
      </c>
      <c r="S26" s="207">
        <f t="shared" ref="S26:S28" si="23">K26+1</f>
        <v>46207</v>
      </c>
      <c r="T26" s="207">
        <f t="shared" ref="T26:T28" si="24">S26</f>
        <v>46207</v>
      </c>
    </row>
    <row r="27" s="186" customFormat="1" ht="43" customHeight="1" spans="1:20">
      <c r="A27" s="203"/>
      <c r="B27" s="203"/>
      <c r="C27" s="219" t="s">
        <v>187</v>
      </c>
      <c r="D27" s="213" t="s">
        <v>215</v>
      </c>
      <c r="E27" s="207">
        <v>46222</v>
      </c>
      <c r="F27" s="207">
        <v>46233</v>
      </c>
      <c r="G27" s="214">
        <f t="shared" si="21"/>
        <v>11</v>
      </c>
      <c r="H27" s="216" t="s">
        <v>213</v>
      </c>
      <c r="I27" s="216" t="s">
        <v>100</v>
      </c>
      <c r="J27" s="217" t="s">
        <v>214</v>
      </c>
      <c r="K27" s="207">
        <f t="shared" ref="K26:K32" si="25">E27-7</f>
        <v>46215</v>
      </c>
      <c r="L27" s="207">
        <f t="shared" si="15"/>
        <v>46215</v>
      </c>
      <c r="M27" s="207">
        <f t="shared" si="16"/>
        <v>46215</v>
      </c>
      <c r="N27" s="207">
        <f t="shared" si="17"/>
        <v>46214</v>
      </c>
      <c r="O27" s="207">
        <f t="shared" si="18"/>
        <v>46214</v>
      </c>
      <c r="P27" s="207">
        <f t="shared" si="19"/>
        <v>46214</v>
      </c>
      <c r="Q27" s="207">
        <f t="shared" si="22"/>
        <v>46214</v>
      </c>
      <c r="R27" s="207">
        <f t="shared" si="20"/>
        <v>46214</v>
      </c>
      <c r="S27" s="207">
        <f t="shared" si="23"/>
        <v>46216</v>
      </c>
      <c r="T27" s="207">
        <f t="shared" si="24"/>
        <v>46216</v>
      </c>
    </row>
    <row r="28" s="186" customFormat="1" ht="43" customHeight="1" spans="1:20">
      <c r="A28" s="203"/>
      <c r="B28" s="203"/>
      <c r="C28" s="219" t="s">
        <v>187</v>
      </c>
      <c r="D28" s="213" t="s">
        <v>216</v>
      </c>
      <c r="E28" s="207">
        <v>46211</v>
      </c>
      <c r="F28" s="207">
        <v>46225</v>
      </c>
      <c r="G28" s="214">
        <f t="shared" si="21"/>
        <v>14</v>
      </c>
      <c r="H28" s="216" t="s">
        <v>213</v>
      </c>
      <c r="I28" s="216" t="s">
        <v>100</v>
      </c>
      <c r="J28" s="217" t="s">
        <v>217</v>
      </c>
      <c r="K28" s="207">
        <f t="shared" si="25"/>
        <v>46204</v>
      </c>
      <c r="L28" s="207">
        <f t="shared" si="15"/>
        <v>46204</v>
      </c>
      <c r="M28" s="207">
        <f t="shared" si="16"/>
        <v>46204</v>
      </c>
      <c r="N28" s="207">
        <f t="shared" si="17"/>
        <v>46203</v>
      </c>
      <c r="O28" s="207">
        <f t="shared" si="18"/>
        <v>46203</v>
      </c>
      <c r="P28" s="207">
        <f t="shared" si="19"/>
        <v>46203</v>
      </c>
      <c r="Q28" s="207">
        <f t="shared" si="22"/>
        <v>46203</v>
      </c>
      <c r="R28" s="207">
        <f t="shared" si="20"/>
        <v>46203</v>
      </c>
      <c r="S28" s="207">
        <f t="shared" si="23"/>
        <v>46205</v>
      </c>
      <c r="T28" s="207">
        <f t="shared" si="24"/>
        <v>46205</v>
      </c>
    </row>
    <row r="29" s="186" customFormat="1" ht="43" customHeight="1" spans="1:20">
      <c r="A29" s="203"/>
      <c r="B29" s="203"/>
      <c r="C29" s="219" t="s">
        <v>187</v>
      </c>
      <c r="D29" s="213" t="s">
        <v>218</v>
      </c>
      <c r="E29" s="207">
        <v>46218</v>
      </c>
      <c r="F29" s="207">
        <v>46232</v>
      </c>
      <c r="G29" s="214">
        <f t="shared" si="21"/>
        <v>14</v>
      </c>
      <c r="H29" s="216" t="s">
        <v>213</v>
      </c>
      <c r="I29" s="216" t="s">
        <v>100</v>
      </c>
      <c r="J29" s="217" t="s">
        <v>217</v>
      </c>
      <c r="K29" s="207">
        <f t="shared" si="25"/>
        <v>46211</v>
      </c>
      <c r="L29" s="207">
        <f t="shared" si="15"/>
        <v>46211</v>
      </c>
      <c r="M29" s="207">
        <f t="shared" si="16"/>
        <v>46211</v>
      </c>
      <c r="N29" s="207">
        <f t="shared" si="17"/>
        <v>46210</v>
      </c>
      <c r="O29" s="207">
        <f t="shared" si="18"/>
        <v>46210</v>
      </c>
      <c r="P29" s="207">
        <f t="shared" si="19"/>
        <v>46210</v>
      </c>
      <c r="Q29" s="207">
        <f t="shared" ref="Q26:Q32" si="26">P29</f>
        <v>46210</v>
      </c>
      <c r="R29" s="207">
        <f t="shared" si="20"/>
        <v>46210</v>
      </c>
      <c r="S29" s="207">
        <f t="shared" ref="S26:S32" si="27">K29+1</f>
        <v>46212</v>
      </c>
      <c r="T29" s="207">
        <f t="shared" ref="T26:T32" si="28">S29</f>
        <v>46212</v>
      </c>
    </row>
    <row r="30" s="186" customFormat="1" ht="43" customHeight="1" spans="1:20">
      <c r="A30" s="203"/>
      <c r="B30" s="203"/>
      <c r="C30" s="219" t="s">
        <v>187</v>
      </c>
      <c r="D30" s="213" t="s">
        <v>219</v>
      </c>
      <c r="E30" s="207">
        <v>46210</v>
      </c>
      <c r="F30" s="207">
        <v>46232</v>
      </c>
      <c r="G30" s="214">
        <f t="shared" si="21"/>
        <v>22</v>
      </c>
      <c r="H30" s="216" t="s">
        <v>213</v>
      </c>
      <c r="I30" s="216" t="s">
        <v>220</v>
      </c>
      <c r="J30" s="217" t="s">
        <v>221</v>
      </c>
      <c r="K30" s="207">
        <f t="shared" si="25"/>
        <v>46203</v>
      </c>
      <c r="L30" s="207">
        <f t="shared" si="15"/>
        <v>46203</v>
      </c>
      <c r="M30" s="207">
        <f t="shared" si="16"/>
        <v>46203</v>
      </c>
      <c r="N30" s="207">
        <f t="shared" si="17"/>
        <v>46202</v>
      </c>
      <c r="O30" s="207">
        <f t="shared" si="18"/>
        <v>46202</v>
      </c>
      <c r="P30" s="207">
        <f t="shared" si="19"/>
        <v>46202</v>
      </c>
      <c r="Q30" s="207">
        <f t="shared" si="26"/>
        <v>46202</v>
      </c>
      <c r="R30" s="207">
        <f t="shared" si="20"/>
        <v>46202</v>
      </c>
      <c r="S30" s="207">
        <f t="shared" si="27"/>
        <v>46204</v>
      </c>
      <c r="T30" s="207">
        <f t="shared" si="28"/>
        <v>46204</v>
      </c>
    </row>
    <row r="31" s="186" customFormat="1" ht="43" customHeight="1" spans="1:20">
      <c r="A31" s="203"/>
      <c r="B31" s="203"/>
      <c r="C31" s="219" t="s">
        <v>187</v>
      </c>
      <c r="D31" s="213" t="s">
        <v>222</v>
      </c>
      <c r="E31" s="207">
        <v>46213</v>
      </c>
      <c r="F31" s="207">
        <v>46229</v>
      </c>
      <c r="G31" s="214">
        <f t="shared" si="21"/>
        <v>16</v>
      </c>
      <c r="H31" s="216" t="s">
        <v>192</v>
      </c>
      <c r="I31" s="216" t="s">
        <v>100</v>
      </c>
      <c r="J31" s="217" t="s">
        <v>223</v>
      </c>
      <c r="K31" s="207">
        <f t="shared" si="25"/>
        <v>46206</v>
      </c>
      <c r="L31" s="207">
        <f t="shared" si="15"/>
        <v>46206</v>
      </c>
      <c r="M31" s="207">
        <f t="shared" si="16"/>
        <v>46206</v>
      </c>
      <c r="N31" s="207">
        <f t="shared" si="17"/>
        <v>46205</v>
      </c>
      <c r="O31" s="207">
        <f t="shared" si="18"/>
        <v>46205</v>
      </c>
      <c r="P31" s="207">
        <f t="shared" si="19"/>
        <v>46205</v>
      </c>
      <c r="Q31" s="207">
        <f t="shared" si="26"/>
        <v>46205</v>
      </c>
      <c r="R31" s="207">
        <f t="shared" si="20"/>
        <v>46205</v>
      </c>
      <c r="S31" s="207">
        <f t="shared" si="27"/>
        <v>46207</v>
      </c>
      <c r="T31" s="207">
        <f t="shared" si="28"/>
        <v>46207</v>
      </c>
    </row>
    <row r="32" s="186" customFormat="1" ht="43" customHeight="1" spans="1:20">
      <c r="A32" s="203"/>
      <c r="B32" s="203"/>
      <c r="C32" s="219" t="s">
        <v>187</v>
      </c>
      <c r="D32" s="213" t="s">
        <v>224</v>
      </c>
      <c r="E32" s="207">
        <v>46220</v>
      </c>
      <c r="F32" s="207">
        <v>46236</v>
      </c>
      <c r="G32" s="214">
        <f t="shared" si="21"/>
        <v>16</v>
      </c>
      <c r="H32" s="216" t="s">
        <v>192</v>
      </c>
      <c r="I32" s="216" t="s">
        <v>100</v>
      </c>
      <c r="J32" s="217" t="s">
        <v>223</v>
      </c>
      <c r="K32" s="207">
        <f t="shared" si="25"/>
        <v>46213</v>
      </c>
      <c r="L32" s="207">
        <f t="shared" si="15"/>
        <v>46213</v>
      </c>
      <c r="M32" s="207">
        <f t="shared" si="16"/>
        <v>46213</v>
      </c>
      <c r="N32" s="207">
        <f t="shared" si="17"/>
        <v>46212</v>
      </c>
      <c r="O32" s="207">
        <f t="shared" si="18"/>
        <v>46212</v>
      </c>
      <c r="P32" s="207">
        <f t="shared" si="19"/>
        <v>46212</v>
      </c>
      <c r="Q32" s="207">
        <f t="shared" si="26"/>
        <v>46212</v>
      </c>
      <c r="R32" s="207">
        <f t="shared" si="20"/>
        <v>46212</v>
      </c>
      <c r="S32" s="207">
        <f t="shared" si="27"/>
        <v>46214</v>
      </c>
      <c r="T32" s="207">
        <f t="shared" si="28"/>
        <v>46214</v>
      </c>
    </row>
    <row r="33" s="186" customFormat="1" ht="43" customHeight="1" spans="1:20">
      <c r="A33" s="221"/>
      <c r="B33" s="222"/>
      <c r="C33" s="222"/>
      <c r="D33" s="221"/>
      <c r="E33" s="223"/>
      <c r="F33" s="223"/>
      <c r="G33" s="224"/>
      <c r="H33" s="225"/>
      <c r="I33" s="226"/>
      <c r="J33" s="227"/>
      <c r="K33" s="223"/>
      <c r="L33" s="223"/>
      <c r="M33" s="223"/>
      <c r="N33" s="223"/>
      <c r="O33" s="223"/>
      <c r="P33" s="223"/>
      <c r="Q33" s="223"/>
      <c r="R33" s="223"/>
      <c r="S33" s="228"/>
      <c r="T33" s="228"/>
    </row>
    <row r="34" s="186" customFormat="1" ht="43" customHeight="1" spans="1:20">
      <c r="A34" s="221"/>
      <c r="B34" s="222"/>
      <c r="C34" s="222"/>
      <c r="D34" s="221"/>
      <c r="E34" s="223"/>
      <c r="F34" s="223"/>
      <c r="G34" s="224"/>
      <c r="H34" s="225"/>
      <c r="I34" s="226"/>
      <c r="J34" s="227"/>
      <c r="K34" s="223"/>
      <c r="L34" s="223"/>
      <c r="M34" s="223"/>
      <c r="N34" s="223"/>
      <c r="O34" s="223"/>
      <c r="P34" s="223"/>
      <c r="Q34" s="223"/>
      <c r="R34" s="223"/>
      <c r="S34" s="228"/>
      <c r="T34" s="228"/>
    </row>
  </sheetData>
  <mergeCells count="23">
    <mergeCell ref="A1:T1"/>
    <mergeCell ref="K2:T2"/>
    <mergeCell ref="K3:R3"/>
    <mergeCell ref="S3:T3"/>
    <mergeCell ref="A2:A4"/>
    <mergeCell ref="A5:A18"/>
    <mergeCell ref="A19:A25"/>
    <mergeCell ref="A26:A32"/>
    <mergeCell ref="B2:B4"/>
    <mergeCell ref="B5:B16"/>
    <mergeCell ref="B17:B18"/>
    <mergeCell ref="B19:B20"/>
    <mergeCell ref="B21:B23"/>
    <mergeCell ref="B24:B25"/>
    <mergeCell ref="B26:B32"/>
    <mergeCell ref="C2:C4"/>
    <mergeCell ref="D2:D4"/>
    <mergeCell ref="E2:E4"/>
    <mergeCell ref="F2:F4"/>
    <mergeCell ref="G2:G4"/>
    <mergeCell ref="H2:H4"/>
    <mergeCell ref="I2:I4"/>
    <mergeCell ref="J2:J4"/>
  </mergeCells>
  <pageMargins left="0.75" right="0.75" top="1" bottom="1" header="0.5" footer="0.5"/>
  <headerFooter/>
  <ignoredErrors>
    <ignoredError sqref="L19:AA19 S6:Z7 S5:AA5 Q13:R13 U13:Z13 Q14:Z14 S18:V18 U20:AA20 Q21:AA22 W24:W25 U26:W26 S34:V34 U33:V33 S23:V25 P26:T33 S9:Z11" 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4"/>
  </sheetPr>
  <dimension ref="A1:Q60"/>
  <sheetViews>
    <sheetView showGridLines="0" zoomScale="55" zoomScaleNormal="55" workbookViewId="0">
      <pane ySplit="1" topLeftCell="A2" activePane="bottomLeft" state="frozen"/>
      <selection/>
      <selection pane="bottomLeft" activeCell="A1" sqref="A1:L1"/>
    </sheetView>
  </sheetViews>
  <sheetFormatPr defaultColWidth="9" defaultRowHeight="17.25"/>
  <cols>
    <col min="1" max="1" width="35.625" style="186" customWidth="1"/>
    <col min="2" max="9" width="13.625" style="186" customWidth="1"/>
    <col min="10" max="10" width="15.625" style="186" customWidth="1"/>
    <col min="11" max="12" width="25.625" style="186" customWidth="1"/>
    <col min="13" max="16383" width="9" style="186"/>
  </cols>
  <sheetData>
    <row r="1" ht="100.05" customHeight="1" spans="1:12">
      <c r="A1" s="187" t="str">
        <f>_xlfn.DISPIMG("ID_D6697A225B864C34A678052B48D4E660",1)</f>
        <v>=DISPIMG("ID_D6697A225B864C34A678052B48D4E660",1)</v>
      </c>
      <c r="B1" s="187"/>
      <c r="C1" s="187"/>
      <c r="D1" s="187"/>
      <c r="E1" s="187"/>
      <c r="F1" s="187"/>
      <c r="G1" s="187"/>
      <c r="H1" s="187"/>
      <c r="I1" s="187"/>
      <c r="J1" s="187"/>
      <c r="K1" s="187"/>
      <c r="L1" s="187"/>
    </row>
    <row r="2" s="48" customFormat="1" ht="30" customHeight="1" spans="1:12">
      <c r="A2" s="95" t="s">
        <v>3</v>
      </c>
      <c r="B2" s="66" t="s">
        <v>225</v>
      </c>
      <c r="C2" s="66"/>
      <c r="D2" s="66"/>
      <c r="E2" s="66"/>
      <c r="F2" s="66"/>
      <c r="G2" s="66"/>
      <c r="H2" s="66"/>
      <c r="I2" s="66"/>
      <c r="J2" s="66"/>
      <c r="K2" s="66"/>
      <c r="L2" s="66"/>
    </row>
    <row r="3" s="48" customFormat="1" ht="30" customHeight="1" spans="1:12">
      <c r="A3" s="95"/>
      <c r="B3" s="95" t="s">
        <v>226</v>
      </c>
      <c r="C3" s="95"/>
      <c r="D3" s="95"/>
      <c r="E3" s="95"/>
      <c r="F3" s="95"/>
      <c r="G3" s="95"/>
      <c r="H3" s="95"/>
      <c r="I3" s="95"/>
      <c r="J3" s="95"/>
      <c r="K3" s="95"/>
      <c r="L3" s="95"/>
    </row>
    <row r="4" s="48" customFormat="1" ht="30" customHeight="1" spans="1:12">
      <c r="A4" s="68" t="s">
        <v>227</v>
      </c>
      <c r="B4" s="69" t="s">
        <v>228</v>
      </c>
      <c r="C4" s="69"/>
      <c r="D4" s="69" t="s">
        <v>229</v>
      </c>
      <c r="E4" s="69"/>
      <c r="F4" s="69" t="s">
        <v>230</v>
      </c>
      <c r="G4" s="69"/>
      <c r="H4" s="69" t="s">
        <v>231</v>
      </c>
      <c r="I4" s="69"/>
      <c r="J4" s="133" t="s">
        <v>232</v>
      </c>
      <c r="K4" s="133" t="s">
        <v>233</v>
      </c>
      <c r="L4" s="133" t="s">
        <v>234</v>
      </c>
    </row>
    <row r="5" s="61" customFormat="1" ht="30" customHeight="1" spans="1:12">
      <c r="A5" s="133" t="s">
        <v>235</v>
      </c>
      <c r="B5" s="70" t="s">
        <v>236</v>
      </c>
      <c r="C5" s="70" t="s">
        <v>237</v>
      </c>
      <c r="D5" s="70" t="s">
        <v>236</v>
      </c>
      <c r="E5" s="70" t="s">
        <v>237</v>
      </c>
      <c r="F5" s="70" t="s">
        <v>236</v>
      </c>
      <c r="G5" s="70" t="s">
        <v>237</v>
      </c>
      <c r="H5" s="70" t="s">
        <v>236</v>
      </c>
      <c r="I5" s="70" t="s">
        <v>237</v>
      </c>
      <c r="J5" s="133"/>
      <c r="K5" s="133"/>
      <c r="L5" s="133"/>
    </row>
    <row r="6" s="62" customFormat="1" ht="30" customHeight="1" spans="1:12">
      <c r="A6" s="79" t="s">
        <v>238</v>
      </c>
      <c r="B6" s="72">
        <f t="shared" ref="B6:B8" si="0">C6+2</f>
        <v>18.9</v>
      </c>
      <c r="C6" s="72">
        <v>16.9</v>
      </c>
      <c r="D6" s="72">
        <f>B6-0.2</f>
        <v>18.7</v>
      </c>
      <c r="E6" s="72">
        <f>C6-0.2</f>
        <v>16.7</v>
      </c>
      <c r="F6" s="188">
        <f>B6+0.2</f>
        <v>19.1</v>
      </c>
      <c r="G6" s="188">
        <f>C6+0.2</f>
        <v>17.1</v>
      </c>
      <c r="H6" s="188">
        <f>B6+0.5</f>
        <v>19.4</v>
      </c>
      <c r="I6" s="188">
        <f>C6+0.5</f>
        <v>17.4</v>
      </c>
      <c r="J6" s="182" t="s">
        <v>239</v>
      </c>
      <c r="K6" s="182" t="s">
        <v>240</v>
      </c>
      <c r="L6" s="194" t="s">
        <v>241</v>
      </c>
    </row>
    <row r="7" s="62" customFormat="1" ht="30" customHeight="1" spans="1:12">
      <c r="A7" s="79" t="s">
        <v>242</v>
      </c>
      <c r="B7" s="72">
        <f t="shared" si="0"/>
        <v>20.2</v>
      </c>
      <c r="C7" s="72">
        <v>18.2</v>
      </c>
      <c r="D7" s="72">
        <f>B7-0.2</f>
        <v>20</v>
      </c>
      <c r="E7" s="72">
        <f>C7-0.2</f>
        <v>18</v>
      </c>
      <c r="F7" s="188">
        <f>B7+0.2</f>
        <v>20.4</v>
      </c>
      <c r="G7" s="188">
        <f>C7+0.2</f>
        <v>18.4</v>
      </c>
      <c r="H7" s="188">
        <f>B7+0.5</f>
        <v>20.7</v>
      </c>
      <c r="I7" s="188">
        <f>C7+0.5</f>
        <v>18.7</v>
      </c>
      <c r="J7" s="182"/>
      <c r="K7" s="182"/>
      <c r="L7" s="194"/>
    </row>
    <row r="8" s="62" customFormat="1" ht="30" customHeight="1" spans="1:12">
      <c r="A8" s="79" t="s">
        <v>243</v>
      </c>
      <c r="B8" s="72">
        <f t="shared" si="0"/>
        <v>20.2</v>
      </c>
      <c r="C8" s="72">
        <v>18.2</v>
      </c>
      <c r="D8" s="72">
        <f>B8-0.2</f>
        <v>20</v>
      </c>
      <c r="E8" s="72">
        <f>C8-0.2</f>
        <v>18</v>
      </c>
      <c r="F8" s="188">
        <f>B8+0.2</f>
        <v>20.4</v>
      </c>
      <c r="G8" s="188">
        <f>C8+0.2</f>
        <v>18.4</v>
      </c>
      <c r="H8" s="188">
        <f>B8+0.5</f>
        <v>20.7</v>
      </c>
      <c r="I8" s="188">
        <f>C8+0.5</f>
        <v>18.7</v>
      </c>
      <c r="J8" s="182"/>
      <c r="K8" s="182"/>
      <c r="L8" s="194"/>
    </row>
    <row r="9" s="62" customFormat="1" ht="30" customHeight="1" spans="1:12">
      <c r="A9" s="79" t="s">
        <v>244</v>
      </c>
      <c r="B9" s="72">
        <v>19.5</v>
      </c>
      <c r="C9" s="72">
        <v>17.7</v>
      </c>
      <c r="D9" s="72">
        <f>B9-0.2</f>
        <v>19.3</v>
      </c>
      <c r="E9" s="72">
        <f>C9-0.2</f>
        <v>17.5</v>
      </c>
      <c r="F9" s="188">
        <f>B9+0.2</f>
        <v>19.7</v>
      </c>
      <c r="G9" s="188">
        <f>C9+0.2</f>
        <v>17.9</v>
      </c>
      <c r="H9" s="188">
        <f>B9+0.5</f>
        <v>20</v>
      </c>
      <c r="I9" s="188">
        <f>C9+0.5</f>
        <v>18.2</v>
      </c>
      <c r="J9" s="182" t="s">
        <v>245</v>
      </c>
      <c r="K9" s="182"/>
      <c r="L9" s="194"/>
    </row>
    <row r="10" s="62" customFormat="1" ht="30" customHeight="1" spans="1:12">
      <c r="A10" s="79" t="s">
        <v>246</v>
      </c>
      <c r="B10" s="72">
        <f>C10+2</f>
        <v>19.7</v>
      </c>
      <c r="C10" s="72">
        <v>17.7</v>
      </c>
      <c r="D10" s="72">
        <f>B10-0.2</f>
        <v>19.5</v>
      </c>
      <c r="E10" s="72">
        <f>C10-0.2</f>
        <v>17.5</v>
      </c>
      <c r="F10" s="188">
        <f>B10+0.2</f>
        <v>19.9</v>
      </c>
      <c r="G10" s="188">
        <f>C10+0.2</f>
        <v>17.9</v>
      </c>
      <c r="H10" s="188">
        <f>B10+0.5</f>
        <v>20.2</v>
      </c>
      <c r="I10" s="188">
        <f>C10+0.5</f>
        <v>18.2</v>
      </c>
      <c r="J10" s="182"/>
      <c r="K10" s="182"/>
      <c r="L10" s="194"/>
    </row>
    <row r="11" s="177" customFormat="1" ht="20" customHeight="1" spans="1:12">
      <c r="A11" s="185"/>
      <c r="B11" s="185"/>
      <c r="C11" s="185"/>
      <c r="D11" s="185"/>
      <c r="E11" s="185"/>
      <c r="F11" s="185"/>
      <c r="G11" s="185"/>
      <c r="H11" s="185"/>
      <c r="I11" s="185"/>
      <c r="J11" s="185"/>
      <c r="K11" s="185"/>
      <c r="L11" s="185"/>
    </row>
    <row r="12" s="48" customFormat="1" ht="30" customHeight="1" spans="1:12">
      <c r="A12" s="65" t="s">
        <v>3</v>
      </c>
      <c r="B12" s="66" t="s">
        <v>247</v>
      </c>
      <c r="C12" s="66"/>
      <c r="D12" s="66"/>
      <c r="E12" s="66"/>
      <c r="F12" s="66"/>
      <c r="G12" s="66"/>
      <c r="H12" s="66"/>
      <c r="I12" s="66"/>
      <c r="J12" s="66"/>
      <c r="K12" s="66"/>
      <c r="L12" s="66"/>
    </row>
    <row r="13" s="48" customFormat="1" ht="30" customHeight="1" spans="1:12">
      <c r="A13" s="65"/>
      <c r="B13" s="95" t="s">
        <v>226</v>
      </c>
      <c r="C13" s="95"/>
      <c r="D13" s="95"/>
      <c r="E13" s="95"/>
      <c r="F13" s="95"/>
      <c r="G13" s="95"/>
      <c r="H13" s="95"/>
      <c r="I13" s="95"/>
      <c r="J13" s="95"/>
      <c r="K13" s="95"/>
      <c r="L13" s="95"/>
    </row>
    <row r="14" s="48" customFormat="1" ht="30" customHeight="1" spans="1:12">
      <c r="A14" s="68" t="s">
        <v>227</v>
      </c>
      <c r="B14" s="69" t="s">
        <v>228</v>
      </c>
      <c r="C14" s="69"/>
      <c r="D14" s="69" t="s">
        <v>229</v>
      </c>
      <c r="E14" s="69"/>
      <c r="F14" s="69" t="s">
        <v>230</v>
      </c>
      <c r="G14" s="69"/>
      <c r="H14" s="69" t="s">
        <v>231</v>
      </c>
      <c r="I14" s="69"/>
      <c r="J14" s="133" t="s">
        <v>232</v>
      </c>
      <c r="K14" s="67" t="s">
        <v>248</v>
      </c>
      <c r="L14" s="67" t="s">
        <v>248</v>
      </c>
    </row>
    <row r="15" s="61" customFormat="1" ht="30" customHeight="1" spans="1:12">
      <c r="A15" s="67" t="s">
        <v>235</v>
      </c>
      <c r="B15" s="70" t="s">
        <v>236</v>
      </c>
      <c r="C15" s="70" t="s">
        <v>237</v>
      </c>
      <c r="D15" s="70" t="s">
        <v>236</v>
      </c>
      <c r="E15" s="70" t="s">
        <v>237</v>
      </c>
      <c r="F15" s="70" t="s">
        <v>236</v>
      </c>
      <c r="G15" s="70" t="s">
        <v>237</v>
      </c>
      <c r="H15" s="70" t="s">
        <v>236</v>
      </c>
      <c r="I15" s="70" t="s">
        <v>237</v>
      </c>
      <c r="J15" s="133"/>
      <c r="K15" s="67"/>
      <c r="L15" s="67"/>
    </row>
    <row r="16" s="62" customFormat="1" ht="30" customHeight="1" spans="1:12">
      <c r="A16" s="79" t="s">
        <v>238</v>
      </c>
      <c r="B16" s="72">
        <f t="shared" ref="B16:B20" si="1">C16+2</f>
        <v>17.8</v>
      </c>
      <c r="C16" s="72">
        <v>15.8</v>
      </c>
      <c r="D16" s="72">
        <f>B16-0.2</f>
        <v>17.6</v>
      </c>
      <c r="E16" s="72">
        <f>C16-0.2</f>
        <v>15.6</v>
      </c>
      <c r="F16" s="188">
        <f>B16+0.2</f>
        <v>18</v>
      </c>
      <c r="G16" s="188">
        <f>C16+0.2</f>
        <v>16</v>
      </c>
      <c r="H16" s="188">
        <f>B16+0.5</f>
        <v>18.3</v>
      </c>
      <c r="I16" s="188">
        <f>C16+0.5</f>
        <v>16.3</v>
      </c>
      <c r="J16" s="182" t="s">
        <v>239</v>
      </c>
      <c r="K16" s="182" t="s">
        <v>249</v>
      </c>
      <c r="L16" s="194" t="s">
        <v>250</v>
      </c>
    </row>
    <row r="17" s="62" customFormat="1" ht="30" customHeight="1" spans="1:16">
      <c r="A17" s="79" t="s">
        <v>251</v>
      </c>
      <c r="B17" s="72">
        <f t="shared" si="1"/>
        <v>17.8</v>
      </c>
      <c r="C17" s="72">
        <v>15.8</v>
      </c>
      <c r="D17" s="72">
        <f>B17-0.2</f>
        <v>17.6</v>
      </c>
      <c r="E17" s="72">
        <f>C17-0.2</f>
        <v>15.6</v>
      </c>
      <c r="F17" s="188">
        <f>B17+0.2</f>
        <v>18</v>
      </c>
      <c r="G17" s="188">
        <f>C17+0.2</f>
        <v>16</v>
      </c>
      <c r="H17" s="188">
        <f>B17+0.5</f>
        <v>18.3</v>
      </c>
      <c r="I17" s="188">
        <f>C17+0.5</f>
        <v>16.3</v>
      </c>
      <c r="J17" s="182"/>
      <c r="K17" s="182"/>
      <c r="L17" s="194"/>
    </row>
    <row r="18" s="62" customFormat="1" ht="30" customHeight="1" spans="1:16">
      <c r="A18" s="79" t="s">
        <v>252</v>
      </c>
      <c r="B18" s="72">
        <f t="shared" si="1"/>
        <v>18.4</v>
      </c>
      <c r="C18" s="72">
        <v>16.4</v>
      </c>
      <c r="D18" s="72">
        <f>B18-0.2</f>
        <v>18.2</v>
      </c>
      <c r="E18" s="72">
        <f>C18-0.2</f>
        <v>16.2</v>
      </c>
      <c r="F18" s="188">
        <f>B18+0.2</f>
        <v>18.6</v>
      </c>
      <c r="G18" s="188">
        <f>C18+0.2</f>
        <v>16.6</v>
      </c>
      <c r="H18" s="188">
        <f>B18+0.5</f>
        <v>18.9</v>
      </c>
      <c r="I18" s="188">
        <f>C18+0.5</f>
        <v>16.9</v>
      </c>
      <c r="J18" s="182"/>
      <c r="K18" s="182"/>
      <c r="L18" s="194"/>
    </row>
    <row r="19" s="62" customFormat="1" ht="30" customHeight="1" spans="1:16">
      <c r="A19" s="79" t="s">
        <v>244</v>
      </c>
      <c r="B19" s="72">
        <f t="shared" si="1"/>
        <v>17.8</v>
      </c>
      <c r="C19" s="72">
        <v>15.8</v>
      </c>
      <c r="D19" s="72">
        <f>B19-0.2</f>
        <v>17.6</v>
      </c>
      <c r="E19" s="72">
        <f>C19-0.2</f>
        <v>15.6</v>
      </c>
      <c r="F19" s="188">
        <f>B19+0.2</f>
        <v>18</v>
      </c>
      <c r="G19" s="188">
        <f>C19+0.2</f>
        <v>16</v>
      </c>
      <c r="H19" s="188">
        <f>B19+0.5</f>
        <v>18.3</v>
      </c>
      <c r="I19" s="188">
        <f>C19+0.5</f>
        <v>16.3</v>
      </c>
      <c r="J19" s="182" t="s">
        <v>245</v>
      </c>
      <c r="K19" s="182"/>
      <c r="L19" s="194"/>
    </row>
    <row r="20" s="62" customFormat="1" ht="30" customHeight="1" spans="1:16">
      <c r="A20" s="79" t="s">
        <v>246</v>
      </c>
      <c r="B20" s="72">
        <f t="shared" si="1"/>
        <v>17.9</v>
      </c>
      <c r="C20" s="72">
        <v>15.9</v>
      </c>
      <c r="D20" s="72">
        <f>B20-0.2</f>
        <v>17.7</v>
      </c>
      <c r="E20" s="72">
        <f>C20-0.2</f>
        <v>15.7</v>
      </c>
      <c r="F20" s="188">
        <f>B20+0.2</f>
        <v>18.1</v>
      </c>
      <c r="G20" s="188">
        <f>C20+0.2</f>
        <v>16.1</v>
      </c>
      <c r="H20" s="188">
        <f>B20+0.5</f>
        <v>18.4</v>
      </c>
      <c r="I20" s="188">
        <f>C20+0.5</f>
        <v>16.4</v>
      </c>
      <c r="J20" s="182"/>
      <c r="K20" s="182"/>
      <c r="L20" s="194"/>
    </row>
    <row r="21" s="177" customFormat="1" ht="20" customHeight="1" spans="1:16">
      <c r="A21" s="185"/>
      <c r="B21" s="185"/>
      <c r="C21" s="185"/>
      <c r="D21" s="185"/>
      <c r="E21" s="185"/>
      <c r="F21" s="185"/>
      <c r="G21" s="185"/>
      <c r="H21" s="185"/>
      <c r="I21" s="185"/>
      <c r="J21" s="185"/>
      <c r="K21" s="185"/>
      <c r="L21" s="185"/>
    </row>
    <row r="22" s="48" customFormat="1" ht="30" customHeight="1" spans="1:16">
      <c r="A22" s="65" t="s">
        <v>3</v>
      </c>
      <c r="B22" s="66" t="s">
        <v>253</v>
      </c>
      <c r="C22" s="66"/>
      <c r="D22" s="66"/>
      <c r="E22" s="66"/>
      <c r="F22" s="66"/>
      <c r="G22" s="66"/>
      <c r="H22" s="66"/>
      <c r="I22" s="66"/>
      <c r="J22" s="66"/>
      <c r="K22" s="66"/>
      <c r="L22" s="66"/>
    </row>
    <row r="23" s="48" customFormat="1" ht="30" customHeight="1" spans="1:16">
      <c r="A23" s="65"/>
      <c r="B23" s="95" t="s">
        <v>254</v>
      </c>
      <c r="C23" s="95"/>
      <c r="D23" s="95"/>
      <c r="E23" s="95"/>
      <c r="F23" s="95"/>
      <c r="G23" s="95"/>
      <c r="H23" s="95"/>
      <c r="I23" s="95"/>
      <c r="J23" s="95"/>
      <c r="K23" s="95"/>
      <c r="L23" s="95"/>
    </row>
    <row r="24" s="48" customFormat="1" ht="30" customHeight="1" spans="1:16">
      <c r="A24" s="68" t="s">
        <v>227</v>
      </c>
      <c r="B24" s="69" t="s">
        <v>228</v>
      </c>
      <c r="C24" s="69"/>
      <c r="D24" s="69" t="s">
        <v>229</v>
      </c>
      <c r="E24" s="69"/>
      <c r="F24" s="69" t="s">
        <v>230</v>
      </c>
      <c r="G24" s="69"/>
      <c r="H24" s="69" t="s">
        <v>231</v>
      </c>
      <c r="I24" s="69"/>
      <c r="J24" s="133" t="s">
        <v>232</v>
      </c>
      <c r="K24" s="67" t="s">
        <v>248</v>
      </c>
      <c r="L24" s="67" t="s">
        <v>248</v>
      </c>
    </row>
    <row r="25" s="61" customFormat="1" ht="30" customHeight="1" spans="1:16">
      <c r="A25" s="67" t="s">
        <v>235</v>
      </c>
      <c r="B25" s="70" t="s">
        <v>236</v>
      </c>
      <c r="C25" s="70" t="s">
        <v>237</v>
      </c>
      <c r="D25" s="70" t="s">
        <v>236</v>
      </c>
      <c r="E25" s="70" t="s">
        <v>237</v>
      </c>
      <c r="F25" s="70" t="s">
        <v>236</v>
      </c>
      <c r="G25" s="70" t="s">
        <v>237</v>
      </c>
      <c r="H25" s="70" t="s">
        <v>236</v>
      </c>
      <c r="I25" s="70" t="s">
        <v>237</v>
      </c>
      <c r="J25" s="133"/>
      <c r="K25" s="67"/>
      <c r="L25" s="67"/>
    </row>
    <row r="26" s="62" customFormat="1" ht="30" customHeight="1" spans="1:16">
      <c r="A26" s="79" t="s">
        <v>238</v>
      </c>
      <c r="B26" s="97">
        <f>C26+1.5</f>
        <v>14.8</v>
      </c>
      <c r="C26" s="97">
        <v>13.3</v>
      </c>
      <c r="D26" s="97">
        <f>B26</f>
        <v>14.8</v>
      </c>
      <c r="E26" s="97">
        <f>C26</f>
        <v>13.3</v>
      </c>
      <c r="F26" s="98">
        <f>B26+0.2</f>
        <v>15</v>
      </c>
      <c r="G26" s="98">
        <f>C26+0.2</f>
        <v>13.5</v>
      </c>
      <c r="H26" s="98">
        <f>B26+0.5</f>
        <v>15.3</v>
      </c>
      <c r="I26" s="98">
        <f>C26+0.5</f>
        <v>13.8</v>
      </c>
      <c r="J26" s="182" t="s">
        <v>239</v>
      </c>
      <c r="K26" s="182" t="s">
        <v>255</v>
      </c>
      <c r="L26" s="194" t="s">
        <v>256</v>
      </c>
      <c r="O26" s="144"/>
      <c r="P26" s="144"/>
    </row>
    <row r="27" s="62" customFormat="1" ht="30" customHeight="1" spans="1:16">
      <c r="A27" s="79" t="s">
        <v>251</v>
      </c>
      <c r="B27" s="97">
        <f>C27+1.5</f>
        <v>14.8</v>
      </c>
      <c r="C27" s="97">
        <v>13.3</v>
      </c>
      <c r="D27" s="97">
        <f>B27</f>
        <v>14.8</v>
      </c>
      <c r="E27" s="97">
        <f>C27</f>
        <v>13.3</v>
      </c>
      <c r="F27" s="98">
        <f>B27+0.2</f>
        <v>15</v>
      </c>
      <c r="G27" s="98">
        <f>C27+0.2</f>
        <v>13.5</v>
      </c>
      <c r="H27" s="98">
        <f>B27+0.5</f>
        <v>15.3</v>
      </c>
      <c r="I27" s="98">
        <f>C27+0.5</f>
        <v>13.8</v>
      </c>
      <c r="J27" s="182"/>
      <c r="K27" s="182"/>
      <c r="L27" s="194"/>
      <c r="M27" s="62"/>
      <c r="N27" s="62"/>
      <c r="O27" s="144"/>
      <c r="P27" s="144"/>
    </row>
    <row r="28" s="62" customFormat="1" ht="30" customHeight="1" spans="1:16">
      <c r="A28" s="79" t="s">
        <v>252</v>
      </c>
      <c r="B28" s="97">
        <f>C28+1.5</f>
        <v>15.7</v>
      </c>
      <c r="C28" s="97">
        <v>14.2</v>
      </c>
      <c r="D28" s="97">
        <f>B28</f>
        <v>15.7</v>
      </c>
      <c r="E28" s="97">
        <f>C28</f>
        <v>14.2</v>
      </c>
      <c r="F28" s="98">
        <f>B28+0.2</f>
        <v>15.9</v>
      </c>
      <c r="G28" s="98">
        <f>C28+0.2</f>
        <v>14.4</v>
      </c>
      <c r="H28" s="98">
        <f>B28+0.5</f>
        <v>16.2</v>
      </c>
      <c r="I28" s="98">
        <f>C28+0.5</f>
        <v>14.7</v>
      </c>
      <c r="J28" s="182"/>
      <c r="K28" s="182"/>
      <c r="L28" s="194"/>
      <c r="M28" s="62"/>
      <c r="N28" s="62"/>
      <c r="O28" s="144"/>
      <c r="P28" s="144"/>
    </row>
    <row r="29" s="62" customFormat="1" ht="30" customHeight="1" spans="1:16">
      <c r="A29" s="79" t="s">
        <v>244</v>
      </c>
      <c r="B29" s="97">
        <f>C29+1.5</f>
        <v>14.8</v>
      </c>
      <c r="C29" s="97">
        <v>13.3</v>
      </c>
      <c r="D29" s="97">
        <f>B29</f>
        <v>14.8</v>
      </c>
      <c r="E29" s="97">
        <f>C29</f>
        <v>13.3</v>
      </c>
      <c r="F29" s="98">
        <f>B29+0.2</f>
        <v>15</v>
      </c>
      <c r="G29" s="98">
        <f>C29+0.2</f>
        <v>13.5</v>
      </c>
      <c r="H29" s="98">
        <f>B29+0.5</f>
        <v>15.3</v>
      </c>
      <c r="I29" s="98">
        <f>C29+0.5</f>
        <v>13.8</v>
      </c>
      <c r="J29" s="182" t="s">
        <v>245</v>
      </c>
      <c r="K29" s="182"/>
      <c r="L29" s="194"/>
      <c r="M29" s="62"/>
      <c r="N29" s="62"/>
      <c r="O29" s="144"/>
      <c r="P29" s="144"/>
    </row>
    <row r="30" s="62" customFormat="1" ht="30" customHeight="1" spans="1:16">
      <c r="A30" s="79" t="s">
        <v>246</v>
      </c>
      <c r="B30" s="97">
        <f>C30+1.5</f>
        <v>15.1</v>
      </c>
      <c r="C30" s="97">
        <v>13.6</v>
      </c>
      <c r="D30" s="97">
        <f>B30</f>
        <v>15.1</v>
      </c>
      <c r="E30" s="97">
        <f>C30</f>
        <v>13.6</v>
      </c>
      <c r="F30" s="98">
        <f>B30+0.2</f>
        <v>15.3</v>
      </c>
      <c r="G30" s="98">
        <f>C30+0.2</f>
        <v>13.8</v>
      </c>
      <c r="H30" s="98">
        <f>B30+0.5</f>
        <v>15.6</v>
      </c>
      <c r="I30" s="98">
        <f>C30+0.5</f>
        <v>14.1</v>
      </c>
      <c r="J30" s="182"/>
      <c r="K30" s="182"/>
      <c r="L30" s="194"/>
      <c r="M30" s="62"/>
      <c r="N30" s="62"/>
      <c r="O30" s="144"/>
      <c r="P30" s="144"/>
    </row>
    <row r="31" s="177" customFormat="1" ht="20" customHeight="1" spans="1:16">
      <c r="A31" s="185"/>
      <c r="B31" s="185"/>
      <c r="C31" s="185"/>
      <c r="D31" s="185"/>
      <c r="E31" s="185"/>
      <c r="F31" s="185"/>
      <c r="G31" s="185"/>
      <c r="H31" s="185"/>
      <c r="I31" s="185"/>
      <c r="J31" s="185"/>
      <c r="K31" s="185"/>
      <c r="L31" s="185"/>
    </row>
    <row r="32" s="48" customFormat="1" ht="30" customHeight="1" spans="1:16">
      <c r="A32" s="65" t="s">
        <v>3</v>
      </c>
      <c r="B32" s="66" t="s">
        <v>257</v>
      </c>
      <c r="C32" s="66"/>
      <c r="D32" s="66"/>
      <c r="E32" s="66"/>
      <c r="F32" s="66"/>
      <c r="G32" s="66"/>
      <c r="H32" s="66"/>
      <c r="I32" s="66"/>
      <c r="J32" s="66"/>
      <c r="K32" s="66"/>
      <c r="L32" s="66"/>
    </row>
    <row r="33" s="48" customFormat="1" ht="30" customHeight="1" spans="1:17">
      <c r="A33" s="65"/>
      <c r="B33" s="95" t="s">
        <v>258</v>
      </c>
      <c r="C33" s="95"/>
      <c r="D33" s="95"/>
      <c r="E33" s="95"/>
      <c r="F33" s="95"/>
      <c r="G33" s="95"/>
      <c r="H33" s="95"/>
      <c r="I33" s="95"/>
      <c r="J33" s="95"/>
      <c r="K33" s="95"/>
      <c r="L33" s="95"/>
    </row>
    <row r="34" s="48" customFormat="1" ht="30" customHeight="1" spans="1:17">
      <c r="A34" s="68" t="s">
        <v>227</v>
      </c>
      <c r="B34" s="69" t="s">
        <v>228</v>
      </c>
      <c r="C34" s="69"/>
      <c r="D34" s="69" t="s">
        <v>229</v>
      </c>
      <c r="E34" s="69"/>
      <c r="F34" s="69" t="s">
        <v>230</v>
      </c>
      <c r="G34" s="69"/>
      <c r="H34" s="69" t="s">
        <v>231</v>
      </c>
      <c r="I34" s="69"/>
      <c r="J34" s="133" t="s">
        <v>232</v>
      </c>
      <c r="K34" s="67" t="s">
        <v>248</v>
      </c>
      <c r="L34" s="67" t="s">
        <v>248</v>
      </c>
    </row>
    <row r="35" s="61" customFormat="1" ht="30" customHeight="1" spans="1:17">
      <c r="A35" s="67" t="s">
        <v>235</v>
      </c>
      <c r="B35" s="70" t="s">
        <v>236</v>
      </c>
      <c r="C35" s="70" t="s">
        <v>237</v>
      </c>
      <c r="D35" s="70" t="s">
        <v>236</v>
      </c>
      <c r="E35" s="70" t="s">
        <v>237</v>
      </c>
      <c r="F35" s="70" t="s">
        <v>236</v>
      </c>
      <c r="G35" s="70" t="s">
        <v>237</v>
      </c>
      <c r="H35" s="70" t="s">
        <v>236</v>
      </c>
      <c r="I35" s="70" t="s">
        <v>237</v>
      </c>
      <c r="J35" s="133"/>
      <c r="K35" s="67"/>
      <c r="L35" s="67"/>
    </row>
    <row r="36" s="62" customFormat="1" ht="30" customHeight="1" spans="1:17">
      <c r="A36" s="79" t="s">
        <v>238</v>
      </c>
      <c r="B36" s="97">
        <f>C36+1.5</f>
        <v>14.3</v>
      </c>
      <c r="C36" s="97">
        <v>12.8</v>
      </c>
      <c r="D36" s="97">
        <f>B36</f>
        <v>14.3</v>
      </c>
      <c r="E36" s="97">
        <f>C36</f>
        <v>12.8</v>
      </c>
      <c r="F36" s="98">
        <f>B36+0.2</f>
        <v>14.5</v>
      </c>
      <c r="G36" s="98">
        <f>C36+0.2</f>
        <v>13</v>
      </c>
      <c r="H36" s="98">
        <f>B36+0.5</f>
        <v>14.8</v>
      </c>
      <c r="I36" s="98">
        <f>C36+0.5</f>
        <v>13.3</v>
      </c>
      <c r="J36" s="182" t="s">
        <v>239</v>
      </c>
      <c r="K36" s="182" t="s">
        <v>259</v>
      </c>
      <c r="L36" s="195" t="s">
        <v>260</v>
      </c>
      <c r="O36" s="144"/>
      <c r="P36" s="144"/>
      <c r="Q36" s="144"/>
    </row>
    <row r="37" s="62" customFormat="1" ht="30" customHeight="1" spans="1:17">
      <c r="A37" s="79" t="s">
        <v>251</v>
      </c>
      <c r="B37" s="97">
        <f>C37+1.5</f>
        <v>14.3</v>
      </c>
      <c r="C37" s="97">
        <v>12.8</v>
      </c>
      <c r="D37" s="97">
        <f>B37</f>
        <v>14.3</v>
      </c>
      <c r="E37" s="97">
        <f>C37</f>
        <v>12.8</v>
      </c>
      <c r="F37" s="98">
        <f>B37+0.2</f>
        <v>14.5</v>
      </c>
      <c r="G37" s="98">
        <f>C37+0.2</f>
        <v>13</v>
      </c>
      <c r="H37" s="98">
        <f>B37+0.5</f>
        <v>14.8</v>
      </c>
      <c r="I37" s="98">
        <f>C37+0.5</f>
        <v>13.3</v>
      </c>
      <c r="J37" s="182"/>
      <c r="K37" s="182"/>
      <c r="L37" s="195"/>
      <c r="M37" s="62"/>
      <c r="N37" s="62"/>
      <c r="O37" s="144"/>
      <c r="P37" s="144"/>
      <c r="Q37" s="144"/>
    </row>
    <row r="38" s="62" customFormat="1" ht="30" customHeight="1" spans="1:17">
      <c r="A38" s="79" t="s">
        <v>252</v>
      </c>
      <c r="B38" s="97">
        <f>C38+1.5</f>
        <v>15.3</v>
      </c>
      <c r="C38" s="97">
        <v>13.8</v>
      </c>
      <c r="D38" s="97">
        <f>B38</f>
        <v>15.3</v>
      </c>
      <c r="E38" s="97">
        <f>C38</f>
        <v>13.8</v>
      </c>
      <c r="F38" s="98">
        <f>B38+0.2</f>
        <v>15.5</v>
      </c>
      <c r="G38" s="98">
        <f>C38+0.2</f>
        <v>14</v>
      </c>
      <c r="H38" s="98">
        <f>B38+0.5</f>
        <v>15.8</v>
      </c>
      <c r="I38" s="98">
        <f>C38+0.5</f>
        <v>14.3</v>
      </c>
      <c r="J38" s="182"/>
      <c r="K38" s="182"/>
      <c r="L38" s="195"/>
      <c r="M38" s="62"/>
      <c r="N38" s="62"/>
      <c r="O38" s="144"/>
      <c r="P38" s="144"/>
      <c r="Q38" s="144"/>
    </row>
    <row r="39" s="62" customFormat="1" ht="30" customHeight="1" spans="1:17">
      <c r="A39" s="79" t="s">
        <v>244</v>
      </c>
      <c r="B39" s="97">
        <f>C39+1.5</f>
        <v>14.3</v>
      </c>
      <c r="C39" s="97">
        <v>12.8</v>
      </c>
      <c r="D39" s="97">
        <f>B39</f>
        <v>14.3</v>
      </c>
      <c r="E39" s="97">
        <f>C39</f>
        <v>12.8</v>
      </c>
      <c r="F39" s="98">
        <f>B39+0.2</f>
        <v>14.5</v>
      </c>
      <c r="G39" s="98">
        <f>C39+0.2</f>
        <v>13</v>
      </c>
      <c r="H39" s="98">
        <f>B39+0.5</f>
        <v>14.8</v>
      </c>
      <c r="I39" s="98">
        <f>C39+0.5</f>
        <v>13.3</v>
      </c>
      <c r="J39" s="182" t="s">
        <v>245</v>
      </c>
      <c r="K39" s="182"/>
      <c r="L39" s="195"/>
      <c r="M39" s="62"/>
      <c r="N39" s="62"/>
      <c r="O39" s="144"/>
      <c r="P39" s="144"/>
      <c r="Q39" s="144"/>
    </row>
    <row r="40" s="62" customFormat="1" ht="30" customHeight="1" spans="1:17">
      <c r="A40" s="79" t="s">
        <v>246</v>
      </c>
      <c r="B40" s="97">
        <f>C40+1.5</f>
        <v>14.7</v>
      </c>
      <c r="C40" s="97">
        <v>13.2</v>
      </c>
      <c r="D40" s="97">
        <f>B40</f>
        <v>14.7</v>
      </c>
      <c r="E40" s="97">
        <f>C40</f>
        <v>13.2</v>
      </c>
      <c r="F40" s="98">
        <f>B40+0.2</f>
        <v>14.9</v>
      </c>
      <c r="G40" s="98">
        <f>C40+0.2</f>
        <v>13.4</v>
      </c>
      <c r="H40" s="98">
        <f>B40+0.5</f>
        <v>15.2</v>
      </c>
      <c r="I40" s="98">
        <f>C40+0.5</f>
        <v>13.7</v>
      </c>
      <c r="J40" s="182"/>
      <c r="K40" s="182"/>
      <c r="L40" s="195"/>
      <c r="M40" s="62"/>
      <c r="N40" s="62"/>
      <c r="O40" s="144"/>
      <c r="P40" s="144"/>
      <c r="Q40" s="144"/>
    </row>
    <row r="41" s="62" customFormat="1" ht="28.2" customHeight="1" spans="1:17">
      <c r="A41" s="100" t="s">
        <v>261</v>
      </c>
      <c r="B41" s="100"/>
      <c r="C41" s="100"/>
      <c r="D41" s="100"/>
      <c r="E41" s="100"/>
      <c r="F41" s="100"/>
      <c r="G41" s="100"/>
      <c r="H41" s="100"/>
      <c r="I41" s="100"/>
      <c r="J41" s="100"/>
      <c r="K41" s="100"/>
      <c r="L41" s="100"/>
      <c r="M41" s="62">
        <v>0.7</v>
      </c>
    </row>
    <row r="42" s="63" customFormat="1" ht="29" customHeight="1" spans="1:17">
      <c r="A42" s="101" t="s">
        <v>262</v>
      </c>
      <c r="B42" s="101"/>
      <c r="C42" s="101"/>
      <c r="D42" s="101"/>
      <c r="E42" s="101"/>
      <c r="F42" s="101"/>
      <c r="G42" s="101"/>
      <c r="H42" s="101"/>
      <c r="I42" s="101"/>
      <c r="J42" s="101"/>
      <c r="K42" s="101"/>
      <c r="L42" s="101"/>
    </row>
    <row r="43" s="63" customFormat="1" ht="70" customHeight="1" spans="1:17">
      <c r="A43" s="105" t="s">
        <v>263</v>
      </c>
      <c r="B43" s="87" t="s">
        <v>264</v>
      </c>
      <c r="C43" s="87"/>
      <c r="D43" s="87"/>
      <c r="E43" s="87"/>
      <c r="F43" s="87"/>
      <c r="G43" s="87"/>
      <c r="H43" s="87"/>
      <c r="I43" s="87"/>
      <c r="J43" s="87"/>
      <c r="K43" s="87"/>
      <c r="L43" s="87"/>
    </row>
    <row r="44" s="63" customFormat="1" ht="35" customHeight="1" spans="1:17">
      <c r="A44" s="105" t="s">
        <v>265</v>
      </c>
      <c r="B44" s="87" t="s">
        <v>266</v>
      </c>
      <c r="C44" s="87"/>
      <c r="D44" s="87"/>
      <c r="E44" s="87"/>
      <c r="F44" s="87"/>
      <c r="G44" s="87"/>
      <c r="H44" s="87"/>
      <c r="I44" s="87"/>
      <c r="J44" s="87"/>
      <c r="K44" s="87"/>
      <c r="L44" s="87"/>
    </row>
    <row r="45" s="63" customFormat="1" ht="94" customHeight="1" spans="1:17">
      <c r="A45" s="105" t="s">
        <v>267</v>
      </c>
      <c r="B45" s="87" t="s">
        <v>268</v>
      </c>
      <c r="C45" s="87"/>
      <c r="D45" s="87"/>
      <c r="E45" s="87"/>
      <c r="F45" s="87"/>
      <c r="G45" s="87"/>
      <c r="H45" s="87"/>
      <c r="I45" s="87"/>
      <c r="J45" s="87"/>
      <c r="K45" s="87"/>
      <c r="L45" s="87"/>
    </row>
    <row r="46" s="63" customFormat="1" ht="70" customHeight="1" spans="1:17">
      <c r="A46" s="105"/>
      <c r="B46" s="87" t="s">
        <v>269</v>
      </c>
      <c r="C46" s="87"/>
      <c r="D46" s="87"/>
      <c r="E46" s="87"/>
      <c r="F46" s="87"/>
      <c r="G46" s="87"/>
      <c r="H46" s="87"/>
      <c r="I46" s="87"/>
      <c r="J46" s="87"/>
      <c r="K46" s="87"/>
      <c r="L46" s="87"/>
    </row>
    <row r="47" s="63" customFormat="1" ht="34" customHeight="1" spans="1:17">
      <c r="A47" s="105" t="s">
        <v>270</v>
      </c>
      <c r="B47" s="87" t="s">
        <v>271</v>
      </c>
      <c r="C47" s="87"/>
      <c r="D47" s="87"/>
      <c r="E47" s="87"/>
      <c r="F47" s="87"/>
      <c r="G47" s="87"/>
      <c r="H47" s="87"/>
      <c r="I47" s="87"/>
      <c r="J47" s="87"/>
      <c r="K47" s="87"/>
      <c r="L47" s="87"/>
    </row>
    <row r="48" s="60" customFormat="1" ht="43" customHeight="1" spans="1:17">
      <c r="A48" s="105" t="s">
        <v>272</v>
      </c>
      <c r="B48" s="87" t="s">
        <v>273</v>
      </c>
      <c r="C48" s="87"/>
      <c r="D48" s="87"/>
      <c r="E48" s="87"/>
      <c r="F48" s="87"/>
      <c r="G48" s="87"/>
      <c r="H48" s="87"/>
      <c r="I48" s="87"/>
      <c r="J48" s="87"/>
      <c r="K48" s="87"/>
      <c r="L48" s="87"/>
    </row>
    <row r="49" s="60" customFormat="1" ht="30" customHeight="1" spans="1:12">
      <c r="A49" s="105" t="s">
        <v>274</v>
      </c>
      <c r="B49" s="87" t="s">
        <v>275</v>
      </c>
      <c r="C49" s="87"/>
      <c r="D49" s="87"/>
      <c r="E49" s="87"/>
      <c r="F49" s="87"/>
      <c r="G49" s="87"/>
      <c r="H49" s="87"/>
      <c r="I49" s="87"/>
      <c r="J49" s="87"/>
      <c r="K49" s="87"/>
      <c r="L49" s="87"/>
    </row>
    <row r="50" s="63" customFormat="1" ht="37" customHeight="1" spans="1:12">
      <c r="A50" s="105" t="s">
        <v>276</v>
      </c>
      <c r="B50" s="103" t="s">
        <v>277</v>
      </c>
      <c r="C50" s="103"/>
      <c r="D50" s="103"/>
      <c r="E50" s="103"/>
      <c r="F50" s="103"/>
      <c r="G50" s="103"/>
      <c r="H50" s="103"/>
      <c r="I50" s="103"/>
      <c r="J50" s="103"/>
      <c r="K50" s="103"/>
      <c r="L50" s="103"/>
    </row>
    <row r="51" s="63" customFormat="1" ht="140" customHeight="1" spans="1:12">
      <c r="A51" s="105" t="s">
        <v>278</v>
      </c>
      <c r="B51" s="103" t="s">
        <v>279</v>
      </c>
      <c r="C51" s="103"/>
      <c r="D51" s="103"/>
      <c r="E51" s="103"/>
      <c r="F51" s="103"/>
      <c r="G51" s="103"/>
      <c r="H51" s="103"/>
      <c r="I51" s="103"/>
      <c r="J51" s="103"/>
      <c r="K51" s="103"/>
      <c r="L51" s="103"/>
    </row>
    <row r="52" s="63" customFormat="1" ht="30" customHeight="1" spans="1:12">
      <c r="A52" s="105"/>
      <c r="B52" s="103" t="s">
        <v>280</v>
      </c>
      <c r="C52" s="103"/>
      <c r="D52" s="103"/>
      <c r="E52" s="103"/>
      <c r="F52" s="103"/>
      <c r="G52" s="103"/>
      <c r="H52" s="103"/>
      <c r="I52" s="103"/>
      <c r="J52" s="103"/>
      <c r="K52" s="103"/>
      <c r="L52" s="103"/>
    </row>
    <row r="53" s="63" customFormat="1" ht="60" customHeight="1" spans="1:12">
      <c r="A53" s="105"/>
      <c r="B53" s="191" t="s">
        <v>281</v>
      </c>
      <c r="C53" s="191"/>
      <c r="D53" s="191"/>
      <c r="E53" s="191"/>
      <c r="F53" s="191"/>
      <c r="G53" s="191"/>
      <c r="H53" s="191"/>
      <c r="I53" s="191"/>
      <c r="J53" s="191"/>
      <c r="K53" s="191"/>
      <c r="L53" s="191"/>
    </row>
    <row r="54" s="63" customFormat="1" ht="30" customHeight="1" spans="1:12">
      <c r="A54" s="105"/>
      <c r="B54" s="192" t="s">
        <v>282</v>
      </c>
      <c r="C54" s="192"/>
      <c r="D54" s="192"/>
      <c r="E54" s="192"/>
      <c r="F54" s="192"/>
      <c r="G54" s="192"/>
      <c r="H54" s="192"/>
      <c r="I54" s="192"/>
      <c r="J54" s="192"/>
      <c r="K54" s="192"/>
      <c r="L54" s="192"/>
    </row>
    <row r="55" s="63" customFormat="1" ht="40" customHeight="1" spans="1:12">
      <c r="A55" s="105" t="s">
        <v>283</v>
      </c>
      <c r="B55" s="87" t="s">
        <v>284</v>
      </c>
      <c r="C55" s="87"/>
      <c r="D55" s="87"/>
      <c r="E55" s="87"/>
      <c r="F55" s="87"/>
      <c r="G55" s="87"/>
      <c r="H55" s="87"/>
      <c r="I55" s="87"/>
      <c r="J55" s="87"/>
      <c r="K55" s="87"/>
      <c r="L55" s="87"/>
    </row>
    <row r="56" s="63" customFormat="1" ht="120" customHeight="1" spans="1:12">
      <c r="A56" s="105" t="s">
        <v>285</v>
      </c>
      <c r="B56" s="87" t="s">
        <v>286</v>
      </c>
      <c r="C56" s="87"/>
      <c r="D56" s="87"/>
      <c r="E56" s="87"/>
      <c r="F56" s="87"/>
      <c r="G56" s="87"/>
      <c r="H56" s="87"/>
      <c r="I56" s="87"/>
      <c r="J56" s="87"/>
      <c r="K56" s="87"/>
      <c r="L56" s="87"/>
    </row>
    <row r="57" s="63" customFormat="1" ht="40" customHeight="1" spans="1:12">
      <c r="A57" s="105"/>
      <c r="B57" s="87" t="s">
        <v>287</v>
      </c>
      <c r="C57" s="87"/>
      <c r="D57" s="87"/>
      <c r="E57" s="87"/>
      <c r="F57" s="87"/>
      <c r="G57" s="87"/>
      <c r="H57" s="87"/>
      <c r="I57" s="87"/>
      <c r="J57" s="87"/>
      <c r="K57" s="87"/>
      <c r="L57" s="87"/>
    </row>
    <row r="58" s="63" customFormat="1" ht="40" customHeight="1" spans="1:12">
      <c r="A58" s="105"/>
      <c r="B58" s="87" t="s">
        <v>288</v>
      </c>
      <c r="C58" s="87"/>
      <c r="D58" s="87"/>
      <c r="E58" s="87"/>
      <c r="F58" s="87"/>
      <c r="G58" s="87"/>
      <c r="H58" s="87"/>
      <c r="I58" s="87"/>
      <c r="J58" s="87"/>
      <c r="K58" s="87"/>
      <c r="L58" s="87"/>
    </row>
    <row r="59" s="63" customFormat="1" ht="40" customHeight="1"/>
    <row r="60" s="63" customFormat="1"/>
  </sheetData>
  <mergeCells count="81">
    <mergeCell ref="A1:L1"/>
    <mergeCell ref="B2:L2"/>
    <mergeCell ref="B3:L3"/>
    <mergeCell ref="B4:C4"/>
    <mergeCell ref="D4:E4"/>
    <mergeCell ref="F4:G4"/>
    <mergeCell ref="H4:I4"/>
    <mergeCell ref="A11:L11"/>
    <mergeCell ref="B12:L12"/>
    <mergeCell ref="B13:L13"/>
    <mergeCell ref="B14:C14"/>
    <mergeCell ref="D14:E14"/>
    <mergeCell ref="F14:G14"/>
    <mergeCell ref="H14:I14"/>
    <mergeCell ref="A21:L21"/>
    <mergeCell ref="B22:L22"/>
    <mergeCell ref="B23:L23"/>
    <mergeCell ref="B24:C24"/>
    <mergeCell ref="D24:E24"/>
    <mergeCell ref="F24:G24"/>
    <mergeCell ref="H24:I24"/>
    <mergeCell ref="A31:L31"/>
    <mergeCell ref="B32:L32"/>
    <mergeCell ref="B33:L33"/>
    <mergeCell ref="B34:C34"/>
    <mergeCell ref="D34:E34"/>
    <mergeCell ref="F34:G34"/>
    <mergeCell ref="H34:I34"/>
    <mergeCell ref="A41:L41"/>
    <mergeCell ref="A42:L42"/>
    <mergeCell ref="B43:L43"/>
    <mergeCell ref="B44:L44"/>
    <mergeCell ref="B45:L45"/>
    <mergeCell ref="B46:L46"/>
    <mergeCell ref="B47:L47"/>
    <mergeCell ref="B48:L48"/>
    <mergeCell ref="B49:L49"/>
    <mergeCell ref="B50:L50"/>
    <mergeCell ref="B51:L51"/>
    <mergeCell ref="B52:L52"/>
    <mergeCell ref="B53:L53"/>
    <mergeCell ref="B54:L54"/>
    <mergeCell ref="B55:L55"/>
    <mergeCell ref="B56:L56"/>
    <mergeCell ref="B57:L57"/>
    <mergeCell ref="B58:L58"/>
    <mergeCell ref="A2:A3"/>
    <mergeCell ref="A12:A13"/>
    <mergeCell ref="A22:A23"/>
    <mergeCell ref="A32:A33"/>
    <mergeCell ref="A45:A46"/>
    <mergeCell ref="A51:A54"/>
    <mergeCell ref="A56:A58"/>
    <mergeCell ref="J4:J5"/>
    <mergeCell ref="J6:J8"/>
    <mergeCell ref="J9:J10"/>
    <mergeCell ref="J14:J15"/>
    <mergeCell ref="J16:J18"/>
    <mergeCell ref="J19:J20"/>
    <mergeCell ref="J24:J25"/>
    <mergeCell ref="J26:J28"/>
    <mergeCell ref="J29:J30"/>
    <mergeCell ref="J34:J35"/>
    <mergeCell ref="J36:J38"/>
    <mergeCell ref="J39:J40"/>
    <mergeCell ref="K4:K5"/>
    <mergeCell ref="K6:K10"/>
    <mergeCell ref="K14:K15"/>
    <mergeCell ref="K16:K20"/>
    <mergeCell ref="K24:K25"/>
    <mergeCell ref="K26:K30"/>
    <mergeCell ref="K34:K35"/>
    <mergeCell ref="K36:K40"/>
    <mergeCell ref="L4:L5"/>
    <mergeCell ref="L6:L10"/>
    <mergeCell ref="L14:L15"/>
    <mergeCell ref="L16:L20"/>
    <mergeCell ref="L24:L25"/>
    <mergeCell ref="L26:L30"/>
    <mergeCell ref="L34:L35"/>
    <mergeCell ref="L36:L40"/>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theme="4"/>
  </sheetPr>
  <dimension ref="A1:R54"/>
  <sheetViews>
    <sheetView showGridLines="0" zoomScale="55" zoomScaleNormal="55" workbookViewId="0">
      <pane xSplit="1" ySplit="1" topLeftCell="B2" activePane="bottomRight" state="frozen"/>
      <selection/>
      <selection pane="topRight"/>
      <selection pane="bottomLeft"/>
      <selection pane="bottomRight" activeCell="A1" sqref="A1:L1"/>
    </sheetView>
  </sheetViews>
  <sheetFormatPr defaultColWidth="9" defaultRowHeight="17.25"/>
  <cols>
    <col min="1" max="1" width="40.625" style="186" customWidth="1"/>
    <col min="2" max="9" width="13.625" style="186" customWidth="1"/>
    <col min="10" max="10" width="15.625" style="186" customWidth="1"/>
    <col min="11" max="11" width="20.625" style="186" customWidth="1"/>
    <col min="12" max="12" width="25.625" style="186" customWidth="1"/>
    <col min="13" max="16384" width="9" style="186"/>
  </cols>
  <sheetData>
    <row r="1" ht="100.05" customHeight="1" spans="1:12">
      <c r="A1" s="187" t="str">
        <f>_xlfn.DISPIMG("ID_D6697A225B864C34A678052B48D4E660",1)</f>
        <v>=DISPIMG("ID_D6697A225B864C34A678052B48D4E660",1)</v>
      </c>
      <c r="B1" s="187"/>
      <c r="C1" s="187"/>
      <c r="D1" s="187"/>
      <c r="E1" s="187"/>
      <c r="F1" s="187"/>
      <c r="G1" s="187"/>
      <c r="H1" s="187"/>
      <c r="I1" s="187"/>
      <c r="J1" s="187"/>
      <c r="K1" s="187"/>
      <c r="L1" s="187"/>
    </row>
    <row r="2" s="48" customFormat="1" ht="30" customHeight="1" spans="1:12">
      <c r="A2" s="95" t="s">
        <v>3</v>
      </c>
      <c r="B2" s="66" t="s">
        <v>289</v>
      </c>
      <c r="C2" s="66"/>
      <c r="D2" s="66"/>
      <c r="E2" s="66"/>
      <c r="F2" s="66"/>
      <c r="G2" s="66"/>
      <c r="H2" s="66"/>
      <c r="I2" s="66"/>
      <c r="J2" s="66"/>
      <c r="K2" s="66"/>
      <c r="L2" s="66"/>
    </row>
    <row r="3" s="48" customFormat="1" ht="30" customHeight="1" spans="1:12">
      <c r="A3" s="95" t="s">
        <v>290</v>
      </c>
      <c r="B3" s="95" t="s">
        <v>226</v>
      </c>
      <c r="C3" s="95"/>
      <c r="D3" s="95"/>
      <c r="E3" s="95"/>
      <c r="F3" s="95"/>
      <c r="G3" s="95"/>
      <c r="H3" s="95"/>
      <c r="I3" s="95"/>
      <c r="J3" s="95"/>
      <c r="K3" s="95"/>
      <c r="L3" s="95"/>
    </row>
    <row r="4" s="48" customFormat="1" ht="30" customHeight="1" spans="1:12">
      <c r="A4" s="68" t="s">
        <v>227</v>
      </c>
      <c r="B4" s="69" t="s">
        <v>228</v>
      </c>
      <c r="C4" s="69"/>
      <c r="D4" s="69" t="s">
        <v>229</v>
      </c>
      <c r="E4" s="69"/>
      <c r="F4" s="69" t="s">
        <v>230</v>
      </c>
      <c r="G4" s="69"/>
      <c r="H4" s="69" t="s">
        <v>231</v>
      </c>
      <c r="I4" s="69"/>
      <c r="J4" s="133" t="s">
        <v>232</v>
      </c>
      <c r="K4" s="133" t="s">
        <v>233</v>
      </c>
      <c r="L4" s="133" t="s">
        <v>234</v>
      </c>
    </row>
    <row r="5" s="61" customFormat="1" ht="30" customHeight="1" spans="1:12">
      <c r="A5" s="133" t="s">
        <v>235</v>
      </c>
      <c r="B5" s="70" t="s">
        <v>236</v>
      </c>
      <c r="C5" s="70" t="s">
        <v>237</v>
      </c>
      <c r="D5" s="70" t="s">
        <v>236</v>
      </c>
      <c r="E5" s="70" t="s">
        <v>237</v>
      </c>
      <c r="F5" s="70" t="s">
        <v>236</v>
      </c>
      <c r="G5" s="70" t="s">
        <v>237</v>
      </c>
      <c r="H5" s="70" t="s">
        <v>236</v>
      </c>
      <c r="I5" s="70" t="s">
        <v>237</v>
      </c>
      <c r="J5" s="133"/>
      <c r="K5" s="133"/>
      <c r="L5" s="133"/>
    </row>
    <row r="6" s="62" customFormat="1" ht="30" customHeight="1" spans="1:12">
      <c r="A6" s="79" t="s">
        <v>291</v>
      </c>
      <c r="B6" s="72">
        <f t="shared" ref="B6:B11" si="0">C6+1.5</f>
        <v>14.5</v>
      </c>
      <c r="C6" s="72">
        <v>13</v>
      </c>
      <c r="D6" s="72">
        <f t="shared" ref="D6:D11" si="1">B6-0.2</f>
        <v>14.3</v>
      </c>
      <c r="E6" s="72">
        <f t="shared" ref="E6:E11" si="2">C6-0.2</f>
        <v>12.8</v>
      </c>
      <c r="F6" s="188">
        <f t="shared" ref="F6:F11" si="3">B6+0.2</f>
        <v>14.7</v>
      </c>
      <c r="G6" s="188">
        <f t="shared" ref="G6:G11" si="4">C6+0.2</f>
        <v>13.2</v>
      </c>
      <c r="H6" s="188">
        <f t="shared" ref="H6:H11" si="5">B6+0.5</f>
        <v>15</v>
      </c>
      <c r="I6" s="188">
        <f t="shared" ref="I6:I11" si="6">C6+0.5</f>
        <v>13.5</v>
      </c>
      <c r="J6" s="122" t="s">
        <v>239</v>
      </c>
      <c r="K6" s="122" t="s">
        <v>26</v>
      </c>
      <c r="L6" s="184" t="s">
        <v>292</v>
      </c>
    </row>
    <row r="7" s="62" customFormat="1" ht="30" customHeight="1" spans="1:12">
      <c r="A7" s="79" t="s">
        <v>293</v>
      </c>
      <c r="B7" s="72">
        <f t="shared" si="0"/>
        <v>14.5</v>
      </c>
      <c r="C7" s="72">
        <v>13</v>
      </c>
      <c r="D7" s="72">
        <f t="shared" si="1"/>
        <v>14.3</v>
      </c>
      <c r="E7" s="72">
        <f t="shared" si="2"/>
        <v>12.8</v>
      </c>
      <c r="F7" s="188">
        <f t="shared" si="3"/>
        <v>14.7</v>
      </c>
      <c r="G7" s="188">
        <f t="shared" si="4"/>
        <v>13.2</v>
      </c>
      <c r="H7" s="188">
        <f t="shared" si="5"/>
        <v>15</v>
      </c>
      <c r="I7" s="188">
        <f t="shared" si="6"/>
        <v>13.5</v>
      </c>
      <c r="J7" s="122"/>
      <c r="K7" s="122"/>
      <c r="L7" s="184"/>
    </row>
    <row r="8" s="62" customFormat="1" ht="30" customHeight="1" spans="1:12">
      <c r="A8" s="79" t="s">
        <v>294</v>
      </c>
      <c r="B8" s="72">
        <f t="shared" si="0"/>
        <v>15.1</v>
      </c>
      <c r="C8" s="72">
        <v>13.6</v>
      </c>
      <c r="D8" s="72">
        <f t="shared" si="1"/>
        <v>14.9</v>
      </c>
      <c r="E8" s="72">
        <f t="shared" si="2"/>
        <v>13.4</v>
      </c>
      <c r="F8" s="188">
        <f t="shared" si="3"/>
        <v>15.3</v>
      </c>
      <c r="G8" s="188">
        <f t="shared" si="4"/>
        <v>13.8</v>
      </c>
      <c r="H8" s="188">
        <f t="shared" si="5"/>
        <v>15.6</v>
      </c>
      <c r="I8" s="188">
        <f t="shared" si="6"/>
        <v>14.1</v>
      </c>
      <c r="J8" s="122"/>
      <c r="K8" s="122"/>
      <c r="L8" s="184"/>
    </row>
    <row r="9" s="62" customFormat="1" ht="30" customHeight="1" spans="1:12">
      <c r="A9" s="79" t="s">
        <v>295</v>
      </c>
      <c r="B9" s="72">
        <f t="shared" si="0"/>
        <v>14.7</v>
      </c>
      <c r="C9" s="72">
        <v>13.2</v>
      </c>
      <c r="D9" s="72">
        <f t="shared" si="1"/>
        <v>14.5</v>
      </c>
      <c r="E9" s="72">
        <f t="shared" si="2"/>
        <v>13</v>
      </c>
      <c r="F9" s="188">
        <f t="shared" si="3"/>
        <v>14.9</v>
      </c>
      <c r="G9" s="188">
        <f t="shared" si="4"/>
        <v>13.4</v>
      </c>
      <c r="H9" s="188">
        <f t="shared" si="5"/>
        <v>15.2</v>
      </c>
      <c r="I9" s="188">
        <f t="shared" si="6"/>
        <v>13.7</v>
      </c>
      <c r="J9" s="122" t="s">
        <v>245</v>
      </c>
      <c r="K9" s="122"/>
      <c r="L9" s="184"/>
    </row>
    <row r="10" s="62" customFormat="1" ht="30" customHeight="1" spans="1:12">
      <c r="A10" s="79" t="s">
        <v>296</v>
      </c>
      <c r="B10" s="72">
        <f t="shared" si="0"/>
        <v>14.7</v>
      </c>
      <c r="C10" s="72">
        <v>13.2</v>
      </c>
      <c r="D10" s="72">
        <f t="shared" si="1"/>
        <v>14.5</v>
      </c>
      <c r="E10" s="72">
        <f t="shared" si="2"/>
        <v>13</v>
      </c>
      <c r="F10" s="188">
        <f t="shared" si="3"/>
        <v>14.9</v>
      </c>
      <c r="G10" s="188">
        <f t="shared" si="4"/>
        <v>13.4</v>
      </c>
      <c r="H10" s="188">
        <f t="shared" si="5"/>
        <v>15.2</v>
      </c>
      <c r="I10" s="188">
        <f t="shared" si="6"/>
        <v>13.7</v>
      </c>
      <c r="J10" s="122"/>
      <c r="K10" s="122"/>
      <c r="L10" s="184"/>
    </row>
    <row r="11" s="62" customFormat="1" ht="30" customHeight="1" spans="1:12">
      <c r="A11" s="79" t="s">
        <v>297</v>
      </c>
      <c r="B11" s="72">
        <f t="shared" si="0"/>
        <v>15.1</v>
      </c>
      <c r="C11" s="97">
        <v>13.6</v>
      </c>
      <c r="D11" s="72">
        <f t="shared" si="1"/>
        <v>14.9</v>
      </c>
      <c r="E11" s="72">
        <f t="shared" si="2"/>
        <v>13.4</v>
      </c>
      <c r="F11" s="188">
        <f t="shared" si="3"/>
        <v>15.3</v>
      </c>
      <c r="G11" s="188">
        <f t="shared" si="4"/>
        <v>13.8</v>
      </c>
      <c r="H11" s="188">
        <f t="shared" si="5"/>
        <v>15.6</v>
      </c>
      <c r="I11" s="188">
        <f t="shared" si="6"/>
        <v>14.1</v>
      </c>
      <c r="J11" s="122"/>
      <c r="K11" s="122"/>
      <c r="L11" s="184"/>
    </row>
    <row r="12" s="177" customFormat="1" ht="20" customHeight="1" spans="1:12">
      <c r="A12" s="185"/>
      <c r="B12" s="185"/>
      <c r="C12" s="185"/>
      <c r="D12" s="185"/>
      <c r="E12" s="185"/>
      <c r="F12" s="185"/>
      <c r="G12" s="185"/>
      <c r="H12" s="185"/>
      <c r="I12" s="185"/>
      <c r="J12" s="185"/>
      <c r="K12" s="185"/>
      <c r="L12" s="185"/>
    </row>
    <row r="13" s="48" customFormat="1" ht="30" customHeight="1" spans="1:12">
      <c r="A13" s="95" t="s">
        <v>3</v>
      </c>
      <c r="B13" s="66" t="s">
        <v>298</v>
      </c>
      <c r="C13" s="66"/>
      <c r="D13" s="66"/>
      <c r="E13" s="66"/>
      <c r="F13" s="66"/>
      <c r="G13" s="66"/>
      <c r="H13" s="66"/>
      <c r="I13" s="66"/>
      <c r="J13" s="66"/>
      <c r="K13" s="66"/>
      <c r="L13" s="66"/>
    </row>
    <row r="14" s="48" customFormat="1" ht="30" customHeight="1" spans="1:12">
      <c r="A14" s="95" t="s">
        <v>290</v>
      </c>
      <c r="B14" s="95" t="s">
        <v>254</v>
      </c>
      <c r="C14" s="95"/>
      <c r="D14" s="95"/>
      <c r="E14" s="95"/>
      <c r="F14" s="95"/>
      <c r="G14" s="95"/>
      <c r="H14" s="95"/>
      <c r="I14" s="95"/>
      <c r="J14" s="95"/>
      <c r="K14" s="95"/>
      <c r="L14" s="95"/>
    </row>
    <row r="15" s="48" customFormat="1" ht="30" customHeight="1" spans="1:12">
      <c r="A15" s="68" t="s">
        <v>227</v>
      </c>
      <c r="B15" s="69" t="s">
        <v>228</v>
      </c>
      <c r="C15" s="69"/>
      <c r="D15" s="69" t="s">
        <v>229</v>
      </c>
      <c r="E15" s="69"/>
      <c r="F15" s="69" t="s">
        <v>230</v>
      </c>
      <c r="G15" s="69"/>
      <c r="H15" s="69" t="s">
        <v>231</v>
      </c>
      <c r="I15" s="69"/>
      <c r="J15" s="133" t="s">
        <v>232</v>
      </c>
      <c r="K15" s="133" t="s">
        <v>233</v>
      </c>
      <c r="L15" s="133" t="s">
        <v>234</v>
      </c>
    </row>
    <row r="16" s="61" customFormat="1" ht="30" customHeight="1" spans="1:12">
      <c r="A16" s="133" t="s">
        <v>235</v>
      </c>
      <c r="B16" s="70" t="s">
        <v>236</v>
      </c>
      <c r="C16" s="70" t="s">
        <v>237</v>
      </c>
      <c r="D16" s="70" t="s">
        <v>236</v>
      </c>
      <c r="E16" s="70" t="s">
        <v>237</v>
      </c>
      <c r="F16" s="70" t="s">
        <v>236</v>
      </c>
      <c r="G16" s="70" t="s">
        <v>237</v>
      </c>
      <c r="H16" s="70" t="s">
        <v>236</v>
      </c>
      <c r="I16" s="70" t="s">
        <v>237</v>
      </c>
      <c r="J16" s="133"/>
      <c r="K16" s="133"/>
      <c r="L16" s="133"/>
    </row>
    <row r="17" s="62" customFormat="1" ht="30" customHeight="1" spans="1:12">
      <c r="A17" s="79" t="s">
        <v>291</v>
      </c>
      <c r="B17" s="72">
        <f t="shared" ref="B17:B22" si="7">C17+1.5</f>
        <v>11.5</v>
      </c>
      <c r="C17" s="97">
        <v>10</v>
      </c>
      <c r="D17" s="97">
        <f t="shared" ref="D17:D22" si="8">B17</f>
        <v>11.5</v>
      </c>
      <c r="E17" s="97">
        <f t="shared" ref="E17:E22" si="9">C17</f>
        <v>10</v>
      </c>
      <c r="F17" s="98">
        <f t="shared" ref="F17:F22" si="10">B17+0.2</f>
        <v>11.7</v>
      </c>
      <c r="G17" s="98">
        <f t="shared" ref="G17:G22" si="11">C17+0.2</f>
        <v>10.2</v>
      </c>
      <c r="H17" s="98">
        <f t="shared" ref="H17:H22" si="12">B17+0.5</f>
        <v>12</v>
      </c>
      <c r="I17" s="98">
        <f t="shared" ref="I17:I22" si="13">C17+0.5</f>
        <v>10.5</v>
      </c>
      <c r="J17" s="122" t="s">
        <v>239</v>
      </c>
      <c r="K17" s="122" t="s">
        <v>28</v>
      </c>
      <c r="L17" s="184" t="s">
        <v>299</v>
      </c>
    </row>
    <row r="18" s="62" customFormat="1" ht="30" customHeight="1" spans="1:12">
      <c r="A18" s="79" t="s">
        <v>293</v>
      </c>
      <c r="B18" s="72">
        <f t="shared" si="7"/>
        <v>11.5</v>
      </c>
      <c r="C18" s="97">
        <v>10</v>
      </c>
      <c r="D18" s="97">
        <f t="shared" si="8"/>
        <v>11.5</v>
      </c>
      <c r="E18" s="97">
        <f t="shared" si="9"/>
        <v>10</v>
      </c>
      <c r="F18" s="98">
        <f t="shared" si="10"/>
        <v>11.7</v>
      </c>
      <c r="G18" s="98">
        <f t="shared" si="11"/>
        <v>10.2</v>
      </c>
      <c r="H18" s="98">
        <f t="shared" si="12"/>
        <v>12</v>
      </c>
      <c r="I18" s="98">
        <f t="shared" si="13"/>
        <v>10.5</v>
      </c>
      <c r="J18" s="122"/>
      <c r="K18" s="122"/>
      <c r="L18" s="184"/>
    </row>
    <row r="19" s="62" customFormat="1" ht="30" customHeight="1" spans="1:12">
      <c r="A19" s="79" t="s">
        <v>294</v>
      </c>
      <c r="B19" s="72">
        <f t="shared" si="7"/>
        <v>11.8</v>
      </c>
      <c r="C19" s="97">
        <v>10.3</v>
      </c>
      <c r="D19" s="97">
        <f t="shared" si="8"/>
        <v>11.8</v>
      </c>
      <c r="E19" s="97">
        <f t="shared" si="9"/>
        <v>10.3</v>
      </c>
      <c r="F19" s="98">
        <f t="shared" si="10"/>
        <v>12</v>
      </c>
      <c r="G19" s="98">
        <f t="shared" si="11"/>
        <v>10.5</v>
      </c>
      <c r="H19" s="98">
        <f t="shared" si="12"/>
        <v>12.3</v>
      </c>
      <c r="I19" s="98">
        <f t="shared" si="13"/>
        <v>10.8</v>
      </c>
      <c r="J19" s="122"/>
      <c r="K19" s="122"/>
      <c r="L19" s="184"/>
    </row>
    <row r="20" s="62" customFormat="1" ht="30" customHeight="1" spans="1:12">
      <c r="A20" s="79" t="s">
        <v>295</v>
      </c>
      <c r="B20" s="72">
        <f t="shared" si="7"/>
        <v>11.7</v>
      </c>
      <c r="C20" s="97">
        <v>10.2</v>
      </c>
      <c r="D20" s="97">
        <f t="shared" si="8"/>
        <v>11.7</v>
      </c>
      <c r="E20" s="97">
        <f t="shared" si="9"/>
        <v>10.2</v>
      </c>
      <c r="F20" s="98">
        <f t="shared" si="10"/>
        <v>11.9</v>
      </c>
      <c r="G20" s="98">
        <f t="shared" si="11"/>
        <v>10.4</v>
      </c>
      <c r="H20" s="98">
        <f t="shared" si="12"/>
        <v>12.2</v>
      </c>
      <c r="I20" s="98">
        <f t="shared" si="13"/>
        <v>10.7</v>
      </c>
      <c r="J20" s="122" t="s">
        <v>245</v>
      </c>
      <c r="K20" s="122"/>
      <c r="L20" s="184"/>
    </row>
    <row r="21" s="62" customFormat="1" ht="30" customHeight="1" spans="1:12">
      <c r="A21" s="79" t="s">
        <v>296</v>
      </c>
      <c r="B21" s="72">
        <f t="shared" si="7"/>
        <v>11.7</v>
      </c>
      <c r="C21" s="97">
        <v>10.2</v>
      </c>
      <c r="D21" s="97">
        <f t="shared" si="8"/>
        <v>11.7</v>
      </c>
      <c r="E21" s="97">
        <f t="shared" si="9"/>
        <v>10.2</v>
      </c>
      <c r="F21" s="98">
        <f t="shared" si="10"/>
        <v>11.9</v>
      </c>
      <c r="G21" s="98">
        <f t="shared" si="11"/>
        <v>10.4</v>
      </c>
      <c r="H21" s="98">
        <f t="shared" si="12"/>
        <v>12.2</v>
      </c>
      <c r="I21" s="98">
        <f t="shared" si="13"/>
        <v>10.7</v>
      </c>
      <c r="J21" s="122"/>
      <c r="K21" s="122"/>
      <c r="L21" s="184"/>
    </row>
    <row r="22" s="62" customFormat="1" ht="30" customHeight="1" spans="1:12">
      <c r="A22" s="79" t="s">
        <v>297</v>
      </c>
      <c r="B22" s="72">
        <f t="shared" si="7"/>
        <v>11.9</v>
      </c>
      <c r="C22" s="97">
        <v>10.4</v>
      </c>
      <c r="D22" s="97">
        <f t="shared" si="8"/>
        <v>11.9</v>
      </c>
      <c r="E22" s="97">
        <f t="shared" si="9"/>
        <v>10.4</v>
      </c>
      <c r="F22" s="98">
        <f t="shared" si="10"/>
        <v>12.1</v>
      </c>
      <c r="G22" s="98">
        <f t="shared" si="11"/>
        <v>10.6</v>
      </c>
      <c r="H22" s="98">
        <f t="shared" si="12"/>
        <v>12.4</v>
      </c>
      <c r="I22" s="98">
        <f t="shared" si="13"/>
        <v>10.9</v>
      </c>
      <c r="J22" s="122"/>
      <c r="K22" s="122"/>
      <c r="L22" s="184"/>
    </row>
    <row r="23" s="177" customFormat="1" ht="20" customHeight="1" spans="1:12">
      <c r="A23" s="185"/>
      <c r="B23" s="185"/>
      <c r="C23" s="185"/>
      <c r="D23" s="185"/>
      <c r="E23" s="185"/>
      <c r="F23" s="185"/>
      <c r="G23" s="185"/>
      <c r="H23" s="185"/>
      <c r="I23" s="185"/>
      <c r="J23" s="185"/>
      <c r="K23" s="185"/>
      <c r="L23" s="185"/>
    </row>
    <row r="24" s="48" customFormat="1" ht="30" customHeight="1" spans="1:12">
      <c r="A24" s="95" t="s">
        <v>3</v>
      </c>
      <c r="B24" s="66" t="s">
        <v>300</v>
      </c>
      <c r="C24" s="66"/>
      <c r="D24" s="66"/>
      <c r="E24" s="66"/>
      <c r="F24" s="66"/>
      <c r="G24" s="66"/>
      <c r="H24" s="66"/>
      <c r="I24" s="66"/>
      <c r="J24" s="66"/>
      <c r="K24" s="66"/>
      <c r="L24" s="66"/>
    </row>
    <row r="25" s="48" customFormat="1" ht="30" customHeight="1" spans="1:12">
      <c r="A25" s="95" t="s">
        <v>290</v>
      </c>
      <c r="B25" s="95" t="s">
        <v>258</v>
      </c>
      <c r="C25" s="95"/>
      <c r="D25" s="95"/>
      <c r="E25" s="95"/>
      <c r="F25" s="95"/>
      <c r="G25" s="95"/>
      <c r="H25" s="95"/>
      <c r="I25" s="95"/>
      <c r="J25" s="95"/>
      <c r="K25" s="95"/>
      <c r="L25" s="95"/>
    </row>
    <row r="26" s="48" customFormat="1" ht="30" customHeight="1" spans="1:12">
      <c r="A26" s="68" t="s">
        <v>227</v>
      </c>
      <c r="B26" s="69" t="s">
        <v>228</v>
      </c>
      <c r="C26" s="69"/>
      <c r="D26" s="69" t="s">
        <v>229</v>
      </c>
      <c r="E26" s="69"/>
      <c r="F26" s="69" t="s">
        <v>230</v>
      </c>
      <c r="G26" s="69"/>
      <c r="H26" s="69" t="s">
        <v>231</v>
      </c>
      <c r="I26" s="69"/>
      <c r="J26" s="133" t="s">
        <v>232</v>
      </c>
      <c r="K26" s="133" t="s">
        <v>233</v>
      </c>
      <c r="L26" s="133" t="s">
        <v>234</v>
      </c>
    </row>
    <row r="27" s="61" customFormat="1" ht="30" customHeight="1" spans="1:12">
      <c r="A27" s="133" t="s">
        <v>235</v>
      </c>
      <c r="B27" s="70" t="s">
        <v>236</v>
      </c>
      <c r="C27" s="70" t="s">
        <v>237</v>
      </c>
      <c r="D27" s="70" t="s">
        <v>236</v>
      </c>
      <c r="E27" s="70" t="s">
        <v>237</v>
      </c>
      <c r="F27" s="70" t="s">
        <v>236</v>
      </c>
      <c r="G27" s="70" t="s">
        <v>237</v>
      </c>
      <c r="H27" s="70" t="s">
        <v>236</v>
      </c>
      <c r="I27" s="70" t="s">
        <v>237</v>
      </c>
      <c r="J27" s="133"/>
      <c r="K27" s="133"/>
      <c r="L27" s="133"/>
    </row>
    <row r="28" s="62" customFormat="1" ht="30" customHeight="1" spans="1:12">
      <c r="A28" s="79" t="s">
        <v>291</v>
      </c>
      <c r="B28" s="72">
        <f t="shared" ref="B28:B33" si="14">C28+1</f>
        <v>11.1</v>
      </c>
      <c r="C28" s="98">
        <v>10.1</v>
      </c>
      <c r="D28" s="98">
        <f t="shared" ref="D28:D33" si="15">B28</f>
        <v>11.1</v>
      </c>
      <c r="E28" s="98">
        <f t="shared" ref="E28:E33" si="16">C28</f>
        <v>10.1</v>
      </c>
      <c r="F28" s="189">
        <f t="shared" ref="F28:F33" si="17">B28+0.2</f>
        <v>11.3</v>
      </c>
      <c r="G28" s="189">
        <f t="shared" ref="G28:G33" si="18">C28+0.2</f>
        <v>10.3</v>
      </c>
      <c r="H28" s="189">
        <f t="shared" ref="H28:H33" si="19">B28+0.5</f>
        <v>11.6</v>
      </c>
      <c r="I28" s="189">
        <f t="shared" ref="I28:I33" si="20">C28+0.5</f>
        <v>10.6</v>
      </c>
      <c r="J28" s="122" t="s">
        <v>239</v>
      </c>
      <c r="K28" s="183" t="s">
        <v>30</v>
      </c>
      <c r="L28" s="184" t="s">
        <v>301</v>
      </c>
    </row>
    <row r="29" s="62" customFormat="1" ht="30" customHeight="1" spans="1:12">
      <c r="A29" s="79" t="s">
        <v>293</v>
      </c>
      <c r="B29" s="72">
        <f t="shared" si="14"/>
        <v>11.1</v>
      </c>
      <c r="C29" s="98">
        <v>10.1</v>
      </c>
      <c r="D29" s="98">
        <f t="shared" si="15"/>
        <v>11.1</v>
      </c>
      <c r="E29" s="98">
        <f t="shared" si="16"/>
        <v>10.1</v>
      </c>
      <c r="F29" s="189">
        <f t="shared" si="17"/>
        <v>11.3</v>
      </c>
      <c r="G29" s="189">
        <f t="shared" si="18"/>
        <v>10.3</v>
      </c>
      <c r="H29" s="189">
        <f t="shared" si="19"/>
        <v>11.6</v>
      </c>
      <c r="I29" s="189">
        <f t="shared" si="20"/>
        <v>10.6</v>
      </c>
      <c r="J29" s="122"/>
      <c r="K29" s="183"/>
      <c r="L29" s="184"/>
    </row>
    <row r="30" s="62" customFormat="1" ht="30" customHeight="1" spans="1:12">
      <c r="A30" s="79" t="s">
        <v>294</v>
      </c>
      <c r="B30" s="72">
        <f t="shared" si="14"/>
        <v>11.3</v>
      </c>
      <c r="C30" s="97">
        <v>10.3</v>
      </c>
      <c r="D30" s="98">
        <f t="shared" si="15"/>
        <v>11.3</v>
      </c>
      <c r="E30" s="98">
        <f t="shared" si="16"/>
        <v>10.3</v>
      </c>
      <c r="F30" s="189">
        <f t="shared" si="17"/>
        <v>11.5</v>
      </c>
      <c r="G30" s="189">
        <f t="shared" si="18"/>
        <v>10.5</v>
      </c>
      <c r="H30" s="189">
        <f t="shared" si="19"/>
        <v>11.8</v>
      </c>
      <c r="I30" s="189">
        <f t="shared" si="20"/>
        <v>10.8</v>
      </c>
      <c r="J30" s="122"/>
      <c r="K30" s="183"/>
      <c r="L30" s="184"/>
    </row>
    <row r="31" s="62" customFormat="1" ht="30" customHeight="1" spans="1:12">
      <c r="A31" s="79" t="s">
        <v>295</v>
      </c>
      <c r="B31" s="72">
        <f t="shared" si="14"/>
        <v>11.2</v>
      </c>
      <c r="C31" s="97">
        <v>10.2</v>
      </c>
      <c r="D31" s="98">
        <f t="shared" si="15"/>
        <v>11.2</v>
      </c>
      <c r="E31" s="98">
        <f t="shared" si="16"/>
        <v>10.2</v>
      </c>
      <c r="F31" s="189">
        <f t="shared" si="17"/>
        <v>11.4</v>
      </c>
      <c r="G31" s="189">
        <f t="shared" si="18"/>
        <v>10.4</v>
      </c>
      <c r="H31" s="189">
        <f t="shared" si="19"/>
        <v>11.7</v>
      </c>
      <c r="I31" s="189">
        <f t="shared" si="20"/>
        <v>10.7</v>
      </c>
      <c r="J31" s="122" t="s">
        <v>245</v>
      </c>
      <c r="K31" s="183"/>
      <c r="L31" s="184"/>
    </row>
    <row r="32" s="62" customFormat="1" ht="30" customHeight="1" spans="1:12">
      <c r="A32" s="79" t="s">
        <v>296</v>
      </c>
      <c r="B32" s="72">
        <f t="shared" si="14"/>
        <v>11.2</v>
      </c>
      <c r="C32" s="97">
        <v>10.2</v>
      </c>
      <c r="D32" s="98">
        <f t="shared" si="15"/>
        <v>11.2</v>
      </c>
      <c r="E32" s="98">
        <f t="shared" si="16"/>
        <v>10.2</v>
      </c>
      <c r="F32" s="189">
        <f t="shared" si="17"/>
        <v>11.4</v>
      </c>
      <c r="G32" s="189">
        <f t="shared" si="18"/>
        <v>10.4</v>
      </c>
      <c r="H32" s="189">
        <f t="shared" si="19"/>
        <v>11.7</v>
      </c>
      <c r="I32" s="189">
        <f t="shared" si="20"/>
        <v>10.7</v>
      </c>
      <c r="J32" s="122"/>
      <c r="K32" s="183"/>
      <c r="L32" s="184"/>
    </row>
    <row r="33" s="62" customFormat="1" ht="30" customHeight="1" spans="1:18">
      <c r="A33" s="79" t="s">
        <v>297</v>
      </c>
      <c r="B33" s="72">
        <f t="shared" si="14"/>
        <v>11.4</v>
      </c>
      <c r="C33" s="97">
        <v>10.4</v>
      </c>
      <c r="D33" s="98">
        <f t="shared" si="15"/>
        <v>11.4</v>
      </c>
      <c r="E33" s="98">
        <f t="shared" si="16"/>
        <v>10.4</v>
      </c>
      <c r="F33" s="189">
        <f t="shared" si="17"/>
        <v>11.6</v>
      </c>
      <c r="G33" s="189">
        <f t="shared" si="18"/>
        <v>10.6</v>
      </c>
      <c r="H33" s="189">
        <f t="shared" si="19"/>
        <v>11.9</v>
      </c>
      <c r="I33" s="189">
        <f t="shared" si="20"/>
        <v>10.9</v>
      </c>
      <c r="J33" s="122"/>
      <c r="K33" s="183"/>
      <c r="L33" s="184"/>
    </row>
    <row r="34" s="62" customFormat="1" ht="28.2" customHeight="1" spans="1:18">
      <c r="A34" s="100" t="s">
        <v>261</v>
      </c>
      <c r="B34" s="100"/>
      <c r="C34" s="100"/>
      <c r="D34" s="100"/>
      <c r="E34" s="100"/>
      <c r="F34" s="100"/>
      <c r="G34" s="100"/>
      <c r="H34" s="100"/>
      <c r="I34" s="100"/>
      <c r="J34" s="100"/>
      <c r="K34" s="100"/>
      <c r="L34" s="100"/>
    </row>
    <row r="35" s="63" customFormat="1" ht="29" customHeight="1" spans="1:18">
      <c r="A35" s="150" t="s">
        <v>302</v>
      </c>
      <c r="B35" s="150"/>
      <c r="C35" s="150"/>
      <c r="D35" s="150"/>
      <c r="E35" s="150"/>
      <c r="F35" s="150"/>
      <c r="G35" s="150"/>
      <c r="H35" s="150"/>
      <c r="I35" s="150"/>
      <c r="J35" s="150"/>
      <c r="K35" s="150"/>
      <c r="L35" s="150"/>
    </row>
    <row r="36" s="63" customFormat="1" ht="40.2" customHeight="1" spans="1:18">
      <c r="A36" s="105" t="s">
        <v>263</v>
      </c>
      <c r="B36" s="87" t="s">
        <v>303</v>
      </c>
      <c r="C36" s="87"/>
      <c r="D36" s="87"/>
      <c r="E36" s="87"/>
      <c r="F36" s="87"/>
      <c r="G36" s="87"/>
      <c r="H36" s="87"/>
      <c r="I36" s="87"/>
      <c r="J36" s="87"/>
      <c r="K36" s="87"/>
      <c r="L36" s="87"/>
    </row>
    <row r="37" s="63" customFormat="1" ht="40" customHeight="1" spans="1:18">
      <c r="A37" s="105"/>
      <c r="B37" s="87" t="s">
        <v>304</v>
      </c>
      <c r="C37" s="87"/>
      <c r="D37" s="87"/>
      <c r="E37" s="87"/>
      <c r="F37" s="87"/>
      <c r="G37" s="87"/>
      <c r="H37" s="87"/>
      <c r="I37" s="87"/>
      <c r="J37" s="87"/>
      <c r="K37" s="87"/>
      <c r="L37" s="87"/>
    </row>
    <row r="38" s="63" customFormat="1" ht="40" customHeight="1" spans="1:18">
      <c r="A38" s="105" t="s">
        <v>265</v>
      </c>
      <c r="B38" s="87" t="s">
        <v>305</v>
      </c>
      <c r="C38" s="87"/>
      <c r="D38" s="87"/>
      <c r="E38" s="87"/>
      <c r="F38" s="87"/>
      <c r="G38" s="87"/>
      <c r="H38" s="87"/>
      <c r="I38" s="87"/>
      <c r="J38" s="87"/>
      <c r="K38" s="87"/>
      <c r="L38" s="87"/>
    </row>
    <row r="39" s="63" customFormat="1" ht="40" customHeight="1" spans="1:18">
      <c r="A39" s="105" t="s">
        <v>306</v>
      </c>
      <c r="B39" s="106" t="s">
        <v>307</v>
      </c>
      <c r="C39" s="106"/>
      <c r="D39" s="106"/>
      <c r="E39" s="106"/>
      <c r="F39" s="106"/>
      <c r="G39" s="106"/>
      <c r="H39" s="106"/>
      <c r="I39" s="106"/>
      <c r="J39" s="106"/>
      <c r="K39" s="106"/>
      <c r="L39" s="106"/>
    </row>
    <row r="40" s="63" customFormat="1" ht="57" customHeight="1" spans="1:18">
      <c r="A40" s="105"/>
      <c r="B40" s="106" t="s">
        <v>308</v>
      </c>
      <c r="C40" s="106"/>
      <c r="D40" s="106"/>
      <c r="E40" s="106"/>
      <c r="F40" s="106"/>
      <c r="G40" s="106"/>
      <c r="H40" s="106"/>
      <c r="I40" s="106"/>
      <c r="J40" s="106"/>
      <c r="K40" s="106"/>
      <c r="L40" s="106"/>
      <c r="M40" s="175"/>
      <c r="N40" s="175"/>
      <c r="O40" s="175"/>
      <c r="P40" s="175"/>
      <c r="Q40" s="175"/>
    </row>
    <row r="41" s="63" customFormat="1" ht="34" customHeight="1" spans="1:18">
      <c r="A41" s="105"/>
      <c r="B41" s="87" t="s">
        <v>309</v>
      </c>
      <c r="C41" s="87"/>
      <c r="D41" s="87"/>
      <c r="E41" s="87"/>
      <c r="F41" s="87"/>
      <c r="G41" s="87"/>
      <c r="H41" s="87"/>
      <c r="I41" s="87"/>
      <c r="J41" s="87"/>
      <c r="K41" s="87"/>
      <c r="L41" s="87"/>
      <c r="M41" s="175"/>
      <c r="N41" s="175"/>
      <c r="O41" s="175"/>
      <c r="P41" s="175"/>
      <c r="Q41" s="175"/>
    </row>
    <row r="42" s="60" customFormat="1" ht="43" customHeight="1" spans="1:18">
      <c r="A42" s="105" t="s">
        <v>272</v>
      </c>
      <c r="B42" s="190" t="s">
        <v>273</v>
      </c>
      <c r="C42" s="190"/>
      <c r="D42" s="190"/>
      <c r="E42" s="190"/>
      <c r="F42" s="190"/>
      <c r="G42" s="190"/>
      <c r="H42" s="190"/>
      <c r="I42" s="190"/>
      <c r="J42" s="190"/>
      <c r="K42" s="190"/>
      <c r="L42" s="190"/>
      <c r="M42" s="63"/>
      <c r="N42" s="63"/>
      <c r="O42" s="63"/>
      <c r="P42" s="63"/>
      <c r="Q42" s="63"/>
      <c r="R42" s="63"/>
    </row>
    <row r="43" s="60" customFormat="1" ht="34" customHeight="1" spans="1:18">
      <c r="A43" s="105" t="s">
        <v>274</v>
      </c>
      <c r="B43" s="190" t="s">
        <v>275</v>
      </c>
      <c r="C43" s="190"/>
      <c r="D43" s="190"/>
      <c r="E43" s="190"/>
      <c r="F43" s="190"/>
      <c r="G43" s="190"/>
      <c r="H43" s="190"/>
      <c r="I43" s="190"/>
      <c r="J43" s="190"/>
      <c r="K43" s="190"/>
      <c r="L43" s="190"/>
      <c r="M43" s="63"/>
      <c r="N43" s="63"/>
      <c r="O43" s="63"/>
      <c r="P43" s="63"/>
      <c r="Q43" s="63"/>
      <c r="R43" s="63"/>
    </row>
    <row r="44" s="63" customFormat="1" ht="37" customHeight="1" spans="1:18">
      <c r="A44" s="105" t="s">
        <v>276</v>
      </c>
      <c r="B44" s="190" t="s">
        <v>310</v>
      </c>
      <c r="C44" s="190"/>
      <c r="D44" s="190"/>
      <c r="E44" s="190"/>
      <c r="F44" s="190"/>
      <c r="G44" s="190"/>
      <c r="H44" s="190"/>
      <c r="I44" s="190"/>
      <c r="J44" s="190"/>
      <c r="K44" s="190"/>
      <c r="L44" s="190"/>
    </row>
    <row r="45" s="63" customFormat="1" ht="80" customHeight="1" spans="1:18">
      <c r="A45" s="105" t="s">
        <v>278</v>
      </c>
      <c r="B45" s="103" t="s">
        <v>279</v>
      </c>
      <c r="C45" s="103"/>
      <c r="D45" s="103"/>
      <c r="E45" s="103"/>
      <c r="F45" s="103"/>
      <c r="G45" s="103"/>
      <c r="H45" s="103"/>
      <c r="I45" s="103"/>
      <c r="J45" s="103"/>
      <c r="K45" s="103"/>
      <c r="L45" s="103"/>
    </row>
    <row r="46" s="63" customFormat="1" ht="30" customHeight="1" spans="1:18">
      <c r="A46" s="105"/>
      <c r="B46" s="103" t="s">
        <v>280</v>
      </c>
      <c r="C46" s="103"/>
      <c r="D46" s="103"/>
      <c r="E46" s="103"/>
      <c r="F46" s="103"/>
      <c r="G46" s="103"/>
      <c r="H46" s="103"/>
      <c r="I46" s="103"/>
      <c r="J46" s="103"/>
      <c r="K46" s="103"/>
      <c r="L46" s="103"/>
    </row>
    <row r="47" s="63" customFormat="1" ht="60" customHeight="1" spans="1:18">
      <c r="A47" s="105"/>
      <c r="B47" s="191" t="s">
        <v>281</v>
      </c>
      <c r="C47" s="191"/>
      <c r="D47" s="191"/>
      <c r="E47" s="191"/>
      <c r="F47" s="191"/>
      <c r="G47" s="191"/>
      <c r="H47" s="191"/>
      <c r="I47" s="191"/>
      <c r="J47" s="191"/>
      <c r="K47" s="191"/>
      <c r="L47" s="191"/>
    </row>
    <row r="48" s="63" customFormat="1" ht="30" customHeight="1" spans="1:18">
      <c r="A48" s="105"/>
      <c r="B48" s="192" t="s">
        <v>282</v>
      </c>
      <c r="C48" s="192"/>
      <c r="D48" s="192"/>
      <c r="E48" s="192"/>
      <c r="F48" s="192"/>
      <c r="G48" s="192"/>
      <c r="H48" s="192"/>
      <c r="I48" s="192"/>
      <c r="J48" s="192"/>
      <c r="K48" s="192"/>
      <c r="L48" s="192"/>
    </row>
    <row r="49" s="63" customFormat="1" ht="40" customHeight="1" spans="1:12">
      <c r="A49" s="105" t="s">
        <v>283</v>
      </c>
      <c r="B49" s="193" t="s">
        <v>284</v>
      </c>
      <c r="C49" s="193"/>
      <c r="D49" s="193"/>
      <c r="E49" s="193"/>
      <c r="F49" s="193"/>
      <c r="G49" s="193"/>
      <c r="H49" s="193"/>
      <c r="I49" s="193"/>
      <c r="J49" s="193"/>
      <c r="K49" s="193"/>
      <c r="L49" s="193"/>
    </row>
    <row r="50" s="63" customFormat="1" ht="120" customHeight="1" spans="1:12">
      <c r="A50" s="105" t="s">
        <v>285</v>
      </c>
      <c r="B50" s="193" t="s">
        <v>286</v>
      </c>
      <c r="C50" s="193"/>
      <c r="D50" s="193"/>
      <c r="E50" s="193"/>
      <c r="F50" s="193"/>
      <c r="G50" s="193"/>
      <c r="H50" s="193"/>
      <c r="I50" s="193"/>
      <c r="J50" s="193"/>
      <c r="K50" s="193"/>
      <c r="L50" s="193"/>
    </row>
    <row r="51" s="63" customFormat="1" ht="40" customHeight="1" spans="1:12">
      <c r="A51" s="105"/>
      <c r="B51" s="193" t="s">
        <v>287</v>
      </c>
      <c r="C51" s="193"/>
      <c r="D51" s="193"/>
      <c r="E51" s="193"/>
      <c r="F51" s="193"/>
      <c r="G51" s="193"/>
      <c r="H51" s="193"/>
      <c r="I51" s="193"/>
      <c r="J51" s="193"/>
      <c r="K51" s="193"/>
      <c r="L51" s="193"/>
    </row>
    <row r="52" s="63" customFormat="1" ht="40" customHeight="1" spans="1:12">
      <c r="A52" s="105"/>
      <c r="B52" s="193" t="s">
        <v>288</v>
      </c>
      <c r="C52" s="193"/>
      <c r="D52" s="193"/>
      <c r="E52" s="193"/>
      <c r="F52" s="193"/>
      <c r="G52" s="193"/>
      <c r="H52" s="193"/>
      <c r="I52" s="193"/>
      <c r="J52" s="193"/>
      <c r="K52" s="193"/>
      <c r="L52" s="193"/>
    </row>
    <row r="53" s="63" customFormat="1" ht="40" customHeight="1"/>
    <row r="54" s="63" customFormat="1"/>
  </sheetData>
  <mergeCells count="65">
    <mergeCell ref="A1:L1"/>
    <mergeCell ref="B2:L2"/>
    <mergeCell ref="B3:L3"/>
    <mergeCell ref="B4:C4"/>
    <mergeCell ref="D4:E4"/>
    <mergeCell ref="F4:G4"/>
    <mergeCell ref="H4:I4"/>
    <mergeCell ref="A12:L12"/>
    <mergeCell ref="B13:L13"/>
    <mergeCell ref="B14:L14"/>
    <mergeCell ref="B15:C15"/>
    <mergeCell ref="D15:E15"/>
    <mergeCell ref="F15:G15"/>
    <mergeCell ref="H15:I15"/>
    <mergeCell ref="A23:L23"/>
    <mergeCell ref="B24:L24"/>
    <mergeCell ref="B25:L25"/>
    <mergeCell ref="B26:C26"/>
    <mergeCell ref="D26:E26"/>
    <mergeCell ref="F26:G26"/>
    <mergeCell ref="H26:I26"/>
    <mergeCell ref="A34:L34"/>
    <mergeCell ref="A35:L35"/>
    <mergeCell ref="B36:L36"/>
    <mergeCell ref="B37:L37"/>
    <mergeCell ref="B38:L38"/>
    <mergeCell ref="B39:L39"/>
    <mergeCell ref="B40:L40"/>
    <mergeCell ref="B41:L41"/>
    <mergeCell ref="B42:L42"/>
    <mergeCell ref="B43:L43"/>
    <mergeCell ref="B44:L44"/>
    <mergeCell ref="B45:L45"/>
    <mergeCell ref="B46:L46"/>
    <mergeCell ref="B47:L47"/>
    <mergeCell ref="B48:L48"/>
    <mergeCell ref="B49:L49"/>
    <mergeCell ref="B50:L50"/>
    <mergeCell ref="B51:L51"/>
    <mergeCell ref="B52:L52"/>
    <mergeCell ref="A36:A37"/>
    <mergeCell ref="A39:A41"/>
    <mergeCell ref="A45:A48"/>
    <mergeCell ref="A50:A52"/>
    <mergeCell ref="J4:J5"/>
    <mergeCell ref="J6:J8"/>
    <mergeCell ref="J9:J11"/>
    <mergeCell ref="J15:J16"/>
    <mergeCell ref="J17:J19"/>
    <mergeCell ref="J20:J22"/>
    <mergeCell ref="J26:J27"/>
    <mergeCell ref="J28:J30"/>
    <mergeCell ref="J31:J33"/>
    <mergeCell ref="K4:K5"/>
    <mergeCell ref="K6:K11"/>
    <mergeCell ref="K15:K16"/>
    <mergeCell ref="K17:K22"/>
    <mergeCell ref="K26:K27"/>
    <mergeCell ref="K28:K33"/>
    <mergeCell ref="L4:L5"/>
    <mergeCell ref="L6:L11"/>
    <mergeCell ref="L15:L16"/>
    <mergeCell ref="L17:L22"/>
    <mergeCell ref="L26:L27"/>
    <mergeCell ref="L28:L33"/>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X42"/>
  <sheetViews>
    <sheetView showGridLines="0" zoomScale="70" zoomScaleNormal="70" workbookViewId="0">
      <pane xSplit="1" ySplit="1" topLeftCell="B2" activePane="bottomRight" state="frozen"/>
      <selection/>
      <selection pane="topRight"/>
      <selection pane="bottomLeft"/>
      <selection pane="bottomRight" activeCell="A1" sqref="A1:K1"/>
    </sheetView>
  </sheetViews>
  <sheetFormatPr defaultColWidth="9" defaultRowHeight="16.5"/>
  <cols>
    <col min="1" max="1" width="30.625" style="62" customWidth="1"/>
    <col min="2" max="9" width="13.625" style="60" customWidth="1"/>
    <col min="10" max="10" width="15.625" style="60" customWidth="1"/>
    <col min="11" max="11" width="25.625" style="60" customWidth="1"/>
    <col min="12" max="16384" width="9" style="60"/>
  </cols>
  <sheetData>
    <row r="1" s="60" customFormat="1" ht="100.05" customHeight="1" spans="1:11">
      <c r="A1" s="64" t="str">
        <f>_xlfn.DISPIMG("ID_D6697A225B864C34A678052B48D4E660",1)</f>
        <v>=DISPIMG("ID_D6697A225B864C34A678052B48D4E660",1)</v>
      </c>
      <c r="B1" s="64"/>
      <c r="C1" s="64"/>
      <c r="D1" s="64"/>
      <c r="E1" s="64"/>
      <c r="F1" s="64"/>
      <c r="G1" s="64"/>
      <c r="H1" s="64"/>
      <c r="I1" s="64"/>
      <c r="J1" s="64"/>
      <c r="K1" s="64"/>
    </row>
    <row r="2" s="48" customFormat="1" ht="30" customHeight="1" spans="1:11">
      <c r="A2" s="95" t="s">
        <v>3</v>
      </c>
      <c r="B2" s="66" t="s">
        <v>32</v>
      </c>
      <c r="C2" s="66"/>
      <c r="D2" s="66"/>
      <c r="E2" s="66"/>
      <c r="F2" s="66"/>
      <c r="G2" s="66"/>
      <c r="H2" s="66"/>
      <c r="I2" s="66"/>
      <c r="J2" s="66"/>
      <c r="K2" s="66"/>
    </row>
    <row r="3" s="48" customFormat="1" ht="30" customHeight="1" spans="1:11">
      <c r="A3" s="95" t="s">
        <v>290</v>
      </c>
      <c r="B3" s="95" t="s">
        <v>311</v>
      </c>
      <c r="C3" s="95"/>
      <c r="D3" s="95"/>
      <c r="E3" s="95"/>
      <c r="F3" s="95"/>
      <c r="G3" s="95"/>
      <c r="H3" s="95"/>
      <c r="I3" s="95"/>
      <c r="J3" s="95"/>
      <c r="K3" s="95"/>
    </row>
    <row r="4" s="48" customFormat="1" ht="30" customHeight="1" spans="1:11">
      <c r="A4" s="68" t="s">
        <v>227</v>
      </c>
      <c r="B4" s="69" t="s">
        <v>228</v>
      </c>
      <c r="C4" s="69"/>
      <c r="D4" s="69" t="s">
        <v>229</v>
      </c>
      <c r="E4" s="69"/>
      <c r="F4" s="69" t="s">
        <v>230</v>
      </c>
      <c r="G4" s="69"/>
      <c r="H4" s="69" t="s">
        <v>231</v>
      </c>
      <c r="I4" s="69"/>
      <c r="J4" s="96" t="s">
        <v>232</v>
      </c>
      <c r="K4" s="133" t="s">
        <v>233</v>
      </c>
    </row>
    <row r="5" s="61" customFormat="1" ht="30" customHeight="1" spans="1:11">
      <c r="A5" s="133" t="s">
        <v>235</v>
      </c>
      <c r="B5" s="70" t="s">
        <v>236</v>
      </c>
      <c r="C5" s="70" t="s">
        <v>237</v>
      </c>
      <c r="D5" s="70" t="s">
        <v>236</v>
      </c>
      <c r="E5" s="70" t="s">
        <v>237</v>
      </c>
      <c r="F5" s="70" t="s">
        <v>236</v>
      </c>
      <c r="G5" s="70" t="s">
        <v>237</v>
      </c>
      <c r="H5" s="70" t="s">
        <v>236</v>
      </c>
      <c r="I5" s="70" t="s">
        <v>237</v>
      </c>
      <c r="J5" s="96"/>
      <c r="K5" s="133"/>
    </row>
    <row r="6" s="62" customFormat="1" ht="30" customHeight="1" spans="1:11">
      <c r="A6" s="79" t="s">
        <v>312</v>
      </c>
      <c r="B6" s="97">
        <v>13.1</v>
      </c>
      <c r="C6" s="97">
        <v>11.6</v>
      </c>
      <c r="D6" s="97">
        <f>B6</f>
        <v>13.1</v>
      </c>
      <c r="E6" s="97">
        <f>C6</f>
        <v>11.6</v>
      </c>
      <c r="F6" s="97">
        <f>B6+0.2</f>
        <v>13.3</v>
      </c>
      <c r="G6" s="97">
        <f>C6+0.2</f>
        <v>11.8</v>
      </c>
      <c r="H6" s="97">
        <f>B6+0.5</f>
        <v>13.6</v>
      </c>
      <c r="I6" s="97">
        <f>C6+0.5</f>
        <v>12.1</v>
      </c>
      <c r="J6" s="182" t="s">
        <v>239</v>
      </c>
      <c r="K6" s="182" t="s">
        <v>313</v>
      </c>
    </row>
    <row r="7" s="62" customFormat="1" ht="30" customHeight="1" spans="1:11">
      <c r="A7" s="79" t="s">
        <v>314</v>
      </c>
      <c r="B7" s="97">
        <v>14</v>
      </c>
      <c r="C7" s="97">
        <v>12.5</v>
      </c>
      <c r="D7" s="97">
        <f>B7</f>
        <v>14</v>
      </c>
      <c r="E7" s="97">
        <f>C7</f>
        <v>12.5</v>
      </c>
      <c r="F7" s="97">
        <f>B7+0.2</f>
        <v>14.2</v>
      </c>
      <c r="G7" s="97">
        <f>C7+0.2</f>
        <v>12.7</v>
      </c>
      <c r="H7" s="97">
        <f>B7+0.5</f>
        <v>14.5</v>
      </c>
      <c r="I7" s="97">
        <f>C7+0.5</f>
        <v>13</v>
      </c>
      <c r="J7" s="182"/>
      <c r="K7" s="182"/>
    </row>
    <row r="8" s="62" customFormat="1" ht="30" customHeight="1" spans="1:11">
      <c r="A8" s="79" t="s">
        <v>315</v>
      </c>
      <c r="B8" s="97">
        <v>14.4</v>
      </c>
      <c r="C8" s="97">
        <v>12.9</v>
      </c>
      <c r="D8" s="97">
        <f>B8</f>
        <v>14.4</v>
      </c>
      <c r="E8" s="97">
        <f>C8</f>
        <v>12.9</v>
      </c>
      <c r="F8" s="97">
        <f>B8+0.2</f>
        <v>14.6</v>
      </c>
      <c r="G8" s="97">
        <f>C8+0.2</f>
        <v>13.1</v>
      </c>
      <c r="H8" s="97">
        <f>B8+0.5</f>
        <v>14.9</v>
      </c>
      <c r="I8" s="97">
        <f>C8+0.5</f>
        <v>13.4</v>
      </c>
      <c r="J8" s="182"/>
      <c r="K8" s="182"/>
    </row>
    <row r="9" s="62" customFormat="1" ht="30" customHeight="1" spans="1:11">
      <c r="A9" s="79" t="s">
        <v>296</v>
      </c>
      <c r="B9" s="97">
        <v>13.9</v>
      </c>
      <c r="C9" s="97">
        <v>12.4</v>
      </c>
      <c r="D9" s="97">
        <f>B9</f>
        <v>13.9</v>
      </c>
      <c r="E9" s="97">
        <f>C9</f>
        <v>12.4</v>
      </c>
      <c r="F9" s="97">
        <f>B9+0.2</f>
        <v>14.1</v>
      </c>
      <c r="G9" s="97">
        <f>C9+0.2</f>
        <v>12.6</v>
      </c>
      <c r="H9" s="97">
        <f>B9+0.5</f>
        <v>14.4</v>
      </c>
      <c r="I9" s="97">
        <f>C9+0.5</f>
        <v>12.9</v>
      </c>
      <c r="J9" s="184" t="s">
        <v>245</v>
      </c>
      <c r="K9" s="182"/>
    </row>
    <row r="10" s="62" customFormat="1" ht="30" customHeight="1" spans="1:11">
      <c r="A10" s="79" t="s">
        <v>297</v>
      </c>
      <c r="B10" s="97">
        <v>14.1</v>
      </c>
      <c r="C10" s="97">
        <v>12.6</v>
      </c>
      <c r="D10" s="97">
        <f>B10</f>
        <v>14.1</v>
      </c>
      <c r="E10" s="97">
        <f>C10</f>
        <v>12.6</v>
      </c>
      <c r="F10" s="97">
        <f>B10+0.2</f>
        <v>14.3</v>
      </c>
      <c r="G10" s="97">
        <f>C10+0.2</f>
        <v>12.8</v>
      </c>
      <c r="H10" s="97">
        <f>B10+0.5</f>
        <v>14.6</v>
      </c>
      <c r="I10" s="97">
        <f>C10+0.5</f>
        <v>13.1</v>
      </c>
      <c r="J10" s="184"/>
      <c r="K10" s="182"/>
    </row>
    <row r="11" s="177" customFormat="1" ht="20" customHeight="1" spans="1:11">
      <c r="A11" s="185"/>
      <c r="B11" s="185"/>
      <c r="C11" s="185"/>
      <c r="D11" s="185"/>
      <c r="E11" s="185"/>
      <c r="F11" s="185"/>
      <c r="G11" s="185"/>
      <c r="H11" s="185"/>
      <c r="I11" s="185"/>
      <c r="J11" s="185"/>
      <c r="K11" s="185"/>
    </row>
    <row r="12" s="48" customFormat="1" ht="30" customHeight="1" spans="1:11">
      <c r="A12" s="95" t="s">
        <v>3</v>
      </c>
      <c r="B12" s="66" t="s">
        <v>35</v>
      </c>
      <c r="C12" s="66"/>
      <c r="D12" s="66"/>
      <c r="E12" s="66"/>
      <c r="F12" s="66"/>
      <c r="G12" s="66"/>
      <c r="H12" s="66"/>
      <c r="I12" s="66"/>
      <c r="J12" s="66"/>
      <c r="K12" s="66"/>
    </row>
    <row r="13" s="48" customFormat="1" ht="30" customHeight="1" spans="1:11">
      <c r="A13" s="95" t="s">
        <v>290</v>
      </c>
      <c r="B13" s="95" t="s">
        <v>316</v>
      </c>
      <c r="C13" s="95"/>
      <c r="D13" s="95"/>
      <c r="E13" s="95"/>
      <c r="F13" s="95"/>
      <c r="G13" s="95"/>
      <c r="H13" s="95"/>
      <c r="I13" s="95"/>
      <c r="J13" s="95"/>
      <c r="K13" s="95"/>
    </row>
    <row r="14" s="48" customFormat="1" ht="30" customHeight="1" spans="1:11">
      <c r="A14" s="68" t="s">
        <v>227</v>
      </c>
      <c r="B14" s="69" t="s">
        <v>228</v>
      </c>
      <c r="C14" s="69"/>
      <c r="D14" s="69" t="s">
        <v>229</v>
      </c>
      <c r="E14" s="69"/>
      <c r="F14" s="69" t="s">
        <v>230</v>
      </c>
      <c r="G14" s="69"/>
      <c r="H14" s="69" t="s">
        <v>231</v>
      </c>
      <c r="I14" s="69"/>
      <c r="J14" s="96" t="s">
        <v>232</v>
      </c>
      <c r="K14" s="133" t="s">
        <v>233</v>
      </c>
    </row>
    <row r="15" s="61" customFormat="1" ht="30" customHeight="1" spans="1:11">
      <c r="A15" s="133" t="s">
        <v>235</v>
      </c>
      <c r="B15" s="70" t="s">
        <v>236</v>
      </c>
      <c r="C15" s="70" t="s">
        <v>237</v>
      </c>
      <c r="D15" s="70" t="s">
        <v>236</v>
      </c>
      <c r="E15" s="70" t="s">
        <v>237</v>
      </c>
      <c r="F15" s="70" t="s">
        <v>236</v>
      </c>
      <c r="G15" s="70" t="s">
        <v>237</v>
      </c>
      <c r="H15" s="70" t="s">
        <v>236</v>
      </c>
      <c r="I15" s="70" t="s">
        <v>237</v>
      </c>
      <c r="J15" s="96"/>
      <c r="K15" s="133"/>
    </row>
    <row r="16" s="62" customFormat="1" ht="30" customHeight="1" spans="1:11">
      <c r="A16" s="79" t="s">
        <v>312</v>
      </c>
      <c r="B16" s="97">
        <v>12.8</v>
      </c>
      <c r="C16" s="97">
        <v>11.3</v>
      </c>
      <c r="D16" s="97">
        <f>B16</f>
        <v>12.8</v>
      </c>
      <c r="E16" s="97">
        <f>C16</f>
        <v>11.3</v>
      </c>
      <c r="F16" s="97">
        <f>B16+0.2</f>
        <v>13</v>
      </c>
      <c r="G16" s="97">
        <f>C16+0.2</f>
        <v>11.5</v>
      </c>
      <c r="H16" s="97">
        <f>B16+0.5</f>
        <v>13.3</v>
      </c>
      <c r="I16" s="97">
        <f>C16+0.5</f>
        <v>11.8</v>
      </c>
      <c r="J16" s="182" t="s">
        <v>239</v>
      </c>
      <c r="K16" s="182" t="s">
        <v>317</v>
      </c>
    </row>
    <row r="17" s="62" customFormat="1" ht="30" customHeight="1" spans="1:24">
      <c r="A17" s="79" t="s">
        <v>314</v>
      </c>
      <c r="B17" s="97">
        <v>13.7</v>
      </c>
      <c r="C17" s="97">
        <v>12.2</v>
      </c>
      <c r="D17" s="97">
        <f>B17</f>
        <v>13.7</v>
      </c>
      <c r="E17" s="97">
        <f>C17</f>
        <v>12.2</v>
      </c>
      <c r="F17" s="97">
        <f>B17+0.2</f>
        <v>13.9</v>
      </c>
      <c r="G17" s="97">
        <f>C17+0.2</f>
        <v>12.4</v>
      </c>
      <c r="H17" s="97">
        <f>B17+0.5</f>
        <v>14.2</v>
      </c>
      <c r="I17" s="97">
        <f>C17+0.5</f>
        <v>12.7</v>
      </c>
      <c r="J17" s="182"/>
      <c r="K17" s="182"/>
    </row>
    <row r="18" s="62" customFormat="1" ht="30" customHeight="1" spans="1:24">
      <c r="A18" s="79" t="s">
        <v>315</v>
      </c>
      <c r="B18" s="97">
        <v>14.1</v>
      </c>
      <c r="C18" s="97">
        <v>12.6</v>
      </c>
      <c r="D18" s="97">
        <f>B18</f>
        <v>14.1</v>
      </c>
      <c r="E18" s="97">
        <f>C18</f>
        <v>12.6</v>
      </c>
      <c r="F18" s="97">
        <f>B18+0.2</f>
        <v>14.3</v>
      </c>
      <c r="G18" s="97">
        <f>C18+0.2</f>
        <v>12.8</v>
      </c>
      <c r="H18" s="97">
        <f>B18+0.5</f>
        <v>14.6</v>
      </c>
      <c r="I18" s="97">
        <f>C18+0.5</f>
        <v>13.1</v>
      </c>
      <c r="J18" s="182"/>
      <c r="K18" s="182"/>
    </row>
    <row r="19" s="62" customFormat="1" ht="30" customHeight="1" spans="1:24">
      <c r="A19" s="79" t="s">
        <v>296</v>
      </c>
      <c r="B19" s="97">
        <v>13.6</v>
      </c>
      <c r="C19" s="97">
        <v>12.1</v>
      </c>
      <c r="D19" s="97">
        <f>B19</f>
        <v>13.6</v>
      </c>
      <c r="E19" s="97">
        <f>C19</f>
        <v>12.1</v>
      </c>
      <c r="F19" s="97">
        <f>B19+0.2</f>
        <v>13.8</v>
      </c>
      <c r="G19" s="97">
        <f>C19+0.2</f>
        <v>12.3</v>
      </c>
      <c r="H19" s="97">
        <f>B19+0.5</f>
        <v>14.1</v>
      </c>
      <c r="I19" s="97">
        <f>C19+0.5</f>
        <v>12.6</v>
      </c>
      <c r="J19" s="184" t="s">
        <v>245</v>
      </c>
      <c r="K19" s="182"/>
    </row>
    <row r="20" s="62" customFormat="1" ht="30" customHeight="1" spans="1:24">
      <c r="A20" s="79" t="s">
        <v>297</v>
      </c>
      <c r="B20" s="97">
        <v>13.8</v>
      </c>
      <c r="C20" s="97">
        <v>12.3</v>
      </c>
      <c r="D20" s="97">
        <f>B20</f>
        <v>13.8</v>
      </c>
      <c r="E20" s="97">
        <f>C20</f>
        <v>12.3</v>
      </c>
      <c r="F20" s="97">
        <f>B20+0.2</f>
        <v>14</v>
      </c>
      <c r="G20" s="97">
        <f>C20+0.2</f>
        <v>12.5</v>
      </c>
      <c r="H20" s="97">
        <f>B20+0.5</f>
        <v>14.3</v>
      </c>
      <c r="I20" s="97">
        <f>C20+0.5</f>
        <v>12.8</v>
      </c>
      <c r="J20" s="184"/>
      <c r="K20" s="182"/>
    </row>
    <row r="21" s="62" customFormat="1" ht="28.2" customHeight="1" spans="1:24">
      <c r="A21" s="100" t="s">
        <v>261</v>
      </c>
      <c r="B21" s="100"/>
      <c r="C21" s="100"/>
      <c r="D21" s="100"/>
      <c r="E21" s="100"/>
      <c r="F21" s="100"/>
      <c r="G21" s="100"/>
      <c r="H21" s="100"/>
      <c r="I21" s="100"/>
      <c r="J21" s="100"/>
      <c r="K21" s="100"/>
    </row>
    <row r="22" s="62" customFormat="1" ht="26" customHeight="1" spans="1:24">
      <c r="A22" s="101" t="s">
        <v>262</v>
      </c>
      <c r="B22" s="101"/>
      <c r="C22" s="101"/>
      <c r="D22" s="101"/>
      <c r="E22" s="101"/>
      <c r="F22" s="101"/>
      <c r="G22" s="101"/>
      <c r="H22" s="101"/>
      <c r="I22" s="101"/>
      <c r="J22" s="101"/>
      <c r="K22" s="101"/>
    </row>
    <row r="23" ht="40" customHeight="1" spans="1:24">
      <c r="A23" s="102" t="s">
        <v>263</v>
      </c>
      <c r="B23" s="103" t="s">
        <v>304</v>
      </c>
      <c r="C23" s="103"/>
      <c r="D23" s="103"/>
      <c r="E23" s="103"/>
      <c r="F23" s="103"/>
      <c r="G23" s="103"/>
      <c r="H23" s="103"/>
      <c r="I23" s="103"/>
      <c r="J23" s="103"/>
      <c r="K23" s="103"/>
    </row>
    <row r="24" s="63" customFormat="1" ht="40" customHeight="1" spans="1:24">
      <c r="A24" s="86" t="s">
        <v>265</v>
      </c>
      <c r="B24" s="87" t="s">
        <v>266</v>
      </c>
      <c r="C24" s="87"/>
      <c r="D24" s="87"/>
      <c r="E24" s="87"/>
      <c r="F24" s="87"/>
      <c r="G24" s="87"/>
      <c r="H24" s="87"/>
      <c r="I24" s="87"/>
      <c r="J24" s="87"/>
      <c r="K24" s="87"/>
    </row>
    <row r="25" s="63" customFormat="1" ht="94" customHeight="1" spans="1:24">
      <c r="A25" s="105" t="s">
        <v>267</v>
      </c>
      <c r="B25" s="87" t="s">
        <v>268</v>
      </c>
      <c r="C25" s="87"/>
      <c r="D25" s="87"/>
      <c r="E25" s="87"/>
      <c r="F25" s="87"/>
      <c r="G25" s="87"/>
      <c r="H25" s="87"/>
      <c r="I25" s="87"/>
      <c r="J25" s="87"/>
      <c r="K25" s="87"/>
    </row>
    <row r="26" s="63" customFormat="1" ht="70" customHeight="1" spans="1:24">
      <c r="A26" s="105"/>
      <c r="B26" s="87" t="s">
        <v>269</v>
      </c>
      <c r="C26" s="87"/>
      <c r="D26" s="87"/>
      <c r="E26" s="87"/>
      <c r="F26" s="87"/>
      <c r="G26" s="87"/>
      <c r="H26" s="87"/>
      <c r="I26" s="87"/>
      <c r="J26" s="87"/>
      <c r="K26" s="87"/>
    </row>
    <row r="27" s="63" customFormat="1" ht="34" customHeight="1" spans="1:24">
      <c r="A27" s="105" t="s">
        <v>270</v>
      </c>
      <c r="B27" s="87" t="s">
        <v>271</v>
      </c>
      <c r="C27" s="87"/>
      <c r="D27" s="87"/>
      <c r="E27" s="87"/>
      <c r="F27" s="87"/>
      <c r="G27" s="87"/>
      <c r="H27" s="87"/>
      <c r="I27" s="87"/>
      <c r="J27" s="87"/>
      <c r="K27" s="87"/>
    </row>
    <row r="28" s="60" customFormat="1" ht="40" customHeight="1" spans="1:24">
      <c r="A28" s="105" t="s">
        <v>272</v>
      </c>
      <c r="B28" s="87" t="s">
        <v>273</v>
      </c>
      <c r="C28" s="87"/>
      <c r="D28" s="87"/>
      <c r="E28" s="87"/>
      <c r="F28" s="87"/>
      <c r="G28" s="87"/>
      <c r="H28" s="87"/>
      <c r="I28" s="87"/>
      <c r="J28" s="87"/>
      <c r="K28" s="87"/>
    </row>
    <row r="29" ht="30" customHeight="1" spans="1:24">
      <c r="A29" s="105" t="s">
        <v>274</v>
      </c>
      <c r="B29" s="87" t="s">
        <v>275</v>
      </c>
      <c r="C29" s="87"/>
      <c r="D29" s="87"/>
      <c r="E29" s="87"/>
      <c r="F29" s="87"/>
      <c r="G29" s="87"/>
      <c r="H29" s="87"/>
      <c r="I29" s="87"/>
      <c r="J29" s="87"/>
      <c r="K29" s="87"/>
    </row>
    <row r="30" s="63" customFormat="1" ht="40" customHeight="1" spans="1:24">
      <c r="A30" s="105" t="s">
        <v>276</v>
      </c>
      <c r="B30" s="103" t="s">
        <v>277</v>
      </c>
      <c r="C30" s="103"/>
      <c r="D30" s="103"/>
      <c r="E30" s="103"/>
      <c r="F30" s="103"/>
      <c r="G30" s="103"/>
      <c r="H30" s="103"/>
      <c r="I30" s="103"/>
      <c r="J30" s="103"/>
      <c r="K30" s="103"/>
    </row>
    <row r="31" ht="100" customHeight="1" spans="1:24">
      <c r="A31" s="105" t="s">
        <v>278</v>
      </c>
      <c r="B31" s="172" t="s">
        <v>279</v>
      </c>
      <c r="C31" s="172"/>
      <c r="D31" s="172"/>
      <c r="E31" s="172"/>
      <c r="F31" s="172"/>
      <c r="G31" s="172"/>
      <c r="H31" s="172"/>
      <c r="I31" s="172"/>
      <c r="J31" s="172"/>
      <c r="K31" s="172"/>
      <c r="L31" s="62"/>
      <c r="M31" s="62"/>
      <c r="N31" s="62"/>
      <c r="O31" s="62"/>
      <c r="P31" s="62"/>
      <c r="Q31" s="62"/>
      <c r="R31" s="62"/>
      <c r="S31" s="62"/>
      <c r="T31" s="62"/>
      <c r="U31" s="62"/>
      <c r="V31" s="62"/>
      <c r="W31" s="62"/>
      <c r="X31" s="62"/>
    </row>
    <row r="32" ht="30" customHeight="1" spans="1:24">
      <c r="A32" s="105"/>
      <c r="B32" s="172" t="s">
        <v>280</v>
      </c>
      <c r="C32" s="172"/>
      <c r="D32" s="172"/>
      <c r="E32" s="172"/>
      <c r="F32" s="172"/>
      <c r="G32" s="172"/>
      <c r="H32" s="172"/>
      <c r="I32" s="172"/>
      <c r="J32" s="172"/>
      <c r="K32" s="172"/>
      <c r="L32" s="62"/>
      <c r="M32" s="62"/>
      <c r="N32" s="62"/>
      <c r="O32" s="62"/>
      <c r="P32" s="62"/>
      <c r="Q32" s="62"/>
      <c r="R32" s="62"/>
      <c r="S32" s="62"/>
      <c r="T32" s="62"/>
      <c r="U32" s="62"/>
      <c r="V32" s="62"/>
      <c r="W32" s="62"/>
      <c r="X32" s="62"/>
    </row>
    <row r="33" ht="60" customHeight="1" spans="1:24">
      <c r="A33" s="105"/>
      <c r="B33" s="173" t="s">
        <v>281</v>
      </c>
      <c r="C33" s="173"/>
      <c r="D33" s="173"/>
      <c r="E33" s="173"/>
      <c r="F33" s="173"/>
      <c r="G33" s="173"/>
      <c r="H33" s="173"/>
      <c r="I33" s="173"/>
      <c r="J33" s="173"/>
      <c r="K33" s="173"/>
      <c r="L33" s="62"/>
      <c r="M33" s="62"/>
      <c r="N33" s="62"/>
      <c r="O33" s="62"/>
      <c r="P33" s="62"/>
      <c r="Q33" s="62"/>
      <c r="R33" s="62"/>
      <c r="S33" s="62"/>
      <c r="T33" s="62"/>
      <c r="U33" s="62"/>
      <c r="V33" s="62"/>
      <c r="W33" s="62"/>
      <c r="X33" s="62"/>
    </row>
    <row r="34" ht="30" customHeight="1" spans="1:24">
      <c r="A34" s="105"/>
      <c r="B34" s="174" t="s">
        <v>282</v>
      </c>
      <c r="C34" s="174"/>
      <c r="D34" s="174"/>
      <c r="E34" s="174"/>
      <c r="F34" s="174"/>
      <c r="G34" s="174"/>
      <c r="H34" s="174"/>
      <c r="I34" s="174"/>
      <c r="J34" s="174"/>
      <c r="K34" s="174"/>
      <c r="L34" s="62"/>
      <c r="M34" s="62"/>
      <c r="N34" s="62"/>
      <c r="O34" s="62"/>
      <c r="P34" s="62"/>
      <c r="Q34" s="62"/>
      <c r="R34" s="62"/>
      <c r="S34" s="62"/>
      <c r="T34" s="62"/>
      <c r="U34" s="62"/>
      <c r="V34" s="62"/>
      <c r="W34" s="62"/>
      <c r="X34" s="62"/>
    </row>
    <row r="35" ht="40" customHeight="1" spans="1:24">
      <c r="A35" s="105" t="s">
        <v>283</v>
      </c>
      <c r="B35" s="87" t="s">
        <v>284</v>
      </c>
      <c r="C35" s="87"/>
      <c r="D35" s="87"/>
      <c r="E35" s="87"/>
      <c r="F35" s="87"/>
      <c r="G35" s="87"/>
      <c r="H35" s="87"/>
      <c r="I35" s="87"/>
      <c r="J35" s="87"/>
      <c r="K35" s="87"/>
      <c r="L35" s="62"/>
      <c r="M35" s="62"/>
      <c r="N35" s="62"/>
      <c r="O35" s="62"/>
      <c r="P35" s="62"/>
      <c r="Q35" s="62"/>
      <c r="R35" s="62"/>
      <c r="S35" s="62"/>
      <c r="T35" s="62"/>
      <c r="U35" s="62"/>
      <c r="V35" s="62"/>
      <c r="W35" s="62"/>
      <c r="X35" s="62"/>
    </row>
    <row r="36" ht="120" customHeight="1" spans="1:24">
      <c r="A36" s="105" t="s">
        <v>285</v>
      </c>
      <c r="B36" s="87" t="s">
        <v>286</v>
      </c>
      <c r="C36" s="87"/>
      <c r="D36" s="87"/>
      <c r="E36" s="87"/>
      <c r="F36" s="87"/>
      <c r="G36" s="87"/>
      <c r="H36" s="87"/>
      <c r="I36" s="87"/>
      <c r="J36" s="87"/>
      <c r="K36" s="87"/>
      <c r="L36" s="62"/>
      <c r="M36" s="62"/>
      <c r="N36" s="62"/>
      <c r="O36" s="62"/>
      <c r="P36" s="62"/>
      <c r="Q36" s="62"/>
      <c r="R36" s="62"/>
      <c r="S36" s="62"/>
      <c r="T36" s="62"/>
      <c r="U36" s="62"/>
      <c r="V36" s="62"/>
      <c r="W36" s="62"/>
      <c r="X36" s="62"/>
    </row>
    <row r="37" ht="34" customHeight="1" spans="1:24">
      <c r="A37" s="105"/>
      <c r="B37" s="87" t="s">
        <v>287</v>
      </c>
      <c r="C37" s="87"/>
      <c r="D37" s="87"/>
      <c r="E37" s="87"/>
      <c r="F37" s="87"/>
      <c r="G37" s="87"/>
      <c r="H37" s="87"/>
      <c r="I37" s="87"/>
      <c r="J37" s="87"/>
      <c r="K37" s="87"/>
      <c r="L37" s="62"/>
      <c r="M37" s="62"/>
      <c r="N37" s="62"/>
      <c r="O37" s="62"/>
      <c r="P37" s="62"/>
      <c r="Q37" s="62"/>
      <c r="R37" s="62"/>
      <c r="S37" s="62"/>
      <c r="T37" s="62"/>
      <c r="U37" s="62"/>
      <c r="V37" s="62"/>
      <c r="W37" s="62"/>
      <c r="X37" s="62"/>
    </row>
    <row r="38" ht="34" customHeight="1" spans="1:24">
      <c r="A38" s="105"/>
      <c r="B38" s="87" t="s">
        <v>288</v>
      </c>
      <c r="C38" s="87"/>
      <c r="D38" s="87"/>
      <c r="E38" s="87"/>
      <c r="F38" s="87"/>
      <c r="G38" s="87"/>
      <c r="H38" s="87"/>
      <c r="I38" s="87"/>
      <c r="J38" s="87"/>
      <c r="K38" s="87"/>
    </row>
    <row r="39" ht="34" customHeight="1" spans="1:24">
      <c r="A39" s="144"/>
      <c r="B39" s="176"/>
      <c r="C39" s="176"/>
      <c r="D39" s="176"/>
      <c r="E39" s="176"/>
      <c r="F39" s="176"/>
      <c r="G39" s="176"/>
      <c r="H39" s="176"/>
      <c r="I39" s="176"/>
      <c r="J39" s="176"/>
      <c r="K39" s="176"/>
      <c r="L39" s="63"/>
      <c r="M39" s="63"/>
      <c r="N39" s="63"/>
      <c r="O39" s="63"/>
      <c r="P39" s="63"/>
      <c r="Q39" s="63"/>
      <c r="R39" s="63"/>
      <c r="S39" s="63"/>
      <c r="T39" s="63"/>
      <c r="U39" s="63"/>
      <c r="V39" s="63"/>
      <c r="W39" s="63"/>
      <c r="X39" s="63"/>
    </row>
    <row r="40" ht="34" customHeight="1" spans="1:24">
      <c r="A40" s="144"/>
      <c r="B40" s="176"/>
      <c r="C40" s="176"/>
      <c r="D40" s="176"/>
      <c r="E40" s="176"/>
      <c r="F40" s="176"/>
      <c r="G40" s="176"/>
      <c r="H40" s="176"/>
      <c r="I40" s="176"/>
      <c r="J40" s="176"/>
      <c r="K40" s="176"/>
      <c r="L40" s="63"/>
      <c r="M40" s="63"/>
      <c r="N40" s="63"/>
      <c r="O40" s="63"/>
      <c r="P40" s="63"/>
      <c r="Q40" s="63"/>
      <c r="R40" s="63"/>
      <c r="S40" s="63"/>
      <c r="T40" s="63"/>
      <c r="U40" s="63"/>
      <c r="V40" s="63"/>
      <c r="W40" s="63"/>
      <c r="X40" s="63"/>
    </row>
    <row r="41" ht="34" customHeight="1" spans="1:24">
      <c r="L41" s="63"/>
      <c r="M41" s="63"/>
      <c r="N41" s="63"/>
      <c r="O41" s="63"/>
      <c r="P41" s="63"/>
      <c r="Q41" s="63"/>
      <c r="R41" s="63"/>
      <c r="S41" s="63"/>
      <c r="T41" s="63"/>
      <c r="U41" s="63"/>
      <c r="V41" s="63"/>
      <c r="W41" s="63"/>
      <c r="X41" s="63"/>
    </row>
    <row r="42" ht="34" customHeight="1" spans="1:24">
      <c r="L42" s="63"/>
      <c r="M42" s="63"/>
      <c r="N42" s="63"/>
      <c r="O42" s="63"/>
      <c r="P42" s="63"/>
      <c r="Q42" s="63"/>
      <c r="R42" s="63"/>
      <c r="S42" s="63"/>
      <c r="T42" s="63"/>
      <c r="U42" s="63"/>
      <c r="V42" s="63"/>
      <c r="W42" s="63"/>
      <c r="X42" s="63"/>
    </row>
  </sheetData>
  <mergeCells count="45">
    <mergeCell ref="A1:K1"/>
    <mergeCell ref="B2:K2"/>
    <mergeCell ref="B3:K3"/>
    <mergeCell ref="B4:C4"/>
    <mergeCell ref="D4:E4"/>
    <mergeCell ref="F4:G4"/>
    <mergeCell ref="H4:I4"/>
    <mergeCell ref="A11:K11"/>
    <mergeCell ref="B12:K12"/>
    <mergeCell ref="B13:K13"/>
    <mergeCell ref="B14:C14"/>
    <mergeCell ref="D14:E14"/>
    <mergeCell ref="F14:G14"/>
    <mergeCell ref="H14:I14"/>
    <mergeCell ref="A21:K21"/>
    <mergeCell ref="A22:K22"/>
    <mergeCell ref="B23:K23"/>
    <mergeCell ref="B24:K24"/>
    <mergeCell ref="B25:K25"/>
    <mergeCell ref="B26:K26"/>
    <mergeCell ref="B27:K27"/>
    <mergeCell ref="B28:K28"/>
    <mergeCell ref="B29:K29"/>
    <mergeCell ref="B30:K30"/>
    <mergeCell ref="B31:K31"/>
    <mergeCell ref="B32:K32"/>
    <mergeCell ref="B33:K33"/>
    <mergeCell ref="B34:K34"/>
    <mergeCell ref="B35:K35"/>
    <mergeCell ref="B36:K36"/>
    <mergeCell ref="B37:K37"/>
    <mergeCell ref="B38:K38"/>
    <mergeCell ref="A25:A26"/>
    <mergeCell ref="A31:A34"/>
    <mergeCell ref="A36:A38"/>
    <mergeCell ref="J4:J5"/>
    <mergeCell ref="J6:J8"/>
    <mergeCell ref="J9:J10"/>
    <mergeCell ref="J14:J15"/>
    <mergeCell ref="J16:J18"/>
    <mergeCell ref="J19:J20"/>
    <mergeCell ref="K4:K5"/>
    <mergeCell ref="K6:K10"/>
    <mergeCell ref="K14:K15"/>
    <mergeCell ref="K16:K20"/>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theme="4"/>
  </sheetPr>
  <dimension ref="A1:U62"/>
  <sheetViews>
    <sheetView showGridLines="0" zoomScale="55" zoomScaleNormal="55" workbookViewId="0">
      <pane xSplit="1" ySplit="1" topLeftCell="B2" activePane="bottomRight" state="frozen"/>
      <selection/>
      <selection pane="topRight"/>
      <selection pane="bottomLeft"/>
      <selection pane="bottomRight" activeCell="A1" sqref="A1:O1"/>
    </sheetView>
  </sheetViews>
  <sheetFormatPr defaultColWidth="9" defaultRowHeight="16.5"/>
  <cols>
    <col min="1" max="1" width="40.625" style="62" customWidth="1"/>
    <col min="2" max="13" width="13.625" style="60" customWidth="1"/>
    <col min="14" max="14" width="15.625" style="60" customWidth="1"/>
    <col min="15" max="15" width="20.6333333333333" style="60" customWidth="1"/>
    <col min="16" max="16384" width="9" style="60"/>
  </cols>
  <sheetData>
    <row r="1" s="60" customFormat="1" ht="100.05" customHeight="1" spans="1:19">
      <c r="A1" s="64" t="str">
        <f>_xlfn.DISPIMG("ID_D6697A225B864C34A678052B48D4E660",1)</f>
        <v>=DISPIMG("ID_D6697A225B864C34A678052B48D4E660",1)</v>
      </c>
      <c r="B1" s="64"/>
      <c r="C1" s="64"/>
      <c r="D1" s="64"/>
      <c r="E1" s="64"/>
      <c r="F1" s="64"/>
      <c r="G1" s="64"/>
      <c r="H1" s="64"/>
      <c r="I1" s="64"/>
      <c r="J1" s="64"/>
      <c r="K1" s="64"/>
      <c r="L1" s="64"/>
      <c r="M1" s="64"/>
      <c r="N1" s="64"/>
      <c r="O1" s="64"/>
    </row>
    <row r="2" s="48" customFormat="1" ht="30" customHeight="1" spans="1:19">
      <c r="A2" s="95" t="s">
        <v>3</v>
      </c>
      <c r="B2" s="66" t="s">
        <v>39</v>
      </c>
      <c r="C2" s="66"/>
      <c r="D2" s="66"/>
      <c r="E2" s="66"/>
      <c r="F2" s="66"/>
      <c r="G2" s="66"/>
      <c r="H2" s="66"/>
      <c r="I2" s="66"/>
      <c r="J2" s="66"/>
      <c r="K2" s="66"/>
      <c r="L2" s="66"/>
      <c r="M2" s="66"/>
      <c r="N2" s="66"/>
      <c r="O2" s="66"/>
    </row>
    <row r="3" s="48" customFormat="1" ht="30" customHeight="1" spans="1:19">
      <c r="A3" s="95" t="s">
        <v>290</v>
      </c>
      <c r="B3" s="95" t="s">
        <v>311</v>
      </c>
      <c r="C3" s="95"/>
      <c r="D3" s="95"/>
      <c r="E3" s="95"/>
      <c r="F3" s="95"/>
      <c r="G3" s="95"/>
      <c r="H3" s="95"/>
      <c r="I3" s="95"/>
      <c r="J3" s="95"/>
      <c r="K3" s="95"/>
      <c r="L3" s="95"/>
      <c r="M3" s="95"/>
      <c r="N3" s="95"/>
      <c r="O3" s="95"/>
    </row>
    <row r="4" s="48" customFormat="1" ht="30" customHeight="1" spans="1:19">
      <c r="A4" s="68" t="s">
        <v>227</v>
      </c>
      <c r="B4" s="69" t="s">
        <v>228</v>
      </c>
      <c r="C4" s="69"/>
      <c r="D4" s="69"/>
      <c r="E4" s="69" t="s">
        <v>229</v>
      </c>
      <c r="F4" s="69"/>
      <c r="G4" s="69"/>
      <c r="H4" s="69" t="s">
        <v>230</v>
      </c>
      <c r="I4" s="69"/>
      <c r="J4" s="69"/>
      <c r="K4" s="69" t="s">
        <v>231</v>
      </c>
      <c r="L4" s="69"/>
      <c r="M4" s="69"/>
      <c r="N4" s="96" t="s">
        <v>232</v>
      </c>
      <c r="O4" s="133" t="s">
        <v>233</v>
      </c>
    </row>
    <row r="5" s="48" customFormat="1" ht="30" customHeight="1" spans="1:19">
      <c r="A5" s="133" t="s">
        <v>235</v>
      </c>
      <c r="B5" s="96" t="s">
        <v>318</v>
      </c>
      <c r="C5" s="96"/>
      <c r="D5" s="96" t="s">
        <v>319</v>
      </c>
      <c r="E5" s="96" t="s">
        <v>318</v>
      </c>
      <c r="F5" s="96"/>
      <c r="G5" s="96" t="s">
        <v>319</v>
      </c>
      <c r="H5" s="96" t="s">
        <v>318</v>
      </c>
      <c r="I5" s="96"/>
      <c r="J5" s="96" t="s">
        <v>319</v>
      </c>
      <c r="K5" s="96" t="s">
        <v>318</v>
      </c>
      <c r="L5" s="96"/>
      <c r="M5" s="96" t="s">
        <v>319</v>
      </c>
      <c r="N5" s="96"/>
      <c r="O5" s="133"/>
    </row>
    <row r="6" s="61" customFormat="1" ht="30" customHeight="1" spans="1:19">
      <c r="A6" s="133"/>
      <c r="B6" s="70" t="s">
        <v>236</v>
      </c>
      <c r="C6" s="70" t="s">
        <v>237</v>
      </c>
      <c r="D6" s="70" t="s">
        <v>320</v>
      </c>
      <c r="E6" s="70" t="s">
        <v>236</v>
      </c>
      <c r="F6" s="70" t="s">
        <v>237</v>
      </c>
      <c r="G6" s="70" t="s">
        <v>320</v>
      </c>
      <c r="H6" s="70" t="s">
        <v>236</v>
      </c>
      <c r="I6" s="70" t="s">
        <v>237</v>
      </c>
      <c r="J6" s="70" t="s">
        <v>320</v>
      </c>
      <c r="K6" s="70" t="s">
        <v>236</v>
      </c>
      <c r="L6" s="70" t="s">
        <v>237</v>
      </c>
      <c r="M6" s="70" t="s">
        <v>320</v>
      </c>
      <c r="N6" s="96"/>
      <c r="O6" s="133"/>
    </row>
    <row r="7" s="62" customFormat="1" ht="30" customHeight="1" spans="1:19">
      <c r="A7" s="79" t="s">
        <v>291</v>
      </c>
      <c r="B7" s="97">
        <v>8.9</v>
      </c>
      <c r="C7" s="97">
        <v>7.9</v>
      </c>
      <c r="D7" s="139">
        <f t="shared" ref="D7:D13" si="0">C7*167</f>
        <v>1319.3</v>
      </c>
      <c r="E7" s="97">
        <f t="shared" ref="E7:E13" si="1">B7</f>
        <v>8.9</v>
      </c>
      <c r="F7" s="97">
        <f t="shared" ref="F7:F13" si="2">C7</f>
        <v>7.9</v>
      </c>
      <c r="G7" s="139">
        <f t="shared" ref="G7:G13" si="3">D7</f>
        <v>1319.3</v>
      </c>
      <c r="H7" s="140">
        <f t="shared" ref="H7:H13" si="4">B7+0.2</f>
        <v>9.1</v>
      </c>
      <c r="I7" s="140">
        <f t="shared" ref="I7:I13" si="5">C7+0.2</f>
        <v>8.1</v>
      </c>
      <c r="J7" s="141">
        <f t="shared" ref="J7:J13" si="6">D7+30</f>
        <v>1349.3</v>
      </c>
      <c r="K7" s="140">
        <f t="shared" ref="K7:K13" si="7">B7+0.5</f>
        <v>9.4</v>
      </c>
      <c r="L7" s="140">
        <f t="shared" ref="L7:L13" si="8">C7+0.5</f>
        <v>8.4</v>
      </c>
      <c r="M7" s="141">
        <f t="shared" ref="M7:M13" si="9">D7+80</f>
        <v>1399.3</v>
      </c>
      <c r="N7" s="178" t="s">
        <v>239</v>
      </c>
      <c r="O7" s="143" t="s">
        <v>41</v>
      </c>
      <c r="R7" s="144"/>
      <c r="S7" s="144"/>
    </row>
    <row r="8" s="62" customFormat="1" ht="30" customHeight="1" spans="1:19">
      <c r="A8" s="79" t="s">
        <v>312</v>
      </c>
      <c r="B8" s="97">
        <v>8.9</v>
      </c>
      <c r="C8" s="97">
        <v>7.9</v>
      </c>
      <c r="D8" s="139">
        <f t="shared" si="0"/>
        <v>1319.3</v>
      </c>
      <c r="E8" s="97">
        <f t="shared" si="1"/>
        <v>8.9</v>
      </c>
      <c r="F8" s="97">
        <f t="shared" si="2"/>
        <v>7.9</v>
      </c>
      <c r="G8" s="139">
        <f t="shared" si="3"/>
        <v>1319.3</v>
      </c>
      <c r="H8" s="140">
        <f t="shared" si="4"/>
        <v>9.1</v>
      </c>
      <c r="I8" s="140">
        <f t="shared" si="5"/>
        <v>8.1</v>
      </c>
      <c r="J8" s="141">
        <f t="shared" si="6"/>
        <v>1349.3</v>
      </c>
      <c r="K8" s="140">
        <f t="shared" si="7"/>
        <v>9.4</v>
      </c>
      <c r="L8" s="140">
        <f t="shared" si="8"/>
        <v>8.4</v>
      </c>
      <c r="M8" s="141">
        <f t="shared" si="9"/>
        <v>1399.3</v>
      </c>
      <c r="N8" s="178"/>
      <c r="O8" s="143"/>
      <c r="P8" s="62"/>
      <c r="Q8" s="62"/>
      <c r="R8" s="144"/>
      <c r="S8" s="144"/>
    </row>
    <row r="9" s="62" customFormat="1" ht="30" customHeight="1" spans="1:19">
      <c r="A9" s="79" t="s">
        <v>321</v>
      </c>
      <c r="B9" s="97">
        <v>9.1</v>
      </c>
      <c r="C9" s="97">
        <v>8.1</v>
      </c>
      <c r="D9" s="139">
        <f t="shared" si="0"/>
        <v>1352.7</v>
      </c>
      <c r="E9" s="97">
        <f t="shared" si="1"/>
        <v>9.1</v>
      </c>
      <c r="F9" s="97">
        <f t="shared" si="2"/>
        <v>8.1</v>
      </c>
      <c r="G9" s="139">
        <f t="shared" si="3"/>
        <v>1352.7</v>
      </c>
      <c r="H9" s="140">
        <f t="shared" si="4"/>
        <v>9.3</v>
      </c>
      <c r="I9" s="140">
        <f t="shared" si="5"/>
        <v>8.3</v>
      </c>
      <c r="J9" s="141">
        <f t="shared" si="6"/>
        <v>1382.7</v>
      </c>
      <c r="K9" s="140">
        <f t="shared" si="7"/>
        <v>9.6</v>
      </c>
      <c r="L9" s="140">
        <f t="shared" si="8"/>
        <v>8.6</v>
      </c>
      <c r="M9" s="141">
        <f t="shared" si="9"/>
        <v>1432.7</v>
      </c>
      <c r="N9" s="143"/>
      <c r="O9" s="143"/>
      <c r="P9" s="62"/>
      <c r="Q9" s="62"/>
      <c r="R9" s="144"/>
      <c r="S9" s="144"/>
    </row>
    <row r="10" s="62" customFormat="1" ht="30" customHeight="1" spans="1:19">
      <c r="A10" s="79" t="s">
        <v>294</v>
      </c>
      <c r="B10" s="97">
        <v>9.4</v>
      </c>
      <c r="C10" s="97">
        <v>8.4</v>
      </c>
      <c r="D10" s="139">
        <f t="shared" si="0"/>
        <v>1402.8</v>
      </c>
      <c r="E10" s="97">
        <f t="shared" si="1"/>
        <v>9.4</v>
      </c>
      <c r="F10" s="97">
        <f t="shared" si="2"/>
        <v>8.4</v>
      </c>
      <c r="G10" s="139">
        <f t="shared" si="3"/>
        <v>1402.8</v>
      </c>
      <c r="H10" s="140">
        <f t="shared" si="4"/>
        <v>9.6</v>
      </c>
      <c r="I10" s="140">
        <f t="shared" si="5"/>
        <v>8.6</v>
      </c>
      <c r="J10" s="141">
        <f t="shared" si="6"/>
        <v>1432.8</v>
      </c>
      <c r="K10" s="140">
        <f t="shared" si="7"/>
        <v>9.9</v>
      </c>
      <c r="L10" s="140">
        <f t="shared" si="8"/>
        <v>8.9</v>
      </c>
      <c r="M10" s="141">
        <f t="shared" si="9"/>
        <v>1482.8</v>
      </c>
      <c r="N10" s="143"/>
      <c r="O10" s="143"/>
      <c r="P10" s="62"/>
      <c r="Q10" s="62"/>
      <c r="R10" s="144"/>
      <c r="S10" s="144"/>
    </row>
    <row r="11" s="62" customFormat="1" ht="30" customHeight="1" spans="1:19">
      <c r="A11" s="79" t="s">
        <v>295</v>
      </c>
      <c r="B11" s="97">
        <v>8.7</v>
      </c>
      <c r="C11" s="97">
        <v>7.7</v>
      </c>
      <c r="D11" s="139">
        <f t="shared" si="0"/>
        <v>1285.9</v>
      </c>
      <c r="E11" s="97">
        <f t="shared" si="1"/>
        <v>8.7</v>
      </c>
      <c r="F11" s="97">
        <f t="shared" si="2"/>
        <v>7.7</v>
      </c>
      <c r="G11" s="139">
        <f t="shared" si="3"/>
        <v>1285.9</v>
      </c>
      <c r="H11" s="140">
        <f t="shared" si="4"/>
        <v>8.9</v>
      </c>
      <c r="I11" s="140">
        <f t="shared" si="5"/>
        <v>7.9</v>
      </c>
      <c r="J11" s="141">
        <f t="shared" si="6"/>
        <v>1315.9</v>
      </c>
      <c r="K11" s="140">
        <f t="shared" si="7"/>
        <v>9.2</v>
      </c>
      <c r="L11" s="140">
        <f t="shared" si="8"/>
        <v>8.2</v>
      </c>
      <c r="M11" s="141">
        <f t="shared" si="9"/>
        <v>1365.9</v>
      </c>
      <c r="N11" s="149" t="s">
        <v>245</v>
      </c>
      <c r="O11" s="143"/>
      <c r="P11" s="62"/>
      <c r="Q11" s="62"/>
      <c r="R11" s="144"/>
      <c r="S11" s="144"/>
    </row>
    <row r="12" s="62" customFormat="1" ht="30" customHeight="1" spans="1:19">
      <c r="A12" s="79" t="s">
        <v>296</v>
      </c>
      <c r="B12" s="97">
        <v>8.7</v>
      </c>
      <c r="C12" s="97">
        <v>7.7</v>
      </c>
      <c r="D12" s="139">
        <f t="shared" si="0"/>
        <v>1285.9</v>
      </c>
      <c r="E12" s="97">
        <f t="shared" si="1"/>
        <v>8.7</v>
      </c>
      <c r="F12" s="97">
        <f t="shared" si="2"/>
        <v>7.7</v>
      </c>
      <c r="G12" s="139">
        <f t="shared" si="3"/>
        <v>1285.9</v>
      </c>
      <c r="H12" s="140">
        <f t="shared" si="4"/>
        <v>8.9</v>
      </c>
      <c r="I12" s="140">
        <f t="shared" si="5"/>
        <v>7.9</v>
      </c>
      <c r="J12" s="141">
        <f t="shared" si="6"/>
        <v>1315.9</v>
      </c>
      <c r="K12" s="140">
        <f t="shared" si="7"/>
        <v>9.2</v>
      </c>
      <c r="L12" s="140">
        <f t="shared" si="8"/>
        <v>8.2</v>
      </c>
      <c r="M12" s="141">
        <f t="shared" si="9"/>
        <v>1365.9</v>
      </c>
      <c r="N12" s="149"/>
      <c r="O12" s="143"/>
      <c r="P12" s="62"/>
      <c r="Q12" s="62"/>
      <c r="R12" s="144"/>
      <c r="S12" s="144"/>
    </row>
    <row r="13" s="62" customFormat="1" ht="30" customHeight="1" spans="1:19">
      <c r="A13" s="79" t="s">
        <v>297</v>
      </c>
      <c r="B13" s="97">
        <v>9.7</v>
      </c>
      <c r="C13" s="97">
        <v>8.7</v>
      </c>
      <c r="D13" s="139">
        <f t="shared" si="0"/>
        <v>1452.9</v>
      </c>
      <c r="E13" s="97">
        <f t="shared" si="1"/>
        <v>9.7</v>
      </c>
      <c r="F13" s="97">
        <f t="shared" si="2"/>
        <v>8.7</v>
      </c>
      <c r="G13" s="139">
        <f t="shared" si="3"/>
        <v>1452.9</v>
      </c>
      <c r="H13" s="140">
        <f t="shared" si="4"/>
        <v>9.9</v>
      </c>
      <c r="I13" s="140">
        <f t="shared" si="5"/>
        <v>8.9</v>
      </c>
      <c r="J13" s="141">
        <f t="shared" si="6"/>
        <v>1482.9</v>
      </c>
      <c r="K13" s="140">
        <f t="shared" si="7"/>
        <v>10.2</v>
      </c>
      <c r="L13" s="140">
        <f t="shared" si="8"/>
        <v>9.2</v>
      </c>
      <c r="M13" s="141">
        <f t="shared" si="9"/>
        <v>1532.9</v>
      </c>
      <c r="N13" s="149"/>
      <c r="O13" s="143"/>
      <c r="P13" s="62"/>
      <c r="Q13" s="62"/>
      <c r="R13" s="144"/>
      <c r="S13" s="144"/>
    </row>
    <row r="14" s="177" customFormat="1" ht="20" customHeight="1" spans="1:19">
      <c r="A14" s="179"/>
      <c r="B14" s="180"/>
      <c r="C14" s="180"/>
      <c r="D14" s="180"/>
      <c r="E14" s="180"/>
      <c r="F14" s="180"/>
      <c r="G14" s="180"/>
      <c r="H14" s="180"/>
      <c r="I14" s="180"/>
      <c r="J14" s="180"/>
      <c r="K14" s="180"/>
      <c r="L14" s="180"/>
      <c r="M14" s="180"/>
      <c r="N14" s="180"/>
      <c r="O14" s="181"/>
    </row>
    <row r="15" s="48" customFormat="1" ht="30" customHeight="1" spans="1:19">
      <c r="A15" s="95" t="s">
        <v>3</v>
      </c>
      <c r="B15" s="66" t="s">
        <v>42</v>
      </c>
      <c r="C15" s="66"/>
      <c r="D15" s="66"/>
      <c r="E15" s="66"/>
      <c r="F15" s="66"/>
      <c r="G15" s="66"/>
      <c r="H15" s="66"/>
      <c r="I15" s="66"/>
      <c r="J15" s="66"/>
      <c r="K15" s="66"/>
      <c r="L15" s="66"/>
      <c r="M15" s="66"/>
      <c r="N15" s="66"/>
      <c r="O15" s="66"/>
    </row>
    <row r="16" s="48" customFormat="1" ht="30" customHeight="1" spans="1:19">
      <c r="A16" s="95" t="s">
        <v>290</v>
      </c>
      <c r="B16" s="95" t="s">
        <v>316</v>
      </c>
      <c r="C16" s="95"/>
      <c r="D16" s="95"/>
      <c r="E16" s="95"/>
      <c r="F16" s="95"/>
      <c r="G16" s="95"/>
      <c r="H16" s="95"/>
      <c r="I16" s="95"/>
      <c r="J16" s="95"/>
      <c r="K16" s="95"/>
      <c r="L16" s="95"/>
      <c r="M16" s="95"/>
      <c r="N16" s="95"/>
      <c r="O16" s="95"/>
    </row>
    <row r="17" s="48" customFormat="1" ht="30" customHeight="1" spans="1:19">
      <c r="A17" s="68" t="s">
        <v>227</v>
      </c>
      <c r="B17" s="69" t="s">
        <v>228</v>
      </c>
      <c r="C17" s="69"/>
      <c r="D17" s="69"/>
      <c r="E17" s="69" t="s">
        <v>229</v>
      </c>
      <c r="F17" s="69"/>
      <c r="G17" s="69"/>
      <c r="H17" s="69" t="s">
        <v>230</v>
      </c>
      <c r="I17" s="69"/>
      <c r="J17" s="69"/>
      <c r="K17" s="69" t="s">
        <v>231</v>
      </c>
      <c r="L17" s="69"/>
      <c r="M17" s="69"/>
      <c r="N17" s="96" t="s">
        <v>232</v>
      </c>
      <c r="O17" s="133" t="s">
        <v>233</v>
      </c>
    </row>
    <row r="18" s="48" customFormat="1" ht="30" customHeight="1" spans="1:19">
      <c r="A18" s="133" t="s">
        <v>235</v>
      </c>
      <c r="B18" s="96" t="s">
        <v>318</v>
      </c>
      <c r="C18" s="96"/>
      <c r="D18" s="96" t="s">
        <v>319</v>
      </c>
      <c r="E18" s="96" t="s">
        <v>318</v>
      </c>
      <c r="F18" s="96"/>
      <c r="G18" s="96" t="s">
        <v>319</v>
      </c>
      <c r="H18" s="96" t="s">
        <v>318</v>
      </c>
      <c r="I18" s="96"/>
      <c r="J18" s="96" t="s">
        <v>319</v>
      </c>
      <c r="K18" s="96" t="s">
        <v>318</v>
      </c>
      <c r="L18" s="96"/>
      <c r="M18" s="96" t="s">
        <v>319</v>
      </c>
      <c r="N18" s="96"/>
      <c r="O18" s="133"/>
    </row>
    <row r="19" s="61" customFormat="1" ht="30" customHeight="1" spans="1:19">
      <c r="A19" s="133"/>
      <c r="B19" s="70" t="s">
        <v>236</v>
      </c>
      <c r="C19" s="70" t="s">
        <v>237</v>
      </c>
      <c r="D19" s="70" t="s">
        <v>320</v>
      </c>
      <c r="E19" s="70" t="s">
        <v>236</v>
      </c>
      <c r="F19" s="70" t="s">
        <v>237</v>
      </c>
      <c r="G19" s="70" t="s">
        <v>320</v>
      </c>
      <c r="H19" s="70" t="s">
        <v>236</v>
      </c>
      <c r="I19" s="70" t="s">
        <v>237</v>
      </c>
      <c r="J19" s="70" t="s">
        <v>320</v>
      </c>
      <c r="K19" s="70" t="s">
        <v>236</v>
      </c>
      <c r="L19" s="70" t="s">
        <v>237</v>
      </c>
      <c r="M19" s="70" t="s">
        <v>320</v>
      </c>
      <c r="N19" s="96"/>
      <c r="O19" s="133"/>
    </row>
    <row r="20" s="62" customFormat="1" ht="30" customHeight="1" spans="1:19">
      <c r="A20" s="79" t="s">
        <v>291</v>
      </c>
      <c r="B20" s="97">
        <v>8.6</v>
      </c>
      <c r="C20" s="97">
        <v>7.6</v>
      </c>
      <c r="D20" s="141">
        <f t="shared" ref="D20:D26" si="10">C20*167</f>
        <v>1269.2</v>
      </c>
      <c r="E20" s="97">
        <f t="shared" ref="E20:E26" si="11">B20</f>
        <v>8.6</v>
      </c>
      <c r="F20" s="97">
        <f t="shared" ref="F20:F26" si="12">C20</f>
        <v>7.6</v>
      </c>
      <c r="G20" s="139">
        <f t="shared" ref="G20:G26" si="13">D20</f>
        <v>1269.2</v>
      </c>
      <c r="H20" s="98">
        <f t="shared" ref="H20:H26" si="14">B20+0.2</f>
        <v>8.8</v>
      </c>
      <c r="I20" s="98">
        <f t="shared" ref="I20:I26" si="15">C20+0.2</f>
        <v>7.8</v>
      </c>
      <c r="J20" s="141">
        <f t="shared" ref="J20:J26" si="16">D20+30</f>
        <v>1299.2</v>
      </c>
      <c r="K20" s="98">
        <f t="shared" ref="K20:K26" si="17">B20+0.5</f>
        <v>9.1</v>
      </c>
      <c r="L20" s="98">
        <f t="shared" ref="L20:L26" si="18">C20+0.5</f>
        <v>8.1</v>
      </c>
      <c r="M20" s="141">
        <f t="shared" ref="M20:M26" si="19">D20+80</f>
        <v>1349.2</v>
      </c>
      <c r="N20" s="182" t="s">
        <v>239</v>
      </c>
      <c r="O20" s="183" t="s">
        <v>43</v>
      </c>
      <c r="R20" s="144"/>
      <c r="S20" s="144"/>
    </row>
    <row r="21" s="62" customFormat="1" ht="30" customHeight="1" spans="1:19">
      <c r="A21" s="79" t="s">
        <v>312</v>
      </c>
      <c r="B21" s="97">
        <v>8.6</v>
      </c>
      <c r="C21" s="97">
        <v>7.6</v>
      </c>
      <c r="D21" s="141">
        <f t="shared" si="10"/>
        <v>1269.2</v>
      </c>
      <c r="E21" s="97">
        <f t="shared" si="11"/>
        <v>8.6</v>
      </c>
      <c r="F21" s="97">
        <f t="shared" si="12"/>
        <v>7.6</v>
      </c>
      <c r="G21" s="139">
        <f t="shared" si="13"/>
        <v>1269.2</v>
      </c>
      <c r="H21" s="98">
        <f t="shared" si="14"/>
        <v>8.8</v>
      </c>
      <c r="I21" s="98">
        <f t="shared" si="15"/>
        <v>7.8</v>
      </c>
      <c r="J21" s="141">
        <f t="shared" si="16"/>
        <v>1299.2</v>
      </c>
      <c r="K21" s="98">
        <f t="shared" si="17"/>
        <v>9.1</v>
      </c>
      <c r="L21" s="98">
        <f t="shared" si="18"/>
        <v>8.1</v>
      </c>
      <c r="M21" s="141">
        <f t="shared" si="19"/>
        <v>1349.2</v>
      </c>
      <c r="N21" s="182"/>
      <c r="O21" s="183"/>
      <c r="R21" s="144"/>
      <c r="S21" s="144"/>
    </row>
    <row r="22" s="62" customFormat="1" ht="30" customHeight="1" spans="1:19">
      <c r="A22" s="79" t="s">
        <v>321</v>
      </c>
      <c r="B22" s="97">
        <v>8.8</v>
      </c>
      <c r="C22" s="97">
        <v>7.8</v>
      </c>
      <c r="D22" s="141">
        <f t="shared" si="10"/>
        <v>1302.6</v>
      </c>
      <c r="E22" s="97">
        <f t="shared" si="11"/>
        <v>8.8</v>
      </c>
      <c r="F22" s="97">
        <f t="shared" si="12"/>
        <v>7.8</v>
      </c>
      <c r="G22" s="139">
        <f t="shared" si="13"/>
        <v>1302.6</v>
      </c>
      <c r="H22" s="98">
        <f t="shared" si="14"/>
        <v>9</v>
      </c>
      <c r="I22" s="98">
        <f t="shared" si="15"/>
        <v>8</v>
      </c>
      <c r="J22" s="141">
        <f t="shared" si="16"/>
        <v>1332.6</v>
      </c>
      <c r="K22" s="98">
        <f t="shared" si="17"/>
        <v>9.3</v>
      </c>
      <c r="L22" s="98">
        <f t="shared" si="18"/>
        <v>8.3</v>
      </c>
      <c r="M22" s="141">
        <f t="shared" si="19"/>
        <v>1382.6</v>
      </c>
      <c r="N22" s="122"/>
      <c r="O22" s="183"/>
      <c r="R22" s="144"/>
      <c r="S22" s="144"/>
    </row>
    <row r="23" s="62" customFormat="1" ht="30" customHeight="1" spans="1:19">
      <c r="A23" s="79" t="s">
        <v>294</v>
      </c>
      <c r="B23" s="97">
        <v>9.1</v>
      </c>
      <c r="C23" s="97">
        <v>8.1</v>
      </c>
      <c r="D23" s="141">
        <f t="shared" si="10"/>
        <v>1352.7</v>
      </c>
      <c r="E23" s="97">
        <f t="shared" si="11"/>
        <v>9.1</v>
      </c>
      <c r="F23" s="97">
        <f t="shared" si="12"/>
        <v>8.1</v>
      </c>
      <c r="G23" s="139">
        <f t="shared" si="13"/>
        <v>1352.7</v>
      </c>
      <c r="H23" s="98">
        <f t="shared" si="14"/>
        <v>9.3</v>
      </c>
      <c r="I23" s="98">
        <f t="shared" si="15"/>
        <v>8.3</v>
      </c>
      <c r="J23" s="141">
        <f t="shared" si="16"/>
        <v>1382.7</v>
      </c>
      <c r="K23" s="98">
        <f t="shared" si="17"/>
        <v>9.6</v>
      </c>
      <c r="L23" s="98">
        <f t="shared" si="18"/>
        <v>8.6</v>
      </c>
      <c r="M23" s="141">
        <f t="shared" si="19"/>
        <v>1432.7</v>
      </c>
      <c r="N23" s="122"/>
      <c r="O23" s="183"/>
      <c r="R23" s="144"/>
      <c r="S23" s="144"/>
    </row>
    <row r="24" s="62" customFormat="1" ht="30" customHeight="1" spans="1:19">
      <c r="A24" s="79" t="s">
        <v>295</v>
      </c>
      <c r="B24" s="97">
        <v>8.4</v>
      </c>
      <c r="C24" s="97">
        <v>7.4</v>
      </c>
      <c r="D24" s="141">
        <f t="shared" si="10"/>
        <v>1235.8</v>
      </c>
      <c r="E24" s="97">
        <f t="shared" si="11"/>
        <v>8.4</v>
      </c>
      <c r="F24" s="97">
        <f t="shared" si="12"/>
        <v>7.4</v>
      </c>
      <c r="G24" s="139">
        <f t="shared" si="13"/>
        <v>1235.8</v>
      </c>
      <c r="H24" s="98">
        <f t="shared" si="14"/>
        <v>8.6</v>
      </c>
      <c r="I24" s="98">
        <f t="shared" si="15"/>
        <v>7.6</v>
      </c>
      <c r="J24" s="141">
        <f t="shared" si="16"/>
        <v>1265.8</v>
      </c>
      <c r="K24" s="98">
        <f t="shared" si="17"/>
        <v>8.9</v>
      </c>
      <c r="L24" s="98">
        <f t="shared" si="18"/>
        <v>7.9</v>
      </c>
      <c r="M24" s="141">
        <f t="shared" si="19"/>
        <v>1315.8</v>
      </c>
      <c r="N24" s="184" t="s">
        <v>245</v>
      </c>
      <c r="O24" s="183"/>
      <c r="R24" s="144"/>
      <c r="S24" s="144"/>
    </row>
    <row r="25" s="62" customFormat="1" ht="30" customHeight="1" spans="1:19">
      <c r="A25" s="79" t="s">
        <v>296</v>
      </c>
      <c r="B25" s="97">
        <v>8.4</v>
      </c>
      <c r="C25" s="97">
        <v>7.4</v>
      </c>
      <c r="D25" s="141">
        <f t="shared" si="10"/>
        <v>1235.8</v>
      </c>
      <c r="E25" s="97">
        <f t="shared" si="11"/>
        <v>8.4</v>
      </c>
      <c r="F25" s="97">
        <f t="shared" si="12"/>
        <v>7.4</v>
      </c>
      <c r="G25" s="139">
        <f t="shared" si="13"/>
        <v>1235.8</v>
      </c>
      <c r="H25" s="98">
        <f t="shared" si="14"/>
        <v>8.6</v>
      </c>
      <c r="I25" s="98">
        <f t="shared" si="15"/>
        <v>7.6</v>
      </c>
      <c r="J25" s="141">
        <f t="shared" si="16"/>
        <v>1265.8</v>
      </c>
      <c r="K25" s="98">
        <f t="shared" si="17"/>
        <v>8.9</v>
      </c>
      <c r="L25" s="98">
        <f t="shared" si="18"/>
        <v>7.9</v>
      </c>
      <c r="M25" s="141">
        <f t="shared" si="19"/>
        <v>1315.8</v>
      </c>
      <c r="N25" s="184"/>
      <c r="O25" s="183"/>
      <c r="R25" s="144"/>
      <c r="S25" s="144"/>
    </row>
    <row r="26" s="62" customFormat="1" ht="30" customHeight="1" spans="1:19">
      <c r="A26" s="79" t="s">
        <v>297</v>
      </c>
      <c r="B26" s="97">
        <v>9.4</v>
      </c>
      <c r="C26" s="97">
        <v>8.4</v>
      </c>
      <c r="D26" s="141">
        <f t="shared" si="10"/>
        <v>1402.8</v>
      </c>
      <c r="E26" s="97">
        <f t="shared" si="11"/>
        <v>9.4</v>
      </c>
      <c r="F26" s="97">
        <f t="shared" si="12"/>
        <v>8.4</v>
      </c>
      <c r="G26" s="139">
        <f t="shared" si="13"/>
        <v>1402.8</v>
      </c>
      <c r="H26" s="98">
        <f t="shared" si="14"/>
        <v>9.6</v>
      </c>
      <c r="I26" s="98">
        <f t="shared" si="15"/>
        <v>8.6</v>
      </c>
      <c r="J26" s="141">
        <f t="shared" si="16"/>
        <v>1432.8</v>
      </c>
      <c r="K26" s="98">
        <f t="shared" si="17"/>
        <v>9.9</v>
      </c>
      <c r="L26" s="98">
        <f t="shared" si="18"/>
        <v>8.9</v>
      </c>
      <c r="M26" s="141">
        <f t="shared" si="19"/>
        <v>1482.8</v>
      </c>
      <c r="N26" s="184"/>
      <c r="O26" s="183"/>
      <c r="R26" s="144"/>
      <c r="S26" s="144"/>
    </row>
    <row r="27" s="62" customFormat="1" ht="28.2" customHeight="1" spans="1:19">
      <c r="A27" s="100" t="s">
        <v>261</v>
      </c>
      <c r="B27" s="100"/>
      <c r="C27" s="100"/>
      <c r="D27" s="100"/>
      <c r="E27" s="100"/>
      <c r="F27" s="100"/>
      <c r="G27" s="100"/>
      <c r="H27" s="100"/>
      <c r="I27" s="100"/>
      <c r="J27" s="100"/>
      <c r="K27" s="100"/>
      <c r="L27" s="100"/>
      <c r="M27" s="100"/>
      <c r="N27" s="100"/>
      <c r="O27" s="100"/>
    </row>
    <row r="28" s="62" customFormat="1" ht="26" customHeight="1" spans="1:19">
      <c r="A28" s="150" t="s">
        <v>302</v>
      </c>
      <c r="B28" s="150"/>
      <c r="C28" s="150"/>
      <c r="D28" s="150"/>
      <c r="E28" s="150"/>
      <c r="F28" s="150"/>
      <c r="G28" s="150"/>
      <c r="H28" s="150"/>
      <c r="I28" s="150"/>
      <c r="J28" s="150"/>
      <c r="K28" s="150"/>
      <c r="L28" s="150"/>
      <c r="M28" s="150"/>
      <c r="N28" s="150"/>
      <c r="O28" s="150"/>
    </row>
    <row r="29" ht="40" customHeight="1" spans="1:19">
      <c r="A29" s="102" t="s">
        <v>263</v>
      </c>
      <c r="B29" s="103" t="s">
        <v>303</v>
      </c>
      <c r="C29" s="103"/>
      <c r="D29" s="103"/>
      <c r="E29" s="103"/>
      <c r="F29" s="103"/>
      <c r="G29" s="103"/>
      <c r="H29" s="103"/>
      <c r="I29" s="103"/>
      <c r="J29" s="103"/>
      <c r="K29" s="103"/>
      <c r="L29" s="103"/>
      <c r="M29" s="103"/>
      <c r="N29" s="103"/>
      <c r="O29" s="103"/>
    </row>
    <row r="30" ht="40" customHeight="1" spans="1:19">
      <c r="A30" s="102"/>
      <c r="B30" s="87" t="s">
        <v>304</v>
      </c>
      <c r="C30" s="87"/>
      <c r="D30" s="87"/>
      <c r="E30" s="87"/>
      <c r="F30" s="87"/>
      <c r="G30" s="87"/>
      <c r="H30" s="87"/>
      <c r="I30" s="87"/>
      <c r="J30" s="87"/>
      <c r="K30" s="87"/>
      <c r="L30" s="87"/>
      <c r="M30" s="87"/>
      <c r="N30" s="87"/>
      <c r="O30" s="87"/>
    </row>
    <row r="31" s="63" customFormat="1" ht="40" customHeight="1" spans="1:19">
      <c r="A31" s="86" t="s">
        <v>265</v>
      </c>
      <c r="B31" s="87" t="s">
        <v>322</v>
      </c>
      <c r="C31" s="87"/>
      <c r="D31" s="87"/>
      <c r="E31" s="87"/>
      <c r="F31" s="87"/>
      <c r="G31" s="87"/>
      <c r="H31" s="87"/>
      <c r="I31" s="87"/>
      <c r="J31" s="87"/>
      <c r="K31" s="87"/>
      <c r="L31" s="87"/>
      <c r="M31" s="87"/>
      <c r="N31" s="87"/>
      <c r="O31" s="87"/>
    </row>
    <row r="32" s="63" customFormat="1" ht="30" customHeight="1" spans="1:19">
      <c r="A32" s="105" t="s">
        <v>306</v>
      </c>
      <c r="B32" s="87" t="s">
        <v>307</v>
      </c>
      <c r="C32" s="87"/>
      <c r="D32" s="87"/>
      <c r="E32" s="87"/>
      <c r="F32" s="87"/>
      <c r="G32" s="87"/>
      <c r="H32" s="87"/>
      <c r="I32" s="87"/>
      <c r="J32" s="87"/>
      <c r="K32" s="87"/>
      <c r="L32" s="87"/>
      <c r="M32" s="87"/>
      <c r="N32" s="87"/>
      <c r="O32" s="88"/>
    </row>
    <row r="33" s="63" customFormat="1" ht="57" customHeight="1" spans="1:21">
      <c r="A33" s="105"/>
      <c r="B33" s="87" t="s">
        <v>308</v>
      </c>
      <c r="C33" s="87"/>
      <c r="D33" s="87"/>
      <c r="E33" s="87"/>
      <c r="F33" s="87"/>
      <c r="G33" s="87"/>
      <c r="H33" s="87"/>
      <c r="I33" s="87"/>
      <c r="J33" s="87"/>
      <c r="K33" s="87"/>
      <c r="L33" s="87"/>
      <c r="M33" s="87"/>
      <c r="N33" s="87"/>
      <c r="O33" s="88"/>
    </row>
    <row r="34" s="63" customFormat="1" ht="30" customHeight="1" spans="1:21">
      <c r="A34" s="105"/>
      <c r="B34" s="87" t="s">
        <v>309</v>
      </c>
      <c r="C34" s="87"/>
      <c r="D34" s="87"/>
      <c r="E34" s="87"/>
      <c r="F34" s="87"/>
      <c r="G34" s="87"/>
      <c r="H34" s="87"/>
      <c r="I34" s="87"/>
      <c r="J34" s="87"/>
      <c r="K34" s="87"/>
      <c r="L34" s="87"/>
      <c r="M34" s="87"/>
      <c r="N34" s="87"/>
      <c r="O34" s="87"/>
    </row>
    <row r="35" s="60" customFormat="1" ht="40" customHeight="1" spans="1:21">
      <c r="A35" s="105" t="s">
        <v>272</v>
      </c>
      <c r="B35" s="87" t="s">
        <v>273</v>
      </c>
      <c r="C35" s="87"/>
      <c r="D35" s="87"/>
      <c r="E35" s="87"/>
      <c r="F35" s="87"/>
      <c r="G35" s="87"/>
      <c r="H35" s="87"/>
      <c r="I35" s="87"/>
      <c r="J35" s="87"/>
      <c r="K35" s="87"/>
      <c r="L35" s="87"/>
      <c r="M35" s="87"/>
      <c r="N35" s="87"/>
      <c r="O35" s="87"/>
    </row>
    <row r="36" ht="30" customHeight="1" spans="1:21">
      <c r="A36" s="105" t="s">
        <v>274</v>
      </c>
      <c r="B36" s="87" t="s">
        <v>275</v>
      </c>
      <c r="C36" s="87"/>
      <c r="D36" s="87"/>
      <c r="E36" s="87"/>
      <c r="F36" s="87"/>
      <c r="G36" s="87"/>
      <c r="H36" s="87"/>
      <c r="I36" s="87"/>
      <c r="J36" s="87"/>
      <c r="K36" s="87"/>
      <c r="L36" s="87"/>
      <c r="M36" s="87"/>
      <c r="N36" s="87"/>
      <c r="O36" s="87"/>
    </row>
    <row r="37" ht="30" customHeight="1" spans="1:21">
      <c r="A37" s="105" t="s">
        <v>276</v>
      </c>
      <c r="B37" s="87" t="s">
        <v>310</v>
      </c>
      <c r="C37" s="87"/>
      <c r="D37" s="87"/>
      <c r="E37" s="87"/>
      <c r="F37" s="87"/>
      <c r="G37" s="87"/>
      <c r="H37" s="87"/>
      <c r="I37" s="87"/>
      <c r="J37" s="87"/>
      <c r="K37" s="87"/>
      <c r="L37" s="87"/>
      <c r="M37" s="87"/>
      <c r="N37" s="87"/>
      <c r="O37" s="87"/>
    </row>
    <row r="38" ht="90" customHeight="1" spans="1:21">
      <c r="A38" s="105" t="s">
        <v>323</v>
      </c>
      <c r="B38" s="172" t="s">
        <v>279</v>
      </c>
      <c r="C38" s="172"/>
      <c r="D38" s="172"/>
      <c r="E38" s="172"/>
      <c r="F38" s="172"/>
      <c r="G38" s="172"/>
      <c r="H38" s="172"/>
      <c r="I38" s="172"/>
      <c r="J38" s="172"/>
      <c r="K38" s="172"/>
      <c r="L38" s="172"/>
      <c r="M38" s="172"/>
      <c r="N38" s="172"/>
      <c r="O38" s="172"/>
    </row>
    <row r="39" ht="30" customHeight="1" spans="1:21">
      <c r="A39" s="105"/>
      <c r="B39" s="172" t="s">
        <v>280</v>
      </c>
      <c r="C39" s="172"/>
      <c r="D39" s="172"/>
      <c r="E39" s="172"/>
      <c r="F39" s="172"/>
      <c r="G39" s="172"/>
      <c r="H39" s="172"/>
      <c r="I39" s="172"/>
      <c r="J39" s="172"/>
      <c r="K39" s="172"/>
      <c r="L39" s="172"/>
      <c r="M39" s="172"/>
      <c r="N39" s="172"/>
      <c r="O39" s="172"/>
    </row>
    <row r="40" ht="60" customHeight="1" spans="1:21">
      <c r="A40" s="105"/>
      <c r="B40" s="173" t="s">
        <v>281</v>
      </c>
      <c r="C40" s="173"/>
      <c r="D40" s="173"/>
      <c r="E40" s="173"/>
      <c r="F40" s="173"/>
      <c r="G40" s="173"/>
      <c r="H40" s="173"/>
      <c r="I40" s="173"/>
      <c r="J40" s="173"/>
      <c r="K40" s="173"/>
      <c r="L40" s="173"/>
      <c r="M40" s="173"/>
      <c r="N40" s="173"/>
      <c r="O40" s="173"/>
    </row>
    <row r="41" ht="30" customHeight="1" spans="1:21">
      <c r="A41" s="105"/>
      <c r="B41" s="174" t="s">
        <v>282</v>
      </c>
      <c r="C41" s="174"/>
      <c r="D41" s="174"/>
      <c r="E41" s="174"/>
      <c r="F41" s="174"/>
      <c r="G41" s="174"/>
      <c r="H41" s="174"/>
      <c r="I41" s="174"/>
      <c r="J41" s="174"/>
      <c r="K41" s="174"/>
      <c r="L41" s="174"/>
      <c r="M41" s="174"/>
      <c r="N41" s="174"/>
      <c r="O41" s="174"/>
      <c r="P41" s="175"/>
      <c r="Q41" s="175"/>
      <c r="R41" s="175"/>
      <c r="S41" s="175"/>
      <c r="T41" s="175"/>
      <c r="U41" s="175"/>
    </row>
    <row r="42" ht="40" customHeight="1" spans="1:21">
      <c r="A42" s="105" t="s">
        <v>283</v>
      </c>
      <c r="B42" s="87" t="s">
        <v>284</v>
      </c>
      <c r="C42" s="87"/>
      <c r="D42" s="87"/>
      <c r="E42" s="87"/>
      <c r="F42" s="87"/>
      <c r="G42" s="87"/>
      <c r="H42" s="87"/>
      <c r="I42" s="87"/>
      <c r="J42" s="87"/>
      <c r="K42" s="87"/>
      <c r="L42" s="87"/>
      <c r="M42" s="87"/>
      <c r="N42" s="87"/>
      <c r="O42" s="87"/>
      <c r="P42" s="175"/>
      <c r="Q42" s="175"/>
      <c r="R42" s="175"/>
      <c r="S42" s="175"/>
      <c r="T42" s="175"/>
      <c r="U42" s="175"/>
    </row>
    <row r="43" ht="120" customHeight="1" spans="1:21">
      <c r="A43" s="105" t="s">
        <v>285</v>
      </c>
      <c r="B43" s="87" t="s">
        <v>286</v>
      </c>
      <c r="C43" s="87"/>
      <c r="D43" s="87"/>
      <c r="E43" s="87"/>
      <c r="F43" s="87"/>
      <c r="G43" s="87"/>
      <c r="H43" s="87"/>
      <c r="I43" s="87"/>
      <c r="J43" s="87"/>
      <c r="K43" s="87"/>
      <c r="L43" s="87"/>
      <c r="M43" s="87"/>
      <c r="N43" s="87"/>
      <c r="O43" s="87"/>
      <c r="P43" s="175"/>
      <c r="Q43" s="175"/>
      <c r="R43" s="175"/>
      <c r="S43" s="175"/>
      <c r="T43" s="175"/>
      <c r="U43" s="175"/>
    </row>
    <row r="44" ht="34" customHeight="1" spans="1:21">
      <c r="A44" s="105"/>
      <c r="B44" s="87" t="s">
        <v>287</v>
      </c>
      <c r="C44" s="87"/>
      <c r="D44" s="87"/>
      <c r="E44" s="87"/>
      <c r="F44" s="87"/>
      <c r="G44" s="87"/>
      <c r="H44" s="87"/>
      <c r="I44" s="87"/>
      <c r="J44" s="87"/>
      <c r="K44" s="87"/>
      <c r="L44" s="87"/>
      <c r="M44" s="87"/>
      <c r="N44" s="87"/>
      <c r="O44" s="87"/>
    </row>
    <row r="45" ht="34" customHeight="1" spans="1:21">
      <c r="A45" s="105"/>
      <c r="B45" s="87" t="s">
        <v>288</v>
      </c>
      <c r="C45" s="87"/>
      <c r="D45" s="87"/>
      <c r="E45" s="87"/>
      <c r="F45" s="87"/>
      <c r="G45" s="87"/>
      <c r="H45" s="87"/>
      <c r="I45" s="87"/>
      <c r="J45" s="87"/>
      <c r="K45" s="87"/>
      <c r="L45" s="87"/>
      <c r="M45" s="87"/>
      <c r="N45" s="87"/>
      <c r="O45" s="87"/>
    </row>
    <row r="46" ht="34" customHeight="1" spans="1:21">
      <c r="A46" s="144"/>
      <c r="B46" s="176"/>
      <c r="C46" s="176"/>
      <c r="D46" s="176"/>
      <c r="E46" s="176"/>
      <c r="F46" s="176"/>
      <c r="G46" s="176"/>
      <c r="H46" s="176"/>
      <c r="I46" s="176"/>
      <c r="J46" s="176"/>
      <c r="K46" s="176"/>
      <c r="L46" s="176"/>
      <c r="M46" s="176"/>
      <c r="N46" s="176"/>
      <c r="O46" s="176"/>
    </row>
    <row r="47" ht="34" customHeight="1" spans="1:21">
      <c r="A47" s="144"/>
      <c r="B47" s="176"/>
      <c r="C47" s="176"/>
      <c r="D47" s="176"/>
      <c r="E47" s="176"/>
      <c r="F47" s="176"/>
      <c r="G47" s="176"/>
      <c r="H47" s="176"/>
      <c r="I47" s="176"/>
      <c r="J47" s="176"/>
      <c r="K47" s="176"/>
      <c r="L47" s="176"/>
      <c r="M47" s="176"/>
      <c r="N47" s="176"/>
      <c r="O47" s="176"/>
    </row>
    <row r="48" ht="34" customHeight="1" spans="1:21">
      <c r="A48" s="144"/>
      <c r="B48" s="176"/>
      <c r="C48" s="176"/>
      <c r="D48" s="176"/>
      <c r="E48" s="176"/>
      <c r="F48" s="176"/>
      <c r="G48" s="176"/>
      <c r="H48" s="176"/>
      <c r="I48" s="176"/>
      <c r="J48" s="176"/>
      <c r="K48" s="176"/>
      <c r="L48" s="176"/>
      <c r="M48" s="176"/>
      <c r="N48" s="176"/>
      <c r="O48" s="176"/>
    </row>
    <row r="49" ht="34" customHeight="1" spans="1:15">
      <c r="A49" s="144"/>
      <c r="B49" s="176"/>
      <c r="C49" s="176"/>
      <c r="D49" s="176"/>
      <c r="E49" s="176"/>
      <c r="F49" s="176"/>
      <c r="G49" s="176"/>
      <c r="H49" s="176"/>
      <c r="I49" s="176"/>
      <c r="J49" s="176"/>
      <c r="K49" s="176"/>
      <c r="L49" s="176"/>
      <c r="M49" s="176"/>
      <c r="N49" s="176"/>
      <c r="O49" s="176"/>
    </row>
    <row r="50" spans="1:15">
      <c r="A50" s="144"/>
      <c r="B50" s="176"/>
      <c r="C50" s="176"/>
      <c r="D50" s="176"/>
      <c r="E50" s="176"/>
      <c r="F50" s="176"/>
      <c r="G50" s="176"/>
      <c r="H50" s="176"/>
      <c r="I50" s="176"/>
      <c r="J50" s="176"/>
      <c r="K50" s="176"/>
      <c r="L50" s="176"/>
      <c r="M50" s="176"/>
      <c r="N50" s="176"/>
      <c r="O50" s="176"/>
    </row>
    <row r="51" spans="1:15">
      <c r="A51" s="144"/>
      <c r="B51" s="176"/>
      <c r="C51" s="176"/>
      <c r="D51" s="176"/>
      <c r="E51" s="176"/>
      <c r="F51" s="176"/>
      <c r="G51" s="176"/>
      <c r="H51" s="176"/>
      <c r="I51" s="176"/>
      <c r="J51" s="176"/>
      <c r="K51" s="176"/>
      <c r="L51" s="176"/>
      <c r="M51" s="176"/>
      <c r="N51" s="176"/>
      <c r="O51" s="176"/>
    </row>
    <row r="52" spans="1:15">
      <c r="A52" s="144"/>
      <c r="B52" s="176"/>
      <c r="C52" s="176"/>
      <c r="D52" s="176"/>
      <c r="E52" s="176"/>
      <c r="F52" s="176"/>
      <c r="G52" s="176"/>
      <c r="H52" s="176"/>
      <c r="I52" s="176"/>
      <c r="J52" s="176"/>
      <c r="K52" s="176"/>
      <c r="L52" s="176"/>
      <c r="M52" s="176"/>
      <c r="N52" s="176"/>
      <c r="O52" s="176"/>
    </row>
    <row r="53" spans="1:15">
      <c r="A53" s="144"/>
      <c r="B53" s="176"/>
      <c r="C53" s="176"/>
      <c r="D53" s="176"/>
      <c r="E53" s="176"/>
      <c r="F53" s="176"/>
      <c r="G53" s="176"/>
      <c r="H53" s="176"/>
      <c r="I53" s="176"/>
      <c r="J53" s="176"/>
      <c r="K53" s="176"/>
      <c r="L53" s="176"/>
      <c r="M53" s="176"/>
      <c r="N53" s="176"/>
      <c r="O53" s="176"/>
    </row>
    <row r="54" spans="1:15">
      <c r="A54" s="144"/>
      <c r="B54" s="176"/>
      <c r="C54" s="176"/>
      <c r="D54" s="176"/>
      <c r="E54" s="176"/>
      <c r="F54" s="176"/>
      <c r="G54" s="176"/>
      <c r="H54" s="176"/>
      <c r="I54" s="176"/>
      <c r="J54" s="176"/>
      <c r="K54" s="176"/>
      <c r="L54" s="176"/>
      <c r="M54" s="176"/>
      <c r="N54" s="176"/>
      <c r="O54" s="176"/>
    </row>
    <row r="55" spans="1:15">
      <c r="A55" s="144"/>
      <c r="B55" s="176"/>
      <c r="C55" s="176"/>
      <c r="D55" s="176"/>
      <c r="E55" s="176"/>
      <c r="F55" s="176"/>
      <c r="G55" s="176"/>
      <c r="H55" s="176"/>
      <c r="I55" s="176"/>
      <c r="J55" s="176"/>
      <c r="K55" s="176"/>
      <c r="L55" s="176"/>
      <c r="M55" s="176"/>
      <c r="N55" s="176"/>
      <c r="O55" s="176"/>
    </row>
    <row r="56" spans="1:15">
      <c r="A56" s="144"/>
      <c r="B56" s="176"/>
      <c r="C56" s="176"/>
      <c r="D56" s="176"/>
      <c r="E56" s="176"/>
      <c r="F56" s="176"/>
      <c r="G56" s="176"/>
      <c r="H56" s="176"/>
      <c r="I56" s="176"/>
      <c r="J56" s="176"/>
      <c r="K56" s="176"/>
      <c r="L56" s="176"/>
      <c r="M56" s="176"/>
      <c r="N56" s="176"/>
      <c r="O56" s="176"/>
    </row>
    <row r="57" spans="1:15">
      <c r="A57" s="144"/>
      <c r="B57" s="176"/>
      <c r="C57" s="176"/>
      <c r="D57" s="176"/>
      <c r="E57" s="176"/>
      <c r="F57" s="176"/>
      <c r="G57" s="176"/>
      <c r="H57" s="176"/>
      <c r="I57" s="176"/>
      <c r="J57" s="176"/>
      <c r="K57" s="176"/>
      <c r="L57" s="176"/>
      <c r="M57" s="176"/>
      <c r="N57" s="176"/>
      <c r="O57" s="176"/>
    </row>
    <row r="58" spans="1:15">
      <c r="A58" s="144"/>
      <c r="B58" s="176"/>
      <c r="C58" s="176"/>
      <c r="D58" s="176"/>
      <c r="E58" s="176"/>
      <c r="F58" s="176"/>
      <c r="G58" s="176"/>
      <c r="H58" s="176"/>
      <c r="I58" s="176"/>
      <c r="J58" s="176"/>
      <c r="K58" s="176"/>
      <c r="L58" s="176"/>
      <c r="M58" s="176"/>
      <c r="N58" s="176"/>
      <c r="O58" s="176"/>
    </row>
    <row r="59" spans="1:15">
      <c r="A59" s="144"/>
      <c r="B59" s="176"/>
      <c r="C59" s="176"/>
      <c r="D59" s="176"/>
      <c r="E59" s="176"/>
      <c r="F59" s="176"/>
      <c r="G59" s="176"/>
      <c r="H59" s="176"/>
      <c r="I59" s="176"/>
      <c r="J59" s="176"/>
      <c r="K59" s="176"/>
      <c r="L59" s="176"/>
      <c r="M59" s="176"/>
      <c r="N59" s="176"/>
      <c r="O59" s="176"/>
    </row>
    <row r="60" spans="1:15">
      <c r="A60" s="144"/>
      <c r="B60" s="176"/>
      <c r="C60" s="176"/>
      <c r="D60" s="176"/>
      <c r="E60" s="176"/>
      <c r="F60" s="176"/>
      <c r="G60" s="176"/>
      <c r="H60" s="176"/>
      <c r="I60" s="176"/>
      <c r="J60" s="176"/>
      <c r="K60" s="176"/>
      <c r="L60" s="176"/>
      <c r="M60" s="176"/>
      <c r="N60" s="176"/>
      <c r="O60" s="176"/>
    </row>
    <row r="61" spans="1:15">
      <c r="A61" s="144"/>
      <c r="B61" s="176"/>
      <c r="C61" s="176"/>
      <c r="D61" s="176"/>
      <c r="E61" s="176"/>
      <c r="F61" s="176"/>
      <c r="G61" s="176"/>
      <c r="H61" s="176"/>
      <c r="I61" s="176"/>
      <c r="J61" s="176"/>
      <c r="K61" s="176"/>
      <c r="L61" s="176"/>
      <c r="M61" s="176"/>
      <c r="N61" s="176"/>
      <c r="O61" s="176"/>
    </row>
    <row r="62" spans="1:15">
      <c r="A62" s="144"/>
      <c r="B62" s="176"/>
      <c r="C62" s="176"/>
      <c r="D62" s="176"/>
      <c r="E62" s="176"/>
      <c r="F62" s="176"/>
      <c r="G62" s="176"/>
      <c r="H62" s="176"/>
      <c r="I62" s="176"/>
      <c r="J62" s="176"/>
      <c r="K62" s="176"/>
      <c r="L62" s="176"/>
      <c r="M62" s="176"/>
      <c r="N62" s="176"/>
      <c r="O62" s="176"/>
    </row>
  </sheetData>
  <mergeCells count="57">
    <mergeCell ref="A1:O1"/>
    <mergeCell ref="B2:O2"/>
    <mergeCell ref="B3:O3"/>
    <mergeCell ref="B4:D4"/>
    <mergeCell ref="E4:G4"/>
    <mergeCell ref="H4:J4"/>
    <mergeCell ref="K4:M4"/>
    <mergeCell ref="B5:C5"/>
    <mergeCell ref="E5:F5"/>
    <mergeCell ref="H5:I5"/>
    <mergeCell ref="K5:L5"/>
    <mergeCell ref="A14:O14"/>
    <mergeCell ref="B15:O15"/>
    <mergeCell ref="B16:O16"/>
    <mergeCell ref="B17:D17"/>
    <mergeCell ref="E17:G17"/>
    <mergeCell ref="H17:J17"/>
    <mergeCell ref="K17:M17"/>
    <mergeCell ref="B18:C18"/>
    <mergeCell ref="E18:F18"/>
    <mergeCell ref="H18:I18"/>
    <mergeCell ref="K18:L18"/>
    <mergeCell ref="A27:O27"/>
    <mergeCell ref="A28:O28"/>
    <mergeCell ref="B29:O29"/>
    <mergeCell ref="B30:O30"/>
    <mergeCell ref="B31:O31"/>
    <mergeCell ref="B32:O32"/>
    <mergeCell ref="B33:O33"/>
    <mergeCell ref="B34:O34"/>
    <mergeCell ref="B35:O35"/>
    <mergeCell ref="B36:O36"/>
    <mergeCell ref="B37:O37"/>
    <mergeCell ref="B38:O38"/>
    <mergeCell ref="B39:O39"/>
    <mergeCell ref="B40:O40"/>
    <mergeCell ref="B41:O41"/>
    <mergeCell ref="B42:O42"/>
    <mergeCell ref="B43:O43"/>
    <mergeCell ref="B44:O44"/>
    <mergeCell ref="B45:O45"/>
    <mergeCell ref="A5:A6"/>
    <mergeCell ref="A18:A19"/>
    <mergeCell ref="A29:A30"/>
    <mergeCell ref="A32:A34"/>
    <mergeCell ref="A38:A41"/>
    <mergeCell ref="A43:A45"/>
    <mergeCell ref="N4:N6"/>
    <mergeCell ref="N7:N10"/>
    <mergeCell ref="N11:N13"/>
    <mergeCell ref="N17:N19"/>
    <mergeCell ref="N20:N23"/>
    <mergeCell ref="N24:N26"/>
    <mergeCell ref="O4:O6"/>
    <mergeCell ref="O7:O13"/>
    <mergeCell ref="O17:O19"/>
    <mergeCell ref="O20:O26"/>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W81"/>
  <sheetViews>
    <sheetView showGridLines="0" zoomScale="70" zoomScaleNormal="70" workbookViewId="0">
      <pane xSplit="3" ySplit="6" topLeftCell="D7" activePane="bottomRight" state="frozen"/>
      <selection/>
      <selection pane="topRight"/>
      <selection pane="bottomLeft"/>
      <selection pane="bottomRight" activeCell="P7" sqref="P7:P44"/>
    </sheetView>
  </sheetViews>
  <sheetFormatPr defaultColWidth="9" defaultRowHeight="16.5"/>
  <cols>
    <col min="1" max="1" width="15.625" style="62" customWidth="1"/>
    <col min="2" max="2" width="40.625" style="62" customWidth="1"/>
    <col min="3" max="3" width="50.625" style="60" customWidth="1"/>
    <col min="4" max="5" width="13.625" style="60" customWidth="1"/>
    <col min="6" max="15" width="13.625" style="60" hidden="1" customWidth="1"/>
    <col min="16" max="16" width="15.625" style="60" customWidth="1"/>
    <col min="17" max="17" width="20.6333333333333" style="60" customWidth="1"/>
    <col min="18" max="16384" width="9" style="60"/>
  </cols>
  <sheetData>
    <row r="1" s="60" customFormat="1" ht="100.05" customHeight="1" spans="1:21">
      <c r="A1" s="64" t="str">
        <f>_xlfn.DISPIMG("ID_D6697A225B864C34A678052B48D4E660",1)</f>
        <v>=DISPIMG("ID_D6697A225B864C34A678052B48D4E660",1)</v>
      </c>
      <c r="B1" s="64"/>
      <c r="C1" s="64"/>
      <c r="D1" s="64"/>
      <c r="E1" s="64"/>
      <c r="F1" s="64"/>
      <c r="G1" s="64"/>
      <c r="H1" s="64"/>
      <c r="I1" s="64"/>
      <c r="J1" s="64"/>
      <c r="K1" s="64"/>
      <c r="L1" s="64"/>
      <c r="M1" s="64"/>
      <c r="N1" s="64"/>
      <c r="O1" s="64"/>
      <c r="P1" s="64"/>
      <c r="Q1" s="64"/>
    </row>
    <row r="2" s="48" customFormat="1" ht="30" customHeight="1" spans="1:21">
      <c r="A2" s="129" t="s">
        <v>3</v>
      </c>
      <c r="B2" s="129"/>
      <c r="C2" s="130"/>
      <c r="D2" s="66" t="s">
        <v>39</v>
      </c>
      <c r="E2" s="66"/>
      <c r="F2" s="66"/>
      <c r="G2" s="66"/>
      <c r="H2" s="66"/>
      <c r="I2" s="66"/>
      <c r="J2" s="66"/>
      <c r="K2" s="66"/>
      <c r="L2" s="66"/>
      <c r="M2" s="66"/>
      <c r="N2" s="66"/>
      <c r="O2" s="66"/>
      <c r="P2" s="66"/>
      <c r="Q2" s="66"/>
    </row>
    <row r="3" s="48" customFormat="1" ht="30" customHeight="1" spans="1:21">
      <c r="A3" s="129" t="s">
        <v>290</v>
      </c>
      <c r="B3" s="129"/>
      <c r="C3" s="130"/>
      <c r="D3" s="95" t="s">
        <v>324</v>
      </c>
      <c r="E3" s="95"/>
      <c r="F3" s="95"/>
      <c r="G3" s="95"/>
      <c r="H3" s="95"/>
      <c r="I3" s="95"/>
      <c r="J3" s="95"/>
      <c r="K3" s="95"/>
      <c r="L3" s="95"/>
      <c r="M3" s="95"/>
      <c r="N3" s="95"/>
      <c r="O3" s="95"/>
      <c r="P3" s="95"/>
      <c r="Q3" s="95"/>
    </row>
    <row r="4" s="48" customFormat="1" ht="30" customHeight="1" spans="1:21">
      <c r="A4" s="131" t="s">
        <v>227</v>
      </c>
      <c r="B4" s="131"/>
      <c r="C4" s="132"/>
      <c r="D4" s="69" t="s">
        <v>228</v>
      </c>
      <c r="E4" s="69"/>
      <c r="F4" s="69"/>
      <c r="G4" s="69" t="s">
        <v>229</v>
      </c>
      <c r="H4" s="69"/>
      <c r="I4" s="69"/>
      <c r="J4" s="69" t="s">
        <v>230</v>
      </c>
      <c r="K4" s="69"/>
      <c r="L4" s="69"/>
      <c r="M4" s="69" t="s">
        <v>231</v>
      </c>
      <c r="N4" s="69"/>
      <c r="O4" s="69"/>
      <c r="P4" s="96" t="s">
        <v>232</v>
      </c>
      <c r="Q4" s="133" t="s">
        <v>233</v>
      </c>
    </row>
    <row r="5" s="48" customFormat="1" ht="30" customHeight="1" spans="1:21">
      <c r="A5" s="134" t="s">
        <v>325</v>
      </c>
      <c r="B5" s="134" t="s">
        <v>326</v>
      </c>
      <c r="C5" s="135" t="s">
        <v>327</v>
      </c>
      <c r="D5" s="96" t="s">
        <v>318</v>
      </c>
      <c r="E5" s="96"/>
      <c r="F5" s="96" t="s">
        <v>319</v>
      </c>
      <c r="G5" s="96" t="s">
        <v>318</v>
      </c>
      <c r="H5" s="96"/>
      <c r="I5" s="96" t="s">
        <v>319</v>
      </c>
      <c r="J5" s="96" t="s">
        <v>318</v>
      </c>
      <c r="K5" s="96"/>
      <c r="L5" s="96" t="s">
        <v>319</v>
      </c>
      <c r="M5" s="96" t="s">
        <v>318</v>
      </c>
      <c r="N5" s="96"/>
      <c r="O5" s="96" t="s">
        <v>319</v>
      </c>
      <c r="P5" s="96"/>
      <c r="Q5" s="133"/>
    </row>
    <row r="6" s="61" customFormat="1" ht="30" customHeight="1" spans="1:21">
      <c r="A6" s="136"/>
      <c r="B6" s="136"/>
      <c r="C6" s="137"/>
      <c r="D6" s="70" t="s">
        <v>236</v>
      </c>
      <c r="E6" s="70" t="s">
        <v>237</v>
      </c>
      <c r="F6" s="70" t="s">
        <v>320</v>
      </c>
      <c r="G6" s="70" t="s">
        <v>236</v>
      </c>
      <c r="H6" s="70" t="s">
        <v>237</v>
      </c>
      <c r="I6" s="70" t="s">
        <v>320</v>
      </c>
      <c r="J6" s="70" t="s">
        <v>236</v>
      </c>
      <c r="K6" s="70" t="s">
        <v>237</v>
      </c>
      <c r="L6" s="70" t="s">
        <v>320</v>
      </c>
      <c r="M6" s="70" t="s">
        <v>236</v>
      </c>
      <c r="N6" s="70" t="s">
        <v>237</v>
      </c>
      <c r="O6" s="70" t="s">
        <v>320</v>
      </c>
      <c r="P6" s="96"/>
      <c r="Q6" s="133"/>
    </row>
    <row r="7" s="62" customFormat="1" ht="30" customHeight="1" spans="1:21">
      <c r="A7" s="138" t="s">
        <v>328</v>
      </c>
      <c r="B7" s="79" t="s">
        <v>329</v>
      </c>
      <c r="C7" s="97" t="s">
        <v>330</v>
      </c>
      <c r="D7" s="97"/>
      <c r="E7" s="97"/>
      <c r="F7" s="139">
        <f>E7*167</f>
        <v>0</v>
      </c>
      <c r="G7" s="97">
        <f>D7</f>
        <v>0</v>
      </c>
      <c r="H7" s="97">
        <f>E7</f>
        <v>0</v>
      </c>
      <c r="I7" s="139">
        <f>F7</f>
        <v>0</v>
      </c>
      <c r="J7" s="140">
        <f>D7+0.2</f>
        <v>0.2</v>
      </c>
      <c r="K7" s="140">
        <f>E7+0.2</f>
        <v>0.2</v>
      </c>
      <c r="L7" s="141">
        <f>F7+30</f>
        <v>30</v>
      </c>
      <c r="M7" s="140">
        <f>D7+0.5</f>
        <v>0.5</v>
      </c>
      <c r="N7" s="140">
        <f>E7+0.5</f>
        <v>0.5</v>
      </c>
      <c r="O7" s="141">
        <f>F7+80</f>
        <v>80</v>
      </c>
      <c r="P7" s="142" t="s">
        <v>239</v>
      </c>
      <c r="Q7" s="143" t="s">
        <v>41</v>
      </c>
      <c r="T7" s="144"/>
      <c r="U7" s="144"/>
    </row>
    <row r="8" s="62" customFormat="1" ht="30" customHeight="1" spans="1:21">
      <c r="A8" s="145"/>
      <c r="B8" s="79" t="s">
        <v>331</v>
      </c>
      <c r="C8" s="97" t="s">
        <v>332</v>
      </c>
      <c r="D8" s="97"/>
      <c r="E8" s="97"/>
      <c r="F8" s="139">
        <f>E8*167</f>
        <v>0</v>
      </c>
      <c r="G8" s="97">
        <f t="shared" ref="G8:G45" si="0">D8</f>
        <v>0</v>
      </c>
      <c r="H8" s="97">
        <f t="shared" ref="H8:H45" si="1">E8</f>
        <v>0</v>
      </c>
      <c r="I8" s="139">
        <f t="shared" ref="I8:I45" si="2">F8</f>
        <v>0</v>
      </c>
      <c r="J8" s="140">
        <f t="shared" ref="J8:J45" si="3">D8+0.2</f>
        <v>0.2</v>
      </c>
      <c r="K8" s="140">
        <f t="shared" ref="K8:K45" si="4">E8+0.2</f>
        <v>0.2</v>
      </c>
      <c r="L8" s="141">
        <f t="shared" ref="L8:L45" si="5">F8+30</f>
        <v>30</v>
      </c>
      <c r="M8" s="140">
        <f t="shared" ref="M8:M45" si="6">D8+0.5</f>
        <v>0.5</v>
      </c>
      <c r="N8" s="140">
        <f t="shared" ref="N8:N45" si="7">E8+0.5</f>
        <v>0.5</v>
      </c>
      <c r="O8" s="141">
        <f t="shared" ref="O8:O45" si="8">F8+80</f>
        <v>80</v>
      </c>
      <c r="P8" s="146"/>
      <c r="Q8" s="143"/>
      <c r="T8" s="144"/>
      <c r="U8" s="144"/>
    </row>
    <row r="9" s="62" customFormat="1" ht="30" customHeight="1" spans="1:21">
      <c r="A9" s="145"/>
      <c r="B9" s="79" t="s">
        <v>333</v>
      </c>
      <c r="C9" s="97" t="s">
        <v>334</v>
      </c>
      <c r="D9" s="97"/>
      <c r="E9" s="97"/>
      <c r="F9" s="139">
        <f t="shared" ref="F9:F45" si="9">E9*167</f>
        <v>0</v>
      </c>
      <c r="G9" s="97">
        <f t="shared" si="0"/>
        <v>0</v>
      </c>
      <c r="H9" s="97">
        <f t="shared" si="1"/>
        <v>0</v>
      </c>
      <c r="I9" s="139">
        <f t="shared" si="2"/>
        <v>0</v>
      </c>
      <c r="J9" s="140">
        <f t="shared" si="3"/>
        <v>0.2</v>
      </c>
      <c r="K9" s="140">
        <f t="shared" si="4"/>
        <v>0.2</v>
      </c>
      <c r="L9" s="141">
        <f t="shared" si="5"/>
        <v>30</v>
      </c>
      <c r="M9" s="140">
        <f t="shared" si="6"/>
        <v>0.5</v>
      </c>
      <c r="N9" s="140">
        <f t="shared" si="7"/>
        <v>0.5</v>
      </c>
      <c r="O9" s="141">
        <f t="shared" si="8"/>
        <v>80</v>
      </c>
      <c r="P9" s="146"/>
      <c r="Q9" s="143"/>
      <c r="T9" s="144"/>
      <c r="U9" s="144"/>
    </row>
    <row r="10" s="62" customFormat="1" ht="30" customHeight="1" spans="1:21">
      <c r="A10" s="145"/>
      <c r="B10" s="79" t="s">
        <v>335</v>
      </c>
      <c r="C10" s="97" t="s">
        <v>336</v>
      </c>
      <c r="D10" s="97"/>
      <c r="E10" s="97"/>
      <c r="F10" s="139">
        <f t="shared" si="9"/>
        <v>0</v>
      </c>
      <c r="G10" s="97">
        <f t="shared" si="0"/>
        <v>0</v>
      </c>
      <c r="H10" s="97">
        <f t="shared" si="1"/>
        <v>0</v>
      </c>
      <c r="I10" s="139">
        <f t="shared" si="2"/>
        <v>0</v>
      </c>
      <c r="J10" s="140">
        <f t="shared" si="3"/>
        <v>0.2</v>
      </c>
      <c r="K10" s="140">
        <f t="shared" si="4"/>
        <v>0.2</v>
      </c>
      <c r="L10" s="141">
        <f t="shared" si="5"/>
        <v>30</v>
      </c>
      <c r="M10" s="140">
        <f t="shared" si="6"/>
        <v>0.5</v>
      </c>
      <c r="N10" s="140">
        <f t="shared" si="7"/>
        <v>0.5</v>
      </c>
      <c r="O10" s="141">
        <f t="shared" si="8"/>
        <v>80</v>
      </c>
      <c r="P10" s="146"/>
      <c r="Q10" s="143"/>
      <c r="T10" s="144"/>
      <c r="U10" s="144"/>
    </row>
    <row r="11" s="62" customFormat="1" ht="30" customHeight="1" spans="1:21">
      <c r="A11" s="145"/>
      <c r="B11" s="79" t="s">
        <v>337</v>
      </c>
      <c r="C11" s="97" t="s">
        <v>338</v>
      </c>
      <c r="D11" s="97"/>
      <c r="E11" s="97"/>
      <c r="F11" s="139">
        <f t="shared" si="9"/>
        <v>0</v>
      </c>
      <c r="G11" s="97">
        <f t="shared" si="0"/>
        <v>0</v>
      </c>
      <c r="H11" s="97">
        <f t="shared" si="1"/>
        <v>0</v>
      </c>
      <c r="I11" s="139">
        <f t="shared" si="2"/>
        <v>0</v>
      </c>
      <c r="J11" s="140">
        <f t="shared" si="3"/>
        <v>0.2</v>
      </c>
      <c r="K11" s="140">
        <f t="shared" si="4"/>
        <v>0.2</v>
      </c>
      <c r="L11" s="141">
        <f t="shared" si="5"/>
        <v>30</v>
      </c>
      <c r="M11" s="140">
        <f t="shared" si="6"/>
        <v>0.5</v>
      </c>
      <c r="N11" s="140">
        <f t="shared" si="7"/>
        <v>0.5</v>
      </c>
      <c r="O11" s="141">
        <f t="shared" si="8"/>
        <v>80</v>
      </c>
      <c r="P11" s="146"/>
      <c r="Q11" s="143"/>
      <c r="T11" s="144"/>
      <c r="U11" s="144"/>
    </row>
    <row r="12" s="62" customFormat="1" ht="30" customHeight="1" spans="1:21">
      <c r="A12" s="145"/>
      <c r="B12" s="79" t="s">
        <v>339</v>
      </c>
      <c r="C12" s="97" t="s">
        <v>340</v>
      </c>
      <c r="D12" s="97"/>
      <c r="E12" s="97"/>
      <c r="F12" s="139">
        <f t="shared" si="9"/>
        <v>0</v>
      </c>
      <c r="G12" s="97">
        <f t="shared" si="0"/>
        <v>0</v>
      </c>
      <c r="H12" s="97">
        <f t="shared" si="1"/>
        <v>0</v>
      </c>
      <c r="I12" s="139">
        <f t="shared" si="2"/>
        <v>0</v>
      </c>
      <c r="J12" s="140">
        <f t="shared" si="3"/>
        <v>0.2</v>
      </c>
      <c r="K12" s="140">
        <f t="shared" si="4"/>
        <v>0.2</v>
      </c>
      <c r="L12" s="141">
        <f t="shared" si="5"/>
        <v>30</v>
      </c>
      <c r="M12" s="140">
        <f t="shared" si="6"/>
        <v>0.5</v>
      </c>
      <c r="N12" s="140">
        <f t="shared" si="7"/>
        <v>0.5</v>
      </c>
      <c r="O12" s="141">
        <f t="shared" si="8"/>
        <v>80</v>
      </c>
      <c r="P12" s="146"/>
      <c r="Q12" s="143"/>
      <c r="T12" s="144"/>
      <c r="U12" s="144"/>
    </row>
    <row r="13" s="62" customFormat="1" ht="30" customHeight="1" spans="1:21">
      <c r="A13" s="145"/>
      <c r="B13" s="79" t="s">
        <v>341</v>
      </c>
      <c r="C13" s="97" t="s">
        <v>342</v>
      </c>
      <c r="D13" s="97"/>
      <c r="E13" s="97"/>
      <c r="F13" s="139">
        <f t="shared" si="9"/>
        <v>0</v>
      </c>
      <c r="G13" s="97">
        <f t="shared" si="0"/>
        <v>0</v>
      </c>
      <c r="H13" s="97">
        <f t="shared" si="1"/>
        <v>0</v>
      </c>
      <c r="I13" s="139">
        <f t="shared" si="2"/>
        <v>0</v>
      </c>
      <c r="J13" s="140">
        <f t="shared" si="3"/>
        <v>0.2</v>
      </c>
      <c r="K13" s="140">
        <f t="shared" si="4"/>
        <v>0.2</v>
      </c>
      <c r="L13" s="141">
        <f t="shared" si="5"/>
        <v>30</v>
      </c>
      <c r="M13" s="140">
        <f t="shared" si="6"/>
        <v>0.5</v>
      </c>
      <c r="N13" s="140">
        <f t="shared" si="7"/>
        <v>0.5</v>
      </c>
      <c r="O13" s="141">
        <f t="shared" si="8"/>
        <v>80</v>
      </c>
      <c r="P13" s="146"/>
      <c r="Q13" s="143"/>
      <c r="T13" s="144"/>
      <c r="U13" s="144"/>
    </row>
    <row r="14" s="62" customFormat="1" ht="30" customHeight="1" spans="1:21">
      <c r="A14" s="145"/>
      <c r="B14" s="79" t="s">
        <v>343</v>
      </c>
      <c r="C14" s="97" t="s">
        <v>344</v>
      </c>
      <c r="D14" s="97"/>
      <c r="E14" s="97"/>
      <c r="F14" s="139">
        <f t="shared" si="9"/>
        <v>0</v>
      </c>
      <c r="G14" s="97">
        <f t="shared" si="0"/>
        <v>0</v>
      </c>
      <c r="H14" s="97">
        <f t="shared" si="1"/>
        <v>0</v>
      </c>
      <c r="I14" s="139">
        <f t="shared" si="2"/>
        <v>0</v>
      </c>
      <c r="J14" s="140">
        <f t="shared" si="3"/>
        <v>0.2</v>
      </c>
      <c r="K14" s="140">
        <f t="shared" si="4"/>
        <v>0.2</v>
      </c>
      <c r="L14" s="141">
        <f t="shared" si="5"/>
        <v>30</v>
      </c>
      <c r="M14" s="140">
        <f t="shared" si="6"/>
        <v>0.5</v>
      </c>
      <c r="N14" s="140">
        <f t="shared" si="7"/>
        <v>0.5</v>
      </c>
      <c r="O14" s="141">
        <f t="shared" si="8"/>
        <v>80</v>
      </c>
      <c r="P14" s="146"/>
      <c r="Q14" s="143"/>
      <c r="T14" s="144"/>
      <c r="U14" s="144"/>
    </row>
    <row r="15" s="62" customFormat="1" ht="30" customHeight="1" spans="1:21">
      <c r="A15" s="145"/>
      <c r="B15" s="79" t="s">
        <v>345</v>
      </c>
      <c r="C15" s="97" t="s">
        <v>346</v>
      </c>
      <c r="D15" s="97"/>
      <c r="E15" s="97"/>
      <c r="F15" s="139">
        <f t="shared" si="9"/>
        <v>0</v>
      </c>
      <c r="G15" s="97">
        <f t="shared" si="0"/>
        <v>0</v>
      </c>
      <c r="H15" s="97">
        <f t="shared" si="1"/>
        <v>0</v>
      </c>
      <c r="I15" s="139">
        <f t="shared" si="2"/>
        <v>0</v>
      </c>
      <c r="J15" s="140">
        <f t="shared" si="3"/>
        <v>0.2</v>
      </c>
      <c r="K15" s="140">
        <f t="shared" si="4"/>
        <v>0.2</v>
      </c>
      <c r="L15" s="141">
        <f t="shared" si="5"/>
        <v>30</v>
      </c>
      <c r="M15" s="140">
        <f t="shared" si="6"/>
        <v>0.5</v>
      </c>
      <c r="N15" s="140">
        <f t="shared" si="7"/>
        <v>0.5</v>
      </c>
      <c r="O15" s="141">
        <f t="shared" si="8"/>
        <v>80</v>
      </c>
      <c r="P15" s="146"/>
      <c r="Q15" s="143"/>
      <c r="T15" s="144"/>
      <c r="U15" s="144"/>
    </row>
    <row r="16" s="62" customFormat="1" ht="30" customHeight="1" spans="1:21">
      <c r="A16" s="145"/>
      <c r="B16" s="79" t="s">
        <v>347</v>
      </c>
      <c r="C16" s="97" t="s">
        <v>348</v>
      </c>
      <c r="D16" s="97"/>
      <c r="E16" s="97"/>
      <c r="F16" s="139">
        <f t="shared" si="9"/>
        <v>0</v>
      </c>
      <c r="G16" s="97">
        <f t="shared" si="0"/>
        <v>0</v>
      </c>
      <c r="H16" s="97">
        <f t="shared" si="1"/>
        <v>0</v>
      </c>
      <c r="I16" s="139">
        <f t="shared" si="2"/>
        <v>0</v>
      </c>
      <c r="J16" s="140">
        <f t="shared" si="3"/>
        <v>0.2</v>
      </c>
      <c r="K16" s="140">
        <f t="shared" si="4"/>
        <v>0.2</v>
      </c>
      <c r="L16" s="141">
        <f t="shared" si="5"/>
        <v>30</v>
      </c>
      <c r="M16" s="140">
        <f t="shared" si="6"/>
        <v>0.5</v>
      </c>
      <c r="N16" s="140">
        <f t="shared" si="7"/>
        <v>0.5</v>
      </c>
      <c r="O16" s="141">
        <f t="shared" si="8"/>
        <v>80</v>
      </c>
      <c r="P16" s="146"/>
      <c r="Q16" s="143"/>
      <c r="T16" s="144"/>
      <c r="U16" s="144"/>
    </row>
    <row r="17" s="62" customFormat="1" ht="30" customHeight="1" spans="1:21">
      <c r="A17" s="145"/>
      <c r="B17" s="79" t="s">
        <v>349</v>
      </c>
      <c r="C17" s="97" t="s">
        <v>350</v>
      </c>
      <c r="D17" s="97"/>
      <c r="E17" s="97"/>
      <c r="F17" s="139">
        <f t="shared" si="9"/>
        <v>0</v>
      </c>
      <c r="G17" s="97">
        <f t="shared" si="0"/>
        <v>0</v>
      </c>
      <c r="H17" s="97">
        <f t="shared" si="1"/>
        <v>0</v>
      </c>
      <c r="I17" s="139">
        <f t="shared" si="2"/>
        <v>0</v>
      </c>
      <c r="J17" s="140">
        <f t="shared" si="3"/>
        <v>0.2</v>
      </c>
      <c r="K17" s="140">
        <f t="shared" si="4"/>
        <v>0.2</v>
      </c>
      <c r="L17" s="141">
        <f t="shared" si="5"/>
        <v>30</v>
      </c>
      <c r="M17" s="140">
        <f t="shared" si="6"/>
        <v>0.5</v>
      </c>
      <c r="N17" s="140">
        <f t="shared" si="7"/>
        <v>0.5</v>
      </c>
      <c r="O17" s="141">
        <f t="shared" si="8"/>
        <v>80</v>
      </c>
      <c r="P17" s="146"/>
      <c r="Q17" s="143"/>
      <c r="T17" s="144"/>
      <c r="U17" s="144"/>
    </row>
    <row r="18" s="62" customFormat="1" ht="30" customHeight="1" spans="1:21">
      <c r="A18" s="145"/>
      <c r="B18" s="79" t="s">
        <v>351</v>
      </c>
      <c r="C18" s="97" t="s">
        <v>352</v>
      </c>
      <c r="D18" s="97"/>
      <c r="E18" s="97"/>
      <c r="F18" s="139">
        <f t="shared" si="9"/>
        <v>0</v>
      </c>
      <c r="G18" s="97">
        <f t="shared" si="0"/>
        <v>0</v>
      </c>
      <c r="H18" s="97">
        <f t="shared" si="1"/>
        <v>0</v>
      </c>
      <c r="I18" s="139">
        <f t="shared" si="2"/>
        <v>0</v>
      </c>
      <c r="J18" s="140">
        <f t="shared" si="3"/>
        <v>0.2</v>
      </c>
      <c r="K18" s="140">
        <f t="shared" si="4"/>
        <v>0.2</v>
      </c>
      <c r="L18" s="141">
        <f t="shared" si="5"/>
        <v>30</v>
      </c>
      <c r="M18" s="140">
        <f t="shared" si="6"/>
        <v>0.5</v>
      </c>
      <c r="N18" s="140">
        <f t="shared" si="7"/>
        <v>0.5</v>
      </c>
      <c r="O18" s="141">
        <f t="shared" si="8"/>
        <v>80</v>
      </c>
      <c r="P18" s="146"/>
      <c r="Q18" s="143"/>
      <c r="T18" s="144"/>
      <c r="U18" s="144"/>
    </row>
    <row r="19" s="62" customFormat="1" ht="30" customHeight="1" spans="1:21">
      <c r="A19" s="145"/>
      <c r="B19" s="79" t="s">
        <v>353</v>
      </c>
      <c r="C19" s="97" t="s">
        <v>354</v>
      </c>
      <c r="D19" s="97"/>
      <c r="E19" s="97"/>
      <c r="F19" s="139">
        <f t="shared" si="9"/>
        <v>0</v>
      </c>
      <c r="G19" s="97">
        <f t="shared" si="0"/>
        <v>0</v>
      </c>
      <c r="H19" s="97">
        <f t="shared" si="1"/>
        <v>0</v>
      </c>
      <c r="I19" s="139">
        <f t="shared" si="2"/>
        <v>0</v>
      </c>
      <c r="J19" s="140">
        <f t="shared" si="3"/>
        <v>0.2</v>
      </c>
      <c r="K19" s="140">
        <f t="shared" si="4"/>
        <v>0.2</v>
      </c>
      <c r="L19" s="141">
        <f t="shared" si="5"/>
        <v>30</v>
      </c>
      <c r="M19" s="140">
        <f t="shared" si="6"/>
        <v>0.5</v>
      </c>
      <c r="N19" s="140">
        <f t="shared" si="7"/>
        <v>0.5</v>
      </c>
      <c r="O19" s="141">
        <f t="shared" si="8"/>
        <v>80</v>
      </c>
      <c r="P19" s="146"/>
      <c r="Q19" s="143"/>
      <c r="T19" s="144"/>
      <c r="U19" s="144"/>
    </row>
    <row r="20" s="62" customFormat="1" ht="30" customHeight="1" spans="1:21">
      <c r="A20" s="145"/>
      <c r="B20" s="79" t="s">
        <v>355</v>
      </c>
      <c r="C20" s="97" t="s">
        <v>356</v>
      </c>
      <c r="D20" s="97"/>
      <c r="E20" s="97"/>
      <c r="F20" s="139">
        <f t="shared" si="9"/>
        <v>0</v>
      </c>
      <c r="G20" s="97">
        <f t="shared" si="0"/>
        <v>0</v>
      </c>
      <c r="H20" s="97">
        <f t="shared" si="1"/>
        <v>0</v>
      </c>
      <c r="I20" s="139">
        <f t="shared" si="2"/>
        <v>0</v>
      </c>
      <c r="J20" s="140">
        <f t="shared" si="3"/>
        <v>0.2</v>
      </c>
      <c r="K20" s="140">
        <f t="shared" si="4"/>
        <v>0.2</v>
      </c>
      <c r="L20" s="141">
        <f t="shared" si="5"/>
        <v>30</v>
      </c>
      <c r="M20" s="140">
        <f t="shared" si="6"/>
        <v>0.5</v>
      </c>
      <c r="N20" s="140">
        <f t="shared" si="7"/>
        <v>0.5</v>
      </c>
      <c r="O20" s="141">
        <f t="shared" si="8"/>
        <v>80</v>
      </c>
      <c r="P20" s="146"/>
      <c r="Q20" s="143"/>
      <c r="T20" s="144"/>
      <c r="U20" s="144"/>
    </row>
    <row r="21" s="62" customFormat="1" ht="30" customHeight="1" spans="1:21">
      <c r="A21" s="145"/>
      <c r="B21" s="79" t="s">
        <v>357</v>
      </c>
      <c r="C21" s="97" t="s">
        <v>358</v>
      </c>
      <c r="D21" s="97"/>
      <c r="E21" s="97"/>
      <c r="F21" s="139">
        <f t="shared" si="9"/>
        <v>0</v>
      </c>
      <c r="G21" s="97">
        <f t="shared" si="0"/>
        <v>0</v>
      </c>
      <c r="H21" s="97">
        <f t="shared" si="1"/>
        <v>0</v>
      </c>
      <c r="I21" s="139">
        <f t="shared" si="2"/>
        <v>0</v>
      </c>
      <c r="J21" s="140">
        <f t="shared" si="3"/>
        <v>0.2</v>
      </c>
      <c r="K21" s="140">
        <f t="shared" si="4"/>
        <v>0.2</v>
      </c>
      <c r="L21" s="141">
        <f t="shared" si="5"/>
        <v>30</v>
      </c>
      <c r="M21" s="140">
        <f t="shared" si="6"/>
        <v>0.5</v>
      </c>
      <c r="N21" s="140">
        <f t="shared" si="7"/>
        <v>0.5</v>
      </c>
      <c r="O21" s="141">
        <f t="shared" si="8"/>
        <v>80</v>
      </c>
      <c r="P21" s="146"/>
      <c r="Q21" s="143"/>
      <c r="T21" s="144"/>
      <c r="U21" s="144"/>
    </row>
    <row r="22" s="62" customFormat="1" ht="30" customHeight="1" spans="1:21">
      <c r="A22" s="145"/>
      <c r="B22" s="79" t="s">
        <v>359</v>
      </c>
      <c r="C22" s="97" t="s">
        <v>360</v>
      </c>
      <c r="D22" s="97"/>
      <c r="E22" s="97"/>
      <c r="F22" s="139">
        <f t="shared" si="9"/>
        <v>0</v>
      </c>
      <c r="G22" s="97">
        <f t="shared" si="0"/>
        <v>0</v>
      </c>
      <c r="H22" s="97">
        <f t="shared" si="1"/>
        <v>0</v>
      </c>
      <c r="I22" s="139">
        <f t="shared" si="2"/>
        <v>0</v>
      </c>
      <c r="J22" s="140">
        <f t="shared" si="3"/>
        <v>0.2</v>
      </c>
      <c r="K22" s="140">
        <f t="shared" si="4"/>
        <v>0.2</v>
      </c>
      <c r="L22" s="141">
        <f t="shared" si="5"/>
        <v>30</v>
      </c>
      <c r="M22" s="140">
        <f t="shared" si="6"/>
        <v>0.5</v>
      </c>
      <c r="N22" s="140">
        <f t="shared" si="7"/>
        <v>0.5</v>
      </c>
      <c r="O22" s="141">
        <f t="shared" si="8"/>
        <v>80</v>
      </c>
      <c r="P22" s="146"/>
      <c r="Q22" s="143"/>
      <c r="T22" s="144"/>
      <c r="U22" s="144"/>
    </row>
    <row r="23" s="62" customFormat="1" ht="30" customHeight="1" spans="1:21">
      <c r="A23" s="145"/>
      <c r="B23" s="79" t="s">
        <v>361</v>
      </c>
      <c r="C23" s="97" t="s">
        <v>362</v>
      </c>
      <c r="D23" s="97"/>
      <c r="E23" s="97"/>
      <c r="F23" s="139">
        <f t="shared" si="9"/>
        <v>0</v>
      </c>
      <c r="G23" s="97">
        <f t="shared" si="0"/>
        <v>0</v>
      </c>
      <c r="H23" s="97">
        <f t="shared" si="1"/>
        <v>0</v>
      </c>
      <c r="I23" s="139">
        <f t="shared" si="2"/>
        <v>0</v>
      </c>
      <c r="J23" s="140">
        <f t="shared" si="3"/>
        <v>0.2</v>
      </c>
      <c r="K23" s="140">
        <f t="shared" si="4"/>
        <v>0.2</v>
      </c>
      <c r="L23" s="141">
        <f t="shared" si="5"/>
        <v>30</v>
      </c>
      <c r="M23" s="140">
        <f t="shared" si="6"/>
        <v>0.5</v>
      </c>
      <c r="N23" s="140">
        <f t="shared" si="7"/>
        <v>0.5</v>
      </c>
      <c r="O23" s="141">
        <f t="shared" si="8"/>
        <v>80</v>
      </c>
      <c r="P23" s="146"/>
      <c r="Q23" s="143"/>
      <c r="T23" s="144"/>
      <c r="U23" s="144"/>
    </row>
    <row r="24" s="62" customFormat="1" ht="30" customHeight="1" spans="1:21">
      <c r="A24" s="145"/>
      <c r="B24" s="79" t="s">
        <v>363</v>
      </c>
      <c r="C24" s="97" t="s">
        <v>364</v>
      </c>
      <c r="D24" s="97"/>
      <c r="E24" s="97"/>
      <c r="F24" s="139">
        <f t="shared" si="9"/>
        <v>0</v>
      </c>
      <c r="G24" s="97">
        <f t="shared" si="0"/>
        <v>0</v>
      </c>
      <c r="H24" s="97">
        <f t="shared" si="1"/>
        <v>0</v>
      </c>
      <c r="I24" s="139">
        <f t="shared" si="2"/>
        <v>0</v>
      </c>
      <c r="J24" s="140">
        <f t="shared" si="3"/>
        <v>0.2</v>
      </c>
      <c r="K24" s="140">
        <f t="shared" si="4"/>
        <v>0.2</v>
      </c>
      <c r="L24" s="141">
        <f t="shared" si="5"/>
        <v>30</v>
      </c>
      <c r="M24" s="140">
        <f t="shared" si="6"/>
        <v>0.5</v>
      </c>
      <c r="N24" s="140">
        <f t="shared" si="7"/>
        <v>0.5</v>
      </c>
      <c r="O24" s="141">
        <f t="shared" si="8"/>
        <v>80</v>
      </c>
      <c r="P24" s="146"/>
      <c r="Q24" s="143"/>
      <c r="T24" s="144"/>
      <c r="U24" s="144"/>
    </row>
    <row r="25" s="62" customFormat="1" ht="30" customHeight="1" spans="1:21">
      <c r="A25" s="147"/>
      <c r="B25" s="79" t="s">
        <v>365</v>
      </c>
      <c r="C25" s="97" t="s">
        <v>366</v>
      </c>
      <c r="D25" s="97"/>
      <c r="E25" s="97"/>
      <c r="F25" s="139">
        <f t="shared" si="9"/>
        <v>0</v>
      </c>
      <c r="G25" s="97">
        <f t="shared" si="0"/>
        <v>0</v>
      </c>
      <c r="H25" s="97">
        <f t="shared" si="1"/>
        <v>0</v>
      </c>
      <c r="I25" s="139">
        <f t="shared" si="2"/>
        <v>0</v>
      </c>
      <c r="J25" s="140">
        <f t="shared" si="3"/>
        <v>0.2</v>
      </c>
      <c r="K25" s="140">
        <f t="shared" si="4"/>
        <v>0.2</v>
      </c>
      <c r="L25" s="141">
        <f t="shared" si="5"/>
        <v>30</v>
      </c>
      <c r="M25" s="140">
        <f t="shared" si="6"/>
        <v>0.5</v>
      </c>
      <c r="N25" s="140">
        <f t="shared" si="7"/>
        <v>0.5</v>
      </c>
      <c r="O25" s="141">
        <f t="shared" si="8"/>
        <v>80</v>
      </c>
      <c r="P25" s="146"/>
      <c r="Q25" s="143"/>
      <c r="T25" s="144"/>
      <c r="U25" s="144"/>
    </row>
    <row r="26" s="62" customFormat="1" ht="30" customHeight="1" spans="1:21">
      <c r="A26" s="138" t="s">
        <v>367</v>
      </c>
      <c r="B26" s="79" t="s">
        <v>368</v>
      </c>
      <c r="C26" s="97" t="s">
        <v>369</v>
      </c>
      <c r="D26" s="97"/>
      <c r="E26" s="97"/>
      <c r="F26" s="139">
        <f t="shared" si="9"/>
        <v>0</v>
      </c>
      <c r="G26" s="97">
        <f t="shared" si="0"/>
        <v>0</v>
      </c>
      <c r="H26" s="97">
        <f t="shared" si="1"/>
        <v>0</v>
      </c>
      <c r="I26" s="139">
        <f t="shared" si="2"/>
        <v>0</v>
      </c>
      <c r="J26" s="140">
        <f t="shared" si="3"/>
        <v>0.2</v>
      </c>
      <c r="K26" s="140">
        <f t="shared" si="4"/>
        <v>0.2</v>
      </c>
      <c r="L26" s="141">
        <f t="shared" si="5"/>
        <v>30</v>
      </c>
      <c r="M26" s="140">
        <f t="shared" si="6"/>
        <v>0.5</v>
      </c>
      <c r="N26" s="140">
        <f t="shared" si="7"/>
        <v>0.5</v>
      </c>
      <c r="O26" s="141">
        <f t="shared" si="8"/>
        <v>80</v>
      </c>
      <c r="P26" s="146"/>
      <c r="Q26" s="143"/>
      <c r="T26" s="144"/>
      <c r="U26" s="144"/>
    </row>
    <row r="27" s="62" customFormat="1" ht="50" customHeight="1" spans="1:21">
      <c r="A27" s="145"/>
      <c r="B27" s="71" t="s">
        <v>370</v>
      </c>
      <c r="C27" s="97" t="s">
        <v>371</v>
      </c>
      <c r="D27" s="97"/>
      <c r="E27" s="97"/>
      <c r="F27" s="139">
        <f t="shared" si="9"/>
        <v>0</v>
      </c>
      <c r="G27" s="97">
        <f t="shared" si="0"/>
        <v>0</v>
      </c>
      <c r="H27" s="97">
        <f t="shared" si="1"/>
        <v>0</v>
      </c>
      <c r="I27" s="139">
        <f t="shared" si="2"/>
        <v>0</v>
      </c>
      <c r="J27" s="140">
        <f t="shared" si="3"/>
        <v>0.2</v>
      </c>
      <c r="K27" s="140">
        <f t="shared" si="4"/>
        <v>0.2</v>
      </c>
      <c r="L27" s="141">
        <f t="shared" si="5"/>
        <v>30</v>
      </c>
      <c r="M27" s="140">
        <f t="shared" si="6"/>
        <v>0.5</v>
      </c>
      <c r="N27" s="140">
        <f t="shared" si="7"/>
        <v>0.5</v>
      </c>
      <c r="O27" s="141">
        <f t="shared" si="8"/>
        <v>80</v>
      </c>
      <c r="P27" s="146"/>
      <c r="Q27" s="143"/>
      <c r="T27" s="144"/>
      <c r="U27" s="144"/>
    </row>
    <row r="28" s="62" customFormat="1" ht="30" customHeight="1" spans="1:21">
      <c r="A28" s="145"/>
      <c r="B28" s="79" t="s">
        <v>372</v>
      </c>
      <c r="C28" s="97" t="s">
        <v>373</v>
      </c>
      <c r="D28" s="97"/>
      <c r="E28" s="97"/>
      <c r="F28" s="139">
        <f t="shared" si="9"/>
        <v>0</v>
      </c>
      <c r="G28" s="97">
        <f t="shared" si="0"/>
        <v>0</v>
      </c>
      <c r="H28" s="97">
        <f t="shared" si="1"/>
        <v>0</v>
      </c>
      <c r="I28" s="139">
        <f t="shared" si="2"/>
        <v>0</v>
      </c>
      <c r="J28" s="140">
        <f t="shared" si="3"/>
        <v>0.2</v>
      </c>
      <c r="K28" s="140">
        <f t="shared" si="4"/>
        <v>0.2</v>
      </c>
      <c r="L28" s="141">
        <f t="shared" si="5"/>
        <v>30</v>
      </c>
      <c r="M28" s="140">
        <f t="shared" si="6"/>
        <v>0.5</v>
      </c>
      <c r="N28" s="140">
        <f t="shared" si="7"/>
        <v>0.5</v>
      </c>
      <c r="O28" s="141">
        <f t="shared" si="8"/>
        <v>80</v>
      </c>
      <c r="P28" s="146"/>
      <c r="Q28" s="143"/>
      <c r="T28" s="144"/>
      <c r="U28" s="144"/>
    </row>
    <row r="29" s="62" customFormat="1" ht="30" customHeight="1" spans="1:21">
      <c r="A29" s="145"/>
      <c r="B29" s="79" t="s">
        <v>374</v>
      </c>
      <c r="C29" s="97" t="s">
        <v>375</v>
      </c>
      <c r="D29" s="97"/>
      <c r="E29" s="97"/>
      <c r="F29" s="139">
        <f t="shared" si="9"/>
        <v>0</v>
      </c>
      <c r="G29" s="97">
        <f t="shared" si="0"/>
        <v>0</v>
      </c>
      <c r="H29" s="97">
        <f t="shared" si="1"/>
        <v>0</v>
      </c>
      <c r="I29" s="139">
        <f t="shared" si="2"/>
        <v>0</v>
      </c>
      <c r="J29" s="140">
        <f t="shared" si="3"/>
        <v>0.2</v>
      </c>
      <c r="K29" s="140">
        <f t="shared" si="4"/>
        <v>0.2</v>
      </c>
      <c r="L29" s="141">
        <f t="shared" si="5"/>
        <v>30</v>
      </c>
      <c r="M29" s="140">
        <f t="shared" si="6"/>
        <v>0.5</v>
      </c>
      <c r="N29" s="140">
        <f t="shared" si="7"/>
        <v>0.5</v>
      </c>
      <c r="O29" s="141">
        <f t="shared" si="8"/>
        <v>80</v>
      </c>
      <c r="P29" s="146"/>
      <c r="Q29" s="143"/>
      <c r="T29" s="144"/>
      <c r="U29" s="144"/>
    </row>
    <row r="30" s="62" customFormat="1" ht="30" customHeight="1" spans="1:21">
      <c r="A30" s="145"/>
      <c r="B30" s="79" t="s">
        <v>376</v>
      </c>
      <c r="C30" s="97" t="s">
        <v>377</v>
      </c>
      <c r="D30" s="97"/>
      <c r="E30" s="97"/>
      <c r="F30" s="139">
        <f t="shared" si="9"/>
        <v>0</v>
      </c>
      <c r="G30" s="97">
        <f t="shared" si="0"/>
        <v>0</v>
      </c>
      <c r="H30" s="97">
        <f t="shared" si="1"/>
        <v>0</v>
      </c>
      <c r="I30" s="139">
        <f t="shared" si="2"/>
        <v>0</v>
      </c>
      <c r="J30" s="140">
        <f t="shared" si="3"/>
        <v>0.2</v>
      </c>
      <c r="K30" s="140">
        <f t="shared" si="4"/>
        <v>0.2</v>
      </c>
      <c r="L30" s="141">
        <f t="shared" si="5"/>
        <v>30</v>
      </c>
      <c r="M30" s="140">
        <f t="shared" si="6"/>
        <v>0.5</v>
      </c>
      <c r="N30" s="140">
        <f t="shared" si="7"/>
        <v>0.5</v>
      </c>
      <c r="O30" s="141">
        <f t="shared" si="8"/>
        <v>80</v>
      </c>
      <c r="P30" s="146"/>
      <c r="Q30" s="143"/>
      <c r="T30" s="144"/>
      <c r="U30" s="144"/>
    </row>
    <row r="31" s="62" customFormat="1" ht="30" customHeight="1" spans="1:21">
      <c r="A31" s="145"/>
      <c r="B31" s="79" t="s">
        <v>378</v>
      </c>
      <c r="C31" s="97" t="s">
        <v>379</v>
      </c>
      <c r="D31" s="97"/>
      <c r="E31" s="97"/>
      <c r="F31" s="139">
        <f t="shared" si="9"/>
        <v>0</v>
      </c>
      <c r="G31" s="97">
        <f t="shared" si="0"/>
        <v>0</v>
      </c>
      <c r="H31" s="97">
        <f t="shared" si="1"/>
        <v>0</v>
      </c>
      <c r="I31" s="139">
        <f t="shared" si="2"/>
        <v>0</v>
      </c>
      <c r="J31" s="140">
        <f t="shared" si="3"/>
        <v>0.2</v>
      </c>
      <c r="K31" s="140">
        <f t="shared" si="4"/>
        <v>0.2</v>
      </c>
      <c r="L31" s="141">
        <f t="shared" si="5"/>
        <v>30</v>
      </c>
      <c r="M31" s="140">
        <f t="shared" si="6"/>
        <v>0.5</v>
      </c>
      <c r="N31" s="140">
        <f t="shared" si="7"/>
        <v>0.5</v>
      </c>
      <c r="O31" s="141">
        <f t="shared" si="8"/>
        <v>80</v>
      </c>
      <c r="P31" s="146"/>
      <c r="Q31" s="143"/>
      <c r="T31" s="144"/>
      <c r="U31" s="144"/>
    </row>
    <row r="32" s="62" customFormat="1" ht="30" customHeight="1" spans="1:21">
      <c r="A32" s="145"/>
      <c r="B32" s="79" t="s">
        <v>380</v>
      </c>
      <c r="C32" s="97" t="s">
        <v>381</v>
      </c>
      <c r="D32" s="97"/>
      <c r="E32" s="97"/>
      <c r="F32" s="139">
        <f t="shared" si="9"/>
        <v>0</v>
      </c>
      <c r="G32" s="97">
        <f t="shared" si="0"/>
        <v>0</v>
      </c>
      <c r="H32" s="97">
        <f t="shared" si="1"/>
        <v>0</v>
      </c>
      <c r="I32" s="139">
        <f t="shared" si="2"/>
        <v>0</v>
      </c>
      <c r="J32" s="140">
        <f t="shared" si="3"/>
        <v>0.2</v>
      </c>
      <c r="K32" s="140">
        <f t="shared" si="4"/>
        <v>0.2</v>
      </c>
      <c r="L32" s="141">
        <f t="shared" si="5"/>
        <v>30</v>
      </c>
      <c r="M32" s="140">
        <f t="shared" si="6"/>
        <v>0.5</v>
      </c>
      <c r="N32" s="140">
        <f t="shared" si="7"/>
        <v>0.5</v>
      </c>
      <c r="O32" s="141">
        <f t="shared" si="8"/>
        <v>80</v>
      </c>
      <c r="P32" s="146"/>
      <c r="Q32" s="143"/>
      <c r="T32" s="144"/>
      <c r="U32" s="144"/>
    </row>
    <row r="33" s="62" customFormat="1" ht="30" customHeight="1" spans="1:21">
      <c r="A33" s="145"/>
      <c r="B33" s="79" t="s">
        <v>382</v>
      </c>
      <c r="C33" s="97" t="s">
        <v>383</v>
      </c>
      <c r="D33" s="97"/>
      <c r="E33" s="97"/>
      <c r="F33" s="139">
        <f t="shared" si="9"/>
        <v>0</v>
      </c>
      <c r="G33" s="97">
        <f t="shared" si="0"/>
        <v>0</v>
      </c>
      <c r="H33" s="97">
        <f t="shared" si="1"/>
        <v>0</v>
      </c>
      <c r="I33" s="139">
        <f t="shared" si="2"/>
        <v>0</v>
      </c>
      <c r="J33" s="140">
        <f t="shared" si="3"/>
        <v>0.2</v>
      </c>
      <c r="K33" s="140">
        <f t="shared" si="4"/>
        <v>0.2</v>
      </c>
      <c r="L33" s="141">
        <f t="shared" si="5"/>
        <v>30</v>
      </c>
      <c r="M33" s="140">
        <f t="shared" si="6"/>
        <v>0.5</v>
      </c>
      <c r="N33" s="140">
        <f t="shared" si="7"/>
        <v>0.5</v>
      </c>
      <c r="O33" s="141">
        <f t="shared" si="8"/>
        <v>80</v>
      </c>
      <c r="P33" s="146"/>
      <c r="Q33" s="143"/>
      <c r="T33" s="144"/>
      <c r="U33" s="144"/>
    </row>
    <row r="34" s="62" customFormat="1" ht="30" customHeight="1" spans="1:21">
      <c r="A34" s="145"/>
      <c r="B34" s="79" t="s">
        <v>384</v>
      </c>
      <c r="C34" s="97" t="s">
        <v>385</v>
      </c>
      <c r="D34" s="97"/>
      <c r="E34" s="97"/>
      <c r="F34" s="139">
        <f t="shared" si="9"/>
        <v>0</v>
      </c>
      <c r="G34" s="97">
        <f t="shared" si="0"/>
        <v>0</v>
      </c>
      <c r="H34" s="97">
        <f t="shared" si="1"/>
        <v>0</v>
      </c>
      <c r="I34" s="139">
        <f t="shared" si="2"/>
        <v>0</v>
      </c>
      <c r="J34" s="140">
        <f t="shared" si="3"/>
        <v>0.2</v>
      </c>
      <c r="K34" s="140">
        <f t="shared" si="4"/>
        <v>0.2</v>
      </c>
      <c r="L34" s="141">
        <f t="shared" si="5"/>
        <v>30</v>
      </c>
      <c r="M34" s="140">
        <f t="shared" si="6"/>
        <v>0.5</v>
      </c>
      <c r="N34" s="140">
        <f t="shared" si="7"/>
        <v>0.5</v>
      </c>
      <c r="O34" s="141">
        <f t="shared" si="8"/>
        <v>80</v>
      </c>
      <c r="P34" s="146"/>
      <c r="Q34" s="143"/>
      <c r="T34" s="144"/>
      <c r="U34" s="144"/>
    </row>
    <row r="35" s="62" customFormat="1" ht="30" customHeight="1" spans="1:21">
      <c r="A35" s="145"/>
      <c r="B35" s="79" t="s">
        <v>386</v>
      </c>
      <c r="C35" s="97" t="s">
        <v>387</v>
      </c>
      <c r="D35" s="97"/>
      <c r="E35" s="97"/>
      <c r="F35" s="139">
        <f t="shared" si="9"/>
        <v>0</v>
      </c>
      <c r="G35" s="97">
        <f t="shared" si="0"/>
        <v>0</v>
      </c>
      <c r="H35" s="97">
        <f t="shared" si="1"/>
        <v>0</v>
      </c>
      <c r="I35" s="139">
        <f t="shared" si="2"/>
        <v>0</v>
      </c>
      <c r="J35" s="140">
        <f t="shared" si="3"/>
        <v>0.2</v>
      </c>
      <c r="K35" s="140">
        <f t="shared" si="4"/>
        <v>0.2</v>
      </c>
      <c r="L35" s="141">
        <f t="shared" si="5"/>
        <v>30</v>
      </c>
      <c r="M35" s="140">
        <f t="shared" si="6"/>
        <v>0.5</v>
      </c>
      <c r="N35" s="140">
        <f t="shared" si="7"/>
        <v>0.5</v>
      </c>
      <c r="O35" s="141">
        <f t="shared" si="8"/>
        <v>80</v>
      </c>
      <c r="P35" s="146"/>
      <c r="Q35" s="143"/>
      <c r="T35" s="144"/>
      <c r="U35" s="144"/>
    </row>
    <row r="36" s="62" customFormat="1" ht="30" customHeight="1" spans="1:21">
      <c r="A36" s="145"/>
      <c r="B36" s="79" t="s">
        <v>388</v>
      </c>
      <c r="C36" s="97" t="s">
        <v>385</v>
      </c>
      <c r="D36" s="97"/>
      <c r="E36" s="97"/>
      <c r="F36" s="139">
        <f t="shared" si="9"/>
        <v>0</v>
      </c>
      <c r="G36" s="97">
        <f t="shared" si="0"/>
        <v>0</v>
      </c>
      <c r="H36" s="97">
        <f t="shared" si="1"/>
        <v>0</v>
      </c>
      <c r="I36" s="139">
        <f t="shared" si="2"/>
        <v>0</v>
      </c>
      <c r="J36" s="140">
        <f t="shared" si="3"/>
        <v>0.2</v>
      </c>
      <c r="K36" s="140">
        <f t="shared" si="4"/>
        <v>0.2</v>
      </c>
      <c r="L36" s="141">
        <f t="shared" si="5"/>
        <v>30</v>
      </c>
      <c r="M36" s="140">
        <f t="shared" si="6"/>
        <v>0.5</v>
      </c>
      <c r="N36" s="140">
        <f t="shared" si="7"/>
        <v>0.5</v>
      </c>
      <c r="O36" s="141">
        <f t="shared" si="8"/>
        <v>80</v>
      </c>
      <c r="P36" s="146"/>
      <c r="Q36" s="143"/>
      <c r="T36" s="144"/>
      <c r="U36" s="144"/>
    </row>
    <row r="37" s="62" customFormat="1" ht="30" customHeight="1" spans="1:21">
      <c r="A37" s="145"/>
      <c r="B37" s="79" t="s">
        <v>389</v>
      </c>
      <c r="C37" s="97" t="s">
        <v>390</v>
      </c>
      <c r="D37" s="97"/>
      <c r="E37" s="97"/>
      <c r="F37" s="139">
        <f t="shared" si="9"/>
        <v>0</v>
      </c>
      <c r="G37" s="97">
        <f t="shared" si="0"/>
        <v>0</v>
      </c>
      <c r="H37" s="97">
        <f t="shared" si="1"/>
        <v>0</v>
      </c>
      <c r="I37" s="139">
        <f t="shared" si="2"/>
        <v>0</v>
      </c>
      <c r="J37" s="140">
        <f t="shared" si="3"/>
        <v>0.2</v>
      </c>
      <c r="K37" s="140">
        <f t="shared" si="4"/>
        <v>0.2</v>
      </c>
      <c r="L37" s="141">
        <f t="shared" si="5"/>
        <v>30</v>
      </c>
      <c r="M37" s="140">
        <f t="shared" si="6"/>
        <v>0.5</v>
      </c>
      <c r="N37" s="140">
        <f t="shared" si="7"/>
        <v>0.5</v>
      </c>
      <c r="O37" s="141">
        <f t="shared" si="8"/>
        <v>80</v>
      </c>
      <c r="P37" s="146"/>
      <c r="Q37" s="143"/>
      <c r="T37" s="144"/>
      <c r="U37" s="144"/>
    </row>
    <row r="38" s="62" customFormat="1" ht="30" customHeight="1" spans="1:21">
      <c r="A38" s="145"/>
      <c r="B38" s="79" t="s">
        <v>391</v>
      </c>
      <c r="C38" s="97" t="s">
        <v>392</v>
      </c>
      <c r="D38" s="97"/>
      <c r="E38" s="97"/>
      <c r="F38" s="139">
        <f t="shared" si="9"/>
        <v>0</v>
      </c>
      <c r="G38" s="97">
        <f t="shared" si="0"/>
        <v>0</v>
      </c>
      <c r="H38" s="97">
        <f t="shared" si="1"/>
        <v>0</v>
      </c>
      <c r="I38" s="139">
        <f t="shared" si="2"/>
        <v>0</v>
      </c>
      <c r="J38" s="140">
        <f t="shared" si="3"/>
        <v>0.2</v>
      </c>
      <c r="K38" s="140">
        <f t="shared" si="4"/>
        <v>0.2</v>
      </c>
      <c r="L38" s="141">
        <f t="shared" si="5"/>
        <v>30</v>
      </c>
      <c r="M38" s="140">
        <f t="shared" si="6"/>
        <v>0.5</v>
      </c>
      <c r="N38" s="140">
        <f t="shared" si="7"/>
        <v>0.5</v>
      </c>
      <c r="O38" s="141">
        <f t="shared" si="8"/>
        <v>80</v>
      </c>
      <c r="P38" s="146"/>
      <c r="Q38" s="143"/>
      <c r="T38" s="144"/>
      <c r="U38" s="144"/>
    </row>
    <row r="39" s="62" customFormat="1" ht="30" customHeight="1" spans="1:21">
      <c r="A39" s="145"/>
      <c r="B39" s="79" t="s">
        <v>393</v>
      </c>
      <c r="C39" s="97" t="s">
        <v>394</v>
      </c>
      <c r="D39" s="97"/>
      <c r="E39" s="97"/>
      <c r="F39" s="139">
        <f t="shared" si="9"/>
        <v>0</v>
      </c>
      <c r="G39" s="97">
        <f t="shared" si="0"/>
        <v>0</v>
      </c>
      <c r="H39" s="97">
        <f t="shared" si="1"/>
        <v>0</v>
      </c>
      <c r="I39" s="139">
        <f t="shared" si="2"/>
        <v>0</v>
      </c>
      <c r="J39" s="140">
        <f t="shared" si="3"/>
        <v>0.2</v>
      </c>
      <c r="K39" s="140">
        <f t="shared" si="4"/>
        <v>0.2</v>
      </c>
      <c r="L39" s="141">
        <f t="shared" si="5"/>
        <v>30</v>
      </c>
      <c r="M39" s="140">
        <f t="shared" si="6"/>
        <v>0.5</v>
      </c>
      <c r="N39" s="140">
        <f t="shared" si="7"/>
        <v>0.5</v>
      </c>
      <c r="O39" s="141">
        <f t="shared" si="8"/>
        <v>80</v>
      </c>
      <c r="P39" s="146"/>
      <c r="Q39" s="143"/>
      <c r="T39" s="144"/>
      <c r="U39" s="144"/>
    </row>
    <row r="40" s="62" customFormat="1" ht="30" customHeight="1" spans="1:21">
      <c r="A40" s="145"/>
      <c r="B40" s="79" t="s">
        <v>395</v>
      </c>
      <c r="C40" s="97" t="s">
        <v>396</v>
      </c>
      <c r="D40" s="97"/>
      <c r="E40" s="97"/>
      <c r="F40" s="139">
        <f t="shared" si="9"/>
        <v>0</v>
      </c>
      <c r="G40" s="97">
        <f t="shared" si="0"/>
        <v>0</v>
      </c>
      <c r="H40" s="97">
        <f t="shared" si="1"/>
        <v>0</v>
      </c>
      <c r="I40" s="139">
        <f t="shared" si="2"/>
        <v>0</v>
      </c>
      <c r="J40" s="140">
        <f t="shared" si="3"/>
        <v>0.2</v>
      </c>
      <c r="K40" s="140">
        <f t="shared" si="4"/>
        <v>0.2</v>
      </c>
      <c r="L40" s="141">
        <f t="shared" si="5"/>
        <v>30</v>
      </c>
      <c r="M40" s="140">
        <f t="shared" si="6"/>
        <v>0.5</v>
      </c>
      <c r="N40" s="140">
        <f t="shared" si="7"/>
        <v>0.5</v>
      </c>
      <c r="O40" s="141">
        <f t="shared" si="8"/>
        <v>80</v>
      </c>
      <c r="P40" s="146"/>
      <c r="Q40" s="143"/>
      <c r="T40" s="144"/>
      <c r="U40" s="144"/>
    </row>
    <row r="41" s="62" customFormat="1" ht="30" customHeight="1" spans="1:21">
      <c r="A41" s="145"/>
      <c r="B41" s="79" t="s">
        <v>397</v>
      </c>
      <c r="C41" s="97" t="s">
        <v>398</v>
      </c>
      <c r="D41" s="97"/>
      <c r="E41" s="97"/>
      <c r="F41" s="139">
        <f t="shared" si="9"/>
        <v>0</v>
      </c>
      <c r="G41" s="97">
        <f t="shared" si="0"/>
        <v>0</v>
      </c>
      <c r="H41" s="97">
        <f t="shared" si="1"/>
        <v>0</v>
      </c>
      <c r="I41" s="139">
        <f t="shared" si="2"/>
        <v>0</v>
      </c>
      <c r="J41" s="140">
        <f t="shared" si="3"/>
        <v>0.2</v>
      </c>
      <c r="K41" s="140">
        <f t="shared" si="4"/>
        <v>0.2</v>
      </c>
      <c r="L41" s="141">
        <f t="shared" si="5"/>
        <v>30</v>
      </c>
      <c r="M41" s="140">
        <f t="shared" si="6"/>
        <v>0.5</v>
      </c>
      <c r="N41" s="140">
        <f t="shared" si="7"/>
        <v>0.5</v>
      </c>
      <c r="O41" s="141">
        <f t="shared" si="8"/>
        <v>80</v>
      </c>
      <c r="P41" s="146"/>
      <c r="Q41" s="143"/>
      <c r="T41" s="144"/>
      <c r="U41" s="144"/>
    </row>
    <row r="42" s="62" customFormat="1" ht="30" customHeight="1" spans="1:21">
      <c r="A42" s="145"/>
      <c r="B42" s="79" t="s">
        <v>399</v>
      </c>
      <c r="C42" s="97" t="s">
        <v>400</v>
      </c>
      <c r="D42" s="97"/>
      <c r="E42" s="97"/>
      <c r="F42" s="139">
        <f t="shared" si="9"/>
        <v>0</v>
      </c>
      <c r="G42" s="97">
        <f t="shared" si="0"/>
        <v>0</v>
      </c>
      <c r="H42" s="97">
        <f t="shared" si="1"/>
        <v>0</v>
      </c>
      <c r="I42" s="139">
        <f t="shared" si="2"/>
        <v>0</v>
      </c>
      <c r="J42" s="140">
        <f t="shared" si="3"/>
        <v>0.2</v>
      </c>
      <c r="K42" s="140">
        <f t="shared" si="4"/>
        <v>0.2</v>
      </c>
      <c r="L42" s="141">
        <f t="shared" si="5"/>
        <v>30</v>
      </c>
      <c r="M42" s="140">
        <f t="shared" si="6"/>
        <v>0.5</v>
      </c>
      <c r="N42" s="140">
        <f t="shared" si="7"/>
        <v>0.5</v>
      </c>
      <c r="O42" s="141">
        <f t="shared" si="8"/>
        <v>80</v>
      </c>
      <c r="P42" s="146"/>
      <c r="Q42" s="143"/>
      <c r="T42" s="144"/>
      <c r="U42" s="144"/>
    </row>
    <row r="43" s="62" customFormat="1" ht="30" customHeight="1" spans="1:21">
      <c r="A43" s="145"/>
      <c r="B43" s="79" t="s">
        <v>401</v>
      </c>
      <c r="C43" s="97" t="s">
        <v>402</v>
      </c>
      <c r="D43" s="97"/>
      <c r="E43" s="97"/>
      <c r="F43" s="139">
        <f t="shared" si="9"/>
        <v>0</v>
      </c>
      <c r="G43" s="97">
        <f t="shared" si="0"/>
        <v>0</v>
      </c>
      <c r="H43" s="97">
        <f t="shared" si="1"/>
        <v>0</v>
      </c>
      <c r="I43" s="139">
        <f t="shared" si="2"/>
        <v>0</v>
      </c>
      <c r="J43" s="140">
        <f t="shared" si="3"/>
        <v>0.2</v>
      </c>
      <c r="K43" s="140">
        <f t="shared" si="4"/>
        <v>0.2</v>
      </c>
      <c r="L43" s="141">
        <f t="shared" si="5"/>
        <v>30</v>
      </c>
      <c r="M43" s="140">
        <f t="shared" si="6"/>
        <v>0.5</v>
      </c>
      <c r="N43" s="140">
        <f t="shared" si="7"/>
        <v>0.5</v>
      </c>
      <c r="O43" s="141">
        <f t="shared" si="8"/>
        <v>80</v>
      </c>
      <c r="P43" s="146"/>
      <c r="Q43" s="143"/>
      <c r="T43" s="144"/>
      <c r="U43" s="144"/>
    </row>
    <row r="44" s="62" customFormat="1" ht="30" customHeight="1" spans="1:21">
      <c r="A44" s="147"/>
      <c r="B44" s="79" t="s">
        <v>403</v>
      </c>
      <c r="C44" s="97" t="s">
        <v>404</v>
      </c>
      <c r="D44" s="97"/>
      <c r="E44" s="97"/>
      <c r="F44" s="139">
        <f t="shared" si="9"/>
        <v>0</v>
      </c>
      <c r="G44" s="97">
        <f t="shared" si="0"/>
        <v>0</v>
      </c>
      <c r="H44" s="97">
        <f t="shared" si="1"/>
        <v>0</v>
      </c>
      <c r="I44" s="139">
        <f t="shared" si="2"/>
        <v>0</v>
      </c>
      <c r="J44" s="140">
        <f t="shared" si="3"/>
        <v>0.2</v>
      </c>
      <c r="K44" s="140">
        <f t="shared" si="4"/>
        <v>0.2</v>
      </c>
      <c r="L44" s="141">
        <f t="shared" si="5"/>
        <v>30</v>
      </c>
      <c r="M44" s="140">
        <f t="shared" si="6"/>
        <v>0.5</v>
      </c>
      <c r="N44" s="140">
        <f t="shared" si="7"/>
        <v>0.5</v>
      </c>
      <c r="O44" s="141">
        <f t="shared" si="8"/>
        <v>80</v>
      </c>
      <c r="P44" s="148"/>
      <c r="Q44" s="143"/>
      <c r="T44" s="144"/>
      <c r="U44" s="144"/>
    </row>
    <row r="45" s="62" customFormat="1" ht="30" customHeight="1" spans="1:21">
      <c r="A45" s="79" t="s">
        <v>405</v>
      </c>
      <c r="B45" s="79" t="s">
        <v>406</v>
      </c>
      <c r="C45" s="97" t="s">
        <v>407</v>
      </c>
      <c r="D45" s="97"/>
      <c r="E45" s="97"/>
      <c r="F45" s="139">
        <f t="shared" si="9"/>
        <v>0</v>
      </c>
      <c r="G45" s="97">
        <f t="shared" si="0"/>
        <v>0</v>
      </c>
      <c r="H45" s="97">
        <f t="shared" si="1"/>
        <v>0</v>
      </c>
      <c r="I45" s="139">
        <f t="shared" si="2"/>
        <v>0</v>
      </c>
      <c r="J45" s="140">
        <f t="shared" si="3"/>
        <v>0.2</v>
      </c>
      <c r="K45" s="140">
        <f t="shared" si="4"/>
        <v>0.2</v>
      </c>
      <c r="L45" s="141">
        <f t="shared" si="5"/>
        <v>30</v>
      </c>
      <c r="M45" s="140">
        <f t="shared" si="6"/>
        <v>0.5</v>
      </c>
      <c r="N45" s="140">
        <f t="shared" si="7"/>
        <v>0.5</v>
      </c>
      <c r="O45" s="141">
        <f t="shared" si="8"/>
        <v>80</v>
      </c>
      <c r="P45" s="149" t="s">
        <v>245</v>
      </c>
      <c r="Q45" s="143"/>
      <c r="T45" s="144"/>
      <c r="U45" s="144"/>
    </row>
    <row r="46" s="62" customFormat="1" ht="28.2" customHeight="1" spans="1:21">
      <c r="A46" s="100" t="s">
        <v>408</v>
      </c>
      <c r="B46" s="100"/>
      <c r="C46" s="100"/>
      <c r="D46" s="100"/>
      <c r="E46" s="100"/>
      <c r="F46" s="100"/>
      <c r="G46" s="100"/>
      <c r="H46" s="100"/>
      <c r="I46" s="100"/>
      <c r="J46" s="100"/>
      <c r="K46" s="100"/>
      <c r="L46" s="100"/>
      <c r="M46" s="100"/>
      <c r="N46" s="100"/>
      <c r="O46" s="100"/>
      <c r="P46" s="100"/>
      <c r="Q46" s="100"/>
    </row>
    <row r="47" s="62" customFormat="1" ht="26" customHeight="1" spans="1:21">
      <c r="A47" s="150" t="s">
        <v>302</v>
      </c>
      <c r="B47" s="150"/>
      <c r="C47" s="150"/>
      <c r="D47" s="150"/>
      <c r="E47" s="150"/>
      <c r="F47" s="150"/>
      <c r="G47" s="150"/>
      <c r="H47" s="150"/>
      <c r="I47" s="150"/>
      <c r="J47" s="150"/>
      <c r="K47" s="150"/>
      <c r="L47" s="150"/>
      <c r="M47" s="150"/>
      <c r="N47" s="150"/>
      <c r="O47" s="150"/>
      <c r="P47" s="150"/>
      <c r="Q47" s="150"/>
    </row>
    <row r="48" ht="40" customHeight="1" spans="1:21">
      <c r="A48" s="151" t="s">
        <v>263</v>
      </c>
      <c r="B48" s="152"/>
      <c r="C48" s="153"/>
      <c r="D48" s="103" t="s">
        <v>303</v>
      </c>
      <c r="E48" s="103"/>
      <c r="F48" s="103"/>
      <c r="G48" s="103"/>
      <c r="H48" s="103"/>
      <c r="I48" s="103"/>
      <c r="J48" s="103"/>
      <c r="K48" s="103"/>
      <c r="L48" s="103"/>
      <c r="M48" s="103"/>
      <c r="N48" s="103"/>
      <c r="O48" s="103"/>
      <c r="P48" s="103"/>
      <c r="Q48" s="103"/>
    </row>
    <row r="49" ht="40" customHeight="1" spans="1:23">
      <c r="A49" s="154"/>
      <c r="B49" s="155"/>
      <c r="C49" s="156"/>
      <c r="D49" s="87" t="s">
        <v>304</v>
      </c>
      <c r="E49" s="87"/>
      <c r="F49" s="87"/>
      <c r="G49" s="87"/>
      <c r="H49" s="87"/>
      <c r="I49" s="87"/>
      <c r="J49" s="87"/>
      <c r="K49" s="87"/>
      <c r="L49" s="87"/>
      <c r="M49" s="87"/>
      <c r="N49" s="87"/>
      <c r="O49" s="87"/>
      <c r="P49" s="87"/>
      <c r="Q49" s="87"/>
    </row>
    <row r="50" s="63" customFormat="1" ht="40" customHeight="1" spans="1:23">
      <c r="A50" s="157" t="s">
        <v>265</v>
      </c>
      <c r="B50" s="158"/>
      <c r="C50" s="159"/>
      <c r="D50" s="87" t="s">
        <v>322</v>
      </c>
      <c r="E50" s="87"/>
      <c r="F50" s="87"/>
      <c r="G50" s="87"/>
      <c r="H50" s="87"/>
      <c r="I50" s="87"/>
      <c r="J50" s="87"/>
      <c r="K50" s="87"/>
      <c r="L50" s="87"/>
      <c r="M50" s="87"/>
      <c r="N50" s="87"/>
      <c r="O50" s="87"/>
      <c r="P50" s="87"/>
      <c r="Q50" s="87"/>
    </row>
    <row r="51" s="63" customFormat="1" ht="30" customHeight="1" spans="1:23">
      <c r="A51" s="160" t="s">
        <v>306</v>
      </c>
      <c r="B51" s="161"/>
      <c r="C51" s="162"/>
      <c r="D51" s="87" t="s">
        <v>307</v>
      </c>
      <c r="E51" s="87"/>
      <c r="F51" s="87"/>
      <c r="G51" s="87"/>
      <c r="H51" s="87"/>
      <c r="I51" s="87"/>
      <c r="J51" s="87"/>
      <c r="K51" s="87"/>
      <c r="L51" s="87"/>
      <c r="M51" s="87"/>
      <c r="N51" s="87"/>
      <c r="O51" s="87"/>
      <c r="P51" s="87"/>
      <c r="Q51" s="88"/>
    </row>
    <row r="52" s="63" customFormat="1" ht="57" customHeight="1" spans="1:23">
      <c r="A52" s="163"/>
      <c r="B52" s="164"/>
      <c r="C52" s="165"/>
      <c r="D52" s="87" t="s">
        <v>308</v>
      </c>
      <c r="E52" s="87"/>
      <c r="F52" s="87"/>
      <c r="G52" s="87"/>
      <c r="H52" s="87"/>
      <c r="I52" s="87"/>
      <c r="J52" s="87"/>
      <c r="K52" s="87"/>
      <c r="L52" s="87"/>
      <c r="M52" s="87"/>
      <c r="N52" s="87"/>
      <c r="O52" s="87"/>
      <c r="P52" s="87"/>
      <c r="Q52" s="88"/>
    </row>
    <row r="53" s="63" customFormat="1" ht="30" customHeight="1" spans="1:23">
      <c r="A53" s="166"/>
      <c r="B53" s="167"/>
      <c r="C53" s="168"/>
      <c r="D53" s="87" t="s">
        <v>309</v>
      </c>
      <c r="E53" s="87"/>
      <c r="F53" s="87"/>
      <c r="G53" s="87"/>
      <c r="H53" s="87"/>
      <c r="I53" s="87"/>
      <c r="J53" s="87"/>
      <c r="K53" s="87"/>
      <c r="L53" s="87"/>
      <c r="M53" s="87"/>
      <c r="N53" s="87"/>
      <c r="O53" s="87"/>
      <c r="P53" s="87"/>
      <c r="Q53" s="87"/>
    </row>
    <row r="54" s="60" customFormat="1" ht="40" customHeight="1" spans="1:23">
      <c r="A54" s="169" t="s">
        <v>272</v>
      </c>
      <c r="B54" s="170"/>
      <c r="C54" s="171"/>
      <c r="D54" s="87" t="s">
        <v>273</v>
      </c>
      <c r="E54" s="87"/>
      <c r="F54" s="87"/>
      <c r="G54" s="87"/>
      <c r="H54" s="87"/>
      <c r="I54" s="87"/>
      <c r="J54" s="87"/>
      <c r="K54" s="87"/>
      <c r="L54" s="87"/>
      <c r="M54" s="87"/>
      <c r="N54" s="87"/>
      <c r="O54" s="87"/>
      <c r="P54" s="87"/>
      <c r="Q54" s="87"/>
    </row>
    <row r="55" ht="30" customHeight="1" spans="1:23">
      <c r="A55" s="169" t="s">
        <v>274</v>
      </c>
      <c r="B55" s="170"/>
      <c r="C55" s="171"/>
      <c r="D55" s="87" t="s">
        <v>275</v>
      </c>
      <c r="E55" s="87"/>
      <c r="F55" s="87"/>
      <c r="G55" s="87"/>
      <c r="H55" s="87"/>
      <c r="I55" s="87"/>
      <c r="J55" s="87"/>
      <c r="K55" s="87"/>
      <c r="L55" s="87"/>
      <c r="M55" s="87"/>
      <c r="N55" s="87"/>
      <c r="O55" s="87"/>
      <c r="P55" s="87"/>
      <c r="Q55" s="87"/>
    </row>
    <row r="56" ht="30" customHeight="1" spans="1:23">
      <c r="A56" s="169" t="s">
        <v>276</v>
      </c>
      <c r="B56" s="170"/>
      <c r="C56" s="171"/>
      <c r="D56" s="87" t="s">
        <v>310</v>
      </c>
      <c r="E56" s="87"/>
      <c r="F56" s="87"/>
      <c r="G56" s="87"/>
      <c r="H56" s="87"/>
      <c r="I56" s="87"/>
      <c r="J56" s="87"/>
      <c r="K56" s="87"/>
      <c r="L56" s="87"/>
      <c r="M56" s="87"/>
      <c r="N56" s="87"/>
      <c r="O56" s="87"/>
      <c r="P56" s="87"/>
      <c r="Q56" s="87"/>
    </row>
    <row r="57" ht="90" customHeight="1" spans="1:23">
      <c r="A57" s="160" t="s">
        <v>323</v>
      </c>
      <c r="B57" s="161"/>
      <c r="C57" s="162"/>
      <c r="D57" s="172" t="s">
        <v>279</v>
      </c>
      <c r="E57" s="172"/>
      <c r="F57" s="172"/>
      <c r="G57" s="172"/>
      <c r="H57" s="172"/>
      <c r="I57" s="172"/>
      <c r="J57" s="172"/>
      <c r="K57" s="172"/>
      <c r="L57" s="172"/>
      <c r="M57" s="172"/>
      <c r="N57" s="172"/>
      <c r="O57" s="172"/>
      <c r="P57" s="172"/>
      <c r="Q57" s="172"/>
    </row>
    <row r="58" ht="30" customHeight="1" spans="1:23">
      <c r="A58" s="163"/>
      <c r="B58" s="164"/>
      <c r="C58" s="165"/>
      <c r="D58" s="172" t="s">
        <v>280</v>
      </c>
      <c r="E58" s="172"/>
      <c r="F58" s="172"/>
      <c r="G58" s="172"/>
      <c r="H58" s="172"/>
      <c r="I58" s="172"/>
      <c r="J58" s="172"/>
      <c r="K58" s="172"/>
      <c r="L58" s="172"/>
      <c r="M58" s="172"/>
      <c r="N58" s="172"/>
      <c r="O58" s="172"/>
      <c r="P58" s="172"/>
      <c r="Q58" s="172"/>
    </row>
    <row r="59" ht="60" customHeight="1" spans="1:23">
      <c r="A59" s="163"/>
      <c r="B59" s="164"/>
      <c r="C59" s="165"/>
      <c r="D59" s="173" t="s">
        <v>281</v>
      </c>
      <c r="E59" s="173"/>
      <c r="F59" s="173"/>
      <c r="G59" s="173"/>
      <c r="H59" s="173"/>
      <c r="I59" s="173"/>
      <c r="J59" s="173"/>
      <c r="K59" s="173"/>
      <c r="L59" s="173"/>
      <c r="M59" s="173"/>
      <c r="N59" s="173"/>
      <c r="O59" s="173"/>
      <c r="P59" s="173"/>
      <c r="Q59" s="173"/>
    </row>
    <row r="60" ht="30" customHeight="1" spans="1:23">
      <c r="A60" s="166"/>
      <c r="B60" s="167"/>
      <c r="C60" s="168"/>
      <c r="D60" s="174" t="s">
        <v>282</v>
      </c>
      <c r="E60" s="174"/>
      <c r="F60" s="174"/>
      <c r="G60" s="174"/>
      <c r="H60" s="174"/>
      <c r="I60" s="174"/>
      <c r="J60" s="174"/>
      <c r="K60" s="174"/>
      <c r="L60" s="174"/>
      <c r="M60" s="174"/>
      <c r="N60" s="174"/>
      <c r="O60" s="174"/>
      <c r="P60" s="174"/>
      <c r="Q60" s="174"/>
      <c r="R60" s="175"/>
      <c r="S60" s="175"/>
      <c r="T60" s="175"/>
      <c r="U60" s="175"/>
      <c r="V60" s="175"/>
      <c r="W60" s="175"/>
    </row>
    <row r="61" ht="40" customHeight="1" spans="1:23">
      <c r="A61" s="169" t="s">
        <v>283</v>
      </c>
      <c r="B61" s="170"/>
      <c r="C61" s="171"/>
      <c r="D61" s="87" t="s">
        <v>284</v>
      </c>
      <c r="E61" s="87"/>
      <c r="F61" s="87"/>
      <c r="G61" s="87"/>
      <c r="H61" s="87"/>
      <c r="I61" s="87"/>
      <c r="J61" s="87"/>
      <c r="K61" s="87"/>
      <c r="L61" s="87"/>
      <c r="M61" s="87"/>
      <c r="N61" s="87"/>
      <c r="O61" s="87"/>
      <c r="P61" s="87"/>
      <c r="Q61" s="87"/>
      <c r="R61" s="175"/>
      <c r="S61" s="175"/>
      <c r="T61" s="175"/>
      <c r="U61" s="175"/>
      <c r="V61" s="175"/>
      <c r="W61" s="175"/>
    </row>
    <row r="62" ht="120" customHeight="1" spans="1:23">
      <c r="A62" s="160" t="s">
        <v>285</v>
      </c>
      <c r="B62" s="161"/>
      <c r="C62" s="162"/>
      <c r="D62" s="87" t="s">
        <v>286</v>
      </c>
      <c r="E62" s="87"/>
      <c r="F62" s="87"/>
      <c r="G62" s="87"/>
      <c r="H62" s="87"/>
      <c r="I62" s="87"/>
      <c r="J62" s="87"/>
      <c r="K62" s="87"/>
      <c r="L62" s="87"/>
      <c r="M62" s="87"/>
      <c r="N62" s="87"/>
      <c r="O62" s="87"/>
      <c r="P62" s="87"/>
      <c r="Q62" s="87"/>
      <c r="R62" s="175"/>
      <c r="S62" s="175"/>
      <c r="T62" s="175"/>
      <c r="U62" s="175"/>
      <c r="V62" s="175"/>
      <c r="W62" s="175"/>
    </row>
    <row r="63" ht="34" customHeight="1" spans="1:23">
      <c r="A63" s="163"/>
      <c r="B63" s="164"/>
      <c r="C63" s="165"/>
      <c r="D63" s="87" t="s">
        <v>287</v>
      </c>
      <c r="E63" s="87"/>
      <c r="F63" s="87"/>
      <c r="G63" s="87"/>
      <c r="H63" s="87"/>
      <c r="I63" s="87"/>
      <c r="J63" s="87"/>
      <c r="K63" s="87"/>
      <c r="L63" s="87"/>
      <c r="M63" s="87"/>
      <c r="N63" s="87"/>
      <c r="O63" s="87"/>
      <c r="P63" s="87"/>
      <c r="Q63" s="87"/>
    </row>
    <row r="64" ht="34" customHeight="1" spans="1:23">
      <c r="A64" s="166"/>
      <c r="B64" s="167"/>
      <c r="C64" s="168"/>
      <c r="D64" s="87" t="s">
        <v>288</v>
      </c>
      <c r="E64" s="87"/>
      <c r="F64" s="87"/>
      <c r="G64" s="87"/>
      <c r="H64" s="87"/>
      <c r="I64" s="87"/>
      <c r="J64" s="87"/>
      <c r="K64" s="87"/>
      <c r="L64" s="87"/>
      <c r="M64" s="87"/>
      <c r="N64" s="87"/>
      <c r="O64" s="87"/>
      <c r="P64" s="87"/>
      <c r="Q64" s="87"/>
    </row>
    <row r="65" ht="34" customHeight="1" spans="1:17">
      <c r="A65" s="144"/>
      <c r="B65" s="144"/>
      <c r="C65" s="176"/>
      <c r="D65" s="176"/>
      <c r="E65" s="176"/>
      <c r="F65" s="176"/>
      <c r="G65" s="176"/>
      <c r="H65" s="176"/>
      <c r="I65" s="176"/>
      <c r="J65" s="176"/>
      <c r="K65" s="176"/>
      <c r="L65" s="176"/>
      <c r="M65" s="176"/>
      <c r="N65" s="176"/>
      <c r="O65" s="176"/>
      <c r="P65" s="176"/>
      <c r="Q65" s="176"/>
    </row>
    <row r="66" ht="34" customHeight="1" spans="1:17">
      <c r="A66" s="144"/>
      <c r="B66" s="144"/>
      <c r="C66" s="176"/>
      <c r="D66" s="176"/>
      <c r="E66" s="176"/>
      <c r="F66" s="176"/>
      <c r="G66" s="176"/>
      <c r="H66" s="176"/>
      <c r="I66" s="176"/>
      <c r="J66" s="176"/>
      <c r="K66" s="176"/>
      <c r="L66" s="176"/>
      <c r="M66" s="176"/>
      <c r="N66" s="176"/>
      <c r="O66" s="176"/>
      <c r="P66" s="176"/>
      <c r="Q66" s="176"/>
    </row>
    <row r="67" ht="34" customHeight="1" spans="1:17">
      <c r="A67" s="144"/>
      <c r="B67" s="144"/>
      <c r="C67" s="176"/>
      <c r="D67" s="176"/>
      <c r="E67" s="176"/>
      <c r="F67" s="176"/>
      <c r="G67" s="176"/>
      <c r="H67" s="176"/>
      <c r="I67" s="176"/>
      <c r="J67" s="176"/>
      <c r="K67" s="176"/>
      <c r="L67" s="176"/>
      <c r="M67" s="176"/>
      <c r="N67" s="176"/>
      <c r="O67" s="176"/>
      <c r="P67" s="176"/>
      <c r="Q67" s="176"/>
    </row>
    <row r="68" ht="34" customHeight="1" spans="1:17">
      <c r="A68" s="144"/>
      <c r="B68" s="144"/>
      <c r="C68" s="176"/>
      <c r="D68" s="176"/>
      <c r="E68" s="176"/>
      <c r="F68" s="176"/>
      <c r="G68" s="176"/>
      <c r="H68" s="176"/>
      <c r="I68" s="176"/>
      <c r="J68" s="176"/>
      <c r="K68" s="176"/>
      <c r="L68" s="176"/>
      <c r="M68" s="176"/>
      <c r="N68" s="176"/>
      <c r="O68" s="176"/>
      <c r="P68" s="176"/>
      <c r="Q68" s="176"/>
    </row>
    <row r="69" spans="1:17">
      <c r="A69" s="144"/>
      <c r="B69" s="144"/>
      <c r="C69" s="176"/>
      <c r="D69" s="176"/>
      <c r="E69" s="176"/>
      <c r="F69" s="176"/>
      <c r="G69" s="176"/>
      <c r="H69" s="176"/>
      <c r="I69" s="176"/>
      <c r="J69" s="176"/>
      <c r="K69" s="176"/>
      <c r="L69" s="176"/>
      <c r="M69" s="176"/>
      <c r="N69" s="176"/>
      <c r="O69" s="176"/>
      <c r="P69" s="176"/>
      <c r="Q69" s="176"/>
    </row>
    <row r="70" spans="1:17">
      <c r="A70" s="144"/>
      <c r="B70" s="144"/>
      <c r="C70" s="176"/>
      <c r="D70" s="176"/>
      <c r="E70" s="176"/>
      <c r="F70" s="176"/>
      <c r="G70" s="176"/>
      <c r="H70" s="176"/>
      <c r="I70" s="176"/>
      <c r="J70" s="176"/>
      <c r="K70" s="176"/>
      <c r="L70" s="176"/>
      <c r="M70" s="176"/>
      <c r="N70" s="176"/>
      <c r="O70" s="176"/>
      <c r="P70" s="176"/>
      <c r="Q70" s="176"/>
    </row>
    <row r="71" spans="1:17">
      <c r="A71" s="144"/>
      <c r="B71" s="144"/>
      <c r="C71" s="176"/>
      <c r="D71" s="176"/>
      <c r="E71" s="176"/>
      <c r="F71" s="176"/>
      <c r="G71" s="176"/>
      <c r="H71" s="176"/>
      <c r="I71" s="176"/>
      <c r="J71" s="176"/>
      <c r="K71" s="176"/>
      <c r="L71" s="176"/>
      <c r="M71" s="176"/>
      <c r="N71" s="176"/>
      <c r="O71" s="176"/>
      <c r="P71" s="176"/>
      <c r="Q71" s="176"/>
    </row>
    <row r="72" spans="1:17">
      <c r="A72" s="144"/>
      <c r="B72" s="144"/>
      <c r="C72" s="176"/>
      <c r="D72" s="176"/>
      <c r="E72" s="176"/>
      <c r="F72" s="176"/>
      <c r="G72" s="176"/>
      <c r="H72" s="176"/>
      <c r="I72" s="176"/>
      <c r="J72" s="176"/>
      <c r="K72" s="176"/>
      <c r="L72" s="176"/>
      <c r="M72" s="176"/>
      <c r="N72" s="176"/>
      <c r="O72" s="176"/>
      <c r="P72" s="176"/>
      <c r="Q72" s="176"/>
    </row>
    <row r="73" spans="1:17">
      <c r="A73" s="144"/>
      <c r="B73" s="144"/>
      <c r="C73" s="176"/>
      <c r="D73" s="176"/>
      <c r="E73" s="176"/>
      <c r="F73" s="176"/>
      <c r="G73" s="176"/>
      <c r="H73" s="176"/>
      <c r="I73" s="176"/>
      <c r="J73" s="176"/>
      <c r="K73" s="176"/>
      <c r="L73" s="176"/>
      <c r="M73" s="176"/>
      <c r="N73" s="176"/>
      <c r="O73" s="176"/>
      <c r="P73" s="176"/>
      <c r="Q73" s="176"/>
    </row>
    <row r="74" spans="1:17">
      <c r="A74" s="144"/>
      <c r="B74" s="144"/>
      <c r="C74" s="176"/>
      <c r="D74" s="176"/>
      <c r="E74" s="176"/>
      <c r="F74" s="176"/>
      <c r="G74" s="176"/>
      <c r="H74" s="176"/>
      <c r="I74" s="176"/>
      <c r="J74" s="176"/>
      <c r="K74" s="176"/>
      <c r="L74" s="176"/>
      <c r="M74" s="176"/>
      <c r="N74" s="176"/>
      <c r="O74" s="176"/>
      <c r="P74" s="176"/>
      <c r="Q74" s="176"/>
    </row>
    <row r="75" spans="1:17">
      <c r="A75" s="144"/>
      <c r="B75" s="144"/>
      <c r="C75" s="176"/>
      <c r="D75" s="176"/>
      <c r="E75" s="176"/>
      <c r="F75" s="176"/>
      <c r="G75" s="176"/>
      <c r="H75" s="176"/>
      <c r="I75" s="176"/>
      <c r="J75" s="176"/>
      <c r="K75" s="176"/>
      <c r="L75" s="176"/>
      <c r="M75" s="176"/>
      <c r="N75" s="176"/>
      <c r="O75" s="176"/>
      <c r="P75" s="176"/>
      <c r="Q75" s="176"/>
    </row>
    <row r="76" spans="1:17">
      <c r="A76" s="144"/>
      <c r="B76" s="144"/>
      <c r="C76" s="176"/>
      <c r="D76" s="176"/>
      <c r="E76" s="176"/>
      <c r="F76" s="176"/>
      <c r="G76" s="176"/>
      <c r="H76" s="176"/>
      <c r="I76" s="176"/>
      <c r="J76" s="176"/>
      <c r="K76" s="176"/>
      <c r="L76" s="176"/>
      <c r="M76" s="176"/>
      <c r="N76" s="176"/>
      <c r="O76" s="176"/>
      <c r="P76" s="176"/>
      <c r="Q76" s="176"/>
    </row>
    <row r="77" spans="1:17">
      <c r="A77" s="144"/>
      <c r="B77" s="144"/>
      <c r="C77" s="176"/>
      <c r="D77" s="176"/>
      <c r="E77" s="176"/>
      <c r="F77" s="176"/>
      <c r="G77" s="176"/>
      <c r="H77" s="176"/>
      <c r="I77" s="176"/>
      <c r="J77" s="176"/>
      <c r="K77" s="176"/>
      <c r="L77" s="176"/>
      <c r="M77" s="176"/>
      <c r="N77" s="176"/>
      <c r="O77" s="176"/>
      <c r="P77" s="176"/>
      <c r="Q77" s="176"/>
    </row>
    <row r="78" spans="1:17">
      <c r="A78" s="144"/>
      <c r="B78" s="144"/>
      <c r="C78" s="176"/>
      <c r="D78" s="176"/>
      <c r="E78" s="176"/>
      <c r="F78" s="176"/>
      <c r="G78" s="176"/>
      <c r="H78" s="176"/>
      <c r="I78" s="176"/>
      <c r="J78" s="176"/>
      <c r="K78" s="176"/>
      <c r="L78" s="176"/>
      <c r="M78" s="176"/>
      <c r="N78" s="176"/>
      <c r="O78" s="176"/>
      <c r="P78" s="176"/>
      <c r="Q78" s="176"/>
    </row>
    <row r="79" spans="1:17">
      <c r="A79" s="144"/>
      <c r="B79" s="144"/>
      <c r="C79" s="176"/>
      <c r="D79" s="176"/>
      <c r="E79" s="176"/>
      <c r="F79" s="176"/>
      <c r="G79" s="176"/>
      <c r="H79" s="176"/>
      <c r="I79" s="176"/>
      <c r="J79" s="176"/>
      <c r="K79" s="176"/>
      <c r="L79" s="176"/>
      <c r="M79" s="176"/>
      <c r="N79" s="176"/>
      <c r="O79" s="176"/>
      <c r="P79" s="176"/>
      <c r="Q79" s="176"/>
    </row>
    <row r="80" spans="1:17">
      <c r="A80" s="144"/>
      <c r="B80" s="144"/>
      <c r="C80" s="176"/>
      <c r="D80" s="176"/>
      <c r="E80" s="176"/>
      <c r="F80" s="176"/>
      <c r="G80" s="176"/>
      <c r="H80" s="176"/>
      <c r="I80" s="176"/>
      <c r="J80" s="176"/>
      <c r="K80" s="176"/>
      <c r="L80" s="176"/>
      <c r="M80" s="176"/>
      <c r="N80" s="176"/>
      <c r="O80" s="176"/>
      <c r="P80" s="176"/>
      <c r="Q80" s="176"/>
    </row>
    <row r="81" spans="1:17">
      <c r="A81" s="144"/>
      <c r="B81" s="144"/>
      <c r="C81" s="176"/>
      <c r="D81" s="176"/>
      <c r="E81" s="176"/>
      <c r="F81" s="176"/>
      <c r="G81" s="176"/>
      <c r="H81" s="176"/>
      <c r="I81" s="176"/>
      <c r="J81" s="176"/>
      <c r="K81" s="176"/>
      <c r="L81" s="176"/>
      <c r="M81" s="176"/>
      <c r="N81" s="176"/>
      <c r="O81" s="176"/>
      <c r="P81" s="176"/>
      <c r="Q81" s="176"/>
    </row>
  </sheetData>
  <sheetProtection algorithmName="SHA-512" hashValue="zyP/+//Socz7p8zsTXum7fIQuOxyUg9nnalidyRAf5IClSPQNhBUoJrGorsK/CxO+Ve2xPOSsuoMIiqugtIQiQ==" saltValue="olNUk0g0eh8DaOa5S6MCuQ==" spinCount="100000" sheet="1" objects="1"/>
  <mergeCells count="51">
    <mergeCell ref="A1:Q1"/>
    <mergeCell ref="A2:C2"/>
    <mergeCell ref="D2:Q2"/>
    <mergeCell ref="A3:C3"/>
    <mergeCell ref="D3:Q3"/>
    <mergeCell ref="A4:C4"/>
    <mergeCell ref="D4:F4"/>
    <mergeCell ref="G4:I4"/>
    <mergeCell ref="J4:L4"/>
    <mergeCell ref="M4:O4"/>
    <mergeCell ref="D5:E5"/>
    <mergeCell ref="G5:H5"/>
    <mergeCell ref="J5:K5"/>
    <mergeCell ref="M5:N5"/>
    <mergeCell ref="A46:Q46"/>
    <mergeCell ref="A47:Q47"/>
    <mergeCell ref="D48:Q48"/>
    <mergeCell ref="D49:Q49"/>
    <mergeCell ref="A50:C50"/>
    <mergeCell ref="D50:Q50"/>
    <mergeCell ref="D51:Q51"/>
    <mergeCell ref="D52:Q52"/>
    <mergeCell ref="D53:Q53"/>
    <mergeCell ref="A54:C54"/>
    <mergeCell ref="D54:Q54"/>
    <mergeCell ref="A55:C55"/>
    <mergeCell ref="D55:Q55"/>
    <mergeCell ref="A56:C56"/>
    <mergeCell ref="D56:Q56"/>
    <mergeCell ref="D57:Q57"/>
    <mergeCell ref="D58:Q58"/>
    <mergeCell ref="D59:Q59"/>
    <mergeCell ref="D60:Q60"/>
    <mergeCell ref="A61:C61"/>
    <mergeCell ref="D61:Q61"/>
    <mergeCell ref="D62:Q62"/>
    <mergeCell ref="D63:Q63"/>
    <mergeCell ref="D64:Q64"/>
    <mergeCell ref="A5:A6"/>
    <mergeCell ref="A7:A25"/>
    <mergeCell ref="A26:A44"/>
    <mergeCell ref="B5:B6"/>
    <mergeCell ref="C5:C6"/>
    <mergeCell ref="P4:P6"/>
    <mergeCell ref="P7:P44"/>
    <mergeCell ref="Q4:Q6"/>
    <mergeCell ref="Q7:Q45"/>
    <mergeCell ref="A48:C49"/>
    <mergeCell ref="A51:C53"/>
    <mergeCell ref="A57:C60"/>
    <mergeCell ref="A62:C64"/>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H22"/>
  <sheetViews>
    <sheetView showGridLines="0" zoomScale="85" zoomScaleNormal="85" workbookViewId="0">
      <pane ySplit="3" topLeftCell="A4" activePane="bottomLeft" state="frozen"/>
      <selection/>
      <selection pane="bottomLeft" activeCell="A1" sqref="A1:H1"/>
    </sheetView>
  </sheetViews>
  <sheetFormatPr defaultColWidth="9" defaultRowHeight="14.25" outlineLevelCol="7"/>
  <cols>
    <col min="1" max="1" width="25.6333333333333" style="107" customWidth="1"/>
    <col min="2" max="7" width="18.6333333333333" style="107" customWidth="1"/>
    <col min="8" max="8" width="28" style="107" customWidth="1"/>
    <col min="9" max="9" width="11.5" style="107"/>
    <col min="10" max="16384" width="9" style="107"/>
  </cols>
  <sheetData>
    <row r="1" s="107" customFormat="1" ht="100.05" customHeight="1" spans="1:8">
      <c r="A1" s="64" t="str">
        <f>_xlfn.DISPIMG("ID_D6697A225B864C34A678052B48D4E660",1)</f>
        <v>=DISPIMG("ID_D6697A225B864C34A678052B48D4E660",1)</v>
      </c>
      <c r="B1" s="108"/>
      <c r="C1" s="108"/>
      <c r="D1" s="108"/>
      <c r="E1" s="108"/>
      <c r="F1" s="108"/>
      <c r="G1" s="108"/>
      <c r="H1" s="108"/>
    </row>
    <row r="2" s="107" customFormat="1" ht="30" customHeight="1" spans="1:8">
      <c r="A2" s="109" t="s">
        <v>409</v>
      </c>
      <c r="B2" s="109"/>
      <c r="C2" s="109"/>
      <c r="D2" s="109"/>
      <c r="E2" s="109"/>
      <c r="F2" s="109"/>
      <c r="G2" s="109"/>
      <c r="H2" s="109"/>
    </row>
    <row r="3" s="107" customFormat="1" ht="30" customHeight="1" spans="1:8">
      <c r="A3" s="110" t="s">
        <v>410</v>
      </c>
      <c r="B3" s="111" t="s">
        <v>411</v>
      </c>
      <c r="C3" s="111"/>
      <c r="D3" s="111"/>
      <c r="E3" s="112" t="s">
        <v>412</v>
      </c>
      <c r="F3" s="112"/>
      <c r="G3" s="112"/>
      <c r="H3" s="110" t="s">
        <v>413</v>
      </c>
    </row>
    <row r="4" s="107" customFormat="1" ht="36.75" spans="1:8">
      <c r="A4" s="113" t="s">
        <v>414</v>
      </c>
      <c r="B4" s="114" t="s">
        <v>415</v>
      </c>
      <c r="C4" s="114"/>
      <c r="D4" s="114"/>
      <c r="E4" s="114" t="s">
        <v>416</v>
      </c>
      <c r="F4" s="114"/>
      <c r="G4" s="114"/>
      <c r="H4" s="115" t="s">
        <v>100</v>
      </c>
    </row>
    <row r="5" s="107" customFormat="1" ht="20" customHeight="1" spans="1:8">
      <c r="A5" s="113"/>
      <c r="B5" s="113"/>
      <c r="C5" s="113"/>
      <c r="D5" s="113"/>
      <c r="E5" s="113"/>
      <c r="F5" s="113"/>
      <c r="G5" s="113"/>
      <c r="H5" s="113"/>
    </row>
    <row r="6" s="107" customFormat="1" ht="30" customHeight="1" spans="1:8">
      <c r="A6" s="109" t="s">
        <v>417</v>
      </c>
      <c r="B6" s="109"/>
      <c r="C6" s="109"/>
      <c r="D6" s="109"/>
      <c r="E6" s="109"/>
      <c r="F6" s="109"/>
      <c r="G6" s="109"/>
      <c r="H6" s="109"/>
    </row>
    <row r="7" s="107" customFormat="1" ht="30" customHeight="1" spans="1:8">
      <c r="A7" s="110" t="s">
        <v>410</v>
      </c>
      <c r="B7" s="111" t="s">
        <v>411</v>
      </c>
      <c r="C7" s="111"/>
      <c r="D7" s="111"/>
      <c r="E7" s="112" t="s">
        <v>412</v>
      </c>
      <c r="F7" s="112"/>
      <c r="G7" s="112"/>
      <c r="H7" s="110" t="s">
        <v>413</v>
      </c>
    </row>
    <row r="8" s="107" customFormat="1" ht="36.75" spans="1:8">
      <c r="A8" s="113" t="s">
        <v>414</v>
      </c>
      <c r="B8" s="116" t="s">
        <v>418</v>
      </c>
      <c r="C8" s="116"/>
      <c r="D8" s="116"/>
      <c r="E8" s="116" t="s">
        <v>419</v>
      </c>
      <c r="F8" s="116"/>
      <c r="G8" s="116"/>
      <c r="H8" s="115" t="s">
        <v>100</v>
      </c>
    </row>
    <row r="9" s="107" customFormat="1" ht="22.5" spans="1:8">
      <c r="A9" s="117" t="s">
        <v>420</v>
      </c>
      <c r="B9" s="118"/>
      <c r="C9" s="118"/>
      <c r="D9" s="118"/>
      <c r="E9" s="118"/>
      <c r="F9" s="118"/>
      <c r="G9" s="118"/>
      <c r="H9" s="118"/>
    </row>
    <row r="10" s="107" customFormat="1" ht="22.5" spans="1:8">
      <c r="A10" s="117" t="s">
        <v>421</v>
      </c>
      <c r="B10" s="117"/>
      <c r="C10" s="117"/>
      <c r="D10" s="117"/>
      <c r="E10" s="117"/>
      <c r="F10" s="117"/>
      <c r="G10" s="117"/>
      <c r="H10" s="117"/>
    </row>
    <row r="11" s="107" customFormat="1" ht="85.2" customHeight="1" spans="1:8">
      <c r="A11" s="119" t="s">
        <v>422</v>
      </c>
      <c r="B11" s="118"/>
      <c r="C11" s="118"/>
      <c r="D11" s="118"/>
      <c r="E11" s="118"/>
      <c r="F11" s="118"/>
      <c r="G11" s="118"/>
      <c r="H11" s="118"/>
    </row>
    <row r="12" s="107" customFormat="1" ht="30" customHeight="1" spans="1:8">
      <c r="A12" s="120" t="s">
        <v>423</v>
      </c>
      <c r="B12" s="121" t="s">
        <v>424</v>
      </c>
      <c r="C12" s="121"/>
      <c r="D12" s="121"/>
      <c r="E12" s="121"/>
      <c r="F12" s="121"/>
      <c r="G12" s="121"/>
      <c r="H12" s="121"/>
    </row>
    <row r="13" s="107" customFormat="1" ht="30" customHeight="1" spans="1:8">
      <c r="A13" s="122" t="s">
        <v>425</v>
      </c>
      <c r="B13" s="123" t="s">
        <v>426</v>
      </c>
      <c r="C13" s="123"/>
      <c r="D13" s="123"/>
      <c r="E13" s="123"/>
      <c r="F13" s="123"/>
      <c r="G13" s="123"/>
      <c r="H13" s="123"/>
    </row>
    <row r="14" s="107" customFormat="1" ht="30" customHeight="1" spans="1:8">
      <c r="A14" s="122" t="s">
        <v>427</v>
      </c>
      <c r="B14" s="123" t="s">
        <v>428</v>
      </c>
      <c r="C14" s="123"/>
      <c r="D14" s="123"/>
      <c r="E14" s="123"/>
      <c r="F14" s="123"/>
      <c r="G14" s="123"/>
      <c r="H14" s="123"/>
    </row>
    <row r="15" s="107" customFormat="1" ht="30" customHeight="1" spans="1:8">
      <c r="A15" s="122" t="s">
        <v>429</v>
      </c>
      <c r="B15" s="123" t="s">
        <v>430</v>
      </c>
      <c r="C15" s="123"/>
      <c r="D15" s="123"/>
      <c r="E15" s="123"/>
      <c r="F15" s="123"/>
      <c r="G15" s="123"/>
      <c r="H15" s="123"/>
    </row>
    <row r="16" s="107" customFormat="1" ht="30" customHeight="1" spans="1:8">
      <c r="A16" s="122" t="s">
        <v>431</v>
      </c>
      <c r="B16" s="123" t="s">
        <v>432</v>
      </c>
      <c r="C16" s="123"/>
      <c r="D16" s="123"/>
      <c r="E16" s="123"/>
      <c r="F16" s="123"/>
      <c r="G16" s="123"/>
      <c r="H16" s="123"/>
    </row>
    <row r="17" s="107" customFormat="1" ht="30" customHeight="1" spans="1:8">
      <c r="A17" s="122" t="s">
        <v>265</v>
      </c>
      <c r="B17" s="123" t="s">
        <v>433</v>
      </c>
      <c r="C17" s="123"/>
      <c r="D17" s="123"/>
      <c r="E17" s="123"/>
      <c r="F17" s="123"/>
      <c r="G17" s="123"/>
      <c r="H17" s="123"/>
    </row>
    <row r="18" s="107" customFormat="1" ht="40" customHeight="1" spans="1:8">
      <c r="A18" s="122" t="s">
        <v>434</v>
      </c>
      <c r="B18" s="124" t="s">
        <v>435</v>
      </c>
      <c r="C18" s="124"/>
      <c r="D18" s="124"/>
      <c r="E18" s="124"/>
      <c r="F18" s="124"/>
      <c r="G18" s="124"/>
      <c r="H18" s="124"/>
    </row>
    <row r="19" s="107" customFormat="1" ht="250" customHeight="1" spans="1:8">
      <c r="A19" s="122" t="s">
        <v>436</v>
      </c>
      <c r="B19" s="125" t="s">
        <v>437</v>
      </c>
      <c r="C19" s="125"/>
      <c r="D19" s="125"/>
      <c r="E19" s="125"/>
      <c r="F19" s="125"/>
      <c r="G19" s="125"/>
      <c r="H19" s="125"/>
    </row>
    <row r="20" s="107" customFormat="1" ht="110" customHeight="1" spans="1:8">
      <c r="A20" s="126" t="s">
        <v>438</v>
      </c>
      <c r="B20" s="124" t="s">
        <v>439</v>
      </c>
      <c r="C20" s="124"/>
      <c r="D20" s="124"/>
      <c r="E20" s="124"/>
      <c r="F20" s="124"/>
      <c r="G20" s="124"/>
      <c r="H20" s="124"/>
    </row>
    <row r="21" s="107" customFormat="1" ht="30" customHeight="1" spans="1:8">
      <c r="A21" s="126" t="s">
        <v>440</v>
      </c>
      <c r="B21" s="127" t="s">
        <v>441</v>
      </c>
      <c r="C21" s="127"/>
      <c r="D21" s="127"/>
      <c r="E21" s="127"/>
      <c r="F21" s="127"/>
      <c r="G21" s="127"/>
      <c r="H21" s="127"/>
    </row>
    <row r="22" s="107" customFormat="1" ht="33" customHeight="1" spans="1:8">
      <c r="A22" s="128" t="s">
        <v>442</v>
      </c>
      <c r="B22" s="128"/>
      <c r="C22" s="128"/>
      <c r="D22" s="128"/>
      <c r="E22" s="128"/>
      <c r="F22" s="128"/>
      <c r="G22" s="128"/>
      <c r="H22" s="128"/>
    </row>
  </sheetData>
  <mergeCells count="26">
    <mergeCell ref="A1:H1"/>
    <mergeCell ref="A2:H2"/>
    <mergeCell ref="B3:D3"/>
    <mergeCell ref="E3:G3"/>
    <mergeCell ref="B4:D4"/>
    <mergeCell ref="E4:G4"/>
    <mergeCell ref="A5:H5"/>
    <mergeCell ref="A6:H6"/>
    <mergeCell ref="B7:D7"/>
    <mergeCell ref="E7:G7"/>
    <mergeCell ref="B8:D8"/>
    <mergeCell ref="E8:G8"/>
    <mergeCell ref="A9:H9"/>
    <mergeCell ref="A10:H10"/>
    <mergeCell ref="A11:H11"/>
    <mergeCell ref="B12:H12"/>
    <mergeCell ref="B13:H13"/>
    <mergeCell ref="B14:H14"/>
    <mergeCell ref="B15:H15"/>
    <mergeCell ref="B16:H16"/>
    <mergeCell ref="B17:H17"/>
    <mergeCell ref="B18:H18"/>
    <mergeCell ref="B19:H19"/>
    <mergeCell ref="B20:H20"/>
    <mergeCell ref="B21:H21"/>
    <mergeCell ref="A22:H2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K34"/>
  <sheetViews>
    <sheetView showGridLines="0" zoomScale="70" zoomScaleNormal="70" workbookViewId="0">
      <pane xSplit="1" ySplit="1" topLeftCell="B2" activePane="bottomRight" state="frozen"/>
      <selection/>
      <selection pane="topRight"/>
      <selection pane="bottomLeft"/>
      <selection pane="bottomRight" activeCell="A1" sqref="A1:K1"/>
    </sheetView>
  </sheetViews>
  <sheetFormatPr defaultColWidth="9" defaultRowHeight="16.5"/>
  <cols>
    <col min="1" max="1" width="45.625" style="62" customWidth="1"/>
    <col min="2" max="9" width="13.625" style="60" customWidth="1"/>
    <col min="10" max="10" width="15.625" style="60" customWidth="1"/>
    <col min="11" max="11" width="20.625" style="60" customWidth="1"/>
    <col min="12" max="16384" width="9" style="60"/>
  </cols>
  <sheetData>
    <row r="1" s="60" customFormat="1" ht="100.05" customHeight="1" spans="1:11">
      <c r="A1" s="64" t="str">
        <f>_xlfn.DISPIMG("ID_D6697A225B864C34A678052B48D4E660",1)</f>
        <v>=DISPIMG("ID_D6697A225B864C34A678052B48D4E660",1)</v>
      </c>
      <c r="B1" s="64"/>
      <c r="C1" s="64"/>
      <c r="D1" s="64"/>
      <c r="E1" s="64"/>
      <c r="F1" s="64"/>
      <c r="G1" s="64"/>
      <c r="H1" s="64"/>
      <c r="I1" s="64"/>
      <c r="J1" s="64"/>
      <c r="K1" s="64"/>
    </row>
    <row r="2" s="48" customFormat="1" ht="30" customHeight="1" spans="1:11">
      <c r="A2" s="65" t="s">
        <v>3</v>
      </c>
      <c r="B2" s="66" t="s">
        <v>443</v>
      </c>
      <c r="C2" s="66"/>
      <c r="D2" s="66"/>
      <c r="E2" s="66"/>
      <c r="F2" s="66"/>
      <c r="G2" s="66"/>
      <c r="H2" s="66"/>
      <c r="I2" s="66"/>
      <c r="J2" s="66"/>
      <c r="K2" s="66"/>
    </row>
    <row r="3" s="48" customFormat="1" ht="30" customHeight="1" spans="1:11">
      <c r="A3" s="65" t="s">
        <v>290</v>
      </c>
      <c r="B3" s="95" t="s">
        <v>444</v>
      </c>
      <c r="C3" s="95"/>
      <c r="D3" s="95"/>
      <c r="E3" s="95"/>
      <c r="F3" s="95"/>
      <c r="G3" s="95"/>
      <c r="H3" s="95"/>
      <c r="I3" s="95"/>
      <c r="J3" s="95"/>
      <c r="K3" s="95"/>
    </row>
    <row r="4" s="48" customFormat="1" ht="30" customHeight="1" spans="1:11">
      <c r="A4" s="68" t="s">
        <v>227</v>
      </c>
      <c r="B4" s="69" t="s">
        <v>228</v>
      </c>
      <c r="C4" s="69"/>
      <c r="D4" s="69" t="s">
        <v>229</v>
      </c>
      <c r="E4" s="69"/>
      <c r="F4" s="69" t="s">
        <v>230</v>
      </c>
      <c r="G4" s="69"/>
      <c r="H4" s="69" t="s">
        <v>231</v>
      </c>
      <c r="I4" s="69"/>
      <c r="J4" s="96" t="s">
        <v>232</v>
      </c>
      <c r="K4" s="67" t="s">
        <v>233</v>
      </c>
    </row>
    <row r="5" s="61" customFormat="1" ht="30" customHeight="1" spans="1:11">
      <c r="A5" s="67"/>
      <c r="B5" s="70" t="s">
        <v>445</v>
      </c>
      <c r="C5" s="70" t="s">
        <v>446</v>
      </c>
      <c r="D5" s="70" t="s">
        <v>445</v>
      </c>
      <c r="E5" s="70" t="s">
        <v>446</v>
      </c>
      <c r="F5" s="70" t="s">
        <v>445</v>
      </c>
      <c r="G5" s="70" t="s">
        <v>446</v>
      </c>
      <c r="H5" s="70" t="s">
        <v>445</v>
      </c>
      <c r="I5" s="70" t="s">
        <v>446</v>
      </c>
      <c r="J5" s="96"/>
      <c r="K5" s="67"/>
    </row>
    <row r="6" s="62" customFormat="1" ht="28.2" customHeight="1" spans="1:11">
      <c r="A6" s="79" t="s">
        <v>447</v>
      </c>
      <c r="B6" s="97">
        <v>10.5</v>
      </c>
      <c r="C6" s="97">
        <f t="shared" ref="C6:C11" si="0">B6-0.2</f>
        <v>10.3</v>
      </c>
      <c r="D6" s="97">
        <f t="shared" ref="D6:D11" si="1">B6+0.5</f>
        <v>11</v>
      </c>
      <c r="E6" s="97">
        <f t="shared" ref="E6:E11" si="2">D6-0.2</f>
        <v>10.8</v>
      </c>
      <c r="F6" s="98">
        <f t="shared" ref="F6:F11" si="3">B6+0.6</f>
        <v>11.1</v>
      </c>
      <c r="G6" s="97">
        <f t="shared" ref="G6:G11" si="4">F6-0.2</f>
        <v>10.9</v>
      </c>
      <c r="H6" s="98">
        <f t="shared" ref="H6:H11" si="5">B6+1</f>
        <v>11.5</v>
      </c>
      <c r="I6" s="97">
        <f t="shared" ref="I6:I11" si="6">H6-0.2</f>
        <v>11.3</v>
      </c>
      <c r="J6" s="99" t="s">
        <v>239</v>
      </c>
      <c r="K6" s="99" t="s">
        <v>51</v>
      </c>
    </row>
    <row r="7" s="62" customFormat="1" ht="36" customHeight="1" spans="1:11">
      <c r="A7" s="79" t="s">
        <v>448</v>
      </c>
      <c r="B7" s="97">
        <v>10.6</v>
      </c>
      <c r="C7" s="97">
        <f t="shared" si="0"/>
        <v>10.4</v>
      </c>
      <c r="D7" s="97">
        <f t="shared" si="1"/>
        <v>11.1</v>
      </c>
      <c r="E7" s="97">
        <f t="shared" si="2"/>
        <v>10.9</v>
      </c>
      <c r="F7" s="98">
        <f t="shared" si="3"/>
        <v>11.2</v>
      </c>
      <c r="G7" s="97">
        <f t="shared" si="4"/>
        <v>11</v>
      </c>
      <c r="H7" s="98">
        <f t="shared" si="5"/>
        <v>11.6</v>
      </c>
      <c r="I7" s="97">
        <f t="shared" si="6"/>
        <v>11.4</v>
      </c>
      <c r="J7" s="99"/>
      <c r="K7" s="99" t="s">
        <v>51</v>
      </c>
    </row>
    <row r="8" s="62" customFormat="1" ht="28.2" customHeight="1" spans="1:11">
      <c r="A8" s="79" t="s">
        <v>449</v>
      </c>
      <c r="B8" s="97">
        <v>11.2</v>
      </c>
      <c r="C8" s="97">
        <f t="shared" si="0"/>
        <v>11</v>
      </c>
      <c r="D8" s="97">
        <f t="shared" si="1"/>
        <v>11.7</v>
      </c>
      <c r="E8" s="97">
        <f t="shared" si="2"/>
        <v>11.5</v>
      </c>
      <c r="F8" s="98">
        <f t="shared" si="3"/>
        <v>11.8</v>
      </c>
      <c r="G8" s="97">
        <f t="shared" si="4"/>
        <v>11.6</v>
      </c>
      <c r="H8" s="98">
        <f t="shared" si="5"/>
        <v>12.2</v>
      </c>
      <c r="I8" s="97">
        <f t="shared" si="6"/>
        <v>12</v>
      </c>
      <c r="J8" s="99"/>
      <c r="K8" s="99" t="s">
        <v>51</v>
      </c>
    </row>
    <row r="9" s="62" customFormat="1" ht="28.2" customHeight="1" spans="1:11">
      <c r="A9" s="79" t="s">
        <v>450</v>
      </c>
      <c r="B9" s="97">
        <v>11.4</v>
      </c>
      <c r="C9" s="97">
        <f t="shared" si="0"/>
        <v>11.2</v>
      </c>
      <c r="D9" s="97">
        <f t="shared" si="1"/>
        <v>11.9</v>
      </c>
      <c r="E9" s="97">
        <f t="shared" si="2"/>
        <v>11.7</v>
      </c>
      <c r="F9" s="98">
        <f t="shared" si="3"/>
        <v>12</v>
      </c>
      <c r="G9" s="97">
        <f t="shared" si="4"/>
        <v>11.8</v>
      </c>
      <c r="H9" s="98">
        <f t="shared" si="5"/>
        <v>12.4</v>
      </c>
      <c r="I9" s="97">
        <f t="shared" si="6"/>
        <v>12.2</v>
      </c>
      <c r="J9" s="99" t="s">
        <v>245</v>
      </c>
      <c r="K9" s="99" t="s">
        <v>51</v>
      </c>
    </row>
    <row r="10" s="62" customFormat="1" ht="28.2" customHeight="1" spans="1:11">
      <c r="A10" s="79" t="s">
        <v>451</v>
      </c>
      <c r="B10" s="97">
        <v>11.4</v>
      </c>
      <c r="C10" s="97">
        <f t="shared" si="0"/>
        <v>11.2</v>
      </c>
      <c r="D10" s="97">
        <f t="shared" si="1"/>
        <v>11.9</v>
      </c>
      <c r="E10" s="97">
        <f t="shared" si="2"/>
        <v>11.7</v>
      </c>
      <c r="F10" s="98">
        <f t="shared" si="3"/>
        <v>12</v>
      </c>
      <c r="G10" s="97">
        <f t="shared" si="4"/>
        <v>11.8</v>
      </c>
      <c r="H10" s="98">
        <f t="shared" si="5"/>
        <v>12.4</v>
      </c>
      <c r="I10" s="97">
        <f t="shared" si="6"/>
        <v>12.2</v>
      </c>
      <c r="J10" s="99"/>
      <c r="K10" s="99" t="s">
        <v>51</v>
      </c>
    </row>
    <row r="11" s="62" customFormat="1" ht="28.2" customHeight="1" spans="1:11">
      <c r="A11" s="79" t="s">
        <v>452</v>
      </c>
      <c r="B11" s="97">
        <v>12.3</v>
      </c>
      <c r="C11" s="97">
        <f t="shared" si="0"/>
        <v>12.1</v>
      </c>
      <c r="D11" s="97">
        <f t="shared" si="1"/>
        <v>12.8</v>
      </c>
      <c r="E11" s="97">
        <f t="shared" si="2"/>
        <v>12.6</v>
      </c>
      <c r="F11" s="98">
        <f t="shared" si="3"/>
        <v>12.9</v>
      </c>
      <c r="G11" s="97">
        <f t="shared" si="4"/>
        <v>12.7</v>
      </c>
      <c r="H11" s="98">
        <f t="shared" si="5"/>
        <v>13.3</v>
      </c>
      <c r="I11" s="97">
        <f t="shared" si="6"/>
        <v>13.1</v>
      </c>
      <c r="J11" s="99"/>
      <c r="K11" s="99" t="s">
        <v>51</v>
      </c>
    </row>
    <row r="12" s="62" customFormat="1" ht="28.2" customHeight="1" spans="1:11">
      <c r="A12" s="100" t="s">
        <v>261</v>
      </c>
      <c r="B12" s="100"/>
      <c r="C12" s="100"/>
      <c r="D12" s="100"/>
      <c r="E12" s="100"/>
      <c r="F12" s="100"/>
      <c r="G12" s="100"/>
      <c r="H12" s="100"/>
      <c r="I12" s="100"/>
      <c r="J12" s="100"/>
      <c r="K12" s="100"/>
    </row>
    <row r="13" s="62" customFormat="1" ht="26" customHeight="1" spans="1:11">
      <c r="A13" s="101" t="s">
        <v>262</v>
      </c>
      <c r="B13" s="101"/>
      <c r="C13" s="101"/>
      <c r="D13" s="101"/>
      <c r="E13" s="101"/>
      <c r="F13" s="101"/>
      <c r="G13" s="101"/>
      <c r="H13" s="101"/>
      <c r="I13" s="101"/>
      <c r="J13" s="101"/>
      <c r="K13" s="101"/>
    </row>
    <row r="14" ht="34" customHeight="1" spans="1:11">
      <c r="A14" s="102" t="s">
        <v>263</v>
      </c>
      <c r="B14" s="103" t="s">
        <v>303</v>
      </c>
      <c r="C14" s="103"/>
      <c r="D14" s="103"/>
      <c r="E14" s="103"/>
      <c r="F14" s="103"/>
      <c r="G14" s="103"/>
      <c r="H14" s="103"/>
      <c r="I14" s="103"/>
      <c r="J14" s="103"/>
      <c r="K14" s="103"/>
    </row>
    <row r="15" ht="34" customHeight="1" spans="1:11">
      <c r="A15" s="102"/>
      <c r="B15" s="87" t="s">
        <v>304</v>
      </c>
      <c r="C15" s="87"/>
      <c r="D15" s="87"/>
      <c r="E15" s="87"/>
      <c r="F15" s="87"/>
      <c r="G15" s="87"/>
      <c r="H15" s="87"/>
      <c r="I15" s="87"/>
      <c r="J15" s="87"/>
      <c r="K15" s="87"/>
    </row>
    <row r="16" ht="34" customHeight="1" spans="1:11">
      <c r="A16" s="102"/>
      <c r="B16" s="104" t="s">
        <v>453</v>
      </c>
      <c r="C16" s="104"/>
      <c r="D16" s="104"/>
      <c r="E16" s="104"/>
      <c r="F16" s="104"/>
      <c r="G16" s="104"/>
      <c r="H16" s="104"/>
      <c r="I16" s="104"/>
      <c r="J16" s="104"/>
      <c r="K16" s="104"/>
    </row>
    <row r="17" ht="34" customHeight="1" spans="1:11">
      <c r="A17" s="105" t="s">
        <v>265</v>
      </c>
      <c r="B17" s="87" t="s">
        <v>454</v>
      </c>
      <c r="C17" s="87"/>
      <c r="D17" s="87"/>
      <c r="E17" s="87"/>
      <c r="F17" s="87"/>
      <c r="G17" s="87"/>
      <c r="H17" s="87"/>
      <c r="I17" s="87"/>
      <c r="J17" s="87"/>
      <c r="K17" s="87"/>
    </row>
    <row r="18" ht="50" customHeight="1" spans="1:11">
      <c r="A18" s="105" t="s">
        <v>306</v>
      </c>
      <c r="B18" s="87" t="s">
        <v>307</v>
      </c>
      <c r="C18" s="87"/>
      <c r="D18" s="87"/>
      <c r="E18" s="87"/>
      <c r="F18" s="87"/>
      <c r="G18" s="87"/>
      <c r="H18" s="87"/>
      <c r="I18" s="87"/>
      <c r="J18" s="87"/>
      <c r="K18" s="87"/>
    </row>
    <row r="19" ht="56" customHeight="1" spans="1:11">
      <c r="A19" s="105"/>
      <c r="B19" s="87" t="s">
        <v>308</v>
      </c>
      <c r="C19" s="87"/>
      <c r="D19" s="87"/>
      <c r="E19" s="87"/>
      <c r="F19" s="87"/>
      <c r="G19" s="87"/>
      <c r="H19" s="87"/>
      <c r="I19" s="87"/>
      <c r="J19" s="87"/>
      <c r="K19" s="87"/>
    </row>
    <row r="20" ht="26" customHeight="1" spans="1:11">
      <c r="A20" s="105"/>
      <c r="B20" s="87" t="s">
        <v>309</v>
      </c>
      <c r="C20" s="87"/>
      <c r="D20" s="87"/>
      <c r="E20" s="87"/>
      <c r="F20" s="87"/>
      <c r="G20" s="87"/>
      <c r="H20" s="87"/>
      <c r="I20" s="87"/>
      <c r="J20" s="87"/>
      <c r="K20" s="87"/>
    </row>
    <row r="21" ht="43" customHeight="1" spans="1:11">
      <c r="A21" s="105" t="s">
        <v>272</v>
      </c>
      <c r="B21" s="87" t="s">
        <v>273</v>
      </c>
      <c r="C21" s="87"/>
      <c r="D21" s="87"/>
      <c r="E21" s="87"/>
      <c r="F21" s="87"/>
      <c r="G21" s="87"/>
      <c r="H21" s="87"/>
      <c r="I21" s="87"/>
      <c r="J21" s="87"/>
      <c r="K21" s="87"/>
    </row>
    <row r="22" s="60" customFormat="1" ht="34" customHeight="1" spans="1:11">
      <c r="A22" s="105" t="s">
        <v>274</v>
      </c>
      <c r="B22" s="106" t="s">
        <v>275</v>
      </c>
      <c r="C22" s="106"/>
      <c r="D22" s="106"/>
      <c r="E22" s="106"/>
      <c r="F22" s="106"/>
      <c r="G22" s="106"/>
      <c r="H22" s="106"/>
      <c r="I22" s="106"/>
      <c r="J22" s="106"/>
      <c r="K22" s="106"/>
    </row>
    <row r="23" ht="34" customHeight="1" spans="1:11">
      <c r="A23" s="105" t="s">
        <v>276</v>
      </c>
      <c r="B23" s="87" t="s">
        <v>310</v>
      </c>
      <c r="C23" s="87"/>
      <c r="D23" s="87"/>
      <c r="E23" s="87"/>
      <c r="F23" s="87"/>
      <c r="G23" s="87"/>
      <c r="H23" s="87"/>
      <c r="I23" s="87"/>
      <c r="J23" s="87"/>
      <c r="K23" s="87"/>
    </row>
    <row r="24" ht="34" customHeight="1" spans="1:11">
      <c r="A24" s="105" t="s">
        <v>323</v>
      </c>
      <c r="B24" s="87" t="s">
        <v>455</v>
      </c>
      <c r="C24" s="87"/>
      <c r="D24" s="87"/>
      <c r="E24" s="87"/>
      <c r="F24" s="87"/>
      <c r="G24" s="87"/>
      <c r="H24" s="87"/>
      <c r="I24" s="87"/>
      <c r="J24" s="87"/>
      <c r="K24" s="87"/>
    </row>
    <row r="25" ht="72" customHeight="1" spans="1:11">
      <c r="A25" s="105"/>
      <c r="B25" s="87" t="s">
        <v>456</v>
      </c>
      <c r="C25" s="87"/>
      <c r="D25" s="87"/>
      <c r="E25" s="87"/>
      <c r="F25" s="87"/>
      <c r="G25" s="87"/>
      <c r="H25" s="87"/>
      <c r="I25" s="87"/>
      <c r="J25" s="87"/>
      <c r="K25" s="87"/>
    </row>
    <row r="26" ht="75" customHeight="1" spans="1:11">
      <c r="A26" s="105"/>
      <c r="B26" s="87" t="s">
        <v>457</v>
      </c>
      <c r="C26" s="87"/>
      <c r="D26" s="87"/>
      <c r="E26" s="87"/>
      <c r="F26" s="87"/>
      <c r="G26" s="87"/>
      <c r="H26" s="87"/>
      <c r="I26" s="87"/>
      <c r="J26" s="87"/>
      <c r="K26" s="87"/>
    </row>
    <row r="27" ht="34" customHeight="1" spans="1:11">
      <c r="A27" s="105" t="s">
        <v>283</v>
      </c>
      <c r="B27" s="87" t="s">
        <v>284</v>
      </c>
      <c r="C27" s="87"/>
      <c r="D27" s="87"/>
      <c r="E27" s="87"/>
      <c r="F27" s="87"/>
      <c r="G27" s="87"/>
      <c r="H27" s="87"/>
      <c r="I27" s="87"/>
      <c r="J27" s="87"/>
      <c r="K27" s="87"/>
    </row>
    <row r="28" ht="120" customHeight="1" spans="1:11">
      <c r="A28" s="105" t="s">
        <v>285</v>
      </c>
      <c r="B28" s="87" t="s">
        <v>286</v>
      </c>
      <c r="C28" s="87"/>
      <c r="D28" s="87"/>
      <c r="E28" s="87"/>
      <c r="F28" s="87"/>
      <c r="G28" s="87"/>
      <c r="H28" s="87"/>
      <c r="I28" s="87"/>
      <c r="J28" s="87"/>
      <c r="K28" s="87"/>
    </row>
    <row r="29" ht="34" customHeight="1" spans="1:11">
      <c r="A29" s="105"/>
      <c r="B29" s="87" t="s">
        <v>287</v>
      </c>
      <c r="C29" s="87"/>
      <c r="D29" s="87"/>
      <c r="E29" s="87"/>
      <c r="F29" s="87"/>
      <c r="G29" s="87"/>
      <c r="H29" s="87"/>
      <c r="I29" s="87"/>
      <c r="J29" s="87"/>
      <c r="K29" s="87"/>
    </row>
    <row r="30" ht="34" customHeight="1" spans="1:11">
      <c r="A30" s="105"/>
      <c r="B30" s="87" t="s">
        <v>288</v>
      </c>
      <c r="C30" s="87"/>
      <c r="D30" s="87"/>
      <c r="E30" s="87"/>
      <c r="F30" s="87"/>
      <c r="G30" s="87"/>
      <c r="H30" s="87"/>
      <c r="I30" s="87"/>
      <c r="J30" s="87"/>
      <c r="K30" s="87"/>
    </row>
    <row r="31" ht="34" customHeight="1"/>
    <row r="32" ht="34" customHeight="1"/>
    <row r="33" ht="34" customHeight="1"/>
    <row r="34" ht="34" customHeight="1"/>
  </sheetData>
  <mergeCells count="34">
    <mergeCell ref="A1:K1"/>
    <mergeCell ref="B2:K2"/>
    <mergeCell ref="B3:K3"/>
    <mergeCell ref="B4:C4"/>
    <mergeCell ref="D4:E4"/>
    <mergeCell ref="F4:G4"/>
    <mergeCell ref="H4:I4"/>
    <mergeCell ref="A12:K12"/>
    <mergeCell ref="A13:K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A14:A16"/>
    <mergeCell ref="A18:A20"/>
    <mergeCell ref="A24:A26"/>
    <mergeCell ref="A28:A30"/>
    <mergeCell ref="J4:J5"/>
    <mergeCell ref="J6:J8"/>
    <mergeCell ref="J9:J11"/>
    <mergeCell ref="K4:K5"/>
  </mergeCells>
  <hyperlinks>
    <hyperlink ref="B16:K16" location="DG货物包装和文件要求!A1" display="出货前请仔细阅读【DG货物包装和文件要求】点击此处跳转"/>
  </hyperlinks>
  <pageMargins left="0.75" right="0.75" top="1" bottom="1" header="0.5" footer="0.5"/>
  <headerFooter/>
  <ignoredErrors>
    <ignoredError sqref="F6:I11 D6:D11" formula="1"/>
  </ignoredError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E23"/>
  <sheetViews>
    <sheetView zoomScale="85" zoomScaleNormal="85" workbookViewId="0">
      <pane ySplit="3" topLeftCell="A4" activePane="bottomLeft" state="frozen"/>
      <selection/>
      <selection pane="bottomLeft" activeCell="A1" sqref="A1:D1"/>
    </sheetView>
  </sheetViews>
  <sheetFormatPr defaultColWidth="9" defaultRowHeight="16.5" outlineLevelCol="4"/>
  <cols>
    <col min="1" max="2" width="28.6333333333333" style="36" customWidth="1"/>
    <col min="3" max="3" width="20.6333333333333" style="36" customWidth="1"/>
    <col min="4" max="4" width="100.633333333333" style="36" customWidth="1"/>
    <col min="5" max="5" width="15.8833333333333" style="33" customWidth="1"/>
    <col min="6" max="30" width="8" style="33"/>
    <col min="31" max="16384" width="9" style="33"/>
  </cols>
  <sheetData>
    <row r="1" s="33" customFormat="1" ht="100.05" customHeight="1" spans="1:5">
      <c r="A1" s="37" t="str">
        <f>_xlfn.DISPIMG("ID_D6697A225B864C34A678052B48D4E660",1)</f>
        <v>=DISPIMG("ID_D6697A225B864C34A678052B48D4E660",1)</v>
      </c>
      <c r="B1" s="37"/>
      <c r="C1" s="37"/>
      <c r="D1" s="37"/>
    </row>
    <row r="2" s="34" customFormat="1" ht="30" customHeight="1" spans="1:5">
      <c r="A2" s="38" t="s">
        <v>458</v>
      </c>
      <c r="B2" s="38"/>
      <c r="C2" s="38"/>
      <c r="D2" s="38"/>
      <c r="E2" s="39"/>
    </row>
    <row r="3" s="35" customFormat="1" ht="30" customHeight="1" spans="1:5">
      <c r="A3" s="40" t="s">
        <v>459</v>
      </c>
      <c r="B3" s="40" t="s">
        <v>460</v>
      </c>
      <c r="C3" s="40" t="s">
        <v>461</v>
      </c>
      <c r="D3" s="40" t="s">
        <v>462</v>
      </c>
      <c r="E3" s="41"/>
    </row>
    <row r="4" ht="20" customHeight="1" spans="1:5">
      <c r="A4" s="40" t="s">
        <v>463</v>
      </c>
      <c r="B4" s="93" t="s">
        <v>464</v>
      </c>
      <c r="C4" s="43" t="s">
        <v>465</v>
      </c>
      <c r="D4" s="94" t="s">
        <v>466</v>
      </c>
    </row>
    <row r="5" ht="20" customHeight="1" spans="1:5">
      <c r="A5" s="40"/>
      <c r="B5" s="42"/>
      <c r="C5" s="43">
        <v>2</v>
      </c>
      <c r="D5" s="46" t="s">
        <v>467</v>
      </c>
    </row>
    <row r="6" ht="20" customHeight="1" spans="1:5">
      <c r="A6" s="40"/>
      <c r="B6" s="42"/>
      <c r="C6" s="43">
        <v>3</v>
      </c>
      <c r="D6" s="46" t="s">
        <v>468</v>
      </c>
    </row>
    <row r="7" ht="20" customHeight="1" spans="1:5">
      <c r="A7" s="40"/>
      <c r="B7" s="42"/>
      <c r="C7" s="43">
        <v>4</v>
      </c>
      <c r="D7" s="46" t="s">
        <v>469</v>
      </c>
    </row>
    <row r="8" ht="20" customHeight="1" spans="1:5">
      <c r="A8" s="40"/>
      <c r="B8" s="42"/>
      <c r="C8" s="43">
        <v>5</v>
      </c>
      <c r="D8" s="46" t="s">
        <v>470</v>
      </c>
    </row>
    <row r="9" ht="20" customHeight="1" spans="1:5">
      <c r="A9" s="40"/>
      <c r="B9" s="42"/>
      <c r="C9" s="43">
        <v>6</v>
      </c>
      <c r="D9" s="46" t="s">
        <v>471</v>
      </c>
    </row>
    <row r="10" ht="20" customHeight="1" spans="1:5">
      <c r="A10" s="40" t="s">
        <v>472</v>
      </c>
      <c r="B10" s="42" t="s">
        <v>473</v>
      </c>
      <c r="C10" s="43">
        <v>15</v>
      </c>
      <c r="D10" s="46" t="s">
        <v>474</v>
      </c>
    </row>
    <row r="11" ht="20" customHeight="1" spans="1:5">
      <c r="A11" s="40" t="s">
        <v>475</v>
      </c>
      <c r="B11" s="42" t="s">
        <v>473</v>
      </c>
      <c r="C11" s="43">
        <v>15</v>
      </c>
      <c r="D11" s="46" t="s">
        <v>474</v>
      </c>
    </row>
    <row r="12" ht="20" customHeight="1" spans="1:5">
      <c r="A12" s="40" t="s">
        <v>476</v>
      </c>
      <c r="B12" s="42" t="s">
        <v>477</v>
      </c>
      <c r="C12" s="43">
        <v>0.5</v>
      </c>
      <c r="D12" s="46"/>
    </row>
    <row r="13" ht="20" customHeight="1" spans="1:5">
      <c r="A13" s="40" t="s">
        <v>141</v>
      </c>
      <c r="B13" s="42" t="s">
        <v>478</v>
      </c>
      <c r="C13" s="43">
        <v>0.5</v>
      </c>
      <c r="D13" s="46" t="s">
        <v>479</v>
      </c>
    </row>
    <row r="14" ht="20" customHeight="1" spans="1:5">
      <c r="A14" s="40" t="s">
        <v>480</v>
      </c>
      <c r="B14" s="42" t="s">
        <v>478</v>
      </c>
      <c r="C14" s="43">
        <v>1</v>
      </c>
      <c r="D14" s="46" t="s">
        <v>479</v>
      </c>
    </row>
    <row r="15" ht="20" customHeight="1" spans="1:5">
      <c r="A15" s="40" t="s">
        <v>481</v>
      </c>
      <c r="B15" s="42" t="s">
        <v>478</v>
      </c>
      <c r="C15" s="43">
        <v>1</v>
      </c>
      <c r="D15" s="46" t="s">
        <v>482</v>
      </c>
    </row>
    <row r="16" ht="20" customHeight="1" spans="1:5">
      <c r="A16" s="40" t="s">
        <v>483</v>
      </c>
      <c r="B16" s="42" t="s">
        <v>473</v>
      </c>
      <c r="C16" s="43">
        <v>15</v>
      </c>
      <c r="D16" s="46" t="s">
        <v>484</v>
      </c>
    </row>
    <row r="17" ht="20" customHeight="1" spans="1:4">
      <c r="A17" s="40" t="s">
        <v>485</v>
      </c>
      <c r="B17" s="42" t="s">
        <v>486</v>
      </c>
      <c r="C17" s="43">
        <v>10</v>
      </c>
      <c r="D17" s="46"/>
    </row>
    <row r="18" ht="20" customHeight="1" spans="1:4">
      <c r="A18" s="40" t="s">
        <v>487</v>
      </c>
      <c r="B18" s="42" t="s">
        <v>488</v>
      </c>
      <c r="C18" s="43">
        <v>450</v>
      </c>
      <c r="D18" s="46" t="s">
        <v>489</v>
      </c>
    </row>
    <row r="19" ht="20" customHeight="1" spans="1:4">
      <c r="A19" s="40" t="s">
        <v>490</v>
      </c>
      <c r="B19" s="42" t="s">
        <v>491</v>
      </c>
      <c r="C19" s="43">
        <v>400</v>
      </c>
      <c r="D19" s="46" t="s">
        <v>492</v>
      </c>
    </row>
    <row r="20" ht="20" customHeight="1" spans="1:4">
      <c r="A20" s="40" t="s">
        <v>493</v>
      </c>
      <c r="B20" s="42" t="s">
        <v>494</v>
      </c>
      <c r="C20" s="43">
        <v>5</v>
      </c>
      <c r="D20" s="46"/>
    </row>
    <row r="21" ht="20" customHeight="1" spans="1:4">
      <c r="A21" s="40" t="s">
        <v>495</v>
      </c>
      <c r="B21" s="42" t="s">
        <v>494</v>
      </c>
      <c r="C21" s="43" t="s">
        <v>496</v>
      </c>
      <c r="D21" s="46" t="s">
        <v>497</v>
      </c>
    </row>
    <row r="22" ht="20" customHeight="1" spans="1:4">
      <c r="A22" s="40" t="s">
        <v>498</v>
      </c>
      <c r="B22" s="42" t="s">
        <v>494</v>
      </c>
      <c r="C22" s="43">
        <v>5</v>
      </c>
      <c r="D22" s="46" t="s">
        <v>499</v>
      </c>
    </row>
    <row r="23" ht="20" customHeight="1" spans="1:4">
      <c r="A23" s="40" t="s">
        <v>500</v>
      </c>
      <c r="B23" s="42" t="s">
        <v>501</v>
      </c>
      <c r="C23" s="43">
        <v>50</v>
      </c>
      <c r="D23" s="46" t="s">
        <v>502</v>
      </c>
    </row>
  </sheetData>
  <mergeCells count="4">
    <mergeCell ref="A1:D1"/>
    <mergeCell ref="A2:D2"/>
    <mergeCell ref="A4:A9"/>
    <mergeCell ref="B4:B9"/>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O38"/>
  <sheetViews>
    <sheetView showGridLines="0" zoomScale="55" zoomScaleNormal="55" workbookViewId="0">
      <pane xSplit="2" ySplit="4" topLeftCell="C5" activePane="bottomRight" state="frozen"/>
      <selection/>
      <selection pane="topRight"/>
      <selection pane="bottomLeft"/>
      <selection pane="bottomRight" activeCell="A1" sqref="A1:O1"/>
    </sheetView>
  </sheetViews>
  <sheetFormatPr defaultColWidth="9" defaultRowHeight="16.5"/>
  <cols>
    <col min="1" max="1" width="15.7833333333333" style="62" customWidth="1"/>
    <col min="2" max="2" width="65.6333333333333" style="60" customWidth="1"/>
    <col min="3" max="14" width="12.6333333333333" style="60" customWidth="1"/>
    <col min="15" max="15" width="20.6333333333333" style="60" customWidth="1"/>
    <col min="16" max="16384" width="9" style="60"/>
  </cols>
  <sheetData>
    <row r="1" s="60" customFormat="1" ht="100.05" customHeight="1" spans="1:15">
      <c r="A1" s="64" t="str">
        <f>_xlfn.DISPIMG("ID_D6697A225B864C34A678052B48D4E660",1)</f>
        <v>=DISPIMG("ID_D6697A225B864C34A678052B48D4E660",1)</v>
      </c>
      <c r="B1" s="64"/>
      <c r="C1" s="64"/>
      <c r="D1" s="64"/>
      <c r="E1" s="64"/>
      <c r="F1" s="64"/>
      <c r="G1" s="64"/>
      <c r="H1" s="64"/>
      <c r="I1" s="64"/>
      <c r="J1" s="64"/>
      <c r="K1" s="64"/>
      <c r="L1" s="64"/>
      <c r="M1" s="64"/>
      <c r="N1" s="64"/>
      <c r="O1" s="64"/>
    </row>
    <row r="2" s="48" customFormat="1" ht="40" customHeight="1" spans="1:15">
      <c r="A2" s="65" t="s">
        <v>3</v>
      </c>
      <c r="B2" s="65"/>
      <c r="C2" s="66" t="s">
        <v>503</v>
      </c>
      <c r="D2" s="66"/>
      <c r="E2" s="66"/>
      <c r="F2" s="66"/>
      <c r="G2" s="66"/>
      <c r="H2" s="66"/>
      <c r="I2" s="66"/>
      <c r="J2" s="66"/>
      <c r="K2" s="66"/>
      <c r="L2" s="66"/>
      <c r="M2" s="66"/>
      <c r="N2" s="66"/>
      <c r="O2" s="66"/>
    </row>
    <row r="3" s="48" customFormat="1" ht="40" customHeight="1" spans="1:15">
      <c r="A3" s="68" t="s">
        <v>227</v>
      </c>
      <c r="B3" s="68"/>
      <c r="C3" s="69" t="s">
        <v>228</v>
      </c>
      <c r="D3" s="69"/>
      <c r="E3" s="69"/>
      <c r="F3" s="69" t="s">
        <v>229</v>
      </c>
      <c r="G3" s="69"/>
      <c r="H3" s="69"/>
      <c r="I3" s="69" t="s">
        <v>230</v>
      </c>
      <c r="J3" s="69"/>
      <c r="K3" s="69"/>
      <c r="L3" s="69" t="s">
        <v>231</v>
      </c>
      <c r="M3" s="69"/>
      <c r="N3" s="69"/>
      <c r="O3" s="67" t="s">
        <v>504</v>
      </c>
    </row>
    <row r="4" s="61" customFormat="1" ht="40" customHeight="1" spans="1:15">
      <c r="A4" s="67" t="s">
        <v>505</v>
      </c>
      <c r="B4" s="67" t="s">
        <v>235</v>
      </c>
      <c r="C4" s="67" t="s">
        <v>506</v>
      </c>
      <c r="D4" s="70" t="s">
        <v>237</v>
      </c>
      <c r="E4" s="70" t="s">
        <v>507</v>
      </c>
      <c r="F4" s="67" t="s">
        <v>506</v>
      </c>
      <c r="G4" s="70" t="s">
        <v>237</v>
      </c>
      <c r="H4" s="70" t="s">
        <v>507</v>
      </c>
      <c r="I4" s="67" t="s">
        <v>506</v>
      </c>
      <c r="J4" s="70" t="s">
        <v>237</v>
      </c>
      <c r="K4" s="70" t="s">
        <v>507</v>
      </c>
      <c r="L4" s="67" t="s">
        <v>506</v>
      </c>
      <c r="M4" s="70" t="s">
        <v>237</v>
      </c>
      <c r="N4" s="70" t="s">
        <v>507</v>
      </c>
      <c r="O4" s="67"/>
    </row>
    <row r="5" s="62" customFormat="1" ht="50" customHeight="1" spans="1:15">
      <c r="A5" s="67" t="s">
        <v>508</v>
      </c>
      <c r="B5" s="71" t="s">
        <v>509</v>
      </c>
      <c r="C5" s="72">
        <v>50</v>
      </c>
      <c r="D5" s="72">
        <v>49.5</v>
      </c>
      <c r="E5" s="72">
        <v>48</v>
      </c>
      <c r="F5" s="72">
        <f t="shared" ref="F5:F12" si="0">C5+0.5</f>
        <v>50.5</v>
      </c>
      <c r="G5" s="72">
        <f t="shared" ref="G5:G12" si="1">D5+0.5</f>
        <v>50</v>
      </c>
      <c r="H5" s="72">
        <f t="shared" ref="H5:H12" si="2">E5+0.5</f>
        <v>48.5</v>
      </c>
      <c r="I5" s="72">
        <f t="shared" ref="I5:I12" si="3">C5+0.2</f>
        <v>50.2</v>
      </c>
      <c r="J5" s="72">
        <f t="shared" ref="J5:J12" si="4">D5+0.2</f>
        <v>49.7</v>
      </c>
      <c r="K5" s="72">
        <f t="shared" ref="K5:K12" si="5">E5+0.2</f>
        <v>48.2</v>
      </c>
      <c r="L5" s="72">
        <f t="shared" ref="L5:L12" si="6">C5+0.5</f>
        <v>50.5</v>
      </c>
      <c r="M5" s="72">
        <f t="shared" ref="M5:M12" si="7">D5+0.5</f>
        <v>50</v>
      </c>
      <c r="N5" s="72">
        <f t="shared" ref="N5:N12" si="8">E5+0.5</f>
        <v>48.5</v>
      </c>
      <c r="O5" s="77" t="s">
        <v>510</v>
      </c>
    </row>
    <row r="6" s="62" customFormat="1" ht="50" customHeight="1" spans="1:15">
      <c r="A6" s="67"/>
      <c r="B6" s="71" t="s">
        <v>511</v>
      </c>
      <c r="C6" s="72">
        <v>50</v>
      </c>
      <c r="D6" s="72">
        <v>49.5</v>
      </c>
      <c r="E6" s="72">
        <v>48</v>
      </c>
      <c r="F6" s="72">
        <f t="shared" si="0"/>
        <v>50.5</v>
      </c>
      <c r="G6" s="72">
        <f t="shared" si="1"/>
        <v>50</v>
      </c>
      <c r="H6" s="72">
        <f t="shared" si="2"/>
        <v>48.5</v>
      </c>
      <c r="I6" s="72">
        <f t="shared" si="3"/>
        <v>50.2</v>
      </c>
      <c r="J6" s="72">
        <f t="shared" si="4"/>
        <v>49.7</v>
      </c>
      <c r="K6" s="72">
        <f t="shared" si="5"/>
        <v>48.2</v>
      </c>
      <c r="L6" s="72">
        <f t="shared" si="6"/>
        <v>50.5</v>
      </c>
      <c r="M6" s="72">
        <f t="shared" si="7"/>
        <v>50</v>
      </c>
      <c r="N6" s="72">
        <f t="shared" si="8"/>
        <v>48.5</v>
      </c>
      <c r="O6" s="77" t="s">
        <v>510</v>
      </c>
    </row>
    <row r="7" s="62" customFormat="1" ht="50" customHeight="1" spans="1:15">
      <c r="A7" s="67"/>
      <c r="B7" s="71" t="s">
        <v>512</v>
      </c>
      <c r="C7" s="72">
        <v>53</v>
      </c>
      <c r="D7" s="72">
        <v>52.5</v>
      </c>
      <c r="E7" s="72">
        <v>51</v>
      </c>
      <c r="F7" s="72">
        <f t="shared" si="0"/>
        <v>53.5</v>
      </c>
      <c r="G7" s="72">
        <f t="shared" si="1"/>
        <v>53</v>
      </c>
      <c r="H7" s="72">
        <f t="shared" si="2"/>
        <v>51.5</v>
      </c>
      <c r="I7" s="72">
        <f t="shared" si="3"/>
        <v>53.2</v>
      </c>
      <c r="J7" s="72">
        <f t="shared" si="4"/>
        <v>52.7</v>
      </c>
      <c r="K7" s="72">
        <f t="shared" si="5"/>
        <v>51.2</v>
      </c>
      <c r="L7" s="72">
        <f t="shared" si="6"/>
        <v>53.5</v>
      </c>
      <c r="M7" s="72">
        <f t="shared" si="7"/>
        <v>53</v>
      </c>
      <c r="N7" s="72">
        <f t="shared" si="8"/>
        <v>51.5</v>
      </c>
      <c r="O7" s="77" t="s">
        <v>513</v>
      </c>
    </row>
    <row r="8" s="62" customFormat="1" ht="50" customHeight="1" spans="1:15">
      <c r="A8" s="67"/>
      <c r="B8" s="71" t="s">
        <v>514</v>
      </c>
      <c r="C8" s="72">
        <v>56</v>
      </c>
      <c r="D8" s="72">
        <v>55.5</v>
      </c>
      <c r="E8" s="72">
        <v>54</v>
      </c>
      <c r="F8" s="72">
        <f t="shared" si="0"/>
        <v>56.5</v>
      </c>
      <c r="G8" s="72">
        <f t="shared" si="1"/>
        <v>56</v>
      </c>
      <c r="H8" s="72">
        <f t="shared" si="2"/>
        <v>54.5</v>
      </c>
      <c r="I8" s="72">
        <f t="shared" si="3"/>
        <v>56.2</v>
      </c>
      <c r="J8" s="72">
        <f t="shared" si="4"/>
        <v>55.7</v>
      </c>
      <c r="K8" s="72">
        <f t="shared" si="5"/>
        <v>54.2</v>
      </c>
      <c r="L8" s="72">
        <f t="shared" si="6"/>
        <v>56.5</v>
      </c>
      <c r="M8" s="72">
        <f t="shared" si="7"/>
        <v>56</v>
      </c>
      <c r="N8" s="72">
        <f t="shared" si="8"/>
        <v>54.5</v>
      </c>
      <c r="O8" s="77" t="s">
        <v>513</v>
      </c>
    </row>
    <row r="9" s="62" customFormat="1" ht="50" customHeight="1" spans="1:15">
      <c r="A9" s="67"/>
      <c r="B9" s="79" t="s">
        <v>515</v>
      </c>
      <c r="C9" s="72">
        <v>50</v>
      </c>
      <c r="D9" s="72">
        <v>49.5</v>
      </c>
      <c r="E9" s="72">
        <v>48</v>
      </c>
      <c r="F9" s="72">
        <f t="shared" si="0"/>
        <v>50.5</v>
      </c>
      <c r="G9" s="72">
        <f t="shared" si="1"/>
        <v>50</v>
      </c>
      <c r="H9" s="72">
        <f t="shared" si="2"/>
        <v>48.5</v>
      </c>
      <c r="I9" s="72">
        <f t="shared" si="3"/>
        <v>50.2</v>
      </c>
      <c r="J9" s="72">
        <f t="shared" si="4"/>
        <v>49.7</v>
      </c>
      <c r="K9" s="72">
        <f t="shared" si="5"/>
        <v>48.2</v>
      </c>
      <c r="L9" s="72">
        <f t="shared" si="6"/>
        <v>50.5</v>
      </c>
      <c r="M9" s="72">
        <f t="shared" si="7"/>
        <v>50</v>
      </c>
      <c r="N9" s="72">
        <f t="shared" si="8"/>
        <v>48.5</v>
      </c>
      <c r="O9" s="77" t="s">
        <v>510</v>
      </c>
    </row>
    <row r="10" s="62" customFormat="1" ht="40" customHeight="1" spans="1:15">
      <c r="A10" s="67" t="s">
        <v>516</v>
      </c>
      <c r="B10" s="79" t="s">
        <v>517</v>
      </c>
      <c r="C10" s="72">
        <v>51</v>
      </c>
      <c r="D10" s="72">
        <v>50.5</v>
      </c>
      <c r="E10" s="72">
        <v>49</v>
      </c>
      <c r="F10" s="72">
        <f t="shared" si="0"/>
        <v>51.5</v>
      </c>
      <c r="G10" s="72">
        <f t="shared" si="1"/>
        <v>51</v>
      </c>
      <c r="H10" s="72">
        <f t="shared" si="2"/>
        <v>49.5</v>
      </c>
      <c r="I10" s="72">
        <f t="shared" si="3"/>
        <v>51.2</v>
      </c>
      <c r="J10" s="72">
        <f t="shared" si="4"/>
        <v>50.7</v>
      </c>
      <c r="K10" s="72">
        <f t="shared" si="5"/>
        <v>49.2</v>
      </c>
      <c r="L10" s="72">
        <f t="shared" si="6"/>
        <v>51.5</v>
      </c>
      <c r="M10" s="72">
        <f t="shared" si="7"/>
        <v>51</v>
      </c>
      <c r="N10" s="72">
        <f t="shared" si="8"/>
        <v>49.5</v>
      </c>
      <c r="O10" s="77" t="s">
        <v>510</v>
      </c>
    </row>
    <row r="11" s="62" customFormat="1" ht="40" customHeight="1" spans="1:15">
      <c r="A11" s="67"/>
      <c r="B11" s="79" t="s">
        <v>518</v>
      </c>
      <c r="C11" s="72">
        <v>54</v>
      </c>
      <c r="D11" s="72">
        <v>53.5</v>
      </c>
      <c r="E11" s="72">
        <v>52</v>
      </c>
      <c r="F11" s="72">
        <f t="shared" si="0"/>
        <v>54.5</v>
      </c>
      <c r="G11" s="72">
        <f t="shared" si="1"/>
        <v>54</v>
      </c>
      <c r="H11" s="72">
        <f t="shared" si="2"/>
        <v>52.5</v>
      </c>
      <c r="I11" s="72">
        <f t="shared" si="3"/>
        <v>54.2</v>
      </c>
      <c r="J11" s="72">
        <f t="shared" si="4"/>
        <v>53.7</v>
      </c>
      <c r="K11" s="72">
        <f t="shared" si="5"/>
        <v>52.2</v>
      </c>
      <c r="L11" s="72">
        <f t="shared" si="6"/>
        <v>54.5</v>
      </c>
      <c r="M11" s="72">
        <f t="shared" si="7"/>
        <v>54</v>
      </c>
      <c r="N11" s="72">
        <f t="shared" si="8"/>
        <v>52.5</v>
      </c>
      <c r="O11" s="77" t="s">
        <v>513</v>
      </c>
    </row>
    <row r="12" s="62" customFormat="1" ht="40" customHeight="1" spans="1:15">
      <c r="A12" s="67"/>
      <c r="B12" s="79" t="s">
        <v>519</v>
      </c>
      <c r="C12" s="72">
        <v>58</v>
      </c>
      <c r="D12" s="72">
        <v>57.5</v>
      </c>
      <c r="E12" s="72">
        <v>56</v>
      </c>
      <c r="F12" s="72">
        <f t="shared" si="0"/>
        <v>58.5</v>
      </c>
      <c r="G12" s="72">
        <f t="shared" si="1"/>
        <v>58</v>
      </c>
      <c r="H12" s="72">
        <f t="shared" si="2"/>
        <v>56.5</v>
      </c>
      <c r="I12" s="72">
        <f t="shared" si="3"/>
        <v>58.2</v>
      </c>
      <c r="J12" s="72">
        <f t="shared" si="4"/>
        <v>57.7</v>
      </c>
      <c r="K12" s="72">
        <f t="shared" si="5"/>
        <v>56.2</v>
      </c>
      <c r="L12" s="72">
        <f t="shared" si="6"/>
        <v>58.5</v>
      </c>
      <c r="M12" s="72">
        <f t="shared" si="7"/>
        <v>58</v>
      </c>
      <c r="N12" s="72">
        <f t="shared" si="8"/>
        <v>56.5</v>
      </c>
      <c r="O12" s="77" t="s">
        <v>520</v>
      </c>
    </row>
    <row r="13" s="63" customFormat="1" ht="30" customHeight="1" spans="1:15">
      <c r="A13" s="86" t="s">
        <v>265</v>
      </c>
      <c r="B13" s="86"/>
      <c r="C13" s="87" t="s">
        <v>521</v>
      </c>
      <c r="D13" s="88"/>
      <c r="E13" s="87"/>
      <c r="F13" s="87"/>
      <c r="G13" s="87"/>
      <c r="H13" s="87"/>
      <c r="I13" s="87"/>
      <c r="J13" s="87"/>
      <c r="K13" s="87"/>
      <c r="L13" s="87"/>
      <c r="M13" s="87"/>
      <c r="N13" s="87"/>
      <c r="O13" s="89"/>
    </row>
    <row r="14" s="63" customFormat="1" ht="100" customHeight="1" spans="1:15">
      <c r="A14" s="86" t="s">
        <v>522</v>
      </c>
      <c r="B14" s="86"/>
      <c r="C14" s="87" t="s">
        <v>523</v>
      </c>
      <c r="D14" s="88"/>
      <c r="E14" s="87"/>
      <c r="F14" s="87"/>
      <c r="G14" s="87"/>
      <c r="H14" s="87"/>
      <c r="I14" s="87"/>
      <c r="J14" s="87"/>
      <c r="K14" s="87"/>
      <c r="L14" s="87"/>
      <c r="M14" s="87"/>
      <c r="N14" s="87"/>
      <c r="O14" s="89"/>
    </row>
    <row r="15" s="63" customFormat="1" ht="40" customHeight="1" spans="1:15">
      <c r="A15" s="86" t="s">
        <v>524</v>
      </c>
      <c r="B15" s="86"/>
      <c r="C15" s="87" t="s">
        <v>525</v>
      </c>
      <c r="D15" s="88"/>
      <c r="E15" s="90" t="s">
        <v>526</v>
      </c>
      <c r="F15" s="90"/>
      <c r="G15" s="90"/>
      <c r="H15" s="90" t="s">
        <v>527</v>
      </c>
      <c r="I15" s="90"/>
      <c r="J15" s="90"/>
      <c r="K15" s="90" t="s">
        <v>528</v>
      </c>
      <c r="L15" s="90"/>
      <c r="M15" s="90"/>
      <c r="N15" s="90" t="s">
        <v>529</v>
      </c>
      <c r="O15" s="91"/>
    </row>
    <row r="16" s="63" customFormat="1" ht="40" customHeight="1" spans="1:15">
      <c r="A16" s="86"/>
      <c r="B16" s="86"/>
      <c r="C16" s="92"/>
      <c r="D16" s="87"/>
      <c r="E16" s="90"/>
      <c r="F16" s="90"/>
      <c r="G16" s="90"/>
      <c r="H16" s="90"/>
      <c r="I16" s="90"/>
      <c r="J16" s="90"/>
      <c r="K16" s="90"/>
      <c r="L16" s="90"/>
      <c r="M16" s="90"/>
      <c r="N16" s="90"/>
      <c r="O16" s="91"/>
    </row>
    <row r="17" s="63" customFormat="1" ht="30" customHeight="1" spans="1:15">
      <c r="A17" s="86"/>
      <c r="B17" s="86"/>
      <c r="C17" s="87" t="s">
        <v>530</v>
      </c>
      <c r="D17" s="88"/>
      <c r="E17" s="87"/>
      <c r="F17" s="87"/>
      <c r="G17" s="87"/>
      <c r="H17" s="87"/>
      <c r="I17" s="87"/>
      <c r="J17" s="87"/>
      <c r="K17" s="87"/>
      <c r="L17" s="87"/>
      <c r="M17" s="87"/>
      <c r="N17" s="87"/>
      <c r="O17" s="88"/>
    </row>
    <row r="18" s="63" customFormat="1" ht="30" customHeight="1" spans="1:15">
      <c r="A18" s="86"/>
      <c r="B18" s="86"/>
      <c r="C18" s="87" t="s">
        <v>531</v>
      </c>
      <c r="D18" s="88"/>
      <c r="E18" s="87"/>
      <c r="F18" s="87"/>
      <c r="G18" s="87"/>
      <c r="H18" s="87"/>
      <c r="I18" s="87"/>
      <c r="J18" s="87"/>
      <c r="K18" s="87"/>
      <c r="L18" s="87"/>
      <c r="M18" s="87"/>
      <c r="N18" s="87"/>
      <c r="O18" s="88"/>
    </row>
    <row r="19" s="63" customFormat="1" ht="79" customHeight="1" spans="1:15">
      <c r="A19" s="86" t="s">
        <v>532</v>
      </c>
      <c r="B19" s="86"/>
      <c r="C19" s="87" t="s">
        <v>533</v>
      </c>
      <c r="D19" s="88"/>
      <c r="E19" s="87"/>
      <c r="F19" s="87"/>
      <c r="G19" s="87"/>
      <c r="H19" s="87"/>
      <c r="I19" s="87"/>
      <c r="J19" s="87"/>
      <c r="K19" s="87"/>
      <c r="L19" s="87"/>
      <c r="M19" s="87"/>
      <c r="N19" s="87"/>
      <c r="O19" s="88"/>
    </row>
    <row r="20" s="63" customFormat="1" ht="110" customHeight="1" spans="1:15">
      <c r="A20" s="86"/>
      <c r="B20" s="86"/>
      <c r="C20" s="87" t="s">
        <v>534</v>
      </c>
      <c r="D20" s="88"/>
      <c r="E20" s="87"/>
      <c r="F20" s="87"/>
      <c r="G20" s="87"/>
      <c r="H20" s="87"/>
      <c r="I20" s="87"/>
      <c r="J20" s="87"/>
      <c r="K20" s="87"/>
      <c r="L20" s="87"/>
      <c r="M20" s="87"/>
      <c r="N20" s="87"/>
      <c r="O20" s="88"/>
    </row>
    <row r="21" s="63" customFormat="1" ht="30" customHeight="1" spans="1:15">
      <c r="A21" s="86"/>
      <c r="B21" s="86"/>
      <c r="C21" s="87" t="s">
        <v>535</v>
      </c>
      <c r="D21" s="88"/>
      <c r="E21" s="87"/>
      <c r="F21" s="87"/>
      <c r="G21" s="87"/>
      <c r="H21" s="87"/>
      <c r="I21" s="87"/>
      <c r="J21" s="87"/>
      <c r="K21" s="87"/>
      <c r="L21" s="87"/>
      <c r="M21" s="87"/>
      <c r="N21" s="87"/>
      <c r="O21" s="89"/>
    </row>
    <row r="22" s="60" customFormat="1" ht="43" customHeight="1" spans="1:15">
      <c r="A22" s="86" t="s">
        <v>272</v>
      </c>
      <c r="B22" s="86"/>
      <c r="C22" s="87" t="s">
        <v>273</v>
      </c>
      <c r="D22" s="89"/>
      <c r="E22" s="87"/>
      <c r="F22" s="87"/>
      <c r="G22" s="87"/>
      <c r="H22" s="87"/>
      <c r="I22" s="87"/>
      <c r="J22" s="87"/>
      <c r="K22" s="87"/>
      <c r="L22" s="87"/>
      <c r="M22" s="87"/>
      <c r="N22" s="87"/>
      <c r="O22" s="89"/>
    </row>
    <row r="23" ht="30" customHeight="1" spans="1:15">
      <c r="A23" s="86" t="s">
        <v>274</v>
      </c>
      <c r="B23" s="86"/>
      <c r="C23" s="87" t="s">
        <v>275</v>
      </c>
      <c r="D23" s="89"/>
      <c r="E23" s="87"/>
      <c r="F23" s="87"/>
      <c r="G23" s="87"/>
      <c r="H23" s="87"/>
      <c r="I23" s="87"/>
      <c r="J23" s="87"/>
      <c r="K23" s="87"/>
      <c r="L23" s="87"/>
      <c r="M23" s="87"/>
      <c r="N23" s="87"/>
      <c r="O23" s="89"/>
    </row>
    <row r="24" ht="30" customHeight="1" spans="1:15">
      <c r="A24" s="86" t="s">
        <v>536</v>
      </c>
      <c r="B24" s="86"/>
      <c r="C24" s="87" t="s">
        <v>537</v>
      </c>
      <c r="D24" s="89"/>
      <c r="E24" s="87"/>
      <c r="F24" s="87"/>
      <c r="G24" s="87"/>
      <c r="H24" s="87"/>
      <c r="I24" s="87"/>
      <c r="J24" s="87"/>
      <c r="K24" s="87"/>
      <c r="L24" s="87"/>
      <c r="M24" s="87"/>
      <c r="N24" s="87"/>
      <c r="O24" s="89"/>
    </row>
    <row r="25" ht="34" customHeight="1" spans="1:15">
      <c r="A25" s="86" t="s">
        <v>323</v>
      </c>
      <c r="B25" s="86"/>
      <c r="C25" s="87" t="s">
        <v>455</v>
      </c>
      <c r="D25" s="89"/>
      <c r="E25" s="87"/>
      <c r="F25" s="87"/>
      <c r="G25" s="87"/>
      <c r="H25" s="87"/>
      <c r="I25" s="87"/>
      <c r="J25" s="87"/>
      <c r="K25" s="87"/>
      <c r="L25" s="87"/>
      <c r="M25" s="87"/>
      <c r="N25" s="87"/>
      <c r="O25" s="89"/>
    </row>
    <row r="26" ht="72" customHeight="1" spans="1:15">
      <c r="A26" s="86"/>
      <c r="B26" s="86"/>
      <c r="C26" s="87" t="s">
        <v>456</v>
      </c>
      <c r="D26" s="89"/>
      <c r="E26" s="87"/>
      <c r="F26" s="87"/>
      <c r="G26" s="87"/>
      <c r="H26" s="87"/>
      <c r="I26" s="87"/>
      <c r="J26" s="87"/>
      <c r="K26" s="87"/>
      <c r="L26" s="87"/>
      <c r="M26" s="87"/>
      <c r="N26" s="87"/>
      <c r="O26" s="89"/>
    </row>
    <row r="27" ht="53" customHeight="1" spans="1:15">
      <c r="A27" s="86"/>
      <c r="B27" s="86"/>
      <c r="C27" s="87" t="s">
        <v>457</v>
      </c>
      <c r="D27" s="89"/>
      <c r="E27" s="87"/>
      <c r="F27" s="87"/>
      <c r="G27" s="87"/>
      <c r="H27" s="87"/>
      <c r="I27" s="87"/>
      <c r="J27" s="87"/>
      <c r="K27" s="87"/>
      <c r="L27" s="87"/>
      <c r="M27" s="87"/>
      <c r="N27" s="87"/>
      <c r="O27" s="89"/>
    </row>
    <row r="28" ht="67" customHeight="1" spans="1:15">
      <c r="A28" s="86" t="s">
        <v>538</v>
      </c>
      <c r="B28" s="86"/>
      <c r="C28" s="87" t="s">
        <v>539</v>
      </c>
      <c r="D28" s="89"/>
      <c r="E28" s="87"/>
      <c r="F28" s="87"/>
      <c r="G28" s="87"/>
      <c r="H28" s="87"/>
      <c r="I28" s="87"/>
      <c r="J28" s="87"/>
      <c r="K28" s="87"/>
      <c r="L28" s="87"/>
      <c r="M28" s="87"/>
      <c r="N28" s="87"/>
      <c r="O28" s="89"/>
    </row>
    <row r="29" ht="40" customHeight="1" spans="1:15">
      <c r="A29" s="86" t="s">
        <v>540</v>
      </c>
      <c r="B29" s="86"/>
      <c r="C29" s="87" t="s">
        <v>541</v>
      </c>
      <c r="D29" s="89"/>
      <c r="E29" s="87"/>
      <c r="F29" s="87"/>
      <c r="G29" s="87"/>
      <c r="H29" s="87"/>
      <c r="I29" s="87"/>
      <c r="J29" s="87"/>
      <c r="K29" s="87"/>
      <c r="L29" s="87"/>
      <c r="M29" s="87"/>
      <c r="N29" s="87"/>
      <c r="O29" s="89"/>
    </row>
    <row r="30" ht="103" customHeight="1" spans="1:15">
      <c r="A30" s="86" t="s">
        <v>542</v>
      </c>
      <c r="B30" s="86" t="s">
        <v>542</v>
      </c>
      <c r="C30" s="87" t="s">
        <v>543</v>
      </c>
      <c r="D30" s="89"/>
      <c r="E30" s="87"/>
      <c r="F30" s="87"/>
      <c r="G30" s="87"/>
      <c r="H30" s="87"/>
      <c r="I30" s="87"/>
      <c r="J30" s="87"/>
      <c r="K30" s="87"/>
      <c r="L30" s="87"/>
      <c r="M30" s="87"/>
      <c r="N30" s="87"/>
      <c r="O30" s="89"/>
    </row>
    <row r="31" ht="40" customHeight="1" spans="1:15">
      <c r="A31" s="86" t="s">
        <v>544</v>
      </c>
      <c r="B31" s="86"/>
      <c r="C31" s="87" t="s">
        <v>545</v>
      </c>
      <c r="D31" s="89"/>
      <c r="E31" s="87"/>
      <c r="F31" s="87"/>
      <c r="G31" s="87"/>
      <c r="H31" s="87"/>
      <c r="I31" s="87"/>
      <c r="J31" s="87"/>
      <c r="K31" s="87"/>
      <c r="L31" s="87"/>
      <c r="M31" s="87"/>
      <c r="N31" s="87"/>
      <c r="O31" s="89"/>
    </row>
    <row r="32" ht="117" customHeight="1" spans="1:15">
      <c r="A32" s="86" t="s">
        <v>285</v>
      </c>
      <c r="B32" s="86"/>
      <c r="C32" s="87" t="s">
        <v>286</v>
      </c>
      <c r="D32" s="89"/>
      <c r="E32" s="87"/>
      <c r="F32" s="87"/>
      <c r="G32" s="87"/>
      <c r="H32" s="87"/>
      <c r="I32" s="87"/>
      <c r="J32" s="87"/>
      <c r="K32" s="87"/>
      <c r="L32" s="87"/>
      <c r="M32" s="87"/>
      <c r="N32" s="87"/>
      <c r="O32" s="89"/>
    </row>
    <row r="33" ht="30" customHeight="1" spans="1:15">
      <c r="A33" s="86"/>
      <c r="B33" s="86"/>
      <c r="C33" s="87" t="s">
        <v>287</v>
      </c>
      <c r="D33" s="89"/>
      <c r="E33" s="87"/>
      <c r="F33" s="87"/>
      <c r="G33" s="87"/>
      <c r="H33" s="87"/>
      <c r="I33" s="87"/>
      <c r="J33" s="87"/>
      <c r="K33" s="87"/>
      <c r="L33" s="87"/>
      <c r="M33" s="87"/>
      <c r="N33" s="87"/>
      <c r="O33" s="89"/>
    </row>
    <row r="34" ht="30" customHeight="1" spans="1:15">
      <c r="A34" s="86"/>
      <c r="B34" s="86"/>
      <c r="C34" s="87" t="s">
        <v>288</v>
      </c>
      <c r="D34" s="89"/>
      <c r="E34" s="87"/>
      <c r="F34" s="87"/>
      <c r="G34" s="87"/>
      <c r="H34" s="87"/>
      <c r="I34" s="87"/>
      <c r="J34" s="87"/>
      <c r="K34" s="87"/>
      <c r="L34" s="87"/>
      <c r="M34" s="87"/>
      <c r="N34" s="87"/>
      <c r="O34" s="89"/>
    </row>
    <row r="35" ht="34" customHeight="1"/>
    <row r="36" ht="34" customHeight="1"/>
    <row r="37" ht="34" customHeight="1"/>
    <row r="38" ht="34" customHeight="1"/>
  </sheetData>
  <mergeCells count="49">
    <mergeCell ref="A1:O1"/>
    <mergeCell ref="A2:B2"/>
    <mergeCell ref="C2:O2"/>
    <mergeCell ref="A3:B3"/>
    <mergeCell ref="C3:E3"/>
    <mergeCell ref="F3:H3"/>
    <mergeCell ref="I3:K3"/>
    <mergeCell ref="L3:N3"/>
    <mergeCell ref="A13:B13"/>
    <mergeCell ref="C13:O13"/>
    <mergeCell ref="A14:B14"/>
    <mergeCell ref="C14:O14"/>
    <mergeCell ref="C17:O17"/>
    <mergeCell ref="C18:O18"/>
    <mergeCell ref="C19:O19"/>
    <mergeCell ref="C20:O20"/>
    <mergeCell ref="C21:O21"/>
    <mergeCell ref="A22:B22"/>
    <mergeCell ref="C22:O22"/>
    <mergeCell ref="A23:B23"/>
    <mergeCell ref="C23:O23"/>
    <mergeCell ref="A24:B24"/>
    <mergeCell ref="C24:O24"/>
    <mergeCell ref="C25:O25"/>
    <mergeCell ref="C26:O26"/>
    <mergeCell ref="C27:O27"/>
    <mergeCell ref="A28:B28"/>
    <mergeCell ref="C28:O28"/>
    <mergeCell ref="A29:B29"/>
    <mergeCell ref="C29:O29"/>
    <mergeCell ref="A30:B30"/>
    <mergeCell ref="C30:O30"/>
    <mergeCell ref="A31:B31"/>
    <mergeCell ref="C31:O31"/>
    <mergeCell ref="C32:O32"/>
    <mergeCell ref="C33:O33"/>
    <mergeCell ref="C34:O34"/>
    <mergeCell ref="A5:A9"/>
    <mergeCell ref="A10:A12"/>
    <mergeCell ref="O3:O4"/>
    <mergeCell ref="C15:D16"/>
    <mergeCell ref="E15:G16"/>
    <mergeCell ref="H15:J16"/>
    <mergeCell ref="K15:M16"/>
    <mergeCell ref="N15:O16"/>
    <mergeCell ref="A15:B18"/>
    <mergeCell ref="A19:B21"/>
    <mergeCell ref="A25:B27"/>
    <mergeCell ref="A32:B34"/>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I3454"/>
  <sheetViews>
    <sheetView showGridLines="0" zoomScale="55" zoomScaleNormal="55" workbookViewId="0">
      <pane ySplit="3" topLeftCell="A4" activePane="bottomLeft" state="frozen"/>
      <selection/>
      <selection pane="bottomLeft" activeCell="B1" sqref="B1:I1"/>
    </sheetView>
  </sheetViews>
  <sheetFormatPr defaultColWidth="20.6333333333333" defaultRowHeight="46" customHeight="1"/>
  <cols>
    <col min="1" max="1" width="5.78333333333333" style="49" customWidth="1"/>
    <col min="2" max="3" width="15.6333333333333" style="49" customWidth="1"/>
    <col min="4" max="4" width="5.78333333333333" style="49" customWidth="1"/>
    <col min="5" max="6" width="15.6333333333333" style="49" customWidth="1"/>
    <col min="7" max="7" width="5.78333333333333" style="49" customWidth="1"/>
    <col min="8" max="9" width="15.6333333333333" style="49" customWidth="1"/>
    <col min="10" max="16372" width="20.6333333333333" style="59" customWidth="1"/>
    <col min="16373" max="16384" width="20.6333333333333" style="59"/>
  </cols>
  <sheetData>
    <row r="1" ht="66" customHeight="1" spans="1:9">
      <c r="A1" s="50"/>
      <c r="B1" s="50" t="str">
        <f>_xlfn.DISPIMG("ID_D6697A225B864C34A678052B48D4E660",1)</f>
        <v>=DISPIMG("ID_D6697A225B864C34A678052B48D4E660",1)</v>
      </c>
      <c r="C1" s="50"/>
      <c r="D1" s="50"/>
      <c r="E1" s="50"/>
      <c r="F1" s="50"/>
      <c r="G1" s="50"/>
      <c r="H1" s="50"/>
      <c r="I1" s="50"/>
    </row>
    <row r="2" s="48" customFormat="1" ht="31" customHeight="1" spans="1:9">
      <c r="A2" s="52"/>
      <c r="B2" s="53" t="s">
        <v>546</v>
      </c>
      <c r="C2" s="53"/>
      <c r="D2" s="52"/>
      <c r="E2" s="53" t="s">
        <v>547</v>
      </c>
      <c r="F2" s="53"/>
      <c r="G2" s="52"/>
      <c r="H2" s="53" t="s">
        <v>548</v>
      </c>
      <c r="I2" s="53"/>
    </row>
    <row r="3" s="48" customFormat="1" ht="31" customHeight="1" spans="1:9">
      <c r="A3" s="52"/>
      <c r="B3" s="53" t="s">
        <v>549</v>
      </c>
      <c r="C3" s="53" t="s">
        <v>550</v>
      </c>
      <c r="D3" s="52"/>
      <c r="E3" s="53" t="s">
        <v>549</v>
      </c>
      <c r="F3" s="53" t="s">
        <v>550</v>
      </c>
      <c r="G3" s="52"/>
      <c r="H3" s="53" t="s">
        <v>549</v>
      </c>
      <c r="I3" s="53" t="s">
        <v>550</v>
      </c>
    </row>
    <row r="4" s="48" customFormat="1" customHeight="1" spans="1:9">
      <c r="A4" s="49"/>
      <c r="B4" s="11">
        <v>1000</v>
      </c>
      <c r="C4" s="11">
        <v>1000</v>
      </c>
      <c r="D4" s="49"/>
      <c r="E4" s="11">
        <v>2264</v>
      </c>
      <c r="F4" s="11">
        <v>2264</v>
      </c>
      <c r="G4" s="49"/>
      <c r="H4" s="11">
        <v>4309</v>
      </c>
      <c r="I4" s="11">
        <v>4309</v>
      </c>
    </row>
    <row r="5" s="48" customFormat="1" customHeight="1" spans="1:9">
      <c r="A5" s="49"/>
      <c r="B5" s="11">
        <v>1001</v>
      </c>
      <c r="C5" s="11">
        <v>1001</v>
      </c>
      <c r="D5" s="49"/>
      <c r="E5" s="11">
        <v>2265</v>
      </c>
      <c r="F5" s="11">
        <v>2265</v>
      </c>
      <c r="G5" s="49"/>
      <c r="H5" s="11">
        <v>4310</v>
      </c>
      <c r="I5" s="11">
        <v>4310</v>
      </c>
    </row>
    <row r="6" s="48" customFormat="1" customHeight="1" spans="1:9">
      <c r="A6" s="49"/>
      <c r="B6" s="11">
        <v>1002</v>
      </c>
      <c r="C6" s="11">
        <v>1002</v>
      </c>
      <c r="D6" s="49"/>
      <c r="E6" s="11">
        <v>2266</v>
      </c>
      <c r="F6" s="11">
        <v>2266</v>
      </c>
      <c r="G6" s="49"/>
      <c r="H6" s="11">
        <v>4311</v>
      </c>
      <c r="I6" s="11">
        <v>4311</v>
      </c>
    </row>
    <row r="7" s="48" customFormat="1" customHeight="1" spans="1:9">
      <c r="A7" s="49"/>
      <c r="B7" s="11">
        <v>1003</v>
      </c>
      <c r="C7" s="11">
        <v>1003</v>
      </c>
      <c r="D7" s="49"/>
      <c r="E7" s="11">
        <v>2267</v>
      </c>
      <c r="F7" s="11">
        <v>2267</v>
      </c>
      <c r="G7" s="49"/>
      <c r="H7" s="11">
        <v>4312</v>
      </c>
      <c r="I7" s="11">
        <v>4312</v>
      </c>
    </row>
    <row r="8" s="48" customFormat="1" customHeight="1" spans="1:9">
      <c r="A8" s="49"/>
      <c r="B8" s="11">
        <v>1004</v>
      </c>
      <c r="C8" s="11">
        <v>1004</v>
      </c>
      <c r="D8" s="49"/>
      <c r="E8" s="11">
        <v>2268</v>
      </c>
      <c r="F8" s="11">
        <v>2268</v>
      </c>
      <c r="G8" s="49"/>
      <c r="H8" s="11">
        <v>4313</v>
      </c>
      <c r="I8" s="11">
        <v>4313</v>
      </c>
    </row>
    <row r="9" s="48" customFormat="1" customHeight="1" spans="1:9">
      <c r="A9" s="49"/>
      <c r="B9" s="11">
        <v>1005</v>
      </c>
      <c r="C9" s="11">
        <v>1005</v>
      </c>
      <c r="D9" s="49"/>
      <c r="E9" s="11">
        <v>2269</v>
      </c>
      <c r="F9" s="11">
        <v>2269</v>
      </c>
      <c r="G9" s="49"/>
      <c r="H9" s="11">
        <v>4314</v>
      </c>
      <c r="I9" s="11">
        <v>4314</v>
      </c>
    </row>
    <row r="10" s="48" customFormat="1" customHeight="1" spans="1:9">
      <c r="A10" s="49"/>
      <c r="B10" s="11">
        <v>1005</v>
      </c>
      <c r="C10" s="11">
        <v>1006</v>
      </c>
      <c r="D10" s="49"/>
      <c r="E10" s="11">
        <v>2270</v>
      </c>
      <c r="F10" s="11">
        <v>2270</v>
      </c>
      <c r="G10" s="49"/>
      <c r="H10" s="11">
        <v>4315</v>
      </c>
      <c r="I10" s="11">
        <v>4315</v>
      </c>
    </row>
    <row r="11" s="48" customFormat="1" customHeight="1" spans="1:9">
      <c r="A11" s="49"/>
      <c r="B11" s="11">
        <v>1007</v>
      </c>
      <c r="C11" s="11">
        <v>1007</v>
      </c>
      <c r="D11" s="49"/>
      <c r="E11" s="11">
        <v>2271</v>
      </c>
      <c r="F11" s="11">
        <v>2271</v>
      </c>
      <c r="G11" s="49"/>
      <c r="H11" s="11">
        <v>4316</v>
      </c>
      <c r="I11" s="11">
        <v>4316</v>
      </c>
    </row>
    <row r="12" s="48" customFormat="1" customHeight="1" spans="1:9">
      <c r="A12" s="49"/>
      <c r="B12" s="11">
        <v>1008</v>
      </c>
      <c r="C12" s="11">
        <v>1008</v>
      </c>
      <c r="D12" s="49"/>
      <c r="E12" s="11">
        <v>2272</v>
      </c>
      <c r="F12" s="11">
        <v>2272</v>
      </c>
      <c r="G12" s="49"/>
      <c r="H12" s="11">
        <v>4317</v>
      </c>
      <c r="I12" s="11">
        <v>4317</v>
      </c>
    </row>
    <row r="13" s="48" customFormat="1" customHeight="1" spans="1:9">
      <c r="A13" s="49"/>
      <c r="B13" s="11">
        <v>1009</v>
      </c>
      <c r="C13" s="11">
        <v>1009</v>
      </c>
      <c r="D13" s="49"/>
      <c r="E13" s="11">
        <v>2273</v>
      </c>
      <c r="F13" s="11">
        <v>2273</v>
      </c>
      <c r="G13" s="49"/>
      <c r="H13" s="11">
        <v>4318</v>
      </c>
      <c r="I13" s="11">
        <v>4318</v>
      </c>
    </row>
    <row r="14" s="48" customFormat="1" customHeight="1" spans="1:9">
      <c r="A14" s="49"/>
      <c r="B14" s="11">
        <v>1010</v>
      </c>
      <c r="C14" s="11">
        <v>1010</v>
      </c>
      <c r="D14" s="49"/>
      <c r="E14" s="11">
        <v>2274</v>
      </c>
      <c r="F14" s="11">
        <v>2274</v>
      </c>
      <c r="G14" s="49"/>
      <c r="H14" s="11">
        <v>4319</v>
      </c>
      <c r="I14" s="11">
        <v>4319</v>
      </c>
    </row>
    <row r="15" s="48" customFormat="1" customHeight="1" spans="1:9">
      <c r="A15" s="49"/>
      <c r="B15" s="11">
        <v>1011</v>
      </c>
      <c r="C15" s="11">
        <v>1011</v>
      </c>
      <c r="D15" s="49"/>
      <c r="E15" s="11">
        <v>2275</v>
      </c>
      <c r="F15" s="11">
        <v>2275</v>
      </c>
      <c r="G15" s="49"/>
      <c r="H15" s="11">
        <v>4320</v>
      </c>
      <c r="I15" s="11">
        <v>4320</v>
      </c>
    </row>
    <row r="16" s="48" customFormat="1" customHeight="1" spans="1:9">
      <c r="A16" s="49"/>
      <c r="B16" s="11">
        <v>1012</v>
      </c>
      <c r="C16" s="11">
        <v>1012</v>
      </c>
      <c r="D16" s="49"/>
      <c r="E16" s="11">
        <v>2276</v>
      </c>
      <c r="F16" s="11">
        <v>2276</v>
      </c>
      <c r="G16" s="49"/>
      <c r="H16" s="11">
        <v>4321</v>
      </c>
      <c r="I16" s="11">
        <v>4321</v>
      </c>
    </row>
    <row r="17" s="48" customFormat="1" customHeight="1" spans="1:9">
      <c r="A17" s="49"/>
      <c r="B17" s="11">
        <v>1013</v>
      </c>
      <c r="C17" s="11">
        <v>1013</v>
      </c>
      <c r="D17" s="49"/>
      <c r="E17" s="11">
        <v>2277</v>
      </c>
      <c r="F17" s="11">
        <v>2277</v>
      </c>
      <c r="G17" s="49"/>
      <c r="H17" s="11">
        <v>4322</v>
      </c>
      <c r="I17" s="11">
        <v>4322</v>
      </c>
    </row>
    <row r="18" s="48" customFormat="1" customHeight="1" spans="1:9">
      <c r="A18" s="49"/>
      <c r="B18" s="11">
        <v>1014</v>
      </c>
      <c r="C18" s="11">
        <v>1014</v>
      </c>
      <c r="D18" s="49"/>
      <c r="E18" s="11">
        <v>2278</v>
      </c>
      <c r="F18" s="11">
        <v>2278</v>
      </c>
      <c r="G18" s="49"/>
      <c r="H18" s="11">
        <v>4323</v>
      </c>
      <c r="I18" s="11">
        <v>4323</v>
      </c>
    </row>
    <row r="19" s="48" customFormat="1" customHeight="1" spans="1:9">
      <c r="A19" s="49"/>
      <c r="B19" s="11">
        <v>1015</v>
      </c>
      <c r="C19" s="11">
        <v>1015</v>
      </c>
      <c r="D19" s="49"/>
      <c r="E19" s="11">
        <v>2279</v>
      </c>
      <c r="F19" s="11">
        <v>2279</v>
      </c>
      <c r="G19" s="49"/>
      <c r="H19" s="11">
        <v>4324</v>
      </c>
      <c r="I19" s="11">
        <v>4324</v>
      </c>
    </row>
    <row r="20" s="48" customFormat="1" customHeight="1" spans="1:9">
      <c r="A20" s="49"/>
      <c r="B20" s="11">
        <v>1016</v>
      </c>
      <c r="C20" s="11">
        <v>1016</v>
      </c>
      <c r="D20" s="49"/>
      <c r="E20" s="11">
        <v>2280</v>
      </c>
      <c r="F20" s="11">
        <v>2280</v>
      </c>
      <c r="G20" s="49"/>
      <c r="H20" s="11">
        <v>4325</v>
      </c>
      <c r="I20" s="11">
        <v>4325</v>
      </c>
    </row>
    <row r="21" s="48" customFormat="1" customHeight="1" spans="1:9">
      <c r="A21" s="49"/>
      <c r="B21" s="11">
        <v>1017</v>
      </c>
      <c r="C21" s="11">
        <v>1017</v>
      </c>
      <c r="D21" s="49"/>
      <c r="E21" s="11">
        <v>2281</v>
      </c>
      <c r="F21" s="11">
        <v>2281</v>
      </c>
      <c r="G21" s="49"/>
      <c r="H21" s="11">
        <v>4326</v>
      </c>
      <c r="I21" s="11">
        <v>4326</v>
      </c>
    </row>
    <row r="22" s="48" customFormat="1" customHeight="1" spans="1:9">
      <c r="A22" s="49"/>
      <c r="B22" s="11">
        <v>1018</v>
      </c>
      <c r="C22" s="11">
        <v>1018</v>
      </c>
      <c r="D22" s="49"/>
      <c r="E22" s="11">
        <v>2487</v>
      </c>
      <c r="F22" s="11">
        <v>2487</v>
      </c>
      <c r="G22" s="49"/>
      <c r="H22" s="11">
        <v>4327</v>
      </c>
      <c r="I22" s="11">
        <v>4327</v>
      </c>
    </row>
    <row r="23" s="48" customFormat="1" customHeight="1" spans="1:9">
      <c r="A23" s="49"/>
      <c r="B23" s="11">
        <v>1019</v>
      </c>
      <c r="C23" s="11">
        <v>1019</v>
      </c>
      <c r="D23" s="49"/>
      <c r="E23" s="11">
        <v>2488</v>
      </c>
      <c r="F23" s="11">
        <v>2488</v>
      </c>
      <c r="G23" s="49"/>
      <c r="H23" s="11">
        <v>4328</v>
      </c>
      <c r="I23" s="11">
        <v>4328</v>
      </c>
    </row>
    <row r="24" s="48" customFormat="1" customHeight="1" spans="1:9">
      <c r="A24" s="49"/>
      <c r="B24" s="11">
        <v>1020</v>
      </c>
      <c r="C24" s="11">
        <v>1020</v>
      </c>
      <c r="D24" s="49"/>
      <c r="E24" s="11">
        <v>2489</v>
      </c>
      <c r="F24" s="11">
        <v>2489</v>
      </c>
      <c r="G24" s="49"/>
      <c r="H24" s="11">
        <v>4329</v>
      </c>
      <c r="I24" s="11">
        <v>4329</v>
      </c>
    </row>
    <row r="25" s="48" customFormat="1" customHeight="1" spans="1:9">
      <c r="A25" s="49"/>
      <c r="B25" s="11">
        <v>1021</v>
      </c>
      <c r="C25" s="11">
        <v>1021</v>
      </c>
      <c r="D25" s="49"/>
      <c r="E25" s="11">
        <v>2490</v>
      </c>
      <c r="F25" s="11">
        <v>2490</v>
      </c>
      <c r="G25" s="49"/>
      <c r="H25" s="11">
        <v>4330</v>
      </c>
      <c r="I25" s="11">
        <v>4330</v>
      </c>
    </row>
    <row r="26" s="48" customFormat="1" customHeight="1" spans="1:9">
      <c r="A26" s="49"/>
      <c r="B26" s="11">
        <v>1022</v>
      </c>
      <c r="C26" s="11">
        <v>1022</v>
      </c>
      <c r="D26" s="49"/>
      <c r="E26" s="11">
        <v>2491</v>
      </c>
      <c r="F26" s="11">
        <v>2491</v>
      </c>
      <c r="G26" s="49"/>
      <c r="H26" s="11">
        <v>4331</v>
      </c>
      <c r="I26" s="11">
        <v>4331</v>
      </c>
    </row>
    <row r="27" s="48" customFormat="1" customHeight="1" spans="1:9">
      <c r="A27" s="49"/>
      <c r="B27" s="11">
        <v>1023</v>
      </c>
      <c r="C27" s="11">
        <v>1023</v>
      </c>
      <c r="D27" s="49"/>
      <c r="E27" s="11">
        <v>2492</v>
      </c>
      <c r="F27" s="11">
        <v>2492</v>
      </c>
      <c r="G27" s="49"/>
      <c r="H27" s="11">
        <v>4332</v>
      </c>
      <c r="I27" s="11">
        <v>4332</v>
      </c>
    </row>
    <row r="28" s="48" customFormat="1" customHeight="1" spans="1:9">
      <c r="A28" s="49"/>
      <c r="B28" s="11">
        <v>1024</v>
      </c>
      <c r="C28" s="11">
        <v>1024</v>
      </c>
      <c r="D28" s="49"/>
      <c r="E28" s="11">
        <v>2493</v>
      </c>
      <c r="F28" s="11">
        <v>2493</v>
      </c>
      <c r="G28" s="49"/>
      <c r="H28" s="11">
        <v>4333</v>
      </c>
      <c r="I28" s="11">
        <v>4333</v>
      </c>
    </row>
    <row r="29" s="48" customFormat="1" customHeight="1" spans="1:9">
      <c r="A29" s="49"/>
      <c r="B29" s="11">
        <v>1025</v>
      </c>
      <c r="C29" s="11">
        <v>1025</v>
      </c>
      <c r="D29" s="49"/>
      <c r="E29" s="11">
        <v>2494</v>
      </c>
      <c r="F29" s="11">
        <v>2494</v>
      </c>
      <c r="G29" s="49"/>
      <c r="H29" s="11">
        <v>4334</v>
      </c>
      <c r="I29" s="11">
        <v>4334</v>
      </c>
    </row>
    <row r="30" s="48" customFormat="1" customHeight="1" spans="1:9">
      <c r="A30" s="49"/>
      <c r="B30" s="11">
        <v>1026</v>
      </c>
      <c r="C30" s="11">
        <v>1026</v>
      </c>
      <c r="D30" s="49"/>
      <c r="E30" s="11">
        <v>2495</v>
      </c>
      <c r="F30" s="11">
        <v>2495</v>
      </c>
      <c r="G30" s="49"/>
      <c r="H30" s="11">
        <v>4335</v>
      </c>
      <c r="I30" s="11">
        <v>4335</v>
      </c>
    </row>
    <row r="31" s="48" customFormat="1" customHeight="1" spans="1:9">
      <c r="A31" s="49"/>
      <c r="B31" s="11">
        <v>1027</v>
      </c>
      <c r="C31" s="11">
        <v>1027</v>
      </c>
      <c r="D31" s="49"/>
      <c r="E31" s="11">
        <v>2496</v>
      </c>
      <c r="F31" s="11">
        <v>2496</v>
      </c>
      <c r="G31" s="49"/>
      <c r="H31" s="11">
        <v>4336</v>
      </c>
      <c r="I31" s="11">
        <v>4336</v>
      </c>
    </row>
    <row r="32" s="48" customFormat="1" customHeight="1" spans="1:9">
      <c r="A32" s="49"/>
      <c r="B32" s="11">
        <v>1028</v>
      </c>
      <c r="C32" s="11">
        <v>1028</v>
      </c>
      <c r="D32" s="49"/>
      <c r="E32" s="11">
        <v>2497</v>
      </c>
      <c r="F32" s="11">
        <v>2497</v>
      </c>
      <c r="G32" s="49"/>
      <c r="H32" s="11">
        <v>4337</v>
      </c>
      <c r="I32" s="11">
        <v>4337</v>
      </c>
    </row>
    <row r="33" s="48" customFormat="1" customHeight="1" spans="1:9">
      <c r="A33" s="49"/>
      <c r="B33" s="11">
        <v>1029</v>
      </c>
      <c r="C33" s="11">
        <v>1029</v>
      </c>
      <c r="D33" s="49"/>
      <c r="E33" s="11">
        <v>2498</v>
      </c>
      <c r="F33" s="11">
        <v>2498</v>
      </c>
      <c r="G33" s="49"/>
      <c r="H33" s="11">
        <v>4338</v>
      </c>
      <c r="I33" s="11">
        <v>4338</v>
      </c>
    </row>
    <row r="34" s="48" customFormat="1" customHeight="1" spans="1:9">
      <c r="A34" s="49"/>
      <c r="B34" s="11">
        <v>1030</v>
      </c>
      <c r="C34" s="11">
        <v>1030</v>
      </c>
      <c r="D34" s="49"/>
      <c r="E34" s="11">
        <v>2499</v>
      </c>
      <c r="F34" s="11">
        <v>2499</v>
      </c>
      <c r="G34" s="49"/>
      <c r="H34" s="11">
        <v>4339</v>
      </c>
      <c r="I34" s="11">
        <v>4339</v>
      </c>
    </row>
    <row r="35" s="48" customFormat="1" customHeight="1" spans="1:9">
      <c r="A35" s="49"/>
      <c r="B35" s="11">
        <v>1031</v>
      </c>
      <c r="C35" s="11">
        <v>1031</v>
      </c>
      <c r="D35" s="49"/>
      <c r="E35" s="11">
        <v>2575</v>
      </c>
      <c r="F35" s="11">
        <v>2575</v>
      </c>
      <c r="G35" s="49"/>
      <c r="H35" s="11">
        <v>4340</v>
      </c>
      <c r="I35" s="11">
        <v>4340</v>
      </c>
    </row>
    <row r="36" s="48" customFormat="1" customHeight="1" spans="1:9">
      <c r="A36" s="49"/>
      <c r="B36" s="11">
        <v>1032</v>
      </c>
      <c r="C36" s="11">
        <v>1032</v>
      </c>
      <c r="D36" s="49"/>
      <c r="E36" s="11">
        <v>2576</v>
      </c>
      <c r="F36" s="11">
        <v>2576</v>
      </c>
      <c r="G36" s="49"/>
      <c r="H36" s="11">
        <v>4341</v>
      </c>
      <c r="I36" s="11">
        <v>4341</v>
      </c>
    </row>
    <row r="37" s="48" customFormat="1" customHeight="1" spans="1:9">
      <c r="A37" s="49"/>
      <c r="B37" s="11">
        <v>1033</v>
      </c>
      <c r="C37" s="11">
        <v>1033</v>
      </c>
      <c r="D37" s="49"/>
      <c r="E37" s="11">
        <v>2577</v>
      </c>
      <c r="F37" s="11">
        <v>2577</v>
      </c>
      <c r="G37" s="49"/>
      <c r="H37" s="11">
        <v>4342</v>
      </c>
      <c r="I37" s="11">
        <v>4342</v>
      </c>
    </row>
    <row r="38" s="48" customFormat="1" customHeight="1" spans="1:9">
      <c r="A38" s="49"/>
      <c r="B38" s="11">
        <v>1034</v>
      </c>
      <c r="C38" s="11">
        <v>1034</v>
      </c>
      <c r="D38" s="49"/>
      <c r="E38" s="11">
        <v>2578</v>
      </c>
      <c r="F38" s="11">
        <v>2578</v>
      </c>
      <c r="G38" s="49"/>
      <c r="H38" s="11">
        <v>4343</v>
      </c>
      <c r="I38" s="11">
        <v>4343</v>
      </c>
    </row>
    <row r="39" s="48" customFormat="1" customHeight="1" spans="1:9">
      <c r="A39" s="49"/>
      <c r="B39" s="11">
        <v>1035</v>
      </c>
      <c r="C39" s="11">
        <v>1035</v>
      </c>
      <c r="D39" s="49"/>
      <c r="E39" s="11">
        <v>2579</v>
      </c>
      <c r="F39" s="11">
        <v>2579</v>
      </c>
      <c r="G39" s="49"/>
      <c r="H39" s="11">
        <v>4344</v>
      </c>
      <c r="I39" s="11">
        <v>4344</v>
      </c>
    </row>
    <row r="40" s="48" customFormat="1" customHeight="1" spans="1:9">
      <c r="A40" s="49"/>
      <c r="B40" s="11">
        <v>1036</v>
      </c>
      <c r="C40" s="11">
        <v>1036</v>
      </c>
      <c r="D40" s="49"/>
      <c r="E40" s="11">
        <v>2580</v>
      </c>
      <c r="F40" s="11">
        <v>2580</v>
      </c>
      <c r="G40" s="49"/>
      <c r="H40" s="11">
        <v>4345</v>
      </c>
      <c r="I40" s="11">
        <v>4345</v>
      </c>
    </row>
    <row r="41" s="48" customFormat="1" customHeight="1" spans="1:9">
      <c r="A41" s="49"/>
      <c r="B41" s="11">
        <v>1037</v>
      </c>
      <c r="C41" s="11">
        <v>1037</v>
      </c>
      <c r="D41" s="49"/>
      <c r="E41" s="11">
        <v>2581</v>
      </c>
      <c r="F41" s="11">
        <v>2581</v>
      </c>
      <c r="G41" s="49"/>
      <c r="H41" s="11">
        <v>4346</v>
      </c>
      <c r="I41" s="11">
        <v>4346</v>
      </c>
    </row>
    <row r="42" s="48" customFormat="1" customHeight="1" spans="1:9">
      <c r="A42" s="49"/>
      <c r="B42" s="11">
        <v>1038</v>
      </c>
      <c r="C42" s="11">
        <v>1038</v>
      </c>
      <c r="D42" s="49"/>
      <c r="E42" s="11">
        <v>2582</v>
      </c>
      <c r="F42" s="11">
        <v>2582</v>
      </c>
      <c r="G42" s="49"/>
      <c r="H42" s="11">
        <v>4347</v>
      </c>
      <c r="I42" s="11">
        <v>4347</v>
      </c>
    </row>
    <row r="43" s="48" customFormat="1" customHeight="1" spans="1:9">
      <c r="A43" s="49"/>
      <c r="B43" s="11">
        <v>1039</v>
      </c>
      <c r="C43" s="11">
        <v>1039</v>
      </c>
      <c r="D43" s="49"/>
      <c r="E43" s="11">
        <v>2583</v>
      </c>
      <c r="F43" s="11">
        <v>2583</v>
      </c>
      <c r="G43" s="49"/>
      <c r="H43" s="11">
        <v>4348</v>
      </c>
      <c r="I43" s="11">
        <v>4348</v>
      </c>
    </row>
    <row r="44" s="48" customFormat="1" customHeight="1" spans="1:9">
      <c r="A44" s="49"/>
      <c r="B44" s="11">
        <v>1040</v>
      </c>
      <c r="C44" s="11">
        <v>1040</v>
      </c>
      <c r="D44" s="49"/>
      <c r="E44" s="11">
        <v>2584</v>
      </c>
      <c r="F44" s="11">
        <v>2584</v>
      </c>
      <c r="G44" s="49"/>
      <c r="H44" s="11">
        <v>4349</v>
      </c>
      <c r="I44" s="11">
        <v>4349</v>
      </c>
    </row>
    <row r="45" s="48" customFormat="1" customHeight="1" spans="1:9">
      <c r="A45" s="49"/>
      <c r="B45" s="11">
        <v>1041</v>
      </c>
      <c r="C45" s="11">
        <v>1041</v>
      </c>
      <c r="D45" s="49"/>
      <c r="E45" s="11">
        <v>2585</v>
      </c>
      <c r="F45" s="11">
        <v>2585</v>
      </c>
      <c r="G45" s="49"/>
      <c r="H45" s="11">
        <v>4350</v>
      </c>
      <c r="I45" s="11">
        <v>4350</v>
      </c>
    </row>
    <row r="46" s="48" customFormat="1" customHeight="1" spans="1:9">
      <c r="A46" s="49"/>
      <c r="B46" s="11">
        <v>1042</v>
      </c>
      <c r="C46" s="11">
        <v>1042</v>
      </c>
      <c r="D46" s="49"/>
      <c r="E46" s="11">
        <v>2586</v>
      </c>
      <c r="F46" s="11">
        <v>2586</v>
      </c>
      <c r="G46" s="49"/>
      <c r="H46" s="11">
        <v>4351</v>
      </c>
      <c r="I46" s="11">
        <v>4351</v>
      </c>
    </row>
    <row r="47" s="48" customFormat="1" customHeight="1" spans="1:9">
      <c r="A47" s="49"/>
      <c r="B47" s="11">
        <v>1043</v>
      </c>
      <c r="C47" s="11">
        <v>1043</v>
      </c>
      <c r="D47" s="49"/>
      <c r="E47" s="11">
        <v>2587</v>
      </c>
      <c r="F47" s="11">
        <v>2587</v>
      </c>
      <c r="G47" s="49"/>
      <c r="H47" s="11">
        <v>4352</v>
      </c>
      <c r="I47" s="11">
        <v>4352</v>
      </c>
    </row>
    <row r="48" s="48" customFormat="1" customHeight="1" spans="1:9">
      <c r="A48" s="49"/>
      <c r="B48" s="11">
        <v>1044</v>
      </c>
      <c r="C48" s="11">
        <v>1044</v>
      </c>
      <c r="D48" s="49"/>
      <c r="E48" s="11">
        <v>2588</v>
      </c>
      <c r="F48" s="11">
        <v>2588</v>
      </c>
      <c r="G48" s="49"/>
      <c r="H48" s="11">
        <v>4353</v>
      </c>
      <c r="I48" s="11">
        <v>4353</v>
      </c>
    </row>
    <row r="49" s="48" customFormat="1" customHeight="1" spans="1:9">
      <c r="A49" s="49"/>
      <c r="B49" s="11">
        <v>1045</v>
      </c>
      <c r="C49" s="11">
        <v>1045</v>
      </c>
      <c r="D49" s="49"/>
      <c r="E49" s="11">
        <v>2589</v>
      </c>
      <c r="F49" s="11">
        <v>2589</v>
      </c>
      <c r="G49" s="49"/>
      <c r="H49" s="11">
        <v>4354</v>
      </c>
      <c r="I49" s="11">
        <v>4354</v>
      </c>
    </row>
    <row r="50" s="48" customFormat="1" customHeight="1" spans="1:9">
      <c r="A50" s="49"/>
      <c r="B50" s="11">
        <v>1046</v>
      </c>
      <c r="C50" s="11">
        <v>1046</v>
      </c>
      <c r="D50" s="49"/>
      <c r="E50" s="11">
        <v>2590</v>
      </c>
      <c r="F50" s="11">
        <v>2590</v>
      </c>
      <c r="G50" s="49"/>
      <c r="H50" s="11">
        <v>4355</v>
      </c>
      <c r="I50" s="11">
        <v>4355</v>
      </c>
    </row>
    <row r="51" s="48" customFormat="1" customHeight="1" spans="1:9">
      <c r="A51" s="49"/>
      <c r="B51" s="11">
        <v>1047</v>
      </c>
      <c r="C51" s="11">
        <v>1047</v>
      </c>
      <c r="D51" s="49"/>
      <c r="E51" s="11">
        <v>2591</v>
      </c>
      <c r="F51" s="11">
        <v>2591</v>
      </c>
      <c r="G51" s="49"/>
      <c r="H51" s="11">
        <v>4356</v>
      </c>
      <c r="I51" s="11">
        <v>4356</v>
      </c>
    </row>
    <row r="52" s="48" customFormat="1" customHeight="1" spans="1:9">
      <c r="A52" s="49"/>
      <c r="B52" s="11">
        <v>1048</v>
      </c>
      <c r="C52" s="11">
        <v>1048</v>
      </c>
      <c r="D52" s="49"/>
      <c r="E52" s="11">
        <v>2592</v>
      </c>
      <c r="F52" s="11">
        <v>2592</v>
      </c>
      <c r="G52" s="49"/>
      <c r="H52" s="11">
        <v>4357</v>
      </c>
      <c r="I52" s="11">
        <v>4357</v>
      </c>
    </row>
    <row r="53" s="48" customFormat="1" customHeight="1" spans="1:9">
      <c r="A53" s="49"/>
      <c r="B53" s="11">
        <v>1049</v>
      </c>
      <c r="C53" s="11">
        <v>1049</v>
      </c>
      <c r="D53" s="49"/>
      <c r="E53" s="11">
        <v>2593</v>
      </c>
      <c r="F53" s="11">
        <v>2593</v>
      </c>
      <c r="G53" s="49"/>
      <c r="H53" s="11">
        <v>4358</v>
      </c>
      <c r="I53" s="11">
        <v>4358</v>
      </c>
    </row>
    <row r="54" s="48" customFormat="1" customHeight="1" spans="1:9">
      <c r="A54" s="49"/>
      <c r="B54" s="11">
        <v>1050</v>
      </c>
      <c r="C54" s="11">
        <v>1050</v>
      </c>
      <c r="D54" s="49"/>
      <c r="E54" s="11">
        <v>2594</v>
      </c>
      <c r="F54" s="11">
        <v>2594</v>
      </c>
      <c r="G54" s="49"/>
      <c r="H54" s="11">
        <v>4359</v>
      </c>
      <c r="I54" s="11">
        <v>4359</v>
      </c>
    </row>
    <row r="55" s="48" customFormat="1" customHeight="1" spans="1:9">
      <c r="A55" s="49"/>
      <c r="B55" s="11">
        <v>1051</v>
      </c>
      <c r="C55" s="11">
        <v>1051</v>
      </c>
      <c r="D55" s="49"/>
      <c r="E55" s="11">
        <v>2595</v>
      </c>
      <c r="F55" s="11">
        <v>2595</v>
      </c>
      <c r="G55" s="49"/>
      <c r="H55" s="11">
        <v>4360</v>
      </c>
      <c r="I55" s="11">
        <v>4360</v>
      </c>
    </row>
    <row r="56" s="48" customFormat="1" customHeight="1" spans="1:9">
      <c r="A56" s="49"/>
      <c r="B56" s="11">
        <v>1052</v>
      </c>
      <c r="C56" s="11">
        <v>1052</v>
      </c>
      <c r="D56" s="49"/>
      <c r="E56" s="11">
        <v>2596</v>
      </c>
      <c r="F56" s="11">
        <v>2596</v>
      </c>
      <c r="G56" s="49"/>
      <c r="H56" s="11">
        <v>4361</v>
      </c>
      <c r="I56" s="11">
        <v>4361</v>
      </c>
    </row>
    <row r="57" customHeight="1" spans="1:9">
      <c r="B57" s="11">
        <v>1053</v>
      </c>
      <c r="C57" s="11">
        <v>1053</v>
      </c>
      <c r="E57" s="11">
        <v>2597</v>
      </c>
      <c r="F57" s="11">
        <v>2597</v>
      </c>
      <c r="H57" s="11">
        <v>4362</v>
      </c>
      <c r="I57" s="11">
        <v>4362</v>
      </c>
    </row>
    <row r="58" customHeight="1" spans="1:9">
      <c r="B58" s="11">
        <v>1054</v>
      </c>
      <c r="C58" s="11">
        <v>1054</v>
      </c>
      <c r="E58" s="11">
        <v>2598</v>
      </c>
      <c r="F58" s="11">
        <v>2598</v>
      </c>
      <c r="H58" s="11">
        <v>4363</v>
      </c>
      <c r="I58" s="11">
        <v>4363</v>
      </c>
    </row>
    <row r="59" customHeight="1" spans="1:9">
      <c r="B59" s="11">
        <v>1055</v>
      </c>
      <c r="C59" s="11">
        <v>1055</v>
      </c>
      <c r="E59" s="11">
        <v>2599</v>
      </c>
      <c r="F59" s="11">
        <v>2599</v>
      </c>
      <c r="H59" s="11">
        <v>4364</v>
      </c>
      <c r="I59" s="11">
        <v>4364</v>
      </c>
    </row>
    <row r="60" customHeight="1" spans="1:9">
      <c r="B60" s="11">
        <v>1056</v>
      </c>
      <c r="C60" s="11">
        <v>1056</v>
      </c>
      <c r="E60" s="11">
        <v>2533</v>
      </c>
      <c r="F60" s="11">
        <v>2533</v>
      </c>
      <c r="H60" s="11">
        <v>4365</v>
      </c>
      <c r="I60" s="11">
        <v>4365</v>
      </c>
    </row>
    <row r="61" customHeight="1" spans="1:9">
      <c r="B61" s="11">
        <v>1057</v>
      </c>
      <c r="C61" s="11">
        <v>1057</v>
      </c>
      <c r="E61" s="11">
        <v>2534</v>
      </c>
      <c r="F61" s="11">
        <v>2534</v>
      </c>
      <c r="H61" s="11">
        <v>4366</v>
      </c>
      <c r="I61" s="11">
        <v>4366</v>
      </c>
    </row>
    <row r="62" customHeight="1" spans="1:9">
      <c r="B62" s="11">
        <v>1058</v>
      </c>
      <c r="C62" s="11">
        <v>1058</v>
      </c>
      <c r="E62" s="11">
        <v>2535</v>
      </c>
      <c r="F62" s="11">
        <v>2535</v>
      </c>
      <c r="H62" s="11">
        <v>4367</v>
      </c>
      <c r="I62" s="11">
        <v>4367</v>
      </c>
    </row>
    <row r="63" customHeight="1" spans="1:9">
      <c r="B63" s="11">
        <v>1059</v>
      </c>
      <c r="C63" s="11">
        <v>1059</v>
      </c>
      <c r="E63" s="11">
        <v>2536</v>
      </c>
      <c r="F63" s="11">
        <v>2536</v>
      </c>
      <c r="H63" s="11">
        <v>4368</v>
      </c>
      <c r="I63" s="11">
        <v>4368</v>
      </c>
    </row>
    <row r="64" customHeight="1" spans="1:9">
      <c r="B64" s="11">
        <v>1060</v>
      </c>
      <c r="C64" s="11">
        <v>1060</v>
      </c>
      <c r="E64" s="11">
        <v>2537</v>
      </c>
      <c r="F64" s="11">
        <v>2537</v>
      </c>
      <c r="H64" s="11">
        <v>4369</v>
      </c>
      <c r="I64" s="11">
        <v>4369</v>
      </c>
    </row>
    <row r="65" customHeight="1" spans="2:9">
      <c r="B65" s="11">
        <v>1061</v>
      </c>
      <c r="C65" s="11">
        <v>1061</v>
      </c>
      <c r="E65" s="11">
        <v>2538</v>
      </c>
      <c r="F65" s="11">
        <v>2538</v>
      </c>
      <c r="H65" s="11">
        <v>4370</v>
      </c>
      <c r="I65" s="11">
        <v>4370</v>
      </c>
    </row>
    <row r="66" customHeight="1" spans="2:9">
      <c r="B66" s="11">
        <v>1062</v>
      </c>
      <c r="C66" s="11">
        <v>1062</v>
      </c>
      <c r="E66" s="11">
        <v>2539</v>
      </c>
      <c r="F66" s="11">
        <v>2539</v>
      </c>
      <c r="H66" s="11">
        <v>4371</v>
      </c>
      <c r="I66" s="11">
        <v>4371</v>
      </c>
    </row>
    <row r="67" customHeight="1" spans="2:9">
      <c r="B67" s="11">
        <v>1063</v>
      </c>
      <c r="C67" s="11">
        <v>1063</v>
      </c>
      <c r="E67" s="11">
        <v>2540</v>
      </c>
      <c r="F67" s="11">
        <v>2540</v>
      </c>
      <c r="H67" s="11">
        <v>4372</v>
      </c>
      <c r="I67" s="11">
        <v>4372</v>
      </c>
    </row>
    <row r="68" customHeight="1" spans="2:9">
      <c r="B68" s="11">
        <v>1064</v>
      </c>
      <c r="C68" s="11">
        <v>1064</v>
      </c>
      <c r="E68" s="11">
        <v>2541</v>
      </c>
      <c r="F68" s="11">
        <v>2541</v>
      </c>
      <c r="H68" s="11">
        <v>4373</v>
      </c>
      <c r="I68" s="11">
        <v>4373</v>
      </c>
    </row>
    <row r="69" customHeight="1" spans="2:9">
      <c r="B69" s="11">
        <v>1065</v>
      </c>
      <c r="C69" s="11">
        <v>1065</v>
      </c>
      <c r="E69" s="11">
        <v>2542</v>
      </c>
      <c r="F69" s="11">
        <v>2542</v>
      </c>
      <c r="H69" s="11">
        <v>4374</v>
      </c>
      <c r="I69" s="11">
        <v>4374</v>
      </c>
    </row>
    <row r="70" customHeight="1" spans="2:9">
      <c r="B70" s="11">
        <v>1066</v>
      </c>
      <c r="C70" s="11">
        <v>1066</v>
      </c>
      <c r="E70" s="11">
        <v>2543</v>
      </c>
      <c r="F70" s="11">
        <v>2543</v>
      </c>
      <c r="H70" s="11">
        <v>4375</v>
      </c>
      <c r="I70" s="11">
        <v>4375</v>
      </c>
    </row>
    <row r="71" customHeight="1" spans="2:9">
      <c r="B71" s="11">
        <v>1067</v>
      </c>
      <c r="C71" s="11">
        <v>1067</v>
      </c>
      <c r="E71" s="11">
        <v>2544</v>
      </c>
      <c r="F71" s="11">
        <v>2544</v>
      </c>
      <c r="H71" s="11">
        <v>4376</v>
      </c>
      <c r="I71" s="11">
        <v>4376</v>
      </c>
    </row>
    <row r="72" customHeight="1" spans="2:9">
      <c r="B72" s="11">
        <v>1068</v>
      </c>
      <c r="C72" s="11">
        <v>1068</v>
      </c>
      <c r="E72" s="11">
        <v>2545</v>
      </c>
      <c r="F72" s="11">
        <v>2545</v>
      </c>
      <c r="H72" s="11">
        <v>4377</v>
      </c>
      <c r="I72" s="11">
        <v>4377</v>
      </c>
    </row>
    <row r="73" customHeight="1" spans="2:9">
      <c r="B73" s="11">
        <v>1069</v>
      </c>
      <c r="C73" s="11">
        <v>1069</v>
      </c>
      <c r="E73" s="11">
        <v>2546</v>
      </c>
      <c r="F73" s="11">
        <v>2546</v>
      </c>
      <c r="H73" s="11">
        <v>4378</v>
      </c>
      <c r="I73" s="11">
        <v>4378</v>
      </c>
    </row>
    <row r="74" customHeight="1" spans="2:9">
      <c r="B74" s="11">
        <v>1070</v>
      </c>
      <c r="C74" s="11">
        <v>1070</v>
      </c>
      <c r="E74" s="11">
        <v>2547</v>
      </c>
      <c r="F74" s="11">
        <v>2547</v>
      </c>
      <c r="H74" s="11">
        <v>4379</v>
      </c>
      <c r="I74" s="11">
        <v>4379</v>
      </c>
    </row>
    <row r="75" customHeight="1" spans="2:9">
      <c r="B75" s="11">
        <v>1071</v>
      </c>
      <c r="C75" s="11">
        <v>1071</v>
      </c>
      <c r="E75" s="11">
        <v>2548</v>
      </c>
      <c r="F75" s="11">
        <v>2548</v>
      </c>
      <c r="H75" s="11">
        <v>4380</v>
      </c>
      <c r="I75" s="11">
        <v>4380</v>
      </c>
    </row>
    <row r="76" customHeight="1" spans="2:9">
      <c r="B76" s="11">
        <v>1072</v>
      </c>
      <c r="C76" s="11">
        <v>1072</v>
      </c>
      <c r="E76" s="11">
        <v>2549</v>
      </c>
      <c r="F76" s="11">
        <v>2549</v>
      </c>
      <c r="H76" s="11">
        <v>4381</v>
      </c>
      <c r="I76" s="11">
        <v>4381</v>
      </c>
    </row>
    <row r="77" customHeight="1" spans="2:9">
      <c r="B77" s="11">
        <v>1073</v>
      </c>
      <c r="C77" s="11">
        <v>1073</v>
      </c>
      <c r="E77" s="11">
        <v>2550</v>
      </c>
      <c r="F77" s="11">
        <v>2550</v>
      </c>
      <c r="H77" s="11">
        <v>4382</v>
      </c>
      <c r="I77" s="11">
        <v>4382</v>
      </c>
    </row>
    <row r="78" customHeight="1" spans="2:9">
      <c r="B78" s="11">
        <v>1074</v>
      </c>
      <c r="C78" s="11">
        <v>1074</v>
      </c>
      <c r="E78" s="11">
        <v>2551</v>
      </c>
      <c r="F78" s="11">
        <v>2551</v>
      </c>
      <c r="H78" s="11">
        <v>4383</v>
      </c>
      <c r="I78" s="11">
        <v>4383</v>
      </c>
    </row>
    <row r="79" customHeight="1" spans="2:9">
      <c r="B79" s="11">
        <v>1075</v>
      </c>
      <c r="C79" s="11">
        <v>1075</v>
      </c>
      <c r="E79" s="11">
        <v>2552</v>
      </c>
      <c r="F79" s="11">
        <v>2552</v>
      </c>
      <c r="H79" s="11">
        <v>4384</v>
      </c>
      <c r="I79" s="11">
        <v>4384</v>
      </c>
    </row>
    <row r="80" customHeight="1" spans="2:9">
      <c r="B80" s="11">
        <v>1076</v>
      </c>
      <c r="C80" s="11">
        <v>1076</v>
      </c>
      <c r="E80" s="11">
        <v>2553</v>
      </c>
      <c r="F80" s="11">
        <v>2553</v>
      </c>
      <c r="H80" s="11">
        <v>4385</v>
      </c>
      <c r="I80" s="11">
        <v>4385</v>
      </c>
    </row>
    <row r="81" customHeight="1" spans="2:9">
      <c r="B81" s="11">
        <v>1077</v>
      </c>
      <c r="C81" s="11">
        <v>1077</v>
      </c>
      <c r="E81" s="11">
        <v>2554</v>
      </c>
      <c r="F81" s="11">
        <v>2554</v>
      </c>
      <c r="H81" s="11">
        <v>4386</v>
      </c>
      <c r="I81" s="11">
        <v>4386</v>
      </c>
    </row>
    <row r="82" customHeight="1" spans="2:9">
      <c r="B82" s="11">
        <v>1078</v>
      </c>
      <c r="C82" s="11">
        <v>1078</v>
      </c>
      <c r="E82" s="11">
        <v>2621</v>
      </c>
      <c r="F82" s="11">
        <v>2621</v>
      </c>
      <c r="H82" s="11">
        <v>4387</v>
      </c>
      <c r="I82" s="11">
        <v>4387</v>
      </c>
    </row>
    <row r="83" customHeight="1" spans="2:9">
      <c r="B83" s="11">
        <v>1079</v>
      </c>
      <c r="C83" s="11">
        <v>1079</v>
      </c>
      <c r="E83" s="11">
        <v>2622</v>
      </c>
      <c r="F83" s="11">
        <v>2622</v>
      </c>
      <c r="H83" s="11">
        <v>4388</v>
      </c>
      <c r="I83" s="11">
        <v>4388</v>
      </c>
    </row>
    <row r="84" customHeight="1" spans="2:9">
      <c r="B84" s="11">
        <v>1080</v>
      </c>
      <c r="C84" s="11">
        <v>1080</v>
      </c>
      <c r="E84" s="11">
        <v>2623</v>
      </c>
      <c r="F84" s="11">
        <v>2623</v>
      </c>
      <c r="H84" s="11">
        <v>4389</v>
      </c>
      <c r="I84" s="11">
        <v>4389</v>
      </c>
    </row>
    <row r="85" customHeight="1" spans="2:9">
      <c r="B85" s="11">
        <v>1081</v>
      </c>
      <c r="C85" s="11">
        <v>1081</v>
      </c>
      <c r="E85" s="11">
        <v>2624</v>
      </c>
      <c r="F85" s="11">
        <v>2624</v>
      </c>
      <c r="H85" s="11">
        <v>4390</v>
      </c>
      <c r="I85" s="11">
        <v>4390</v>
      </c>
    </row>
    <row r="86" customHeight="1" spans="2:9">
      <c r="B86" s="11">
        <v>1082</v>
      </c>
      <c r="C86" s="11">
        <v>1082</v>
      </c>
      <c r="E86" s="11">
        <v>2625</v>
      </c>
      <c r="F86" s="11">
        <v>2625</v>
      </c>
      <c r="H86" s="11">
        <v>4391</v>
      </c>
      <c r="I86" s="11">
        <v>4391</v>
      </c>
    </row>
    <row r="87" customHeight="1" spans="2:9">
      <c r="B87" s="11">
        <v>1083</v>
      </c>
      <c r="C87" s="11">
        <v>1083</v>
      </c>
      <c r="E87" s="11">
        <v>2626</v>
      </c>
      <c r="F87" s="11">
        <v>2626</v>
      </c>
      <c r="H87" s="11">
        <v>4392</v>
      </c>
      <c r="I87" s="11">
        <v>4392</v>
      </c>
    </row>
    <row r="88" customHeight="1" spans="2:9">
      <c r="B88" s="11">
        <v>1084</v>
      </c>
      <c r="C88" s="11">
        <v>1084</v>
      </c>
      <c r="E88" s="11">
        <v>2627</v>
      </c>
      <c r="F88" s="11">
        <v>2627</v>
      </c>
      <c r="H88" s="11">
        <v>4393</v>
      </c>
      <c r="I88" s="11">
        <v>4393</v>
      </c>
    </row>
    <row r="89" customHeight="1" spans="2:9">
      <c r="B89" s="11">
        <v>1085</v>
      </c>
      <c r="C89" s="11">
        <v>1085</v>
      </c>
      <c r="E89" s="11">
        <v>2628</v>
      </c>
      <c r="F89" s="11">
        <v>2628</v>
      </c>
      <c r="H89" s="11">
        <v>4394</v>
      </c>
      <c r="I89" s="11">
        <v>4394</v>
      </c>
    </row>
    <row r="90" customHeight="1" spans="2:9">
      <c r="B90" s="11">
        <v>1086</v>
      </c>
      <c r="C90" s="11">
        <v>1086</v>
      </c>
      <c r="E90" s="11">
        <v>2629</v>
      </c>
      <c r="F90" s="11">
        <v>2629</v>
      </c>
      <c r="H90" s="11">
        <v>4395</v>
      </c>
      <c r="I90" s="11">
        <v>4395</v>
      </c>
    </row>
    <row r="91" customHeight="1" spans="2:9">
      <c r="B91" s="11">
        <v>1087</v>
      </c>
      <c r="C91" s="11">
        <v>1087</v>
      </c>
      <c r="E91" s="11">
        <v>2630</v>
      </c>
      <c r="F91" s="11">
        <v>2630</v>
      </c>
      <c r="H91" s="11">
        <v>4396</v>
      </c>
      <c r="I91" s="11">
        <v>4396</v>
      </c>
    </row>
    <row r="92" customHeight="1" spans="2:9">
      <c r="B92" s="11">
        <v>1088</v>
      </c>
      <c r="C92" s="11">
        <v>1088</v>
      </c>
      <c r="E92" s="11">
        <v>2631</v>
      </c>
      <c r="F92" s="11">
        <v>2631</v>
      </c>
      <c r="H92" s="11">
        <v>4397</v>
      </c>
      <c r="I92" s="11">
        <v>4397</v>
      </c>
    </row>
    <row r="93" customHeight="1" spans="2:9">
      <c r="B93" s="11">
        <v>1089</v>
      </c>
      <c r="C93" s="11">
        <v>1089</v>
      </c>
      <c r="E93" s="11">
        <v>2632</v>
      </c>
      <c r="F93" s="11">
        <v>2632</v>
      </c>
      <c r="H93" s="11">
        <v>4398</v>
      </c>
      <c r="I93" s="11">
        <v>4398</v>
      </c>
    </row>
    <row r="94" customHeight="1" spans="2:9">
      <c r="B94" s="11">
        <v>1090</v>
      </c>
      <c r="C94" s="11">
        <v>1090</v>
      </c>
      <c r="E94" s="11">
        <v>2633</v>
      </c>
      <c r="F94" s="11">
        <v>2633</v>
      </c>
      <c r="H94" s="11">
        <v>4399</v>
      </c>
      <c r="I94" s="11">
        <v>4399</v>
      </c>
    </row>
    <row r="95" customHeight="1" spans="2:9">
      <c r="B95" s="11">
        <v>1091</v>
      </c>
      <c r="C95" s="11">
        <v>1091</v>
      </c>
      <c r="E95" s="11">
        <v>2634</v>
      </c>
      <c r="F95" s="11">
        <v>2634</v>
      </c>
      <c r="H95" s="11">
        <v>4400</v>
      </c>
      <c r="I95" s="11">
        <v>4400</v>
      </c>
    </row>
    <row r="96" customHeight="1" spans="2:9">
      <c r="B96" s="11">
        <v>1092</v>
      </c>
      <c r="C96" s="11">
        <v>1092</v>
      </c>
      <c r="E96" s="11">
        <v>2635</v>
      </c>
      <c r="F96" s="11">
        <v>2635</v>
      </c>
      <c r="H96" s="11">
        <v>4401</v>
      </c>
      <c r="I96" s="11">
        <v>4401</v>
      </c>
    </row>
    <row r="97" customHeight="1" spans="2:9">
      <c r="B97" s="11">
        <v>1093</v>
      </c>
      <c r="C97" s="11">
        <v>1093</v>
      </c>
      <c r="E97" s="11">
        <v>2636</v>
      </c>
      <c r="F97" s="11">
        <v>2636</v>
      </c>
      <c r="H97" s="11">
        <v>4402</v>
      </c>
      <c r="I97" s="11">
        <v>4402</v>
      </c>
    </row>
    <row r="98" customHeight="1" spans="2:9">
      <c r="B98" s="11">
        <v>1094</v>
      </c>
      <c r="C98" s="11">
        <v>1094</v>
      </c>
      <c r="E98" s="11">
        <v>2637</v>
      </c>
      <c r="F98" s="11">
        <v>2637</v>
      </c>
      <c r="H98" s="11">
        <v>4403</v>
      </c>
      <c r="I98" s="11">
        <v>4403</v>
      </c>
    </row>
    <row r="99" customHeight="1" spans="2:9">
      <c r="B99" s="11">
        <v>1095</v>
      </c>
      <c r="C99" s="11">
        <v>1095</v>
      </c>
      <c r="E99" s="11">
        <v>2638</v>
      </c>
      <c r="F99" s="11">
        <v>2638</v>
      </c>
      <c r="H99" s="11">
        <v>4404</v>
      </c>
      <c r="I99" s="11">
        <v>4404</v>
      </c>
    </row>
    <row r="100" customHeight="1" spans="2:9">
      <c r="B100" s="11">
        <v>1096</v>
      </c>
      <c r="C100" s="11">
        <v>1096</v>
      </c>
      <c r="E100" s="11">
        <v>2639</v>
      </c>
      <c r="F100" s="11">
        <v>2639</v>
      </c>
      <c r="H100" s="11">
        <v>4405</v>
      </c>
      <c r="I100" s="11">
        <v>4405</v>
      </c>
    </row>
    <row r="101" customHeight="1" spans="2:9">
      <c r="B101" s="11">
        <v>1097</v>
      </c>
      <c r="C101" s="11">
        <v>1097</v>
      </c>
      <c r="E101" s="11">
        <v>2642</v>
      </c>
      <c r="F101" s="11">
        <v>2642</v>
      </c>
      <c r="H101" s="11">
        <v>4406</v>
      </c>
      <c r="I101" s="11">
        <v>4406</v>
      </c>
    </row>
    <row r="102" customHeight="1" spans="2:9">
      <c r="B102" s="11">
        <v>1098</v>
      </c>
      <c r="C102" s="11">
        <v>1098</v>
      </c>
      <c r="E102" s="11">
        <v>2643</v>
      </c>
      <c r="F102" s="11">
        <v>2643</v>
      </c>
      <c r="H102" s="11">
        <v>4407</v>
      </c>
      <c r="I102" s="11">
        <v>4407</v>
      </c>
    </row>
    <row r="103" customHeight="1" spans="2:9">
      <c r="B103" s="11">
        <v>1099</v>
      </c>
      <c r="C103" s="11">
        <v>1099</v>
      </c>
      <c r="E103" s="11">
        <v>2644</v>
      </c>
      <c r="F103" s="11">
        <v>2644</v>
      </c>
      <c r="H103" s="11">
        <v>4408</v>
      </c>
      <c r="I103" s="11">
        <v>4408</v>
      </c>
    </row>
    <row r="104" customHeight="1" spans="2:9">
      <c r="B104" s="11">
        <v>1100</v>
      </c>
      <c r="C104" s="11">
        <v>1100</v>
      </c>
      <c r="E104" s="11">
        <v>2645</v>
      </c>
      <c r="F104" s="11">
        <v>2645</v>
      </c>
      <c r="H104" s="11">
        <v>4409</v>
      </c>
      <c r="I104" s="11">
        <v>4409</v>
      </c>
    </row>
    <row r="105" customHeight="1" spans="2:9">
      <c r="B105" s="11">
        <v>1101</v>
      </c>
      <c r="C105" s="11">
        <v>1101</v>
      </c>
      <c r="E105" s="11">
        <v>2646</v>
      </c>
      <c r="F105" s="11">
        <v>2646</v>
      </c>
      <c r="H105" s="11">
        <v>4410</v>
      </c>
      <c r="I105" s="11">
        <v>4410</v>
      </c>
    </row>
    <row r="106" customHeight="1" spans="2:9">
      <c r="B106" s="11">
        <v>1102</v>
      </c>
      <c r="C106" s="11">
        <v>1102</v>
      </c>
      <c r="E106" s="11">
        <v>2647</v>
      </c>
      <c r="F106" s="11">
        <v>2647</v>
      </c>
      <c r="H106" s="11">
        <v>4411</v>
      </c>
      <c r="I106" s="11">
        <v>4411</v>
      </c>
    </row>
    <row r="107" customHeight="1" spans="2:9">
      <c r="B107" s="11">
        <v>1103</v>
      </c>
      <c r="C107" s="11">
        <v>1103</v>
      </c>
      <c r="E107" s="11">
        <v>3211</v>
      </c>
      <c r="F107" s="11">
        <v>3211</v>
      </c>
      <c r="H107" s="11">
        <v>4412</v>
      </c>
      <c r="I107" s="11">
        <v>4412</v>
      </c>
    </row>
    <row r="108" customHeight="1" spans="2:9">
      <c r="B108" s="11">
        <v>1104</v>
      </c>
      <c r="C108" s="11">
        <v>1104</v>
      </c>
      <c r="E108" s="11">
        <v>3212</v>
      </c>
      <c r="F108" s="11">
        <v>3212</v>
      </c>
      <c r="H108" s="11">
        <v>4413</v>
      </c>
      <c r="I108" s="11">
        <v>4413</v>
      </c>
    </row>
    <row r="109" customHeight="1" spans="2:9">
      <c r="B109" s="11">
        <v>1105</v>
      </c>
      <c r="C109" s="11">
        <v>1105</v>
      </c>
      <c r="E109" s="11">
        <v>3213</v>
      </c>
      <c r="F109" s="11">
        <v>3213</v>
      </c>
      <c r="H109" s="11">
        <v>4414</v>
      </c>
      <c r="I109" s="11">
        <v>4414</v>
      </c>
    </row>
    <row r="110" customHeight="1" spans="2:9">
      <c r="B110" s="11">
        <v>1106</v>
      </c>
      <c r="C110" s="11">
        <v>1106</v>
      </c>
      <c r="E110" s="11">
        <v>3214</v>
      </c>
      <c r="F110" s="11">
        <v>3214</v>
      </c>
      <c r="H110" s="11">
        <v>4415</v>
      </c>
      <c r="I110" s="11">
        <v>4415</v>
      </c>
    </row>
    <row r="111" customHeight="1" spans="2:9">
      <c r="B111" s="11">
        <v>1107</v>
      </c>
      <c r="C111" s="11">
        <v>1107</v>
      </c>
      <c r="E111" s="11">
        <v>3215</v>
      </c>
      <c r="F111" s="11">
        <v>3215</v>
      </c>
      <c r="H111" s="11">
        <v>4416</v>
      </c>
      <c r="I111" s="11">
        <v>4416</v>
      </c>
    </row>
    <row r="112" customHeight="1" spans="2:9">
      <c r="B112" s="11">
        <v>1108</v>
      </c>
      <c r="C112" s="11">
        <v>1108</v>
      </c>
      <c r="E112" s="11">
        <v>3216</v>
      </c>
      <c r="F112" s="11">
        <v>3216</v>
      </c>
      <c r="H112" s="11">
        <v>4417</v>
      </c>
      <c r="I112" s="11">
        <v>4417</v>
      </c>
    </row>
    <row r="113" customHeight="1" spans="2:9">
      <c r="B113" s="11">
        <v>1109</v>
      </c>
      <c r="C113" s="11">
        <v>1109</v>
      </c>
      <c r="E113" s="11">
        <v>3217</v>
      </c>
      <c r="F113" s="11">
        <v>3217</v>
      </c>
      <c r="H113" s="11">
        <v>4418</v>
      </c>
      <c r="I113" s="11">
        <v>4418</v>
      </c>
    </row>
    <row r="114" customHeight="1" spans="2:9">
      <c r="B114" s="11">
        <v>1110</v>
      </c>
      <c r="C114" s="11">
        <v>1110</v>
      </c>
      <c r="E114" s="11">
        <v>3218</v>
      </c>
      <c r="F114" s="11">
        <v>3218</v>
      </c>
      <c r="H114" s="11">
        <v>4419</v>
      </c>
      <c r="I114" s="11">
        <v>4419</v>
      </c>
    </row>
    <row r="115" customHeight="1" spans="2:9">
      <c r="B115" s="11">
        <v>1111</v>
      </c>
      <c r="C115" s="11">
        <v>1111</v>
      </c>
      <c r="E115" s="11">
        <v>3219</v>
      </c>
      <c r="F115" s="11">
        <v>3219</v>
      </c>
      <c r="H115" s="11">
        <v>4420</v>
      </c>
      <c r="I115" s="11">
        <v>4420</v>
      </c>
    </row>
    <row r="116" customHeight="1" spans="2:9">
      <c r="B116" s="11">
        <v>1112</v>
      </c>
      <c r="C116" s="11">
        <v>1112</v>
      </c>
      <c r="E116" s="11">
        <v>3220</v>
      </c>
      <c r="F116" s="11">
        <v>3220</v>
      </c>
      <c r="H116" s="11">
        <v>4421</v>
      </c>
      <c r="I116" s="11">
        <v>4421</v>
      </c>
    </row>
    <row r="117" customHeight="1" spans="2:9">
      <c r="B117" s="11">
        <v>1113</v>
      </c>
      <c r="C117" s="11">
        <v>1113</v>
      </c>
      <c r="E117" s="11">
        <v>2720</v>
      </c>
      <c r="F117" s="11">
        <v>2720</v>
      </c>
      <c r="H117" s="11">
        <v>4422</v>
      </c>
      <c r="I117" s="11">
        <v>4422</v>
      </c>
    </row>
    <row r="118" customHeight="1" spans="2:9">
      <c r="B118" s="11">
        <v>1114</v>
      </c>
      <c r="C118" s="11">
        <v>1114</v>
      </c>
      <c r="E118" s="11">
        <v>2721</v>
      </c>
      <c r="F118" s="11">
        <v>2721</v>
      </c>
      <c r="H118" s="11">
        <v>4423</v>
      </c>
      <c r="I118" s="11">
        <v>4423</v>
      </c>
    </row>
    <row r="119" customHeight="1" spans="2:9">
      <c r="B119" s="11">
        <v>1115</v>
      </c>
      <c r="C119" s="11">
        <v>1115</v>
      </c>
      <c r="E119" s="11">
        <v>2722</v>
      </c>
      <c r="F119" s="11">
        <v>2722</v>
      </c>
      <c r="H119" s="11">
        <v>4424</v>
      </c>
      <c r="I119" s="11">
        <v>4424</v>
      </c>
    </row>
    <row r="120" customHeight="1" spans="2:9">
      <c r="B120" s="11">
        <v>1116</v>
      </c>
      <c r="C120" s="11">
        <v>1116</v>
      </c>
      <c r="E120" s="11">
        <v>2723</v>
      </c>
      <c r="F120" s="11">
        <v>2723</v>
      </c>
      <c r="H120" s="11">
        <v>4425</v>
      </c>
      <c r="I120" s="11">
        <v>4425</v>
      </c>
    </row>
    <row r="121" customHeight="1" spans="2:9">
      <c r="B121" s="11">
        <v>1117</v>
      </c>
      <c r="C121" s="11">
        <v>1117</v>
      </c>
      <c r="E121" s="11">
        <v>2724</v>
      </c>
      <c r="F121" s="11">
        <v>2724</v>
      </c>
      <c r="H121" s="11">
        <v>4426</v>
      </c>
      <c r="I121" s="11">
        <v>4426</v>
      </c>
    </row>
    <row r="122" customHeight="1" spans="2:9">
      <c r="B122" s="11">
        <v>1118</v>
      </c>
      <c r="C122" s="11">
        <v>1118</v>
      </c>
      <c r="E122" s="11">
        <v>2725</v>
      </c>
      <c r="F122" s="11">
        <v>2725</v>
      </c>
      <c r="H122" s="11">
        <v>4427</v>
      </c>
      <c r="I122" s="11">
        <v>4427</v>
      </c>
    </row>
    <row r="123" customHeight="1" spans="2:9">
      <c r="B123" s="11">
        <v>1119</v>
      </c>
      <c r="C123" s="11">
        <v>1119</v>
      </c>
      <c r="E123" s="11">
        <v>2726</v>
      </c>
      <c r="F123" s="11">
        <v>2726</v>
      </c>
      <c r="H123" s="11">
        <v>4428</v>
      </c>
      <c r="I123" s="11">
        <v>4428</v>
      </c>
    </row>
    <row r="124" customHeight="1" spans="2:9">
      <c r="B124" s="11">
        <v>1120</v>
      </c>
      <c r="C124" s="11">
        <v>1120</v>
      </c>
      <c r="E124" s="11">
        <v>2727</v>
      </c>
      <c r="F124" s="11">
        <v>2727</v>
      </c>
      <c r="H124" s="11">
        <v>4429</v>
      </c>
      <c r="I124" s="11">
        <v>4429</v>
      </c>
    </row>
    <row r="125" customHeight="1" spans="2:9">
      <c r="B125" s="11">
        <v>1121</v>
      </c>
      <c r="C125" s="11">
        <v>1121</v>
      </c>
      <c r="E125" s="11">
        <v>2728</v>
      </c>
      <c r="F125" s="11">
        <v>2728</v>
      </c>
      <c r="H125" s="11">
        <v>4430</v>
      </c>
      <c r="I125" s="11">
        <v>4430</v>
      </c>
    </row>
    <row r="126" customHeight="1" spans="2:9">
      <c r="B126" s="11">
        <v>1122</v>
      </c>
      <c r="C126" s="11">
        <v>1122</v>
      </c>
      <c r="E126" s="11">
        <v>2729</v>
      </c>
      <c r="F126" s="11">
        <v>2729</v>
      </c>
      <c r="H126" s="11">
        <v>4431</v>
      </c>
      <c r="I126" s="11">
        <v>4431</v>
      </c>
    </row>
    <row r="127" customHeight="1" spans="2:9">
      <c r="B127" s="11">
        <v>1123</v>
      </c>
      <c r="C127" s="11">
        <v>1123</v>
      </c>
      <c r="E127" s="11">
        <v>2730</v>
      </c>
      <c r="F127" s="11">
        <v>2730</v>
      </c>
      <c r="H127" s="11">
        <v>4432</v>
      </c>
      <c r="I127" s="11">
        <v>4432</v>
      </c>
    </row>
    <row r="128" customHeight="1" spans="2:9">
      <c r="B128" s="11">
        <v>1124</v>
      </c>
      <c r="C128" s="11">
        <v>1124</v>
      </c>
      <c r="E128" s="11">
        <v>2710</v>
      </c>
      <c r="F128" s="11">
        <v>2710</v>
      </c>
      <c r="H128" s="11">
        <v>4433</v>
      </c>
      <c r="I128" s="11">
        <v>4433</v>
      </c>
    </row>
    <row r="129" customHeight="1" spans="2:9">
      <c r="B129" s="11">
        <v>1125</v>
      </c>
      <c r="C129" s="11">
        <v>1125</v>
      </c>
      <c r="E129" s="11">
        <v>2711</v>
      </c>
      <c r="F129" s="11">
        <v>2711</v>
      </c>
      <c r="H129" s="11">
        <v>4434</v>
      </c>
      <c r="I129" s="11">
        <v>4434</v>
      </c>
    </row>
    <row r="130" customHeight="1" spans="2:9">
      <c r="B130" s="11">
        <v>1126</v>
      </c>
      <c r="C130" s="11">
        <v>1126</v>
      </c>
      <c r="E130" s="11">
        <v>2712</v>
      </c>
      <c r="F130" s="11">
        <v>2712</v>
      </c>
      <c r="H130" s="11">
        <v>4435</v>
      </c>
      <c r="I130" s="11">
        <v>4435</v>
      </c>
    </row>
    <row r="131" customHeight="1" spans="2:9">
      <c r="B131" s="11">
        <v>1127</v>
      </c>
      <c r="C131" s="11">
        <v>1127</v>
      </c>
      <c r="E131" s="11">
        <v>2713</v>
      </c>
      <c r="F131" s="11">
        <v>2713</v>
      </c>
      <c r="H131" s="11">
        <v>4436</v>
      </c>
      <c r="I131" s="11">
        <v>4436</v>
      </c>
    </row>
    <row r="132" customHeight="1" spans="2:9">
      <c r="B132" s="11">
        <v>1128</v>
      </c>
      <c r="C132" s="11">
        <v>1128</v>
      </c>
      <c r="E132" s="11">
        <v>2714</v>
      </c>
      <c r="F132" s="11">
        <v>2714</v>
      </c>
      <c r="H132" s="11">
        <v>4437</v>
      </c>
      <c r="I132" s="11">
        <v>4437</v>
      </c>
    </row>
    <row r="133" customHeight="1" spans="2:9">
      <c r="B133" s="11">
        <v>1129</v>
      </c>
      <c r="C133" s="11">
        <v>1129</v>
      </c>
      <c r="E133" s="11">
        <v>2716</v>
      </c>
      <c r="F133" s="11">
        <v>2716</v>
      </c>
      <c r="H133" s="11">
        <v>4438</v>
      </c>
      <c r="I133" s="11">
        <v>4438</v>
      </c>
    </row>
    <row r="134" customHeight="1" spans="2:9">
      <c r="B134" s="11">
        <v>1130</v>
      </c>
      <c r="C134" s="11">
        <v>1130</v>
      </c>
      <c r="E134" s="11">
        <v>3350</v>
      </c>
      <c r="F134" s="11">
        <v>3350</v>
      </c>
      <c r="H134" s="11">
        <v>4439</v>
      </c>
      <c r="I134" s="11">
        <v>4439</v>
      </c>
    </row>
    <row r="135" customHeight="1" spans="2:9">
      <c r="B135" s="11">
        <v>1131</v>
      </c>
      <c r="C135" s="11">
        <v>1131</v>
      </c>
      <c r="E135" s="11">
        <v>3353</v>
      </c>
      <c r="F135" s="11">
        <v>3353</v>
      </c>
      <c r="H135" s="11">
        <v>4440</v>
      </c>
      <c r="I135" s="11">
        <v>4440</v>
      </c>
    </row>
    <row r="136" customHeight="1" spans="2:9">
      <c r="B136" s="11">
        <v>1132</v>
      </c>
      <c r="C136" s="11">
        <v>1132</v>
      </c>
      <c r="E136" s="11">
        <v>3354</v>
      </c>
      <c r="F136" s="11">
        <v>3354</v>
      </c>
      <c r="H136" s="11">
        <v>4441</v>
      </c>
      <c r="I136" s="11">
        <v>4441</v>
      </c>
    </row>
    <row r="137" customHeight="1" spans="2:9">
      <c r="B137" s="11">
        <v>1133</v>
      </c>
      <c r="C137" s="11">
        <v>1133</v>
      </c>
      <c r="E137" s="11">
        <v>3355</v>
      </c>
      <c r="F137" s="11">
        <v>3355</v>
      </c>
      <c r="H137" s="11">
        <v>4442</v>
      </c>
      <c r="I137" s="11">
        <v>4442</v>
      </c>
    </row>
    <row r="138" customHeight="1" spans="2:9">
      <c r="B138" s="11">
        <v>1134</v>
      </c>
      <c r="C138" s="11">
        <v>1134</v>
      </c>
      <c r="E138" s="11">
        <v>3356</v>
      </c>
      <c r="F138" s="11">
        <v>3356</v>
      </c>
      <c r="H138" s="11">
        <v>4443</v>
      </c>
      <c r="I138" s="11">
        <v>4443</v>
      </c>
    </row>
    <row r="139" customHeight="1" spans="2:9">
      <c r="B139" s="11">
        <v>1135</v>
      </c>
      <c r="C139" s="11">
        <v>1135</v>
      </c>
      <c r="E139" s="11">
        <v>3689</v>
      </c>
      <c r="F139" s="11">
        <v>3689</v>
      </c>
      <c r="H139" s="11">
        <v>4444</v>
      </c>
      <c r="I139" s="11">
        <v>4444</v>
      </c>
    </row>
    <row r="140" customHeight="1" spans="2:9">
      <c r="B140" s="11">
        <v>1136</v>
      </c>
      <c r="C140" s="11">
        <v>1136</v>
      </c>
      <c r="E140" s="11">
        <v>3690</v>
      </c>
      <c r="F140" s="11">
        <v>3690</v>
      </c>
      <c r="H140" s="11">
        <v>4445</v>
      </c>
      <c r="I140" s="11">
        <v>4445</v>
      </c>
    </row>
    <row r="141" customHeight="1" spans="2:9">
      <c r="B141" s="11">
        <v>1137</v>
      </c>
      <c r="C141" s="11">
        <v>1137</v>
      </c>
      <c r="E141" s="11">
        <v>2649</v>
      </c>
      <c r="F141" s="11">
        <v>2649</v>
      </c>
      <c r="H141" s="11">
        <v>4446</v>
      </c>
      <c r="I141" s="11">
        <v>4446</v>
      </c>
    </row>
    <row r="142" customHeight="1" spans="2:9">
      <c r="B142" s="11">
        <v>1138</v>
      </c>
      <c r="C142" s="11">
        <v>1138</v>
      </c>
      <c r="E142" s="11">
        <v>2650</v>
      </c>
      <c r="F142" s="11">
        <v>2650</v>
      </c>
      <c r="H142" s="11">
        <v>4447</v>
      </c>
      <c r="I142" s="11">
        <v>4447</v>
      </c>
    </row>
    <row r="143" customHeight="1" spans="2:9">
      <c r="B143" s="11">
        <v>1139</v>
      </c>
      <c r="C143" s="11">
        <v>1139</v>
      </c>
      <c r="E143" s="11">
        <v>2651</v>
      </c>
      <c r="F143" s="11">
        <v>2651</v>
      </c>
      <c r="H143" s="11">
        <v>4448</v>
      </c>
      <c r="I143" s="11">
        <v>4448</v>
      </c>
    </row>
    <row r="144" customHeight="1" spans="2:9">
      <c r="B144" s="11">
        <v>1140</v>
      </c>
      <c r="C144" s="11">
        <v>1140</v>
      </c>
      <c r="E144" s="11">
        <v>2652</v>
      </c>
      <c r="F144" s="11">
        <v>2652</v>
      </c>
      <c r="H144" s="11">
        <v>4449</v>
      </c>
      <c r="I144" s="11">
        <v>4449</v>
      </c>
    </row>
    <row r="145" customHeight="1" spans="2:9">
      <c r="B145" s="11">
        <v>1141</v>
      </c>
      <c r="C145" s="11">
        <v>1141</v>
      </c>
      <c r="E145" s="11">
        <v>2653</v>
      </c>
      <c r="F145" s="11">
        <v>2653</v>
      </c>
      <c r="H145" s="11">
        <v>4450</v>
      </c>
      <c r="I145" s="11">
        <v>4450</v>
      </c>
    </row>
    <row r="146" customHeight="1" spans="2:9">
      <c r="B146" s="11">
        <v>1142</v>
      </c>
      <c r="C146" s="11">
        <v>1142</v>
      </c>
      <c r="E146" s="11">
        <v>2654</v>
      </c>
      <c r="F146" s="11">
        <v>2654</v>
      </c>
      <c r="H146" s="11">
        <v>4451</v>
      </c>
      <c r="I146" s="11">
        <v>4451</v>
      </c>
    </row>
    <row r="147" customHeight="1" spans="2:9">
      <c r="B147" s="11">
        <v>1143</v>
      </c>
      <c r="C147" s="11">
        <v>1143</v>
      </c>
      <c r="E147" s="11">
        <v>2655</v>
      </c>
      <c r="F147" s="11">
        <v>2655</v>
      </c>
      <c r="H147" s="11">
        <v>4452</v>
      </c>
      <c r="I147" s="11">
        <v>4452</v>
      </c>
    </row>
    <row r="148" customHeight="1" spans="2:9">
      <c r="B148" s="11">
        <v>1144</v>
      </c>
      <c r="C148" s="11">
        <v>1144</v>
      </c>
      <c r="E148" s="11">
        <v>2656</v>
      </c>
      <c r="F148" s="11">
        <v>2656</v>
      </c>
      <c r="H148" s="11">
        <v>4453</v>
      </c>
      <c r="I148" s="11">
        <v>4453</v>
      </c>
    </row>
    <row r="149" customHeight="1" spans="2:9">
      <c r="B149" s="11">
        <v>1145</v>
      </c>
      <c r="C149" s="11">
        <v>1145</v>
      </c>
      <c r="E149" s="11">
        <v>2657</v>
      </c>
      <c r="F149" s="11">
        <v>2657</v>
      </c>
      <c r="H149" s="11">
        <v>6800</v>
      </c>
      <c r="I149" s="11">
        <v>6800</v>
      </c>
    </row>
    <row r="150" customHeight="1" spans="2:9">
      <c r="B150" s="11">
        <v>1146</v>
      </c>
      <c r="C150" s="11">
        <v>1146</v>
      </c>
      <c r="E150" s="11">
        <v>2658</v>
      </c>
      <c r="F150" s="11">
        <v>2658</v>
      </c>
      <c r="H150" s="11">
        <v>6801</v>
      </c>
      <c r="I150" s="11">
        <v>6801</v>
      </c>
    </row>
    <row r="151" customHeight="1" spans="2:9">
      <c r="B151" s="11">
        <v>1147</v>
      </c>
      <c r="C151" s="11">
        <v>1147</v>
      </c>
      <c r="E151" s="11">
        <v>2659</v>
      </c>
      <c r="F151" s="11">
        <v>2659</v>
      </c>
      <c r="H151" s="11">
        <v>6802</v>
      </c>
      <c r="I151" s="11">
        <v>6802</v>
      </c>
    </row>
    <row r="152" customHeight="1" spans="2:9">
      <c r="B152" s="11">
        <v>1148</v>
      </c>
      <c r="C152" s="11">
        <v>1148</v>
      </c>
      <c r="E152" s="11">
        <v>2660</v>
      </c>
      <c r="F152" s="11">
        <v>2660</v>
      </c>
      <c r="H152" s="11">
        <v>6803</v>
      </c>
      <c r="I152" s="11">
        <v>6803</v>
      </c>
    </row>
    <row r="153" customHeight="1" spans="2:9">
      <c r="B153" s="11">
        <v>1149</v>
      </c>
      <c r="C153" s="11">
        <v>1149</v>
      </c>
      <c r="E153" s="11">
        <v>2661</v>
      </c>
      <c r="F153" s="11">
        <v>2661</v>
      </c>
      <c r="H153" s="11">
        <v>6804</v>
      </c>
      <c r="I153" s="11">
        <v>6804</v>
      </c>
    </row>
    <row r="154" customHeight="1" spans="2:9">
      <c r="B154" s="11">
        <v>1150</v>
      </c>
      <c r="C154" s="11">
        <v>1150</v>
      </c>
      <c r="E154" s="11">
        <v>2662</v>
      </c>
      <c r="F154" s="11">
        <v>2662</v>
      </c>
      <c r="H154" s="11">
        <v>6805</v>
      </c>
      <c r="I154" s="11">
        <v>6805</v>
      </c>
    </row>
    <row r="155" customHeight="1" spans="2:9">
      <c r="B155" s="11">
        <v>1151</v>
      </c>
      <c r="C155" s="11">
        <v>1151</v>
      </c>
      <c r="E155" s="11">
        <v>2663</v>
      </c>
      <c r="F155" s="11">
        <v>2663</v>
      </c>
      <c r="H155" s="11">
        <v>6806</v>
      </c>
      <c r="I155" s="11">
        <v>6806</v>
      </c>
    </row>
    <row r="156" customHeight="1" spans="2:9">
      <c r="B156" s="11">
        <v>1152</v>
      </c>
      <c r="C156" s="11">
        <v>1152</v>
      </c>
      <c r="E156" s="11">
        <v>2664</v>
      </c>
      <c r="F156" s="11">
        <v>2664</v>
      </c>
      <c r="H156" s="11">
        <v>6807</v>
      </c>
      <c r="I156" s="11">
        <v>6807</v>
      </c>
    </row>
    <row r="157" customHeight="1" spans="2:9">
      <c r="B157" s="11">
        <v>1153</v>
      </c>
      <c r="C157" s="11">
        <v>1153</v>
      </c>
      <c r="E157" s="11">
        <v>2665</v>
      </c>
      <c r="F157" s="11">
        <v>2665</v>
      </c>
      <c r="H157" s="11">
        <v>6808</v>
      </c>
      <c r="I157" s="11">
        <v>6808</v>
      </c>
    </row>
    <row r="158" customHeight="1" spans="2:9">
      <c r="B158" s="11">
        <v>1154</v>
      </c>
      <c r="C158" s="11">
        <v>1154</v>
      </c>
      <c r="E158" s="11">
        <v>2666</v>
      </c>
      <c r="F158" s="11">
        <v>2666</v>
      </c>
      <c r="H158" s="11">
        <v>6809</v>
      </c>
      <c r="I158" s="11">
        <v>6809</v>
      </c>
    </row>
    <row r="159" customHeight="1" spans="2:9">
      <c r="B159" s="11">
        <v>1155</v>
      </c>
      <c r="C159" s="11">
        <v>1155</v>
      </c>
      <c r="E159" s="11">
        <v>2667</v>
      </c>
      <c r="F159" s="11">
        <v>2667</v>
      </c>
      <c r="H159" s="11">
        <v>6810</v>
      </c>
      <c r="I159" s="11">
        <v>6810</v>
      </c>
    </row>
    <row r="160" customHeight="1" spans="2:9">
      <c r="B160" s="11">
        <v>1156</v>
      </c>
      <c r="C160" s="11">
        <v>1156</v>
      </c>
      <c r="E160" s="11">
        <v>2668</v>
      </c>
      <c r="F160" s="11">
        <v>2668</v>
      </c>
      <c r="H160" s="11">
        <v>6811</v>
      </c>
      <c r="I160" s="11">
        <v>6811</v>
      </c>
    </row>
    <row r="161" customHeight="1" spans="2:9">
      <c r="B161" s="11">
        <v>1157</v>
      </c>
      <c r="C161" s="11">
        <v>1157</v>
      </c>
      <c r="E161" s="11">
        <v>2669</v>
      </c>
      <c r="F161" s="11">
        <v>2669</v>
      </c>
      <c r="H161" s="11">
        <v>6812</v>
      </c>
      <c r="I161" s="11">
        <v>6812</v>
      </c>
    </row>
    <row r="162" customHeight="1" spans="2:9">
      <c r="B162" s="11">
        <v>1158</v>
      </c>
      <c r="C162" s="11">
        <v>1158</v>
      </c>
      <c r="E162" s="11">
        <v>2670</v>
      </c>
      <c r="F162" s="11">
        <v>2670</v>
      </c>
      <c r="H162" s="11">
        <v>6813</v>
      </c>
      <c r="I162" s="11">
        <v>6813</v>
      </c>
    </row>
    <row r="163" customHeight="1" spans="2:9">
      <c r="B163" s="11">
        <v>1159</v>
      </c>
      <c r="C163" s="11">
        <v>1159</v>
      </c>
      <c r="E163" s="11">
        <v>2671</v>
      </c>
      <c r="F163" s="11">
        <v>2671</v>
      </c>
      <c r="H163" s="11">
        <v>6814</v>
      </c>
      <c r="I163" s="11">
        <v>6814</v>
      </c>
    </row>
    <row r="164" customHeight="1" spans="2:9">
      <c r="B164" s="11">
        <v>1160</v>
      </c>
      <c r="C164" s="11">
        <v>1160</v>
      </c>
      <c r="E164" s="11">
        <v>2672</v>
      </c>
      <c r="F164" s="11">
        <v>2672</v>
      </c>
      <c r="H164" s="11">
        <v>6815</v>
      </c>
      <c r="I164" s="11">
        <v>6815</v>
      </c>
    </row>
    <row r="165" customHeight="1" spans="2:9">
      <c r="B165" s="11">
        <v>1161</v>
      </c>
      <c r="C165" s="11">
        <v>1161</v>
      </c>
      <c r="E165" s="11">
        <v>2673</v>
      </c>
      <c r="F165" s="11">
        <v>2673</v>
      </c>
      <c r="H165" s="11">
        <v>6816</v>
      </c>
      <c r="I165" s="11">
        <v>6816</v>
      </c>
    </row>
    <row r="166" customHeight="1" spans="2:9">
      <c r="B166" s="11">
        <v>1162</v>
      </c>
      <c r="C166" s="11">
        <v>1162</v>
      </c>
      <c r="E166" s="11">
        <v>2674</v>
      </c>
      <c r="F166" s="11">
        <v>2674</v>
      </c>
      <c r="H166" s="11">
        <v>6817</v>
      </c>
      <c r="I166" s="11">
        <v>6817</v>
      </c>
    </row>
    <row r="167" customHeight="1" spans="2:9">
      <c r="B167" s="11">
        <v>1163</v>
      </c>
      <c r="C167" s="11">
        <v>1163</v>
      </c>
      <c r="E167" s="11">
        <v>2675</v>
      </c>
      <c r="F167" s="11">
        <v>2675</v>
      </c>
      <c r="H167" s="11">
        <v>6818</v>
      </c>
      <c r="I167" s="11">
        <v>6818</v>
      </c>
    </row>
    <row r="168" customHeight="1" spans="2:9">
      <c r="B168" s="11">
        <v>1164</v>
      </c>
      <c r="C168" s="11">
        <v>1164</v>
      </c>
      <c r="E168" s="11">
        <v>2676</v>
      </c>
      <c r="F168" s="11">
        <v>2676</v>
      </c>
      <c r="H168" s="11">
        <v>6819</v>
      </c>
      <c r="I168" s="11">
        <v>6819</v>
      </c>
    </row>
    <row r="169" customHeight="1" spans="2:9">
      <c r="B169" s="11">
        <v>1165</v>
      </c>
      <c r="C169" s="11">
        <v>1165</v>
      </c>
      <c r="E169" s="11">
        <v>2677</v>
      </c>
      <c r="F169" s="11">
        <v>2677</v>
      </c>
      <c r="H169" s="11">
        <v>6820</v>
      </c>
      <c r="I169" s="11">
        <v>6820</v>
      </c>
    </row>
    <row r="170" customHeight="1" spans="2:9">
      <c r="B170" s="11">
        <v>1166</v>
      </c>
      <c r="C170" s="11">
        <v>1166</v>
      </c>
      <c r="E170" s="11">
        <v>2678</v>
      </c>
      <c r="F170" s="11">
        <v>2678</v>
      </c>
      <c r="H170" s="11">
        <v>6821</v>
      </c>
      <c r="I170" s="11">
        <v>6821</v>
      </c>
    </row>
    <row r="171" customHeight="1" spans="2:9">
      <c r="B171" s="11">
        <v>1167</v>
      </c>
      <c r="C171" s="11">
        <v>1167</v>
      </c>
      <c r="E171" s="11">
        <v>2679</v>
      </c>
      <c r="F171" s="11">
        <v>2679</v>
      </c>
      <c r="H171" s="11">
        <v>6822</v>
      </c>
      <c r="I171" s="11">
        <v>6822</v>
      </c>
    </row>
    <row r="172" customHeight="1" spans="2:9">
      <c r="B172" s="11">
        <v>1168</v>
      </c>
      <c r="C172" s="11">
        <v>1168</v>
      </c>
      <c r="E172" s="11">
        <v>2680</v>
      </c>
      <c r="F172" s="11">
        <v>2680</v>
      </c>
      <c r="H172" s="11">
        <v>6823</v>
      </c>
      <c r="I172" s="11">
        <v>6823</v>
      </c>
    </row>
    <row r="173" customHeight="1" spans="2:9">
      <c r="B173" s="11">
        <v>1169</v>
      </c>
      <c r="C173" s="11">
        <v>1169</v>
      </c>
      <c r="E173" s="11">
        <v>2681</v>
      </c>
      <c r="F173" s="11">
        <v>2681</v>
      </c>
      <c r="H173" s="11">
        <v>6824</v>
      </c>
      <c r="I173" s="11">
        <v>6824</v>
      </c>
    </row>
    <row r="174" customHeight="1" spans="2:9">
      <c r="B174" s="11">
        <v>1170</v>
      </c>
      <c r="C174" s="11">
        <v>1170</v>
      </c>
      <c r="E174" s="11">
        <v>2682</v>
      </c>
      <c r="F174" s="11">
        <v>2682</v>
      </c>
      <c r="H174" s="11">
        <v>6825</v>
      </c>
      <c r="I174" s="11">
        <v>6825</v>
      </c>
    </row>
    <row r="175" customHeight="1" spans="2:9">
      <c r="B175" s="11">
        <v>1171</v>
      </c>
      <c r="C175" s="11">
        <v>1171</v>
      </c>
      <c r="E175" s="11">
        <v>2683</v>
      </c>
      <c r="F175" s="11">
        <v>2683</v>
      </c>
      <c r="H175" s="11">
        <v>6826</v>
      </c>
      <c r="I175" s="11">
        <v>6826</v>
      </c>
    </row>
    <row r="176" customHeight="1" spans="2:9">
      <c r="B176" s="11">
        <v>1172</v>
      </c>
      <c r="C176" s="11">
        <v>1172</v>
      </c>
      <c r="E176" s="11">
        <v>2684</v>
      </c>
      <c r="F176" s="11">
        <v>2684</v>
      </c>
      <c r="H176" s="11">
        <v>6827</v>
      </c>
      <c r="I176" s="11">
        <v>6827</v>
      </c>
    </row>
    <row r="177" customHeight="1" spans="2:9">
      <c r="B177" s="11">
        <v>1173</v>
      </c>
      <c r="C177" s="11">
        <v>1173</v>
      </c>
      <c r="E177" s="11">
        <v>2685</v>
      </c>
      <c r="F177" s="11">
        <v>2685</v>
      </c>
      <c r="H177" s="11">
        <v>6828</v>
      </c>
      <c r="I177" s="11">
        <v>6828</v>
      </c>
    </row>
    <row r="178" customHeight="1" spans="2:9">
      <c r="B178" s="11">
        <v>1174</v>
      </c>
      <c r="C178" s="11">
        <v>1174</v>
      </c>
      <c r="E178" s="11">
        <v>2686</v>
      </c>
      <c r="F178" s="11">
        <v>2686</v>
      </c>
      <c r="H178" s="11">
        <v>6829</v>
      </c>
      <c r="I178" s="11">
        <v>6829</v>
      </c>
    </row>
    <row r="179" customHeight="1" spans="2:9">
      <c r="B179" s="11">
        <v>1175</v>
      </c>
      <c r="C179" s="11">
        <v>1175</v>
      </c>
      <c r="E179" s="11">
        <v>2687</v>
      </c>
      <c r="F179" s="11">
        <v>2687</v>
      </c>
      <c r="H179" s="11">
        <v>6830</v>
      </c>
      <c r="I179" s="11">
        <v>6830</v>
      </c>
    </row>
    <row r="180" customHeight="1" spans="2:9">
      <c r="B180" s="11">
        <v>1176</v>
      </c>
      <c r="C180" s="11">
        <v>1176</v>
      </c>
      <c r="E180" s="11">
        <v>2688</v>
      </c>
      <c r="F180" s="11">
        <v>2688</v>
      </c>
      <c r="H180" s="11">
        <v>6831</v>
      </c>
      <c r="I180" s="11">
        <v>6831</v>
      </c>
    </row>
    <row r="181" customHeight="1" spans="2:9">
      <c r="B181" s="11">
        <v>1177</v>
      </c>
      <c r="C181" s="11">
        <v>1177</v>
      </c>
      <c r="E181" s="11">
        <v>2689</v>
      </c>
      <c r="F181" s="11">
        <v>2689</v>
      </c>
      <c r="H181" s="11">
        <v>6832</v>
      </c>
      <c r="I181" s="11">
        <v>6832</v>
      </c>
    </row>
    <row r="182" customHeight="1" spans="2:9">
      <c r="B182" s="11">
        <v>1178</v>
      </c>
      <c r="C182" s="11">
        <v>1178</v>
      </c>
      <c r="E182" s="11">
        <v>2690</v>
      </c>
      <c r="F182" s="11">
        <v>2690</v>
      </c>
      <c r="H182" s="11">
        <v>6833</v>
      </c>
      <c r="I182" s="11">
        <v>6833</v>
      </c>
    </row>
    <row r="183" customHeight="1" spans="2:9">
      <c r="B183" s="11">
        <v>1179</v>
      </c>
      <c r="C183" s="11">
        <v>1179</v>
      </c>
      <c r="E183" s="11">
        <v>2691</v>
      </c>
      <c r="F183" s="11">
        <v>2691</v>
      </c>
      <c r="H183" s="11">
        <v>6834</v>
      </c>
      <c r="I183" s="11">
        <v>6834</v>
      </c>
    </row>
    <row r="184" customHeight="1" spans="2:9">
      <c r="B184" s="11">
        <v>1180</v>
      </c>
      <c r="C184" s="11">
        <v>1180</v>
      </c>
      <c r="E184" s="11">
        <v>2692</v>
      </c>
      <c r="F184" s="11">
        <v>2692</v>
      </c>
      <c r="H184" s="11">
        <v>6835</v>
      </c>
      <c r="I184" s="11">
        <v>6835</v>
      </c>
    </row>
    <row r="185" customHeight="1" spans="2:9">
      <c r="B185" s="11">
        <v>1181</v>
      </c>
      <c r="C185" s="11">
        <v>1181</v>
      </c>
      <c r="E185" s="11">
        <v>2693</v>
      </c>
      <c r="F185" s="11">
        <v>2693</v>
      </c>
      <c r="H185" s="11">
        <v>6836</v>
      </c>
      <c r="I185" s="11">
        <v>6836</v>
      </c>
    </row>
    <row r="186" customHeight="1" spans="2:9">
      <c r="B186" s="11">
        <v>1182</v>
      </c>
      <c r="C186" s="11">
        <v>1182</v>
      </c>
      <c r="E186" s="11">
        <v>2694</v>
      </c>
      <c r="F186" s="11">
        <v>2694</v>
      </c>
      <c r="H186" s="11">
        <v>6837</v>
      </c>
      <c r="I186" s="11">
        <v>6837</v>
      </c>
    </row>
    <row r="187" customHeight="1" spans="2:9">
      <c r="B187" s="11">
        <v>1183</v>
      </c>
      <c r="C187" s="11">
        <v>1183</v>
      </c>
      <c r="E187" s="11">
        <v>2695</v>
      </c>
      <c r="F187" s="11">
        <v>2695</v>
      </c>
      <c r="H187" s="11">
        <v>6838</v>
      </c>
      <c r="I187" s="11">
        <v>6838</v>
      </c>
    </row>
    <row r="188" customHeight="1" spans="2:9">
      <c r="B188" s="11">
        <v>1184</v>
      </c>
      <c r="C188" s="11">
        <v>1184</v>
      </c>
      <c r="E188" s="11">
        <v>2696</v>
      </c>
      <c r="F188" s="11">
        <v>2696</v>
      </c>
      <c r="H188" s="11">
        <v>6839</v>
      </c>
      <c r="I188" s="11">
        <v>6839</v>
      </c>
    </row>
    <row r="189" customHeight="1" spans="2:9">
      <c r="B189" s="11">
        <v>1185</v>
      </c>
      <c r="C189" s="11">
        <v>1185</v>
      </c>
      <c r="E189" s="11">
        <v>2697</v>
      </c>
      <c r="F189" s="11">
        <v>2697</v>
      </c>
      <c r="H189" s="11">
        <v>6840</v>
      </c>
      <c r="I189" s="11">
        <v>6840</v>
      </c>
    </row>
    <row r="190" customHeight="1" spans="2:9">
      <c r="B190" s="11">
        <v>1186</v>
      </c>
      <c r="C190" s="11">
        <v>1186</v>
      </c>
      <c r="E190" s="11">
        <v>2698</v>
      </c>
      <c r="F190" s="11">
        <v>2698</v>
      </c>
      <c r="H190" s="11">
        <v>6841</v>
      </c>
      <c r="I190" s="11">
        <v>6841</v>
      </c>
    </row>
    <row r="191" customHeight="1" spans="2:9">
      <c r="B191" s="11">
        <v>1187</v>
      </c>
      <c r="C191" s="11">
        <v>1187</v>
      </c>
      <c r="E191" s="11">
        <v>2699</v>
      </c>
      <c r="F191" s="11">
        <v>2699</v>
      </c>
      <c r="H191" s="11">
        <v>6842</v>
      </c>
      <c r="I191" s="11">
        <v>6842</v>
      </c>
    </row>
    <row r="192" customHeight="1" spans="2:9">
      <c r="B192" s="11">
        <v>1188</v>
      </c>
      <c r="C192" s="11">
        <v>1188</v>
      </c>
      <c r="E192" s="11">
        <v>2700</v>
      </c>
      <c r="F192" s="11">
        <v>2700</v>
      </c>
      <c r="H192" s="11">
        <v>6843</v>
      </c>
      <c r="I192" s="11">
        <v>6843</v>
      </c>
    </row>
    <row r="193" customHeight="1" spans="2:9">
      <c r="B193" s="11">
        <v>1189</v>
      </c>
      <c r="C193" s="11">
        <v>1189</v>
      </c>
      <c r="E193" s="11">
        <v>2701</v>
      </c>
      <c r="F193" s="11">
        <v>2701</v>
      </c>
      <c r="H193" s="11">
        <v>6844</v>
      </c>
      <c r="I193" s="11">
        <v>6844</v>
      </c>
    </row>
    <row r="194" customHeight="1" spans="2:9">
      <c r="B194" s="11">
        <v>1190</v>
      </c>
      <c r="C194" s="11">
        <v>1190</v>
      </c>
      <c r="E194" s="11">
        <v>2702</v>
      </c>
      <c r="F194" s="11">
        <v>2702</v>
      </c>
      <c r="H194" s="11">
        <v>6845</v>
      </c>
      <c r="I194" s="11">
        <v>6845</v>
      </c>
    </row>
    <row r="195" customHeight="1" spans="2:9">
      <c r="B195" s="11">
        <v>1191</v>
      </c>
      <c r="C195" s="11">
        <v>1191</v>
      </c>
      <c r="E195" s="11">
        <v>2703</v>
      </c>
      <c r="F195" s="11">
        <v>2703</v>
      </c>
      <c r="H195" s="11">
        <v>6846</v>
      </c>
      <c r="I195" s="11">
        <v>6846</v>
      </c>
    </row>
    <row r="196" customHeight="1" spans="2:9">
      <c r="B196" s="11">
        <v>1192</v>
      </c>
      <c r="C196" s="11">
        <v>1192</v>
      </c>
      <c r="E196" s="11">
        <v>2704</v>
      </c>
      <c r="F196" s="11">
        <v>2704</v>
      </c>
      <c r="H196" s="11">
        <v>6847</v>
      </c>
      <c r="I196" s="11">
        <v>6847</v>
      </c>
    </row>
    <row r="197" customHeight="1" spans="2:9">
      <c r="B197" s="11">
        <v>1193</v>
      </c>
      <c r="C197" s="11">
        <v>1193</v>
      </c>
      <c r="E197" s="11">
        <v>2705</v>
      </c>
      <c r="F197" s="11">
        <v>2705</v>
      </c>
      <c r="H197" s="11">
        <v>6848</v>
      </c>
      <c r="I197" s="11">
        <v>6848</v>
      </c>
    </row>
    <row r="198" customHeight="1" spans="2:9">
      <c r="B198" s="11">
        <v>1194</v>
      </c>
      <c r="C198" s="11">
        <v>1194</v>
      </c>
      <c r="E198" s="11">
        <v>2706</v>
      </c>
      <c r="F198" s="11">
        <v>2706</v>
      </c>
      <c r="H198" s="11">
        <v>6849</v>
      </c>
      <c r="I198" s="11">
        <v>6849</v>
      </c>
    </row>
    <row r="199" customHeight="1" spans="2:9">
      <c r="B199" s="11">
        <v>1195</v>
      </c>
      <c r="C199" s="11">
        <v>1195</v>
      </c>
      <c r="E199" s="11">
        <v>2707</v>
      </c>
      <c r="F199" s="11">
        <v>2707</v>
      </c>
      <c r="H199" s="11">
        <v>6850</v>
      </c>
      <c r="I199" s="11">
        <v>6850</v>
      </c>
    </row>
    <row r="200" customHeight="1" spans="2:9">
      <c r="B200" s="11">
        <v>1196</v>
      </c>
      <c r="C200" s="11">
        <v>1196</v>
      </c>
      <c r="E200" s="11">
        <v>2787</v>
      </c>
      <c r="F200" s="11">
        <v>2787</v>
      </c>
      <c r="H200" s="11">
        <v>6851</v>
      </c>
      <c r="I200" s="11">
        <v>6851</v>
      </c>
    </row>
    <row r="201" customHeight="1" spans="2:9">
      <c r="B201" s="11">
        <v>1197</v>
      </c>
      <c r="C201" s="11">
        <v>1197</v>
      </c>
      <c r="E201" s="11">
        <v>2788</v>
      </c>
      <c r="F201" s="11">
        <v>2788</v>
      </c>
      <c r="H201" s="11">
        <v>6852</v>
      </c>
      <c r="I201" s="11">
        <v>6852</v>
      </c>
    </row>
    <row r="202" customHeight="1" spans="2:9">
      <c r="B202" s="11">
        <v>1198</v>
      </c>
      <c r="C202" s="11">
        <v>1198</v>
      </c>
      <c r="E202" s="11">
        <v>2789</v>
      </c>
      <c r="F202" s="11">
        <v>2789</v>
      </c>
      <c r="H202" s="11">
        <v>6853</v>
      </c>
      <c r="I202" s="11">
        <v>6853</v>
      </c>
    </row>
    <row r="203" customHeight="1" spans="2:9">
      <c r="B203" s="11">
        <v>1199</v>
      </c>
      <c r="C203" s="11">
        <v>1199</v>
      </c>
      <c r="E203" s="11">
        <v>2790</v>
      </c>
      <c r="F203" s="11">
        <v>2790</v>
      </c>
      <c r="H203" s="11">
        <v>6854</v>
      </c>
      <c r="I203" s="11">
        <v>6854</v>
      </c>
    </row>
    <row r="204" customHeight="1" spans="2:9">
      <c r="B204" s="11">
        <v>1200</v>
      </c>
      <c r="C204" s="11">
        <v>1200</v>
      </c>
      <c r="E204" s="11">
        <v>2791</v>
      </c>
      <c r="F204" s="11">
        <v>2791</v>
      </c>
      <c r="H204" s="11">
        <v>6855</v>
      </c>
      <c r="I204" s="11">
        <v>6855</v>
      </c>
    </row>
    <row r="205" customHeight="1" spans="2:9">
      <c r="B205" s="11">
        <v>1201</v>
      </c>
      <c r="C205" s="11">
        <v>1201</v>
      </c>
      <c r="E205" s="11">
        <v>2792</v>
      </c>
      <c r="F205" s="11">
        <v>2792</v>
      </c>
      <c r="H205" s="11">
        <v>6856</v>
      </c>
      <c r="I205" s="11">
        <v>6856</v>
      </c>
    </row>
    <row r="206" customHeight="1" spans="2:9">
      <c r="B206" s="11">
        <v>1202</v>
      </c>
      <c r="C206" s="11">
        <v>1202</v>
      </c>
      <c r="E206" s="11">
        <v>2793</v>
      </c>
      <c r="F206" s="11">
        <v>2793</v>
      </c>
      <c r="H206" s="11">
        <v>6857</v>
      </c>
      <c r="I206" s="11">
        <v>6857</v>
      </c>
    </row>
    <row r="207" customHeight="1" spans="2:9">
      <c r="B207" s="11">
        <v>1203</v>
      </c>
      <c r="C207" s="11">
        <v>1203</v>
      </c>
      <c r="E207" s="11">
        <v>2794</v>
      </c>
      <c r="F207" s="11">
        <v>2794</v>
      </c>
      <c r="H207" s="11">
        <v>6858</v>
      </c>
      <c r="I207" s="11">
        <v>6858</v>
      </c>
    </row>
    <row r="208" customHeight="1" spans="2:9">
      <c r="B208" s="11">
        <v>1204</v>
      </c>
      <c r="C208" s="11">
        <v>1204</v>
      </c>
      <c r="E208" s="11">
        <v>2795</v>
      </c>
      <c r="F208" s="11">
        <v>2795</v>
      </c>
      <c r="H208" s="11">
        <v>6859</v>
      </c>
      <c r="I208" s="11">
        <v>6859</v>
      </c>
    </row>
    <row r="209" customHeight="1" spans="2:9">
      <c r="B209" s="11">
        <v>1205</v>
      </c>
      <c r="C209" s="11">
        <v>1205</v>
      </c>
      <c r="E209" s="11">
        <v>2796</v>
      </c>
      <c r="F209" s="11">
        <v>2796</v>
      </c>
      <c r="H209" s="11">
        <v>6860</v>
      </c>
      <c r="I209" s="11">
        <v>6860</v>
      </c>
    </row>
    <row r="210" customHeight="1" spans="2:9">
      <c r="B210" s="11">
        <v>1206</v>
      </c>
      <c r="C210" s="11">
        <v>1206</v>
      </c>
      <c r="E210" s="11">
        <v>2797</v>
      </c>
      <c r="F210" s="11">
        <v>2797</v>
      </c>
      <c r="H210" s="11">
        <v>6861</v>
      </c>
      <c r="I210" s="11">
        <v>6861</v>
      </c>
    </row>
    <row r="211" customHeight="1" spans="2:9">
      <c r="B211" s="11">
        <v>1207</v>
      </c>
      <c r="C211" s="11">
        <v>1207</v>
      </c>
      <c r="E211" s="11">
        <v>2798</v>
      </c>
      <c r="F211" s="11">
        <v>2798</v>
      </c>
      <c r="H211" s="11">
        <v>6862</v>
      </c>
      <c r="I211" s="11">
        <v>6862</v>
      </c>
    </row>
    <row r="212" customHeight="1" spans="2:9">
      <c r="B212" s="11">
        <v>1208</v>
      </c>
      <c r="C212" s="11">
        <v>1208</v>
      </c>
      <c r="E212" s="11">
        <v>2799</v>
      </c>
      <c r="F212" s="11">
        <v>2799</v>
      </c>
      <c r="H212" s="11">
        <v>6863</v>
      </c>
      <c r="I212" s="11">
        <v>6863</v>
      </c>
    </row>
    <row r="213" customHeight="1" spans="2:9">
      <c r="B213" s="11">
        <v>1209</v>
      </c>
      <c r="C213" s="11">
        <v>1209</v>
      </c>
      <c r="E213" s="11">
        <v>2800</v>
      </c>
      <c r="F213" s="11">
        <v>2800</v>
      </c>
      <c r="H213" s="11">
        <v>6864</v>
      </c>
      <c r="I213" s="11">
        <v>6864</v>
      </c>
    </row>
    <row r="214" customHeight="1" spans="2:9">
      <c r="B214" s="11">
        <v>1210</v>
      </c>
      <c r="C214" s="11">
        <v>1210</v>
      </c>
      <c r="E214" s="11">
        <v>2801</v>
      </c>
      <c r="F214" s="11">
        <v>2801</v>
      </c>
      <c r="H214" s="11">
        <v>6865</v>
      </c>
      <c r="I214" s="11">
        <v>6865</v>
      </c>
    </row>
    <row r="215" customHeight="1" spans="2:9">
      <c r="B215" s="11">
        <v>1211</v>
      </c>
      <c r="C215" s="11">
        <v>1211</v>
      </c>
      <c r="E215" s="11">
        <v>2802</v>
      </c>
      <c r="F215" s="11">
        <v>2802</v>
      </c>
      <c r="H215" s="11">
        <v>6866</v>
      </c>
      <c r="I215" s="11">
        <v>6866</v>
      </c>
    </row>
    <row r="216" customHeight="1" spans="2:9">
      <c r="B216" s="11">
        <v>1212</v>
      </c>
      <c r="C216" s="11">
        <v>1212</v>
      </c>
      <c r="E216" s="11">
        <v>2803</v>
      </c>
      <c r="F216" s="11">
        <v>2803</v>
      </c>
      <c r="H216" s="11">
        <v>6867</v>
      </c>
      <c r="I216" s="11">
        <v>6867</v>
      </c>
    </row>
    <row r="217" customHeight="1" spans="2:9">
      <c r="B217" s="11">
        <v>1213</v>
      </c>
      <c r="C217" s="11">
        <v>1213</v>
      </c>
      <c r="E217" s="11">
        <v>2804</v>
      </c>
      <c r="F217" s="11">
        <v>2804</v>
      </c>
      <c r="H217" s="11">
        <v>6868</v>
      </c>
      <c r="I217" s="11">
        <v>6868</v>
      </c>
    </row>
    <row r="218" customHeight="1" spans="2:9">
      <c r="B218" s="11">
        <v>1214</v>
      </c>
      <c r="C218" s="11">
        <v>1214</v>
      </c>
      <c r="E218" s="11">
        <v>2805</v>
      </c>
      <c r="F218" s="11">
        <v>2805</v>
      </c>
      <c r="H218" s="11">
        <v>6869</v>
      </c>
      <c r="I218" s="11">
        <v>6869</v>
      </c>
    </row>
    <row r="219" customHeight="1" spans="2:9">
      <c r="B219" s="11">
        <v>1215</v>
      </c>
      <c r="C219" s="11">
        <v>1215</v>
      </c>
      <c r="E219" s="11">
        <v>2806</v>
      </c>
      <c r="F219" s="11">
        <v>2806</v>
      </c>
      <c r="H219" s="11">
        <v>6870</v>
      </c>
      <c r="I219" s="11">
        <v>6870</v>
      </c>
    </row>
    <row r="220" customHeight="1" spans="2:9">
      <c r="B220" s="11">
        <v>1216</v>
      </c>
      <c r="C220" s="11">
        <v>1216</v>
      </c>
      <c r="E220" s="11">
        <v>2807</v>
      </c>
      <c r="F220" s="11">
        <v>2807</v>
      </c>
      <c r="H220" s="11">
        <v>6871</v>
      </c>
      <c r="I220" s="11">
        <v>6871</v>
      </c>
    </row>
    <row r="221" customHeight="1" spans="2:9">
      <c r="B221" s="11">
        <v>1217</v>
      </c>
      <c r="C221" s="11">
        <v>1217</v>
      </c>
      <c r="E221" s="11">
        <v>2808</v>
      </c>
      <c r="F221" s="11">
        <v>2808</v>
      </c>
      <c r="H221" s="11">
        <v>6872</v>
      </c>
      <c r="I221" s="11">
        <v>6872</v>
      </c>
    </row>
    <row r="222" customHeight="1" spans="2:9">
      <c r="B222" s="11">
        <v>1218</v>
      </c>
      <c r="C222" s="11">
        <v>1218</v>
      </c>
      <c r="E222" s="11">
        <v>2809</v>
      </c>
      <c r="F222" s="11">
        <v>2809</v>
      </c>
      <c r="H222" s="11">
        <v>6873</v>
      </c>
      <c r="I222" s="11">
        <v>6873</v>
      </c>
    </row>
    <row r="223" customHeight="1" spans="2:9">
      <c r="B223" s="11">
        <v>1219</v>
      </c>
      <c r="C223" s="11">
        <v>1219</v>
      </c>
      <c r="E223" s="11">
        <v>2810</v>
      </c>
      <c r="F223" s="11">
        <v>2810</v>
      </c>
      <c r="H223" s="11">
        <v>6874</v>
      </c>
      <c r="I223" s="11">
        <v>6874</v>
      </c>
    </row>
    <row r="224" customHeight="1" spans="2:9">
      <c r="B224" s="11">
        <v>1220</v>
      </c>
      <c r="C224" s="11">
        <v>1220</v>
      </c>
      <c r="E224" s="11">
        <v>2811</v>
      </c>
      <c r="F224" s="11">
        <v>2811</v>
      </c>
      <c r="H224" s="11">
        <v>6875</v>
      </c>
      <c r="I224" s="11">
        <v>6875</v>
      </c>
    </row>
    <row r="225" customHeight="1" spans="2:9">
      <c r="B225" s="11">
        <v>1221</v>
      </c>
      <c r="C225" s="11">
        <v>1221</v>
      </c>
      <c r="E225" s="11">
        <v>2812</v>
      </c>
      <c r="F225" s="11">
        <v>2812</v>
      </c>
      <c r="H225" s="11">
        <v>6876</v>
      </c>
      <c r="I225" s="11">
        <v>6876</v>
      </c>
    </row>
    <row r="226" customHeight="1" spans="2:9">
      <c r="B226" s="11">
        <v>1222</v>
      </c>
      <c r="C226" s="11">
        <v>1222</v>
      </c>
      <c r="E226" s="11">
        <v>2813</v>
      </c>
      <c r="F226" s="11">
        <v>2813</v>
      </c>
      <c r="H226" s="11">
        <v>6877</v>
      </c>
      <c r="I226" s="11">
        <v>6877</v>
      </c>
    </row>
    <row r="227" customHeight="1" spans="2:9">
      <c r="B227" s="11">
        <v>1223</v>
      </c>
      <c r="C227" s="11">
        <v>1223</v>
      </c>
      <c r="E227" s="11">
        <v>2814</v>
      </c>
      <c r="F227" s="11">
        <v>2814</v>
      </c>
      <c r="H227" s="11">
        <v>6878</v>
      </c>
      <c r="I227" s="11">
        <v>6878</v>
      </c>
    </row>
    <row r="228" customHeight="1" spans="2:9">
      <c r="B228" s="11">
        <v>1224</v>
      </c>
      <c r="C228" s="11">
        <v>1224</v>
      </c>
      <c r="E228" s="11">
        <v>2815</v>
      </c>
      <c r="F228" s="11">
        <v>2815</v>
      </c>
      <c r="H228" s="11">
        <v>6879</v>
      </c>
      <c r="I228" s="11">
        <v>6879</v>
      </c>
    </row>
    <row r="229" customHeight="1" spans="2:9">
      <c r="B229" s="11">
        <v>1225</v>
      </c>
      <c r="C229" s="11">
        <v>1225</v>
      </c>
      <c r="E229" s="11">
        <v>2816</v>
      </c>
      <c r="F229" s="11">
        <v>2816</v>
      </c>
      <c r="H229" s="11">
        <v>6880</v>
      </c>
      <c r="I229" s="11">
        <v>6880</v>
      </c>
    </row>
    <row r="230" customHeight="1" spans="2:9">
      <c r="B230" s="11">
        <v>1226</v>
      </c>
      <c r="C230" s="11">
        <v>1226</v>
      </c>
      <c r="E230" s="11">
        <v>2817</v>
      </c>
      <c r="F230" s="11">
        <v>2817</v>
      </c>
      <c r="H230" s="11">
        <v>6881</v>
      </c>
      <c r="I230" s="11">
        <v>6881</v>
      </c>
    </row>
    <row r="231" customHeight="1" spans="2:9">
      <c r="B231" s="11">
        <v>1227</v>
      </c>
      <c r="C231" s="11">
        <v>1227</v>
      </c>
      <c r="E231" s="11">
        <v>2818</v>
      </c>
      <c r="F231" s="11">
        <v>2818</v>
      </c>
      <c r="H231" s="11">
        <v>6882</v>
      </c>
      <c r="I231" s="11">
        <v>6882</v>
      </c>
    </row>
    <row r="232" customHeight="1" spans="2:9">
      <c r="B232" s="11">
        <v>1228</v>
      </c>
      <c r="C232" s="11">
        <v>1228</v>
      </c>
      <c r="E232" s="11">
        <v>2819</v>
      </c>
      <c r="F232" s="11">
        <v>2819</v>
      </c>
      <c r="H232" s="11">
        <v>6883</v>
      </c>
      <c r="I232" s="11">
        <v>6883</v>
      </c>
    </row>
    <row r="233" customHeight="1" spans="2:9">
      <c r="B233" s="11">
        <v>1229</v>
      </c>
      <c r="C233" s="11">
        <v>1229</v>
      </c>
      <c r="E233" s="11">
        <v>2820</v>
      </c>
      <c r="F233" s="11">
        <v>2820</v>
      </c>
      <c r="H233" s="11">
        <v>6884</v>
      </c>
      <c r="I233" s="11">
        <v>6884</v>
      </c>
    </row>
    <row r="234" customHeight="1" spans="2:9">
      <c r="B234" s="11">
        <v>1230</v>
      </c>
      <c r="C234" s="11">
        <v>1230</v>
      </c>
      <c r="E234" s="11">
        <v>2821</v>
      </c>
      <c r="F234" s="11">
        <v>2821</v>
      </c>
      <c r="H234" s="11">
        <v>6885</v>
      </c>
      <c r="I234" s="11">
        <v>6885</v>
      </c>
    </row>
    <row r="235" customHeight="1" spans="2:9">
      <c r="B235" s="11">
        <v>1231</v>
      </c>
      <c r="C235" s="11">
        <v>1231</v>
      </c>
      <c r="E235" s="11">
        <v>2822</v>
      </c>
      <c r="F235" s="11">
        <v>2822</v>
      </c>
      <c r="H235" s="11">
        <v>6886</v>
      </c>
      <c r="I235" s="11">
        <v>6886</v>
      </c>
    </row>
    <row r="236" customHeight="1" spans="2:9">
      <c r="B236" s="11">
        <v>1232</v>
      </c>
      <c r="C236" s="11">
        <v>1232</v>
      </c>
      <c r="E236" s="11">
        <v>2823</v>
      </c>
      <c r="F236" s="11">
        <v>2823</v>
      </c>
      <c r="H236" s="11">
        <v>6887</v>
      </c>
      <c r="I236" s="11">
        <v>6887</v>
      </c>
    </row>
    <row r="237" customHeight="1" spans="2:9">
      <c r="B237" s="11">
        <v>1233</v>
      </c>
      <c r="C237" s="11">
        <v>1233</v>
      </c>
      <c r="E237" s="11">
        <v>2824</v>
      </c>
      <c r="F237" s="11">
        <v>2824</v>
      </c>
      <c r="H237" s="11">
        <v>6888</v>
      </c>
      <c r="I237" s="11">
        <v>6888</v>
      </c>
    </row>
    <row r="238" customHeight="1" spans="2:9">
      <c r="B238" s="11">
        <v>1234</v>
      </c>
      <c r="C238" s="11">
        <v>1234</v>
      </c>
      <c r="E238" s="11">
        <v>2825</v>
      </c>
      <c r="F238" s="11">
        <v>2825</v>
      </c>
      <c r="H238" s="11">
        <v>6889</v>
      </c>
      <c r="I238" s="11">
        <v>6889</v>
      </c>
    </row>
    <row r="239" customHeight="1" spans="2:9">
      <c r="B239" s="11">
        <v>1235</v>
      </c>
      <c r="C239" s="11">
        <v>1235</v>
      </c>
      <c r="E239" s="11">
        <v>2826</v>
      </c>
      <c r="F239" s="11">
        <v>2826</v>
      </c>
      <c r="H239" s="11">
        <v>6890</v>
      </c>
      <c r="I239" s="11">
        <v>6890</v>
      </c>
    </row>
    <row r="240" customHeight="1" spans="2:9">
      <c r="B240" s="11">
        <v>1236</v>
      </c>
      <c r="C240" s="11">
        <v>1236</v>
      </c>
      <c r="E240" s="11">
        <v>2827</v>
      </c>
      <c r="F240" s="11">
        <v>2827</v>
      </c>
      <c r="H240" s="11">
        <v>6891</v>
      </c>
      <c r="I240" s="11">
        <v>6891</v>
      </c>
    </row>
    <row r="241" customHeight="1" spans="2:9">
      <c r="B241" s="11">
        <v>1237</v>
      </c>
      <c r="C241" s="11">
        <v>1237</v>
      </c>
      <c r="E241" s="11">
        <v>2828</v>
      </c>
      <c r="F241" s="11">
        <v>2828</v>
      </c>
      <c r="H241" s="11">
        <v>6892</v>
      </c>
      <c r="I241" s="11">
        <v>6892</v>
      </c>
    </row>
    <row r="242" customHeight="1" spans="2:9">
      <c r="B242" s="11">
        <v>1238</v>
      </c>
      <c r="C242" s="11">
        <v>1238</v>
      </c>
      <c r="E242" s="11">
        <v>2829</v>
      </c>
      <c r="F242" s="11">
        <v>2829</v>
      </c>
      <c r="H242" s="11">
        <v>6893</v>
      </c>
      <c r="I242" s="11">
        <v>6893</v>
      </c>
    </row>
    <row r="243" customHeight="1" spans="2:9">
      <c r="B243" s="11">
        <v>1239</v>
      </c>
      <c r="C243" s="11">
        <v>1239</v>
      </c>
      <c r="E243" s="11">
        <v>2830</v>
      </c>
      <c r="F243" s="11">
        <v>2830</v>
      </c>
      <c r="H243" s="11">
        <v>6894</v>
      </c>
      <c r="I243" s="11">
        <v>6894</v>
      </c>
    </row>
    <row r="244" customHeight="1" spans="2:9">
      <c r="B244" s="11">
        <v>1240</v>
      </c>
      <c r="C244" s="11">
        <v>1240</v>
      </c>
      <c r="E244" s="11">
        <v>2831</v>
      </c>
      <c r="F244" s="11">
        <v>2831</v>
      </c>
      <c r="H244" s="11">
        <v>6895</v>
      </c>
      <c r="I244" s="11">
        <v>6895</v>
      </c>
    </row>
    <row r="245" customHeight="1" spans="2:9">
      <c r="B245" s="11">
        <v>1241</v>
      </c>
      <c r="C245" s="11">
        <v>1241</v>
      </c>
      <c r="E245" s="11">
        <v>2832</v>
      </c>
      <c r="F245" s="11">
        <v>2832</v>
      </c>
      <c r="H245" s="11">
        <v>6896</v>
      </c>
      <c r="I245" s="11">
        <v>6896</v>
      </c>
    </row>
    <row r="246" customHeight="1" spans="2:9">
      <c r="B246" s="11">
        <v>1242</v>
      </c>
      <c r="C246" s="11">
        <v>1242</v>
      </c>
      <c r="E246" s="11">
        <v>2833</v>
      </c>
      <c r="F246" s="11">
        <v>2833</v>
      </c>
      <c r="H246" s="11">
        <v>6897</v>
      </c>
      <c r="I246" s="11">
        <v>6897</v>
      </c>
    </row>
    <row r="247" customHeight="1" spans="2:9">
      <c r="B247" s="11">
        <v>1243</v>
      </c>
      <c r="C247" s="11">
        <v>1243</v>
      </c>
      <c r="E247" s="11">
        <v>2834</v>
      </c>
      <c r="F247" s="11">
        <v>2834</v>
      </c>
      <c r="H247" s="11">
        <v>6898</v>
      </c>
      <c r="I247" s="11">
        <v>6898</v>
      </c>
    </row>
    <row r="248" customHeight="1" spans="2:9">
      <c r="B248" s="11">
        <v>1244</v>
      </c>
      <c r="C248" s="11">
        <v>1244</v>
      </c>
      <c r="E248" s="11">
        <v>2835</v>
      </c>
      <c r="F248" s="11">
        <v>2835</v>
      </c>
      <c r="H248" s="11">
        <v>6899</v>
      </c>
      <c r="I248" s="11">
        <v>6899</v>
      </c>
    </row>
    <row r="249" customHeight="1" spans="2:9">
      <c r="B249" s="11">
        <v>1245</v>
      </c>
      <c r="C249" s="11">
        <v>1245</v>
      </c>
      <c r="E249" s="11">
        <v>2836</v>
      </c>
      <c r="F249" s="11">
        <v>2836</v>
      </c>
      <c r="H249" s="11">
        <v>6900</v>
      </c>
      <c r="I249" s="11">
        <v>6900</v>
      </c>
    </row>
    <row r="250" customHeight="1" spans="2:9">
      <c r="B250" s="11">
        <v>1246</v>
      </c>
      <c r="C250" s="11">
        <v>1246</v>
      </c>
      <c r="E250" s="11">
        <v>2837</v>
      </c>
      <c r="F250" s="11">
        <v>2837</v>
      </c>
      <c r="H250" s="11">
        <v>6901</v>
      </c>
      <c r="I250" s="11">
        <v>6901</v>
      </c>
    </row>
    <row r="251" customHeight="1" spans="2:9">
      <c r="B251" s="11">
        <v>1247</v>
      </c>
      <c r="C251" s="11">
        <v>1247</v>
      </c>
      <c r="E251" s="11">
        <v>2838</v>
      </c>
      <c r="F251" s="11">
        <v>2838</v>
      </c>
      <c r="H251" s="11">
        <v>6902</v>
      </c>
      <c r="I251" s="11">
        <v>6902</v>
      </c>
    </row>
    <row r="252" customHeight="1" spans="2:9">
      <c r="B252" s="11">
        <v>1248</v>
      </c>
      <c r="C252" s="11">
        <v>1248</v>
      </c>
      <c r="E252" s="11">
        <v>2839</v>
      </c>
      <c r="F252" s="11">
        <v>2839</v>
      </c>
      <c r="H252" s="11">
        <v>6903</v>
      </c>
      <c r="I252" s="11">
        <v>6903</v>
      </c>
    </row>
    <row r="253" customHeight="1" spans="2:9">
      <c r="B253" s="11">
        <v>1249</v>
      </c>
      <c r="C253" s="11">
        <v>1249</v>
      </c>
      <c r="E253" s="11">
        <v>2840</v>
      </c>
      <c r="F253" s="11">
        <v>2840</v>
      </c>
      <c r="H253" s="11">
        <v>6904</v>
      </c>
      <c r="I253" s="11">
        <v>6904</v>
      </c>
    </row>
    <row r="254" customHeight="1" spans="2:9">
      <c r="B254" s="11">
        <v>1250</v>
      </c>
      <c r="C254" s="11">
        <v>1250</v>
      </c>
      <c r="E254" s="11">
        <v>2841</v>
      </c>
      <c r="F254" s="11">
        <v>2841</v>
      </c>
      <c r="H254" s="11">
        <v>6905</v>
      </c>
      <c r="I254" s="11">
        <v>6905</v>
      </c>
    </row>
    <row r="255" customHeight="1" spans="2:9">
      <c r="B255" s="11">
        <v>1251</v>
      </c>
      <c r="C255" s="11">
        <v>1251</v>
      </c>
      <c r="E255" s="11">
        <v>2842</v>
      </c>
      <c r="F255" s="11">
        <v>2842</v>
      </c>
      <c r="H255" s="11">
        <v>6906</v>
      </c>
      <c r="I255" s="11">
        <v>6906</v>
      </c>
    </row>
    <row r="256" customHeight="1" spans="2:9">
      <c r="B256" s="11">
        <v>1252</v>
      </c>
      <c r="C256" s="11">
        <v>1252</v>
      </c>
      <c r="E256" s="11">
        <v>2843</v>
      </c>
      <c r="F256" s="11">
        <v>2843</v>
      </c>
      <c r="H256" s="11">
        <v>6907</v>
      </c>
      <c r="I256" s="11">
        <v>6907</v>
      </c>
    </row>
    <row r="257" customHeight="1" spans="2:9">
      <c r="B257" s="11">
        <v>1253</v>
      </c>
      <c r="C257" s="11">
        <v>1253</v>
      </c>
      <c r="E257" s="11">
        <v>2844</v>
      </c>
      <c r="F257" s="11">
        <v>2844</v>
      </c>
      <c r="H257" s="11">
        <v>6908</v>
      </c>
      <c r="I257" s="11">
        <v>6908</v>
      </c>
    </row>
    <row r="258" customHeight="1" spans="2:9">
      <c r="B258" s="11">
        <v>1254</v>
      </c>
      <c r="C258" s="11">
        <v>1254</v>
      </c>
      <c r="E258" s="11">
        <v>2845</v>
      </c>
      <c r="F258" s="11">
        <v>2845</v>
      </c>
      <c r="H258" s="11">
        <v>6909</v>
      </c>
      <c r="I258" s="11">
        <v>6909</v>
      </c>
    </row>
    <row r="259" customHeight="1" spans="2:9">
      <c r="B259" s="11">
        <v>1255</v>
      </c>
      <c r="C259" s="11">
        <v>1255</v>
      </c>
      <c r="E259" s="11">
        <v>2846</v>
      </c>
      <c r="F259" s="11">
        <v>2846</v>
      </c>
      <c r="H259" s="11">
        <v>6910</v>
      </c>
      <c r="I259" s="11">
        <v>6910</v>
      </c>
    </row>
    <row r="260" customHeight="1" spans="2:9">
      <c r="B260" s="11">
        <v>1256</v>
      </c>
      <c r="C260" s="11">
        <v>1256</v>
      </c>
      <c r="E260" s="11">
        <v>2847</v>
      </c>
      <c r="F260" s="11">
        <v>2847</v>
      </c>
      <c r="H260" s="11">
        <v>6911</v>
      </c>
      <c r="I260" s="11">
        <v>6911</v>
      </c>
    </row>
    <row r="261" customHeight="1" spans="2:9">
      <c r="B261" s="11">
        <v>1257</v>
      </c>
      <c r="C261" s="11">
        <v>1257</v>
      </c>
      <c r="E261" s="11">
        <v>2848</v>
      </c>
      <c r="F261" s="11">
        <v>2848</v>
      </c>
      <c r="H261" s="11">
        <v>6912</v>
      </c>
      <c r="I261" s="11">
        <v>6912</v>
      </c>
    </row>
    <row r="262" customHeight="1" spans="2:9">
      <c r="B262" s="11">
        <v>1258</v>
      </c>
      <c r="C262" s="11">
        <v>1258</v>
      </c>
      <c r="E262" s="11">
        <v>2849</v>
      </c>
      <c r="F262" s="11">
        <v>2849</v>
      </c>
      <c r="H262" s="11">
        <v>6913</v>
      </c>
      <c r="I262" s="11">
        <v>6913</v>
      </c>
    </row>
    <row r="263" customHeight="1" spans="2:9">
      <c r="B263" s="11">
        <v>1259</v>
      </c>
      <c r="C263" s="11">
        <v>1259</v>
      </c>
      <c r="E263" s="11">
        <v>2850</v>
      </c>
      <c r="F263" s="11">
        <v>2850</v>
      </c>
      <c r="H263" s="11">
        <v>6914</v>
      </c>
      <c r="I263" s="11">
        <v>6914</v>
      </c>
    </row>
    <row r="264" customHeight="1" spans="2:9">
      <c r="B264" s="11">
        <v>1260</v>
      </c>
      <c r="C264" s="11">
        <v>1260</v>
      </c>
      <c r="E264" s="11">
        <v>2851</v>
      </c>
      <c r="F264" s="11">
        <v>2851</v>
      </c>
      <c r="H264" s="11">
        <v>6915</v>
      </c>
      <c r="I264" s="11">
        <v>6915</v>
      </c>
    </row>
    <row r="265" customHeight="1" spans="2:9">
      <c r="B265" s="11">
        <v>1261</v>
      </c>
      <c r="C265" s="11">
        <v>1261</v>
      </c>
      <c r="E265" s="11">
        <v>2852</v>
      </c>
      <c r="F265" s="11">
        <v>2852</v>
      </c>
      <c r="H265" s="11">
        <v>6916</v>
      </c>
      <c r="I265" s="11">
        <v>6916</v>
      </c>
    </row>
    <row r="266" customHeight="1" spans="2:9">
      <c r="B266" s="11">
        <v>1262</v>
      </c>
      <c r="C266" s="11">
        <v>1262</v>
      </c>
      <c r="E266" s="11">
        <v>2853</v>
      </c>
      <c r="F266" s="11">
        <v>2853</v>
      </c>
      <c r="H266" s="11">
        <v>6917</v>
      </c>
      <c r="I266" s="11">
        <v>6917</v>
      </c>
    </row>
    <row r="267" customHeight="1" spans="2:9">
      <c r="B267" s="11">
        <v>1263</v>
      </c>
      <c r="C267" s="11">
        <v>1263</v>
      </c>
      <c r="E267" s="11">
        <v>2854</v>
      </c>
      <c r="F267" s="11">
        <v>2854</v>
      </c>
      <c r="H267" s="11">
        <v>6918</v>
      </c>
      <c r="I267" s="11">
        <v>6918</v>
      </c>
    </row>
    <row r="268" customHeight="1" spans="2:9">
      <c r="B268" s="11">
        <v>1264</v>
      </c>
      <c r="C268" s="11">
        <v>1264</v>
      </c>
      <c r="E268" s="11">
        <v>2855</v>
      </c>
      <c r="F268" s="11">
        <v>2855</v>
      </c>
      <c r="H268" s="11">
        <v>6919</v>
      </c>
      <c r="I268" s="11">
        <v>6919</v>
      </c>
    </row>
    <row r="269" customHeight="1" spans="2:9">
      <c r="B269" s="11">
        <v>1265</v>
      </c>
      <c r="C269" s="11">
        <v>1265</v>
      </c>
      <c r="E269" s="11">
        <v>2856</v>
      </c>
      <c r="F269" s="11">
        <v>2856</v>
      </c>
      <c r="H269" s="11">
        <v>6920</v>
      </c>
      <c r="I269" s="11">
        <v>6920</v>
      </c>
    </row>
    <row r="270" customHeight="1" spans="2:9">
      <c r="B270" s="11">
        <v>1266</v>
      </c>
      <c r="C270" s="11">
        <v>1266</v>
      </c>
      <c r="E270" s="11">
        <v>2857</v>
      </c>
      <c r="F270" s="11">
        <v>2857</v>
      </c>
      <c r="H270" s="11">
        <v>6921</v>
      </c>
      <c r="I270" s="11">
        <v>6921</v>
      </c>
    </row>
    <row r="271" customHeight="1" spans="2:9">
      <c r="B271" s="11">
        <v>1267</v>
      </c>
      <c r="C271" s="11">
        <v>1267</v>
      </c>
      <c r="E271" s="11">
        <v>2858</v>
      </c>
      <c r="F271" s="11">
        <v>2858</v>
      </c>
      <c r="H271" s="11">
        <v>6922</v>
      </c>
      <c r="I271" s="11">
        <v>6922</v>
      </c>
    </row>
    <row r="272" customHeight="1" spans="2:9">
      <c r="B272" s="11">
        <v>1268</v>
      </c>
      <c r="C272" s="11">
        <v>1268</v>
      </c>
      <c r="E272" s="11">
        <v>2859</v>
      </c>
      <c r="F272" s="11">
        <v>2859</v>
      </c>
      <c r="H272" s="11">
        <v>6923</v>
      </c>
      <c r="I272" s="11">
        <v>6923</v>
      </c>
    </row>
    <row r="273" customHeight="1" spans="2:9">
      <c r="B273" s="11">
        <v>1269</v>
      </c>
      <c r="C273" s="11">
        <v>1269</v>
      </c>
      <c r="E273" s="11">
        <v>2860</v>
      </c>
      <c r="F273" s="11">
        <v>2860</v>
      </c>
      <c r="H273" s="11">
        <v>6924</v>
      </c>
      <c r="I273" s="11">
        <v>6924</v>
      </c>
    </row>
    <row r="274" customHeight="1" spans="2:9">
      <c r="B274" s="11">
        <v>1270</v>
      </c>
      <c r="C274" s="11">
        <v>1270</v>
      </c>
      <c r="E274" s="11">
        <v>2861</v>
      </c>
      <c r="F274" s="11">
        <v>2861</v>
      </c>
      <c r="H274" s="11">
        <v>6925</v>
      </c>
      <c r="I274" s="11">
        <v>6925</v>
      </c>
    </row>
    <row r="275" customHeight="1" spans="2:9">
      <c r="B275" s="11">
        <v>1271</v>
      </c>
      <c r="C275" s="11">
        <v>1271</v>
      </c>
      <c r="E275" s="11">
        <v>2862</v>
      </c>
      <c r="F275" s="11">
        <v>2862</v>
      </c>
      <c r="H275" s="11">
        <v>6926</v>
      </c>
      <c r="I275" s="11">
        <v>6926</v>
      </c>
    </row>
    <row r="276" customHeight="1" spans="2:9">
      <c r="B276" s="11">
        <v>1272</v>
      </c>
      <c r="C276" s="11">
        <v>1272</v>
      </c>
      <c r="E276" s="11">
        <v>2863</v>
      </c>
      <c r="F276" s="11">
        <v>2863</v>
      </c>
      <c r="H276" s="11">
        <v>6927</v>
      </c>
      <c r="I276" s="11">
        <v>6927</v>
      </c>
    </row>
    <row r="277" customHeight="1" spans="2:9">
      <c r="B277" s="11">
        <v>1273</v>
      </c>
      <c r="C277" s="11">
        <v>1273</v>
      </c>
      <c r="E277" s="11">
        <v>2864</v>
      </c>
      <c r="F277" s="11">
        <v>2864</v>
      </c>
      <c r="H277" s="11">
        <v>6928</v>
      </c>
      <c r="I277" s="11">
        <v>6928</v>
      </c>
    </row>
    <row r="278" customHeight="1" spans="2:9">
      <c r="B278" s="11">
        <v>1274</v>
      </c>
      <c r="C278" s="11">
        <v>1274</v>
      </c>
      <c r="E278" s="11">
        <v>2865</v>
      </c>
      <c r="F278" s="11">
        <v>2865</v>
      </c>
      <c r="H278" s="11">
        <v>6929</v>
      </c>
      <c r="I278" s="11">
        <v>6929</v>
      </c>
    </row>
    <row r="279" customHeight="1" spans="2:9">
      <c r="B279" s="11">
        <v>1275</v>
      </c>
      <c r="C279" s="11">
        <v>1275</v>
      </c>
      <c r="E279" s="11">
        <v>2866</v>
      </c>
      <c r="F279" s="11">
        <v>2866</v>
      </c>
      <c r="H279" s="11">
        <v>6930</v>
      </c>
      <c r="I279" s="11">
        <v>6930</v>
      </c>
    </row>
    <row r="280" customHeight="1" spans="2:9">
      <c r="B280" s="11">
        <v>1276</v>
      </c>
      <c r="C280" s="11">
        <v>1276</v>
      </c>
      <c r="E280" s="11">
        <v>2867</v>
      </c>
      <c r="F280" s="11">
        <v>2867</v>
      </c>
      <c r="H280" s="11">
        <v>6931</v>
      </c>
      <c r="I280" s="11">
        <v>6931</v>
      </c>
    </row>
    <row r="281" customHeight="1" spans="2:9">
      <c r="B281" s="11">
        <v>1277</v>
      </c>
      <c r="C281" s="11">
        <v>1277</v>
      </c>
      <c r="E281" s="11">
        <v>2868</v>
      </c>
      <c r="F281" s="11">
        <v>2868</v>
      </c>
      <c r="H281" s="11">
        <v>6932</v>
      </c>
      <c r="I281" s="11">
        <v>6932</v>
      </c>
    </row>
    <row r="282" customHeight="1" spans="2:9">
      <c r="B282" s="11">
        <v>1278</v>
      </c>
      <c r="C282" s="11">
        <v>1278</v>
      </c>
      <c r="E282" s="11">
        <v>2869</v>
      </c>
      <c r="F282" s="11">
        <v>2869</v>
      </c>
      <c r="H282" s="11">
        <v>6933</v>
      </c>
      <c r="I282" s="11">
        <v>6933</v>
      </c>
    </row>
    <row r="283" customHeight="1" spans="2:9">
      <c r="B283" s="11">
        <v>1279</v>
      </c>
      <c r="C283" s="11">
        <v>1279</v>
      </c>
      <c r="E283" s="11">
        <v>2870</v>
      </c>
      <c r="F283" s="11">
        <v>2870</v>
      </c>
      <c r="H283" s="11">
        <v>6934</v>
      </c>
      <c r="I283" s="11">
        <v>6934</v>
      </c>
    </row>
    <row r="284" customHeight="1" spans="2:9">
      <c r="B284" s="11">
        <v>1280</v>
      </c>
      <c r="C284" s="11">
        <v>1280</v>
      </c>
      <c r="E284" s="11">
        <v>2871</v>
      </c>
      <c r="F284" s="11">
        <v>2871</v>
      </c>
      <c r="H284" s="11">
        <v>6935</v>
      </c>
      <c r="I284" s="11">
        <v>6935</v>
      </c>
    </row>
    <row r="285" customHeight="1" spans="2:9">
      <c r="B285" s="11">
        <v>1281</v>
      </c>
      <c r="C285" s="11">
        <v>1281</v>
      </c>
      <c r="E285" s="11">
        <v>2872</v>
      </c>
      <c r="F285" s="11">
        <v>2872</v>
      </c>
      <c r="H285" s="11">
        <v>6936</v>
      </c>
      <c r="I285" s="11">
        <v>6936</v>
      </c>
    </row>
    <row r="286" customHeight="1" spans="2:9">
      <c r="B286" s="11">
        <v>1282</v>
      </c>
      <c r="C286" s="11">
        <v>1282</v>
      </c>
      <c r="E286" s="11">
        <v>2873</v>
      </c>
      <c r="F286" s="11">
        <v>2873</v>
      </c>
      <c r="H286" s="11">
        <v>6937</v>
      </c>
      <c r="I286" s="11">
        <v>6937</v>
      </c>
    </row>
    <row r="287" customHeight="1" spans="2:9">
      <c r="B287" s="11">
        <v>1283</v>
      </c>
      <c r="C287" s="11">
        <v>1283</v>
      </c>
      <c r="E287" s="11">
        <v>2874</v>
      </c>
      <c r="F287" s="11">
        <v>2874</v>
      </c>
      <c r="H287" s="11">
        <v>6938</v>
      </c>
      <c r="I287" s="11">
        <v>6938</v>
      </c>
    </row>
    <row r="288" customHeight="1" spans="2:9">
      <c r="B288" s="11">
        <v>1284</v>
      </c>
      <c r="C288" s="11">
        <v>1284</v>
      </c>
      <c r="E288" s="11">
        <v>2875</v>
      </c>
      <c r="F288" s="11">
        <v>2875</v>
      </c>
      <c r="H288" s="11">
        <v>6939</v>
      </c>
      <c r="I288" s="11">
        <v>6939</v>
      </c>
    </row>
    <row r="289" customHeight="1" spans="2:9">
      <c r="B289" s="11">
        <v>1285</v>
      </c>
      <c r="C289" s="11">
        <v>1285</v>
      </c>
      <c r="E289" s="11">
        <v>2876</v>
      </c>
      <c r="F289" s="11">
        <v>2876</v>
      </c>
      <c r="H289" s="11">
        <v>6940</v>
      </c>
      <c r="I289" s="11">
        <v>6940</v>
      </c>
    </row>
    <row r="290" customHeight="1" spans="2:9">
      <c r="B290" s="11">
        <v>1286</v>
      </c>
      <c r="C290" s="11">
        <v>1286</v>
      </c>
      <c r="E290" s="11">
        <v>2877</v>
      </c>
      <c r="F290" s="11">
        <v>2877</v>
      </c>
      <c r="H290" s="11">
        <v>6941</v>
      </c>
      <c r="I290" s="11">
        <v>6941</v>
      </c>
    </row>
    <row r="291" customHeight="1" spans="2:9">
      <c r="B291" s="11">
        <v>1287</v>
      </c>
      <c r="C291" s="11">
        <v>1287</v>
      </c>
      <c r="E291" s="11">
        <v>2878</v>
      </c>
      <c r="F291" s="11">
        <v>2878</v>
      </c>
      <c r="H291" s="11">
        <v>6942</v>
      </c>
      <c r="I291" s="11">
        <v>6942</v>
      </c>
    </row>
    <row r="292" customHeight="1" spans="2:9">
      <c r="B292" s="11">
        <v>1288</v>
      </c>
      <c r="C292" s="11">
        <v>1288</v>
      </c>
      <c r="E292" s="11">
        <v>2879</v>
      </c>
      <c r="F292" s="11">
        <v>2879</v>
      </c>
      <c r="H292" s="11">
        <v>6943</v>
      </c>
      <c r="I292" s="11">
        <v>6943</v>
      </c>
    </row>
    <row r="293" customHeight="1" spans="2:9">
      <c r="B293" s="11">
        <v>1289</v>
      </c>
      <c r="C293" s="11">
        <v>1289</v>
      </c>
      <c r="E293" s="11">
        <v>2311</v>
      </c>
      <c r="F293" s="11">
        <v>2311</v>
      </c>
      <c r="H293" s="11">
        <v>6944</v>
      </c>
      <c r="I293" s="11">
        <v>6944</v>
      </c>
    </row>
    <row r="294" customHeight="1" spans="2:9">
      <c r="B294" s="11">
        <v>1290</v>
      </c>
      <c r="C294" s="11">
        <v>1290</v>
      </c>
      <c r="E294" s="11">
        <v>2312</v>
      </c>
      <c r="F294" s="11">
        <v>2312</v>
      </c>
      <c r="H294" s="11">
        <v>6945</v>
      </c>
      <c r="I294" s="11">
        <v>6945</v>
      </c>
    </row>
    <row r="295" customHeight="1" spans="2:9">
      <c r="B295" s="11">
        <v>1291</v>
      </c>
      <c r="C295" s="11">
        <v>1291</v>
      </c>
      <c r="E295" s="11">
        <v>2313</v>
      </c>
      <c r="F295" s="11">
        <v>2313</v>
      </c>
      <c r="H295" s="11">
        <v>6946</v>
      </c>
      <c r="I295" s="11">
        <v>6946</v>
      </c>
    </row>
    <row r="296" customHeight="1" spans="2:9">
      <c r="B296" s="11">
        <v>1292</v>
      </c>
      <c r="C296" s="11">
        <v>1292</v>
      </c>
      <c r="E296" s="11">
        <v>2314</v>
      </c>
      <c r="F296" s="11">
        <v>2314</v>
      </c>
      <c r="H296" s="11">
        <v>6947</v>
      </c>
      <c r="I296" s="11">
        <v>6947</v>
      </c>
    </row>
    <row r="297" customHeight="1" spans="2:9">
      <c r="B297" s="11">
        <v>1293</v>
      </c>
      <c r="C297" s="11">
        <v>1293</v>
      </c>
      <c r="E297" s="11">
        <v>2315</v>
      </c>
      <c r="F297" s="11">
        <v>2315</v>
      </c>
      <c r="H297" s="11">
        <v>6948</v>
      </c>
      <c r="I297" s="11">
        <v>6948</v>
      </c>
    </row>
    <row r="298" customHeight="1" spans="2:9">
      <c r="B298" s="11">
        <v>1294</v>
      </c>
      <c r="C298" s="11">
        <v>1294</v>
      </c>
      <c r="E298" s="11">
        <v>2316</v>
      </c>
      <c r="F298" s="11">
        <v>2316</v>
      </c>
      <c r="H298" s="11">
        <v>6949</v>
      </c>
      <c r="I298" s="11">
        <v>6949</v>
      </c>
    </row>
    <row r="299" customHeight="1" spans="2:9">
      <c r="B299" s="11">
        <v>1295</v>
      </c>
      <c r="C299" s="11">
        <v>1295</v>
      </c>
      <c r="E299" s="11">
        <v>2317</v>
      </c>
      <c r="F299" s="11">
        <v>2317</v>
      </c>
      <c r="H299" s="11">
        <v>6950</v>
      </c>
      <c r="I299" s="11">
        <v>6950</v>
      </c>
    </row>
    <row r="300" customHeight="1" spans="2:9">
      <c r="B300" s="11">
        <v>1296</v>
      </c>
      <c r="C300" s="11">
        <v>1296</v>
      </c>
      <c r="E300" s="11">
        <v>2318</v>
      </c>
      <c r="F300" s="11">
        <v>2318</v>
      </c>
      <c r="H300" s="11">
        <v>6951</v>
      </c>
      <c r="I300" s="11">
        <v>6951</v>
      </c>
    </row>
    <row r="301" customHeight="1" spans="2:9">
      <c r="B301" s="11">
        <v>1297</v>
      </c>
      <c r="C301" s="11">
        <v>1297</v>
      </c>
      <c r="E301" s="11">
        <v>2319</v>
      </c>
      <c r="F301" s="11">
        <v>2319</v>
      </c>
      <c r="H301" s="11">
        <v>6952</v>
      </c>
      <c r="I301" s="11">
        <v>6952</v>
      </c>
    </row>
    <row r="302" customHeight="1" spans="2:9">
      <c r="B302" s="11">
        <v>1298</v>
      </c>
      <c r="C302" s="11">
        <v>1298</v>
      </c>
      <c r="E302" s="11">
        <v>2320</v>
      </c>
      <c r="F302" s="11">
        <v>2320</v>
      </c>
      <c r="H302" s="11">
        <v>6953</v>
      </c>
      <c r="I302" s="11">
        <v>6953</v>
      </c>
    </row>
    <row r="303" customHeight="1" spans="2:9">
      <c r="B303" s="11">
        <v>1299</v>
      </c>
      <c r="C303" s="11">
        <v>1299</v>
      </c>
      <c r="E303" s="11">
        <v>2321</v>
      </c>
      <c r="F303" s="11">
        <v>2321</v>
      </c>
      <c r="H303" s="11">
        <v>6954</v>
      </c>
      <c r="I303" s="11">
        <v>6954</v>
      </c>
    </row>
    <row r="304" customHeight="1" spans="2:9">
      <c r="B304" s="11">
        <v>1300</v>
      </c>
      <c r="C304" s="11">
        <v>1300</v>
      </c>
      <c r="E304" s="11">
        <v>2322</v>
      </c>
      <c r="F304" s="11">
        <v>2322</v>
      </c>
      <c r="H304" s="11">
        <v>6955</v>
      </c>
      <c r="I304" s="11">
        <v>6955</v>
      </c>
    </row>
    <row r="305" customHeight="1" spans="2:9">
      <c r="B305" s="11">
        <v>1301</v>
      </c>
      <c r="C305" s="11">
        <v>1301</v>
      </c>
      <c r="E305" s="11">
        <v>2323</v>
      </c>
      <c r="F305" s="11">
        <v>2323</v>
      </c>
      <c r="H305" s="11">
        <v>6956</v>
      </c>
      <c r="I305" s="11">
        <v>6956</v>
      </c>
    </row>
    <row r="306" customHeight="1" spans="2:9">
      <c r="B306" s="11">
        <v>1302</v>
      </c>
      <c r="C306" s="11">
        <v>1302</v>
      </c>
      <c r="E306" s="11">
        <v>2324</v>
      </c>
      <c r="F306" s="11">
        <v>2324</v>
      </c>
      <c r="H306" s="11">
        <v>6957</v>
      </c>
      <c r="I306" s="11">
        <v>6957</v>
      </c>
    </row>
    <row r="307" customHeight="1" spans="2:9">
      <c r="B307" s="11">
        <v>1303</v>
      </c>
      <c r="C307" s="11">
        <v>1303</v>
      </c>
      <c r="E307" s="11">
        <v>2325</v>
      </c>
      <c r="F307" s="11">
        <v>2325</v>
      </c>
      <c r="H307" s="11">
        <v>6958</v>
      </c>
      <c r="I307" s="11">
        <v>6958</v>
      </c>
    </row>
    <row r="308" customHeight="1" spans="2:9">
      <c r="B308" s="11">
        <v>1304</v>
      </c>
      <c r="C308" s="11">
        <v>1304</v>
      </c>
      <c r="E308" s="11">
        <v>2326</v>
      </c>
      <c r="F308" s="11">
        <v>2326</v>
      </c>
      <c r="H308" s="11">
        <v>6959</v>
      </c>
      <c r="I308" s="11">
        <v>6959</v>
      </c>
    </row>
    <row r="309" customHeight="1" spans="2:9">
      <c r="B309" s="11">
        <v>1305</v>
      </c>
      <c r="C309" s="11">
        <v>1305</v>
      </c>
      <c r="E309" s="11">
        <v>2327</v>
      </c>
      <c r="F309" s="11">
        <v>2327</v>
      </c>
      <c r="H309" s="11">
        <v>6960</v>
      </c>
      <c r="I309" s="11">
        <v>6960</v>
      </c>
    </row>
    <row r="310" customHeight="1" spans="2:9">
      <c r="B310" s="11">
        <v>1306</v>
      </c>
      <c r="C310" s="11">
        <v>1306</v>
      </c>
      <c r="E310" s="11">
        <v>2328</v>
      </c>
      <c r="F310" s="11">
        <v>2328</v>
      </c>
      <c r="H310" s="11">
        <v>6961</v>
      </c>
      <c r="I310" s="11">
        <v>6961</v>
      </c>
    </row>
    <row r="311" customHeight="1" spans="2:9">
      <c r="B311" s="11">
        <v>1307</v>
      </c>
      <c r="C311" s="11">
        <v>1307</v>
      </c>
      <c r="E311" s="11">
        <v>2329</v>
      </c>
      <c r="F311" s="11">
        <v>2329</v>
      </c>
      <c r="H311" s="11">
        <v>6962</v>
      </c>
      <c r="I311" s="11">
        <v>6962</v>
      </c>
    </row>
    <row r="312" customHeight="1" spans="2:9">
      <c r="B312" s="11">
        <v>1308</v>
      </c>
      <c r="C312" s="11">
        <v>1308</v>
      </c>
      <c r="E312" s="11">
        <v>2330</v>
      </c>
      <c r="F312" s="11">
        <v>2330</v>
      </c>
      <c r="H312" s="11">
        <v>6963</v>
      </c>
      <c r="I312" s="11">
        <v>6963</v>
      </c>
    </row>
    <row r="313" customHeight="1" spans="2:9">
      <c r="B313" s="11">
        <v>1309</v>
      </c>
      <c r="C313" s="11">
        <v>1309</v>
      </c>
      <c r="E313" s="11">
        <v>2331</v>
      </c>
      <c r="F313" s="11">
        <v>2331</v>
      </c>
      <c r="H313" s="11">
        <v>6964</v>
      </c>
      <c r="I313" s="11">
        <v>6964</v>
      </c>
    </row>
    <row r="314" customHeight="1" spans="2:9">
      <c r="B314" s="11">
        <v>1310</v>
      </c>
      <c r="C314" s="11">
        <v>1310</v>
      </c>
      <c r="E314" s="11">
        <v>2332</v>
      </c>
      <c r="F314" s="11">
        <v>2332</v>
      </c>
      <c r="H314" s="11">
        <v>6965</v>
      </c>
      <c r="I314" s="11">
        <v>6965</v>
      </c>
    </row>
    <row r="315" customHeight="1" spans="2:9">
      <c r="B315" s="11">
        <v>1311</v>
      </c>
      <c r="C315" s="11">
        <v>1311</v>
      </c>
      <c r="E315" s="11">
        <v>2333</v>
      </c>
      <c r="F315" s="11">
        <v>2333</v>
      </c>
      <c r="H315" s="11">
        <v>6966</v>
      </c>
      <c r="I315" s="11">
        <v>6966</v>
      </c>
    </row>
    <row r="316" customHeight="1" spans="2:9">
      <c r="B316" s="11">
        <v>1312</v>
      </c>
      <c r="C316" s="11">
        <v>1312</v>
      </c>
      <c r="E316" s="11">
        <v>2334</v>
      </c>
      <c r="F316" s="11">
        <v>2334</v>
      </c>
      <c r="H316" s="11">
        <v>6967</v>
      </c>
      <c r="I316" s="11">
        <v>6967</v>
      </c>
    </row>
    <row r="317" customHeight="1" spans="2:9">
      <c r="B317" s="11">
        <v>1313</v>
      </c>
      <c r="C317" s="11">
        <v>1313</v>
      </c>
      <c r="E317" s="11">
        <v>2335</v>
      </c>
      <c r="F317" s="11">
        <v>2335</v>
      </c>
      <c r="H317" s="11">
        <v>6968</v>
      </c>
      <c r="I317" s="11">
        <v>6968</v>
      </c>
    </row>
    <row r="318" customHeight="1" spans="2:9">
      <c r="B318" s="11">
        <v>1314</v>
      </c>
      <c r="C318" s="11">
        <v>1314</v>
      </c>
      <c r="E318" s="11">
        <v>2336</v>
      </c>
      <c r="F318" s="11">
        <v>2336</v>
      </c>
      <c r="H318" s="11">
        <v>6969</v>
      </c>
      <c r="I318" s="11">
        <v>6969</v>
      </c>
    </row>
    <row r="319" customHeight="1" spans="2:9">
      <c r="B319" s="11">
        <v>1315</v>
      </c>
      <c r="C319" s="11">
        <v>1315</v>
      </c>
      <c r="E319" s="11">
        <v>2337</v>
      </c>
      <c r="F319" s="11">
        <v>2337</v>
      </c>
      <c r="H319" s="11">
        <v>6970</v>
      </c>
      <c r="I319" s="11">
        <v>6970</v>
      </c>
    </row>
    <row r="320" customHeight="1" spans="2:9">
      <c r="B320" s="11">
        <v>1316</v>
      </c>
      <c r="C320" s="11">
        <v>1316</v>
      </c>
      <c r="E320" s="11">
        <v>2338</v>
      </c>
      <c r="F320" s="11">
        <v>2338</v>
      </c>
      <c r="H320" s="11">
        <v>6971</v>
      </c>
      <c r="I320" s="11">
        <v>6971</v>
      </c>
    </row>
    <row r="321" customHeight="1" spans="2:9">
      <c r="B321" s="11">
        <v>1317</v>
      </c>
      <c r="C321" s="11">
        <v>1317</v>
      </c>
      <c r="E321" s="11">
        <v>2339</v>
      </c>
      <c r="F321" s="11">
        <v>2339</v>
      </c>
      <c r="H321" s="11">
        <v>6972</v>
      </c>
      <c r="I321" s="11">
        <v>6972</v>
      </c>
    </row>
    <row r="322" customHeight="1" spans="2:9">
      <c r="B322" s="11">
        <v>1318</v>
      </c>
      <c r="C322" s="11">
        <v>1318</v>
      </c>
      <c r="E322" s="11">
        <v>2340</v>
      </c>
      <c r="F322" s="11">
        <v>2340</v>
      </c>
      <c r="H322" s="11">
        <v>6973</v>
      </c>
      <c r="I322" s="11">
        <v>6973</v>
      </c>
    </row>
    <row r="323" customHeight="1" spans="2:9">
      <c r="B323" s="11">
        <v>1319</v>
      </c>
      <c r="C323" s="11">
        <v>1319</v>
      </c>
      <c r="E323" s="11">
        <v>2341</v>
      </c>
      <c r="F323" s="11">
        <v>2341</v>
      </c>
      <c r="H323" s="11">
        <v>6974</v>
      </c>
      <c r="I323" s="11">
        <v>6974</v>
      </c>
    </row>
    <row r="324" customHeight="1" spans="2:9">
      <c r="B324" s="11">
        <v>1320</v>
      </c>
      <c r="C324" s="11">
        <v>1320</v>
      </c>
      <c r="E324" s="11">
        <v>2342</v>
      </c>
      <c r="F324" s="11">
        <v>2342</v>
      </c>
      <c r="H324" s="11">
        <v>6975</v>
      </c>
      <c r="I324" s="11">
        <v>6975</v>
      </c>
    </row>
    <row r="325" customHeight="1" spans="2:9">
      <c r="B325" s="11">
        <v>1321</v>
      </c>
      <c r="C325" s="11">
        <v>1321</v>
      </c>
      <c r="E325" s="11">
        <v>2343</v>
      </c>
      <c r="F325" s="11">
        <v>2343</v>
      </c>
      <c r="H325" s="11">
        <v>6976</v>
      </c>
      <c r="I325" s="11">
        <v>6976</v>
      </c>
    </row>
    <row r="326" customHeight="1" spans="2:9">
      <c r="B326" s="11">
        <v>1322</v>
      </c>
      <c r="C326" s="11">
        <v>1322</v>
      </c>
      <c r="E326" s="11">
        <v>2344</v>
      </c>
      <c r="F326" s="11">
        <v>2344</v>
      </c>
      <c r="H326" s="11">
        <v>6977</v>
      </c>
      <c r="I326" s="11">
        <v>6977</v>
      </c>
    </row>
    <row r="327" customHeight="1" spans="2:9">
      <c r="B327" s="11">
        <v>1323</v>
      </c>
      <c r="C327" s="11">
        <v>1323</v>
      </c>
      <c r="E327" s="11">
        <v>2345</v>
      </c>
      <c r="F327" s="11">
        <v>2345</v>
      </c>
      <c r="H327" s="11">
        <v>6978</v>
      </c>
      <c r="I327" s="11">
        <v>6978</v>
      </c>
    </row>
    <row r="328" customHeight="1" spans="2:9">
      <c r="B328" s="11">
        <v>1324</v>
      </c>
      <c r="C328" s="11">
        <v>1324</v>
      </c>
      <c r="E328" s="11">
        <v>2346</v>
      </c>
      <c r="F328" s="11">
        <v>2346</v>
      </c>
      <c r="H328" s="11">
        <v>6979</v>
      </c>
      <c r="I328" s="11">
        <v>6979</v>
      </c>
    </row>
    <row r="329" customHeight="1" spans="2:9">
      <c r="B329" s="11">
        <v>1325</v>
      </c>
      <c r="C329" s="11">
        <v>1325</v>
      </c>
      <c r="E329" s="11">
        <v>2347</v>
      </c>
      <c r="F329" s="11">
        <v>2347</v>
      </c>
      <c r="H329" s="11">
        <v>6980</v>
      </c>
      <c r="I329" s="11">
        <v>6980</v>
      </c>
    </row>
    <row r="330" customHeight="1" spans="2:9">
      <c r="B330" s="11">
        <v>1326</v>
      </c>
      <c r="C330" s="11">
        <v>1326</v>
      </c>
      <c r="E330" s="11">
        <v>2348</v>
      </c>
      <c r="F330" s="11">
        <v>2348</v>
      </c>
      <c r="H330" s="11">
        <v>6981</v>
      </c>
      <c r="I330" s="11">
        <v>6981</v>
      </c>
    </row>
    <row r="331" customHeight="1" spans="2:9">
      <c r="B331" s="11">
        <v>1327</v>
      </c>
      <c r="C331" s="11">
        <v>1327</v>
      </c>
      <c r="E331" s="11">
        <v>2349</v>
      </c>
      <c r="F331" s="11">
        <v>2349</v>
      </c>
      <c r="H331" s="11">
        <v>6982</v>
      </c>
      <c r="I331" s="11">
        <v>6982</v>
      </c>
    </row>
    <row r="332" customHeight="1" spans="2:9">
      <c r="B332" s="11">
        <v>1328</v>
      </c>
      <c r="C332" s="11">
        <v>1328</v>
      </c>
      <c r="E332" s="11">
        <v>2350</v>
      </c>
      <c r="F332" s="11">
        <v>2350</v>
      </c>
      <c r="H332" s="11">
        <v>6983</v>
      </c>
      <c r="I332" s="11">
        <v>6983</v>
      </c>
    </row>
    <row r="333" customHeight="1" spans="2:9">
      <c r="B333" s="11">
        <v>1329</v>
      </c>
      <c r="C333" s="11">
        <v>1329</v>
      </c>
      <c r="E333" s="11">
        <v>2351</v>
      </c>
      <c r="F333" s="11">
        <v>2351</v>
      </c>
      <c r="H333" s="11">
        <v>6984</v>
      </c>
      <c r="I333" s="11">
        <v>6984</v>
      </c>
    </row>
    <row r="334" customHeight="1" spans="2:9">
      <c r="B334" s="11">
        <v>1330</v>
      </c>
      <c r="C334" s="11">
        <v>1330</v>
      </c>
      <c r="E334" s="11">
        <v>2352</v>
      </c>
      <c r="F334" s="11">
        <v>2352</v>
      </c>
      <c r="H334" s="11">
        <v>6985</v>
      </c>
      <c r="I334" s="11">
        <v>6985</v>
      </c>
    </row>
    <row r="335" customHeight="1" spans="2:9">
      <c r="B335" s="11">
        <v>1331</v>
      </c>
      <c r="C335" s="11">
        <v>1331</v>
      </c>
      <c r="E335" s="11">
        <v>2353</v>
      </c>
      <c r="F335" s="11">
        <v>2353</v>
      </c>
      <c r="H335" s="11">
        <v>6986</v>
      </c>
      <c r="I335" s="11">
        <v>6986</v>
      </c>
    </row>
    <row r="336" customHeight="1" spans="2:9">
      <c r="B336" s="11">
        <v>1332</v>
      </c>
      <c r="C336" s="11">
        <v>1332</v>
      </c>
      <c r="E336" s="11">
        <v>2354</v>
      </c>
      <c r="F336" s="11">
        <v>2354</v>
      </c>
      <c r="H336" s="11">
        <v>6987</v>
      </c>
      <c r="I336" s="11">
        <v>6987</v>
      </c>
    </row>
    <row r="337" customHeight="1" spans="2:9">
      <c r="B337" s="11">
        <v>1333</v>
      </c>
      <c r="C337" s="11">
        <v>1333</v>
      </c>
      <c r="E337" s="11">
        <v>2355</v>
      </c>
      <c r="F337" s="11">
        <v>2355</v>
      </c>
      <c r="H337" s="11">
        <v>6988</v>
      </c>
      <c r="I337" s="11">
        <v>6988</v>
      </c>
    </row>
    <row r="338" customHeight="1" spans="2:9">
      <c r="B338" s="11">
        <v>1334</v>
      </c>
      <c r="C338" s="11">
        <v>1334</v>
      </c>
      <c r="E338" s="11">
        <v>2356</v>
      </c>
      <c r="F338" s="11">
        <v>2356</v>
      </c>
      <c r="H338" s="11">
        <v>6989</v>
      </c>
      <c r="I338" s="11">
        <v>6989</v>
      </c>
    </row>
    <row r="339" customHeight="1" spans="2:9">
      <c r="B339" s="11">
        <v>1335</v>
      </c>
      <c r="C339" s="11">
        <v>1335</v>
      </c>
      <c r="E339" s="11">
        <v>2357</v>
      </c>
      <c r="F339" s="11">
        <v>2357</v>
      </c>
      <c r="H339" s="11">
        <v>6990</v>
      </c>
      <c r="I339" s="11">
        <v>6990</v>
      </c>
    </row>
    <row r="340" customHeight="1" spans="2:9">
      <c r="B340" s="11">
        <v>1336</v>
      </c>
      <c r="C340" s="11">
        <v>1336</v>
      </c>
      <c r="E340" s="11">
        <v>2358</v>
      </c>
      <c r="F340" s="11">
        <v>2358</v>
      </c>
      <c r="H340" s="11">
        <v>6112</v>
      </c>
      <c r="I340" s="11">
        <v>6112</v>
      </c>
    </row>
    <row r="341" customHeight="1" spans="2:9">
      <c r="B341" s="11">
        <v>1337</v>
      </c>
      <c r="C341" s="11">
        <v>1337</v>
      </c>
      <c r="E341" s="11">
        <v>2359</v>
      </c>
      <c r="F341" s="11">
        <v>2359</v>
      </c>
      <c r="H341" s="11">
        <v>6113</v>
      </c>
      <c r="I341" s="11">
        <v>6113</v>
      </c>
    </row>
    <row r="342" customHeight="1" spans="2:9">
      <c r="B342" s="11">
        <v>1338</v>
      </c>
      <c r="C342" s="11">
        <v>1338</v>
      </c>
      <c r="E342" s="11">
        <v>2360</v>
      </c>
      <c r="F342" s="11">
        <v>2360</v>
      </c>
      <c r="H342" s="11">
        <v>6114</v>
      </c>
      <c r="I342" s="11">
        <v>6114</v>
      </c>
    </row>
    <row r="343" customHeight="1" spans="2:9">
      <c r="B343" s="11">
        <v>1339</v>
      </c>
      <c r="C343" s="11">
        <v>1339</v>
      </c>
      <c r="E343" s="11">
        <v>2361</v>
      </c>
      <c r="F343" s="11">
        <v>2361</v>
      </c>
      <c r="H343" s="11">
        <v>6115</v>
      </c>
      <c r="I343" s="11">
        <v>6115</v>
      </c>
    </row>
    <row r="344" customHeight="1" spans="2:9">
      <c r="B344" s="11">
        <v>1340</v>
      </c>
      <c r="C344" s="11">
        <v>1340</v>
      </c>
      <c r="E344" s="11">
        <v>2362</v>
      </c>
      <c r="F344" s="11">
        <v>2362</v>
      </c>
      <c r="H344" s="11">
        <v>6116</v>
      </c>
      <c r="I344" s="11">
        <v>6116</v>
      </c>
    </row>
    <row r="345" customHeight="1" spans="2:9">
      <c r="B345" s="11">
        <v>1341</v>
      </c>
      <c r="C345" s="11">
        <v>1341</v>
      </c>
      <c r="E345" s="11">
        <v>2363</v>
      </c>
      <c r="F345" s="11">
        <v>2363</v>
      </c>
      <c r="H345" s="11">
        <v>6117</v>
      </c>
      <c r="I345" s="11">
        <v>6117</v>
      </c>
    </row>
    <row r="346" customHeight="1" spans="2:9">
      <c r="B346" s="11">
        <v>1342</v>
      </c>
      <c r="C346" s="11">
        <v>1342</v>
      </c>
      <c r="E346" s="11">
        <v>2364</v>
      </c>
      <c r="F346" s="11">
        <v>2364</v>
      </c>
      <c r="H346" s="11">
        <v>6118</v>
      </c>
      <c r="I346" s="11">
        <v>6118</v>
      </c>
    </row>
    <row r="347" customHeight="1" spans="2:9">
      <c r="B347" s="11">
        <v>1343</v>
      </c>
      <c r="C347" s="11">
        <v>1343</v>
      </c>
      <c r="E347" s="11">
        <v>2365</v>
      </c>
      <c r="F347" s="11">
        <v>2365</v>
      </c>
      <c r="H347" s="11">
        <v>6119</v>
      </c>
      <c r="I347" s="11">
        <v>6119</v>
      </c>
    </row>
    <row r="348" customHeight="1" spans="2:9">
      <c r="B348" s="11">
        <v>1344</v>
      </c>
      <c r="C348" s="11">
        <v>1344</v>
      </c>
      <c r="E348" s="11">
        <v>2366</v>
      </c>
      <c r="F348" s="11">
        <v>2366</v>
      </c>
      <c r="H348" s="11">
        <v>6120</v>
      </c>
      <c r="I348" s="11">
        <v>6120</v>
      </c>
    </row>
    <row r="349" customHeight="1" spans="2:9">
      <c r="B349" s="11">
        <v>1345</v>
      </c>
      <c r="C349" s="11">
        <v>1345</v>
      </c>
      <c r="E349" s="11">
        <v>2367</v>
      </c>
      <c r="F349" s="11">
        <v>2367</v>
      </c>
      <c r="H349" s="11">
        <v>6147</v>
      </c>
      <c r="I349" s="11">
        <v>6147</v>
      </c>
    </row>
    <row r="350" customHeight="1" spans="2:9">
      <c r="B350" s="11">
        <v>1346</v>
      </c>
      <c r="C350" s="11">
        <v>1346</v>
      </c>
      <c r="E350" s="11">
        <v>2368</v>
      </c>
      <c r="F350" s="11">
        <v>2368</v>
      </c>
      <c r="H350" s="11">
        <v>6148</v>
      </c>
      <c r="I350" s="11">
        <v>6148</v>
      </c>
    </row>
    <row r="351" customHeight="1" spans="2:9">
      <c r="B351" s="11">
        <v>1347</v>
      </c>
      <c r="C351" s="11">
        <v>1347</v>
      </c>
      <c r="E351" s="11">
        <v>2369</v>
      </c>
      <c r="F351" s="11">
        <v>2369</v>
      </c>
      <c r="H351" s="11">
        <v>6149</v>
      </c>
      <c r="I351" s="11">
        <v>6149</v>
      </c>
    </row>
    <row r="352" customHeight="1" spans="2:9">
      <c r="B352" s="11">
        <v>1348</v>
      </c>
      <c r="C352" s="11">
        <v>1348</v>
      </c>
      <c r="E352" s="11">
        <v>2370</v>
      </c>
      <c r="F352" s="11">
        <v>2370</v>
      </c>
      <c r="H352" s="11">
        <v>6150</v>
      </c>
      <c r="I352" s="11">
        <v>6150</v>
      </c>
    </row>
    <row r="353" customHeight="1" spans="2:9">
      <c r="B353" s="11">
        <v>1349</v>
      </c>
      <c r="C353" s="11">
        <v>1349</v>
      </c>
      <c r="E353" s="11">
        <v>2371</v>
      </c>
      <c r="F353" s="11">
        <v>2371</v>
      </c>
      <c r="H353" s="11">
        <v>6151</v>
      </c>
      <c r="I353" s="11">
        <v>6151</v>
      </c>
    </row>
    <row r="354" customHeight="1" spans="2:9">
      <c r="B354" s="11">
        <v>1350</v>
      </c>
      <c r="C354" s="11">
        <v>1350</v>
      </c>
      <c r="E354" s="11">
        <v>2372</v>
      </c>
      <c r="F354" s="11">
        <v>2372</v>
      </c>
      <c r="H354" s="11">
        <v>6152</v>
      </c>
      <c r="I354" s="11">
        <v>6152</v>
      </c>
    </row>
    <row r="355" customHeight="1" spans="2:9">
      <c r="B355" s="11">
        <v>1351</v>
      </c>
      <c r="C355" s="11">
        <v>1351</v>
      </c>
      <c r="E355" s="11">
        <v>2373</v>
      </c>
      <c r="F355" s="11">
        <v>2373</v>
      </c>
      <c r="H355" s="11">
        <v>6153</v>
      </c>
      <c r="I355" s="11">
        <v>6153</v>
      </c>
    </row>
    <row r="356" customHeight="1" spans="2:9">
      <c r="B356" s="11">
        <v>1352</v>
      </c>
      <c r="C356" s="11">
        <v>1352</v>
      </c>
      <c r="E356" s="11">
        <v>2374</v>
      </c>
      <c r="F356" s="11">
        <v>2374</v>
      </c>
      <c r="H356" s="11">
        <v>6154</v>
      </c>
      <c r="I356" s="11">
        <v>6154</v>
      </c>
    </row>
    <row r="357" customHeight="1" spans="2:9">
      <c r="B357" s="11">
        <v>1353</v>
      </c>
      <c r="C357" s="11">
        <v>1353</v>
      </c>
      <c r="E357" s="11">
        <v>2375</v>
      </c>
      <c r="F357" s="11">
        <v>2375</v>
      </c>
      <c r="H357" s="11">
        <v>6155</v>
      </c>
      <c r="I357" s="11">
        <v>6155</v>
      </c>
    </row>
    <row r="358" customHeight="1" spans="2:9">
      <c r="B358" s="11">
        <v>1354</v>
      </c>
      <c r="C358" s="11">
        <v>1354</v>
      </c>
      <c r="E358" s="11">
        <v>2376</v>
      </c>
      <c r="F358" s="11">
        <v>2376</v>
      </c>
      <c r="H358" s="11">
        <v>6156</v>
      </c>
      <c r="I358" s="11">
        <v>6156</v>
      </c>
    </row>
    <row r="359" customHeight="1" spans="2:9">
      <c r="B359" s="11">
        <v>1355</v>
      </c>
      <c r="C359" s="11">
        <v>1355</v>
      </c>
      <c r="E359" s="11">
        <v>2377</v>
      </c>
      <c r="F359" s="11">
        <v>2377</v>
      </c>
      <c r="H359" s="11">
        <v>6157</v>
      </c>
      <c r="I359" s="11">
        <v>6157</v>
      </c>
    </row>
    <row r="360" customHeight="1" spans="2:9">
      <c r="B360" s="11">
        <v>1356</v>
      </c>
      <c r="C360" s="11">
        <v>1356</v>
      </c>
      <c r="E360" s="11">
        <v>2378</v>
      </c>
      <c r="F360" s="11">
        <v>2378</v>
      </c>
      <c r="H360" s="11">
        <v>6158</v>
      </c>
      <c r="I360" s="11">
        <v>6158</v>
      </c>
    </row>
    <row r="361" customHeight="1" spans="2:9">
      <c r="B361" s="11">
        <v>1357</v>
      </c>
      <c r="C361" s="11">
        <v>1357</v>
      </c>
      <c r="E361" s="11">
        <v>2379</v>
      </c>
      <c r="F361" s="11">
        <v>2379</v>
      </c>
      <c r="H361" s="11">
        <v>6159</v>
      </c>
      <c r="I361" s="11">
        <v>6159</v>
      </c>
    </row>
    <row r="362" customHeight="1" spans="2:9">
      <c r="B362" s="11">
        <v>1358</v>
      </c>
      <c r="C362" s="11">
        <v>1358</v>
      </c>
      <c r="E362" s="11">
        <v>2380</v>
      </c>
      <c r="F362" s="11">
        <v>2380</v>
      </c>
      <c r="H362" s="11">
        <v>6160</v>
      </c>
      <c r="I362" s="11">
        <v>6160</v>
      </c>
    </row>
    <row r="363" customHeight="1" spans="2:9">
      <c r="B363" s="11">
        <v>1359</v>
      </c>
      <c r="C363" s="11">
        <v>1359</v>
      </c>
      <c r="E363" s="11">
        <v>2381</v>
      </c>
      <c r="F363" s="11">
        <v>2381</v>
      </c>
      <c r="H363" s="11">
        <v>6162</v>
      </c>
      <c r="I363" s="11">
        <v>6162</v>
      </c>
    </row>
    <row r="364" customHeight="1" spans="2:9">
      <c r="B364" s="11">
        <v>1360</v>
      </c>
      <c r="C364" s="11">
        <v>1360</v>
      </c>
      <c r="E364" s="11">
        <v>2382</v>
      </c>
      <c r="F364" s="11">
        <v>2382</v>
      </c>
      <c r="H364" s="11">
        <v>6163</v>
      </c>
      <c r="I364" s="11">
        <v>6163</v>
      </c>
    </row>
    <row r="365" customHeight="1" spans="2:9">
      <c r="B365" s="11">
        <v>1361</v>
      </c>
      <c r="C365" s="11">
        <v>1361</v>
      </c>
      <c r="E365" s="11">
        <v>2383</v>
      </c>
      <c r="F365" s="11">
        <v>2383</v>
      </c>
      <c r="H365" s="11">
        <v>6164</v>
      </c>
      <c r="I365" s="11">
        <v>6164</v>
      </c>
    </row>
    <row r="366" customHeight="1" spans="2:9">
      <c r="B366" s="11">
        <v>1362</v>
      </c>
      <c r="C366" s="11">
        <v>1362</v>
      </c>
      <c r="E366" s="11">
        <v>2384</v>
      </c>
      <c r="F366" s="11">
        <v>2384</v>
      </c>
      <c r="H366" s="11">
        <v>6165</v>
      </c>
      <c r="I366" s="11">
        <v>6165</v>
      </c>
    </row>
    <row r="367" customHeight="1" spans="2:9">
      <c r="B367" s="11">
        <v>1363</v>
      </c>
      <c r="C367" s="11">
        <v>1363</v>
      </c>
      <c r="E367" s="11">
        <v>2385</v>
      </c>
      <c r="F367" s="11">
        <v>2385</v>
      </c>
      <c r="H367" s="11">
        <v>6166</v>
      </c>
      <c r="I367" s="11">
        <v>6166</v>
      </c>
    </row>
    <row r="368" customHeight="1" spans="2:9">
      <c r="B368" s="11">
        <v>1364</v>
      </c>
      <c r="C368" s="11">
        <v>1364</v>
      </c>
      <c r="E368" s="11">
        <v>2386</v>
      </c>
      <c r="F368" s="11">
        <v>2386</v>
      </c>
      <c r="H368" s="11">
        <v>6167</v>
      </c>
      <c r="I368" s="11">
        <v>6167</v>
      </c>
    </row>
    <row r="369" customHeight="1" spans="2:9">
      <c r="B369" s="11">
        <v>1365</v>
      </c>
      <c r="C369" s="11">
        <v>1365</v>
      </c>
      <c r="E369" s="11">
        <v>2387</v>
      </c>
      <c r="F369" s="11">
        <v>2387</v>
      </c>
      <c r="H369" s="11">
        <v>6168</v>
      </c>
      <c r="I369" s="11">
        <v>6168</v>
      </c>
    </row>
    <row r="370" customHeight="1" spans="2:9">
      <c r="B370" s="11">
        <v>1366</v>
      </c>
      <c r="C370" s="11">
        <v>1366</v>
      </c>
      <c r="E370" s="11">
        <v>2388</v>
      </c>
      <c r="F370" s="11">
        <v>2388</v>
      </c>
      <c r="H370" s="11">
        <v>6169</v>
      </c>
      <c r="I370" s="11">
        <v>6169</v>
      </c>
    </row>
    <row r="371" customHeight="1" spans="2:9">
      <c r="B371" s="11">
        <v>1367</v>
      </c>
      <c r="C371" s="11">
        <v>1367</v>
      </c>
      <c r="E371" s="11">
        <v>2389</v>
      </c>
      <c r="F371" s="11">
        <v>2389</v>
      </c>
      <c r="H371" s="11">
        <v>6170</v>
      </c>
      <c r="I371" s="11">
        <v>6170</v>
      </c>
    </row>
    <row r="372" customHeight="1" spans="2:9">
      <c r="B372" s="11">
        <v>1368</v>
      </c>
      <c r="C372" s="11">
        <v>1368</v>
      </c>
      <c r="E372" s="11">
        <v>2390</v>
      </c>
      <c r="F372" s="11">
        <v>2390</v>
      </c>
      <c r="H372" s="11">
        <v>6171</v>
      </c>
      <c r="I372" s="11">
        <v>6171</v>
      </c>
    </row>
    <row r="373" customHeight="1" spans="2:9">
      <c r="B373" s="11">
        <v>1369</v>
      </c>
      <c r="C373" s="11">
        <v>1369</v>
      </c>
      <c r="E373" s="11">
        <v>2391</v>
      </c>
      <c r="F373" s="11">
        <v>2391</v>
      </c>
      <c r="H373" s="11">
        <v>6172</v>
      </c>
      <c r="I373" s="11">
        <v>6172</v>
      </c>
    </row>
    <row r="374" customHeight="1" spans="2:9">
      <c r="B374" s="11">
        <v>1370</v>
      </c>
      <c r="C374" s="11">
        <v>1370</v>
      </c>
      <c r="E374" s="11">
        <v>2392</v>
      </c>
      <c r="F374" s="11">
        <v>2392</v>
      </c>
      <c r="H374" s="11">
        <v>6173</v>
      </c>
      <c r="I374" s="11">
        <v>6173</v>
      </c>
    </row>
    <row r="375" customHeight="1" spans="2:9">
      <c r="B375" s="11">
        <v>1371</v>
      </c>
      <c r="C375" s="11">
        <v>1371</v>
      </c>
      <c r="E375" s="11">
        <v>2393</v>
      </c>
      <c r="F375" s="11">
        <v>2393</v>
      </c>
      <c r="H375" s="11">
        <v>6174</v>
      </c>
      <c r="I375" s="11">
        <v>6174</v>
      </c>
    </row>
    <row r="376" customHeight="1" spans="2:9">
      <c r="B376" s="11">
        <v>1372</v>
      </c>
      <c r="C376" s="11">
        <v>1372</v>
      </c>
      <c r="E376" s="11">
        <v>2394</v>
      </c>
      <c r="F376" s="11">
        <v>2394</v>
      </c>
      <c r="H376" s="11">
        <v>6175</v>
      </c>
      <c r="I376" s="11">
        <v>6175</v>
      </c>
    </row>
    <row r="377" customHeight="1" spans="2:9">
      <c r="B377" s="11">
        <v>1373</v>
      </c>
      <c r="C377" s="11">
        <v>1373</v>
      </c>
      <c r="E377" s="11">
        <v>2395</v>
      </c>
      <c r="F377" s="11">
        <v>2395</v>
      </c>
      <c r="H377" s="11">
        <v>6180</v>
      </c>
      <c r="I377" s="11">
        <v>6180</v>
      </c>
    </row>
    <row r="378" customHeight="1" spans="2:9">
      <c r="B378" s="11">
        <v>1374</v>
      </c>
      <c r="C378" s="11">
        <v>1374</v>
      </c>
      <c r="E378" s="11">
        <v>2396</v>
      </c>
      <c r="F378" s="11">
        <v>2396</v>
      </c>
      <c r="H378" s="11">
        <v>6182</v>
      </c>
      <c r="I378" s="11">
        <v>6182</v>
      </c>
    </row>
    <row r="379" customHeight="1" spans="2:9">
      <c r="B379" s="11">
        <v>1375</v>
      </c>
      <c r="C379" s="11">
        <v>1375</v>
      </c>
      <c r="E379" s="11">
        <v>2397</v>
      </c>
      <c r="F379" s="11">
        <v>2397</v>
      </c>
      <c r="H379" s="11">
        <v>6183</v>
      </c>
      <c r="I379" s="11">
        <v>6183</v>
      </c>
    </row>
    <row r="380" customHeight="1" spans="2:9">
      <c r="B380" s="11">
        <v>1376</v>
      </c>
      <c r="C380" s="11">
        <v>1376</v>
      </c>
      <c r="E380" s="11">
        <v>2398</v>
      </c>
      <c r="F380" s="11">
        <v>2398</v>
      </c>
      <c r="H380" s="11">
        <v>6184</v>
      </c>
      <c r="I380" s="11">
        <v>6184</v>
      </c>
    </row>
    <row r="381" customHeight="1" spans="2:9">
      <c r="B381" s="11">
        <v>1377</v>
      </c>
      <c r="C381" s="11">
        <v>1377</v>
      </c>
      <c r="E381" s="11">
        <v>2399</v>
      </c>
      <c r="F381" s="11">
        <v>2399</v>
      </c>
      <c r="H381" s="11">
        <v>6185</v>
      </c>
      <c r="I381" s="11">
        <v>6185</v>
      </c>
    </row>
    <row r="382" customHeight="1" spans="2:9">
      <c r="B382" s="11">
        <v>1378</v>
      </c>
      <c r="C382" s="11">
        <v>1378</v>
      </c>
      <c r="E382" s="11">
        <v>2400</v>
      </c>
      <c r="F382" s="11">
        <v>2400</v>
      </c>
      <c r="H382" s="11">
        <v>6186</v>
      </c>
      <c r="I382" s="11">
        <v>6186</v>
      </c>
    </row>
    <row r="383" customHeight="1" spans="2:9">
      <c r="B383" s="11">
        <v>1379</v>
      </c>
      <c r="C383" s="11">
        <v>1379</v>
      </c>
      <c r="E383" s="11">
        <v>2401</v>
      </c>
      <c r="F383" s="11">
        <v>2401</v>
      </c>
      <c r="H383" s="11">
        <v>6187</v>
      </c>
      <c r="I383" s="11">
        <v>6187</v>
      </c>
    </row>
    <row r="384" customHeight="1" spans="2:9">
      <c r="B384" s="11">
        <v>1380</v>
      </c>
      <c r="C384" s="11">
        <v>1380</v>
      </c>
      <c r="E384" s="11">
        <v>2402</v>
      </c>
      <c r="F384" s="11">
        <v>2402</v>
      </c>
      <c r="H384" s="11">
        <v>6188</v>
      </c>
      <c r="I384" s="11">
        <v>6188</v>
      </c>
    </row>
    <row r="385" customHeight="1" spans="2:9">
      <c r="B385" s="11">
        <v>1381</v>
      </c>
      <c r="C385" s="11">
        <v>1381</v>
      </c>
      <c r="E385" s="11">
        <v>2403</v>
      </c>
      <c r="F385" s="11">
        <v>2403</v>
      </c>
      <c r="H385" s="11">
        <v>6189</v>
      </c>
      <c r="I385" s="11">
        <v>6189</v>
      </c>
    </row>
    <row r="386" customHeight="1" spans="2:9">
      <c r="B386" s="11">
        <v>1382</v>
      </c>
      <c r="C386" s="11">
        <v>1382</v>
      </c>
      <c r="E386" s="11">
        <v>2404</v>
      </c>
      <c r="F386" s="11">
        <v>2404</v>
      </c>
      <c r="H386" s="11">
        <v>6190</v>
      </c>
      <c r="I386" s="11">
        <v>6190</v>
      </c>
    </row>
    <row r="387" customHeight="1" spans="2:9">
      <c r="B387" s="11">
        <v>1383</v>
      </c>
      <c r="C387" s="11">
        <v>1383</v>
      </c>
      <c r="E387" s="11">
        <v>2405</v>
      </c>
      <c r="F387" s="11">
        <v>2405</v>
      </c>
      <c r="H387" s="11">
        <v>6191</v>
      </c>
      <c r="I387" s="11">
        <v>6191</v>
      </c>
    </row>
    <row r="388" customHeight="1" spans="2:9">
      <c r="B388" s="11">
        <v>1384</v>
      </c>
      <c r="C388" s="11">
        <v>1384</v>
      </c>
      <c r="E388" s="11">
        <v>2406</v>
      </c>
      <c r="F388" s="11">
        <v>2406</v>
      </c>
      <c r="H388" s="11">
        <v>6192</v>
      </c>
      <c r="I388" s="11">
        <v>6192</v>
      </c>
    </row>
    <row r="389" customHeight="1" spans="2:9">
      <c r="B389" s="11">
        <v>1385</v>
      </c>
      <c r="C389" s="11">
        <v>1385</v>
      </c>
      <c r="E389" s="11">
        <v>2407</v>
      </c>
      <c r="F389" s="11">
        <v>2407</v>
      </c>
      <c r="H389" s="11">
        <v>6193</v>
      </c>
      <c r="I389" s="11">
        <v>6193</v>
      </c>
    </row>
    <row r="390" customHeight="1" spans="2:9">
      <c r="B390" s="11">
        <v>1386</v>
      </c>
      <c r="C390" s="11">
        <v>1386</v>
      </c>
      <c r="E390" s="11">
        <v>2408</v>
      </c>
      <c r="F390" s="11">
        <v>2408</v>
      </c>
      <c r="H390" s="11">
        <v>6194</v>
      </c>
      <c r="I390" s="11">
        <v>6194</v>
      </c>
    </row>
    <row r="391" customHeight="1" spans="2:9">
      <c r="B391" s="11">
        <v>1387</v>
      </c>
      <c r="C391" s="11">
        <v>1387</v>
      </c>
      <c r="E391" s="11">
        <v>2409</v>
      </c>
      <c r="F391" s="11">
        <v>2409</v>
      </c>
      <c r="H391" s="11">
        <v>6195</v>
      </c>
      <c r="I391" s="11">
        <v>6195</v>
      </c>
    </row>
    <row r="392" customHeight="1" spans="2:9">
      <c r="B392" s="11">
        <v>1388</v>
      </c>
      <c r="C392" s="11">
        <v>1388</v>
      </c>
      <c r="E392" s="11">
        <v>2410</v>
      </c>
      <c r="F392" s="11">
        <v>2410</v>
      </c>
      <c r="H392" s="11">
        <v>6196</v>
      </c>
      <c r="I392" s="11">
        <v>6196</v>
      </c>
    </row>
    <row r="393" customHeight="1" spans="2:9">
      <c r="B393" s="11">
        <v>1389</v>
      </c>
      <c r="C393" s="11">
        <v>1389</v>
      </c>
      <c r="E393" s="11">
        <v>2411</v>
      </c>
      <c r="F393" s="11">
        <v>2411</v>
      </c>
      <c r="H393" s="11">
        <v>6197</v>
      </c>
      <c r="I393" s="11">
        <v>6197</v>
      </c>
    </row>
    <row r="394" customHeight="1" spans="2:9">
      <c r="B394" s="11">
        <v>1390</v>
      </c>
      <c r="C394" s="11">
        <v>1390</v>
      </c>
      <c r="E394" s="11">
        <v>2412</v>
      </c>
      <c r="F394" s="11">
        <v>2412</v>
      </c>
      <c r="H394" s="11">
        <v>6198</v>
      </c>
      <c r="I394" s="11">
        <v>6198</v>
      </c>
    </row>
    <row r="395" customHeight="1" spans="2:9">
      <c r="B395" s="11">
        <v>1391</v>
      </c>
      <c r="C395" s="11">
        <v>1391</v>
      </c>
      <c r="E395" s="11">
        <v>2413</v>
      </c>
      <c r="F395" s="11">
        <v>2413</v>
      </c>
      <c r="H395" s="11">
        <v>6199</v>
      </c>
      <c r="I395" s="11">
        <v>6199</v>
      </c>
    </row>
    <row r="396" customHeight="1" spans="2:9">
      <c r="B396" s="11">
        <v>1392</v>
      </c>
      <c r="C396" s="11">
        <v>1392</v>
      </c>
      <c r="E396" s="11">
        <v>2414</v>
      </c>
      <c r="F396" s="11">
        <v>2414</v>
      </c>
      <c r="H396" s="11">
        <v>6200</v>
      </c>
      <c r="I396" s="11">
        <v>6200</v>
      </c>
    </row>
    <row r="397" customHeight="1" spans="2:9">
      <c r="B397" s="11">
        <v>1393</v>
      </c>
      <c r="C397" s="11">
        <v>1393</v>
      </c>
      <c r="E397" s="11">
        <v>2415</v>
      </c>
      <c r="F397" s="11">
        <v>2415</v>
      </c>
      <c r="H397" s="11">
        <v>6201</v>
      </c>
      <c r="I397" s="11">
        <v>6201</v>
      </c>
    </row>
    <row r="398" customHeight="1" spans="2:9">
      <c r="B398" s="11">
        <v>1394</v>
      </c>
      <c r="C398" s="11">
        <v>1394</v>
      </c>
      <c r="E398" s="11">
        <v>2416</v>
      </c>
      <c r="F398" s="11">
        <v>2416</v>
      </c>
      <c r="H398" s="11">
        <v>6202</v>
      </c>
      <c r="I398" s="11">
        <v>6202</v>
      </c>
    </row>
    <row r="399" customHeight="1" spans="2:9">
      <c r="B399" s="11">
        <v>1395</v>
      </c>
      <c r="C399" s="11">
        <v>1395</v>
      </c>
      <c r="E399" s="11">
        <v>2417</v>
      </c>
      <c r="F399" s="11">
        <v>2417</v>
      </c>
      <c r="H399" s="11">
        <v>6203</v>
      </c>
      <c r="I399" s="11">
        <v>6203</v>
      </c>
    </row>
    <row r="400" customHeight="1" spans="2:9">
      <c r="B400" s="11">
        <v>1396</v>
      </c>
      <c r="C400" s="11">
        <v>1396</v>
      </c>
      <c r="E400" s="11">
        <v>2418</v>
      </c>
      <c r="F400" s="11">
        <v>2418</v>
      </c>
      <c r="H400" s="11">
        <v>6204</v>
      </c>
      <c r="I400" s="11">
        <v>6204</v>
      </c>
    </row>
    <row r="401" customHeight="1" spans="2:9">
      <c r="B401" s="11">
        <v>1397</v>
      </c>
      <c r="C401" s="11">
        <v>1397</v>
      </c>
      <c r="E401" s="11">
        <v>2419</v>
      </c>
      <c r="F401" s="11">
        <v>2419</v>
      </c>
      <c r="H401" s="11">
        <v>6205</v>
      </c>
      <c r="I401" s="11">
        <v>6205</v>
      </c>
    </row>
    <row r="402" customHeight="1" spans="2:9">
      <c r="B402" s="11">
        <v>1398</v>
      </c>
      <c r="C402" s="11">
        <v>1398</v>
      </c>
      <c r="E402" s="11">
        <v>2420</v>
      </c>
      <c r="F402" s="11">
        <v>2420</v>
      </c>
      <c r="H402" s="11">
        <v>6206</v>
      </c>
      <c r="I402" s="11">
        <v>6206</v>
      </c>
    </row>
    <row r="403" customHeight="1" spans="2:9">
      <c r="B403" s="11">
        <v>1399</v>
      </c>
      <c r="C403" s="11">
        <v>1399</v>
      </c>
      <c r="E403" s="11">
        <v>2421</v>
      </c>
      <c r="F403" s="11">
        <v>2421</v>
      </c>
      <c r="H403" s="11">
        <v>6210</v>
      </c>
      <c r="I403" s="11">
        <v>6210</v>
      </c>
    </row>
    <row r="404" customHeight="1" spans="2:9">
      <c r="B404" s="11">
        <v>1400</v>
      </c>
      <c r="C404" s="11">
        <v>1400</v>
      </c>
      <c r="E404" s="11">
        <v>2422</v>
      </c>
      <c r="F404" s="11">
        <v>2422</v>
      </c>
      <c r="H404" s="11">
        <v>4580</v>
      </c>
      <c r="I404" s="11">
        <v>4580</v>
      </c>
    </row>
    <row r="405" customHeight="1" spans="2:9">
      <c r="B405" s="11">
        <v>1401</v>
      </c>
      <c r="C405" s="11">
        <v>1401</v>
      </c>
      <c r="E405" s="11">
        <v>2423</v>
      </c>
      <c r="F405" s="11">
        <v>2423</v>
      </c>
      <c r="H405" s="11">
        <v>4581</v>
      </c>
      <c r="I405" s="11">
        <v>4581</v>
      </c>
    </row>
    <row r="406" customHeight="1" spans="2:9">
      <c r="B406" s="11">
        <v>1402</v>
      </c>
      <c r="C406" s="11">
        <v>1402</v>
      </c>
      <c r="E406" s="11">
        <v>2424</v>
      </c>
      <c r="F406" s="11">
        <v>2424</v>
      </c>
      <c r="H406" s="11">
        <v>4582</v>
      </c>
      <c r="I406" s="11">
        <v>4582</v>
      </c>
    </row>
    <row r="407" customHeight="1" spans="2:9">
      <c r="B407" s="11">
        <v>1403</v>
      </c>
      <c r="C407" s="11">
        <v>1403</v>
      </c>
      <c r="E407" s="11">
        <v>2425</v>
      </c>
      <c r="F407" s="11">
        <v>2425</v>
      </c>
      <c r="H407" s="11">
        <v>4583</v>
      </c>
      <c r="I407" s="11">
        <v>4583</v>
      </c>
    </row>
    <row r="408" customHeight="1" spans="2:9">
      <c r="B408" s="11">
        <v>1404</v>
      </c>
      <c r="C408" s="11">
        <v>1404</v>
      </c>
      <c r="E408" s="11">
        <v>2426</v>
      </c>
      <c r="F408" s="11">
        <v>2426</v>
      </c>
      <c r="H408" s="11">
        <v>4584</v>
      </c>
      <c r="I408" s="11">
        <v>4584</v>
      </c>
    </row>
    <row r="409" customHeight="1" spans="2:9">
      <c r="B409" s="11">
        <v>1405</v>
      </c>
      <c r="C409" s="11">
        <v>1405</v>
      </c>
      <c r="E409" s="11">
        <v>2427</v>
      </c>
      <c r="F409" s="11">
        <v>2427</v>
      </c>
      <c r="H409" s="11">
        <v>4585</v>
      </c>
      <c r="I409" s="11">
        <v>4585</v>
      </c>
    </row>
    <row r="410" customHeight="1" spans="2:9">
      <c r="B410" s="11">
        <v>1406</v>
      </c>
      <c r="C410" s="11">
        <v>1406</v>
      </c>
      <c r="E410" s="11">
        <v>2428</v>
      </c>
      <c r="F410" s="11">
        <v>2428</v>
      </c>
      <c r="H410" s="11">
        <v>4586</v>
      </c>
      <c r="I410" s="11">
        <v>4586</v>
      </c>
    </row>
    <row r="411" customHeight="1" spans="2:9">
      <c r="B411" s="11">
        <v>1407</v>
      </c>
      <c r="C411" s="11">
        <v>1407</v>
      </c>
      <c r="E411" s="11">
        <v>2429</v>
      </c>
      <c r="F411" s="11">
        <v>2429</v>
      </c>
      <c r="H411" s="11">
        <v>4587</v>
      </c>
      <c r="I411" s="11">
        <v>4587</v>
      </c>
    </row>
    <row r="412" customHeight="1" spans="2:9">
      <c r="B412" s="11">
        <v>1408</v>
      </c>
      <c r="C412" s="11">
        <v>1408</v>
      </c>
      <c r="E412" s="11">
        <v>2430</v>
      </c>
      <c r="F412" s="11">
        <v>2430</v>
      </c>
      <c r="H412" s="11">
        <v>4588</v>
      </c>
      <c r="I412" s="11">
        <v>4588</v>
      </c>
    </row>
    <row r="413" customHeight="1" spans="2:9">
      <c r="B413" s="11">
        <v>1409</v>
      </c>
      <c r="C413" s="11">
        <v>1409</v>
      </c>
      <c r="E413" s="11">
        <v>2431</v>
      </c>
      <c r="F413" s="11">
        <v>2431</v>
      </c>
      <c r="H413" s="11">
        <v>4589</v>
      </c>
      <c r="I413" s="11">
        <v>4589</v>
      </c>
    </row>
    <row r="414" customHeight="1" spans="2:9">
      <c r="B414" s="11">
        <v>1410</v>
      </c>
      <c r="C414" s="11">
        <v>1410</v>
      </c>
      <c r="E414" s="11">
        <v>2432</v>
      </c>
      <c r="F414" s="11">
        <v>2432</v>
      </c>
      <c r="H414" s="11">
        <v>4590</v>
      </c>
      <c r="I414" s="11">
        <v>4590</v>
      </c>
    </row>
    <row r="415" customHeight="1" spans="2:9">
      <c r="B415" s="11">
        <v>1411</v>
      </c>
      <c r="C415" s="11">
        <v>1411</v>
      </c>
      <c r="E415" s="11">
        <v>2433</v>
      </c>
      <c r="F415" s="11">
        <v>2433</v>
      </c>
      <c r="H415" s="11">
        <v>4591</v>
      </c>
      <c r="I415" s="11">
        <v>4591</v>
      </c>
    </row>
    <row r="416" customHeight="1" spans="2:9">
      <c r="B416" s="11">
        <v>1412</v>
      </c>
      <c r="C416" s="11">
        <v>1412</v>
      </c>
      <c r="E416" s="11">
        <v>2434</v>
      </c>
      <c r="F416" s="11">
        <v>2434</v>
      </c>
      <c r="H416" s="11">
        <v>4592</v>
      </c>
      <c r="I416" s="11">
        <v>4592</v>
      </c>
    </row>
    <row r="417" customHeight="1" spans="2:9">
      <c r="B417" s="11">
        <v>1413</v>
      </c>
      <c r="C417" s="11">
        <v>1413</v>
      </c>
      <c r="E417" s="11">
        <v>2435</v>
      </c>
      <c r="F417" s="11">
        <v>2435</v>
      </c>
      <c r="H417" s="11">
        <v>4593</v>
      </c>
      <c r="I417" s="11">
        <v>4593</v>
      </c>
    </row>
    <row r="418" customHeight="1" spans="2:9">
      <c r="B418" s="11">
        <v>1414</v>
      </c>
      <c r="C418" s="11">
        <v>1414</v>
      </c>
      <c r="E418" s="11">
        <v>2436</v>
      </c>
      <c r="F418" s="11">
        <v>2436</v>
      </c>
      <c r="H418" s="11">
        <v>4594</v>
      </c>
      <c r="I418" s="11">
        <v>4594</v>
      </c>
    </row>
    <row r="419" customHeight="1" spans="2:9">
      <c r="B419" s="11">
        <v>1415</v>
      </c>
      <c r="C419" s="11">
        <v>1415</v>
      </c>
      <c r="E419" s="11">
        <v>2437</v>
      </c>
      <c r="F419" s="11">
        <v>2437</v>
      </c>
      <c r="H419" s="11">
        <v>4595</v>
      </c>
      <c r="I419" s="11">
        <v>4595</v>
      </c>
    </row>
    <row r="420" customHeight="1" spans="2:9">
      <c r="B420" s="11">
        <v>1416</v>
      </c>
      <c r="C420" s="11">
        <v>1416</v>
      </c>
      <c r="E420" s="11">
        <v>2438</v>
      </c>
      <c r="F420" s="11">
        <v>2438</v>
      </c>
      <c r="H420" s="11">
        <v>4596</v>
      </c>
      <c r="I420" s="11">
        <v>4596</v>
      </c>
    </row>
    <row r="421" customHeight="1" spans="2:9">
      <c r="B421" s="11">
        <v>1417</v>
      </c>
      <c r="C421" s="11">
        <v>1417</v>
      </c>
      <c r="E421" s="11">
        <v>2439</v>
      </c>
      <c r="F421" s="11">
        <v>2439</v>
      </c>
      <c r="H421" s="11">
        <v>4597</v>
      </c>
      <c r="I421" s="11">
        <v>4597</v>
      </c>
    </row>
    <row r="422" customHeight="1" spans="2:9">
      <c r="B422" s="11">
        <v>1418</v>
      </c>
      <c r="C422" s="11">
        <v>1418</v>
      </c>
      <c r="E422" s="11">
        <v>2440</v>
      </c>
      <c r="F422" s="11">
        <v>2440</v>
      </c>
      <c r="H422" s="11">
        <v>4598</v>
      </c>
      <c r="I422" s="11">
        <v>4598</v>
      </c>
    </row>
    <row r="423" customHeight="1" spans="2:9">
      <c r="B423" s="11">
        <v>1419</v>
      </c>
      <c r="C423" s="11">
        <v>1419</v>
      </c>
      <c r="E423" s="11">
        <v>2441</v>
      </c>
      <c r="F423" s="11">
        <v>2441</v>
      </c>
      <c r="H423" s="11">
        <v>4599</v>
      </c>
      <c r="I423" s="11">
        <v>4599</v>
      </c>
    </row>
    <row r="424" customHeight="1" spans="2:9">
      <c r="B424" s="11">
        <v>1420</v>
      </c>
      <c r="C424" s="11">
        <v>1420</v>
      </c>
      <c r="E424" s="11">
        <v>2442</v>
      </c>
      <c r="F424" s="11">
        <v>2442</v>
      </c>
      <c r="H424" s="11">
        <v>4600</v>
      </c>
      <c r="I424" s="11">
        <v>4600</v>
      </c>
    </row>
    <row r="425" customHeight="1" spans="2:9">
      <c r="B425" s="11">
        <v>1421</v>
      </c>
      <c r="C425" s="11">
        <v>1421</v>
      </c>
      <c r="E425" s="11">
        <v>2443</v>
      </c>
      <c r="F425" s="11">
        <v>2443</v>
      </c>
      <c r="H425" s="11">
        <v>4601</v>
      </c>
      <c r="I425" s="11">
        <v>4601</v>
      </c>
    </row>
    <row r="426" customHeight="1" spans="2:9">
      <c r="B426" s="11">
        <v>1422</v>
      </c>
      <c r="C426" s="11">
        <v>1422</v>
      </c>
      <c r="E426" s="11">
        <v>2444</v>
      </c>
      <c r="F426" s="11">
        <v>2444</v>
      </c>
      <c r="H426" s="11">
        <v>4602</v>
      </c>
      <c r="I426" s="11">
        <v>4602</v>
      </c>
    </row>
    <row r="427" customHeight="1" spans="2:9">
      <c r="B427" s="11">
        <v>1423</v>
      </c>
      <c r="C427" s="11">
        <v>1423</v>
      </c>
      <c r="E427" s="11">
        <v>2445</v>
      </c>
      <c r="F427" s="11">
        <v>2445</v>
      </c>
      <c r="H427" s="11">
        <v>4603</v>
      </c>
      <c r="I427" s="11">
        <v>4603</v>
      </c>
    </row>
    <row r="428" customHeight="1" spans="2:9">
      <c r="B428" s="11">
        <v>1424</v>
      </c>
      <c r="C428" s="11">
        <v>1424</v>
      </c>
      <c r="E428" s="11">
        <v>2446</v>
      </c>
      <c r="F428" s="11">
        <v>2446</v>
      </c>
      <c r="H428" s="11">
        <v>4604</v>
      </c>
      <c r="I428" s="11">
        <v>4604</v>
      </c>
    </row>
    <row r="429" customHeight="1" spans="2:9">
      <c r="B429" s="11">
        <v>1425</v>
      </c>
      <c r="C429" s="11">
        <v>1425</v>
      </c>
      <c r="E429" s="11">
        <v>2447</v>
      </c>
      <c r="F429" s="11">
        <v>2447</v>
      </c>
      <c r="H429" s="11">
        <v>4605</v>
      </c>
      <c r="I429" s="11">
        <v>4605</v>
      </c>
    </row>
    <row r="430" customHeight="1" spans="2:9">
      <c r="B430" s="11">
        <v>1426</v>
      </c>
      <c r="C430" s="11">
        <v>1426</v>
      </c>
      <c r="E430" s="11">
        <v>2448</v>
      </c>
      <c r="F430" s="11">
        <v>2448</v>
      </c>
      <c r="H430" s="11">
        <v>4606</v>
      </c>
      <c r="I430" s="11">
        <v>4606</v>
      </c>
    </row>
    <row r="431" customHeight="1" spans="2:9">
      <c r="B431" s="11">
        <v>1427</v>
      </c>
      <c r="C431" s="11">
        <v>1427</v>
      </c>
      <c r="E431" s="11">
        <v>2449</v>
      </c>
      <c r="F431" s="11">
        <v>2449</v>
      </c>
      <c r="H431" s="11">
        <v>4607</v>
      </c>
      <c r="I431" s="11">
        <v>4607</v>
      </c>
    </row>
    <row r="432" customHeight="1" spans="2:9">
      <c r="B432" s="11">
        <v>1428</v>
      </c>
      <c r="C432" s="11">
        <v>1428</v>
      </c>
      <c r="E432" s="11">
        <v>2450</v>
      </c>
      <c r="F432" s="11">
        <v>2450</v>
      </c>
      <c r="H432" s="11">
        <v>4608</v>
      </c>
      <c r="I432" s="11">
        <v>4608</v>
      </c>
    </row>
    <row r="433" customHeight="1" spans="2:9">
      <c r="B433" s="11">
        <v>1429</v>
      </c>
      <c r="C433" s="11">
        <v>1429</v>
      </c>
      <c r="E433" s="11">
        <v>2451</v>
      </c>
      <c r="F433" s="11">
        <v>2451</v>
      </c>
      <c r="H433" s="11">
        <v>4609</v>
      </c>
      <c r="I433" s="11">
        <v>4609</v>
      </c>
    </row>
    <row r="434" customHeight="1" spans="2:9">
      <c r="B434" s="11">
        <v>1430</v>
      </c>
      <c r="C434" s="11">
        <v>1430</v>
      </c>
      <c r="E434" s="11">
        <v>2452</v>
      </c>
      <c r="F434" s="11">
        <v>2452</v>
      </c>
      <c r="H434" s="11">
        <v>4610</v>
      </c>
      <c r="I434" s="11">
        <v>4610</v>
      </c>
    </row>
    <row r="435" customHeight="1" spans="2:9">
      <c r="B435" s="11">
        <v>1431</v>
      </c>
      <c r="C435" s="11">
        <v>1431</v>
      </c>
      <c r="E435" s="11">
        <v>2453</v>
      </c>
      <c r="F435" s="11">
        <v>2453</v>
      </c>
      <c r="H435" s="11">
        <v>4611</v>
      </c>
      <c r="I435" s="11">
        <v>4611</v>
      </c>
    </row>
    <row r="436" customHeight="1" spans="2:9">
      <c r="B436" s="11">
        <v>1432</v>
      </c>
      <c r="C436" s="11">
        <v>1432</v>
      </c>
      <c r="E436" s="11">
        <v>2454</v>
      </c>
      <c r="F436" s="11">
        <v>2454</v>
      </c>
      <c r="H436" s="11">
        <v>4612</v>
      </c>
      <c r="I436" s="11">
        <v>4612</v>
      </c>
    </row>
    <row r="437" customHeight="1" spans="2:9">
      <c r="B437" s="11">
        <v>1433</v>
      </c>
      <c r="C437" s="11">
        <v>1433</v>
      </c>
      <c r="E437" s="11">
        <v>2455</v>
      </c>
      <c r="F437" s="11">
        <v>2455</v>
      </c>
      <c r="H437" s="11">
        <v>4613</v>
      </c>
      <c r="I437" s="11">
        <v>4613</v>
      </c>
    </row>
    <row r="438" customHeight="1" spans="2:9">
      <c r="B438" s="11">
        <v>1434</v>
      </c>
      <c r="C438" s="11">
        <v>1434</v>
      </c>
      <c r="E438" s="11">
        <v>2456</v>
      </c>
      <c r="F438" s="11">
        <v>2456</v>
      </c>
      <c r="H438" s="11">
        <v>4614</v>
      </c>
      <c r="I438" s="11">
        <v>4614</v>
      </c>
    </row>
    <row r="439" customHeight="1" spans="2:9">
      <c r="B439" s="11">
        <v>1435</v>
      </c>
      <c r="C439" s="11">
        <v>1435</v>
      </c>
      <c r="E439" s="11">
        <v>2457</v>
      </c>
      <c r="F439" s="11">
        <v>2457</v>
      </c>
      <c r="H439" s="11">
        <v>4615</v>
      </c>
      <c r="I439" s="11">
        <v>4615</v>
      </c>
    </row>
    <row r="440" customHeight="1" spans="2:9">
      <c r="B440" s="11">
        <v>1436</v>
      </c>
      <c r="C440" s="11">
        <v>1436</v>
      </c>
      <c r="E440" s="11">
        <v>2458</v>
      </c>
      <c r="F440" s="11">
        <v>2458</v>
      </c>
      <c r="H440" s="11">
        <v>4616</v>
      </c>
      <c r="I440" s="11">
        <v>4616</v>
      </c>
    </row>
    <row r="441" customHeight="1" spans="2:9">
      <c r="B441" s="11">
        <v>1437</v>
      </c>
      <c r="C441" s="11">
        <v>1437</v>
      </c>
      <c r="E441" s="11">
        <v>2459</v>
      </c>
      <c r="F441" s="11">
        <v>2459</v>
      </c>
      <c r="H441" s="11">
        <v>4617</v>
      </c>
      <c r="I441" s="11">
        <v>4617</v>
      </c>
    </row>
    <row r="442" customHeight="1" spans="2:9">
      <c r="B442" s="11">
        <v>1438</v>
      </c>
      <c r="C442" s="11">
        <v>1438</v>
      </c>
      <c r="E442" s="11">
        <v>2460</v>
      </c>
      <c r="F442" s="11">
        <v>2460</v>
      </c>
      <c r="H442" s="11">
        <v>4618</v>
      </c>
      <c r="I442" s="11">
        <v>4618</v>
      </c>
    </row>
    <row r="443" customHeight="1" spans="2:9">
      <c r="B443" s="11">
        <v>1439</v>
      </c>
      <c r="C443" s="11">
        <v>1439</v>
      </c>
      <c r="E443" s="11">
        <v>2461</v>
      </c>
      <c r="F443" s="11">
        <v>2461</v>
      </c>
      <c r="H443" s="11">
        <v>4619</v>
      </c>
      <c r="I443" s="11">
        <v>4619</v>
      </c>
    </row>
    <row r="444" customHeight="1" spans="2:9">
      <c r="B444" s="11">
        <v>1440</v>
      </c>
      <c r="C444" s="11">
        <v>1440</v>
      </c>
      <c r="E444" s="11">
        <v>2462</v>
      </c>
      <c r="F444" s="11">
        <v>2462</v>
      </c>
      <c r="H444" s="11">
        <v>4620</v>
      </c>
      <c r="I444" s="11">
        <v>4620</v>
      </c>
    </row>
    <row r="445" customHeight="1" spans="2:9">
      <c r="B445" s="11">
        <v>1441</v>
      </c>
      <c r="C445" s="11">
        <v>1441</v>
      </c>
      <c r="E445" s="11">
        <v>2463</v>
      </c>
      <c r="F445" s="11">
        <v>2463</v>
      </c>
      <c r="H445" s="11">
        <v>4621</v>
      </c>
      <c r="I445" s="11">
        <v>4621</v>
      </c>
    </row>
    <row r="446" customHeight="1" spans="2:9">
      <c r="B446" s="11">
        <v>1442</v>
      </c>
      <c r="C446" s="11">
        <v>1442</v>
      </c>
      <c r="E446" s="11">
        <v>2464</v>
      </c>
      <c r="F446" s="11">
        <v>2464</v>
      </c>
      <c r="H446" s="11">
        <v>4622</v>
      </c>
      <c r="I446" s="11">
        <v>4622</v>
      </c>
    </row>
    <row r="447" customHeight="1" spans="2:9">
      <c r="B447" s="11">
        <v>1443</v>
      </c>
      <c r="C447" s="11">
        <v>1443</v>
      </c>
      <c r="E447" s="11">
        <v>2465</v>
      </c>
      <c r="F447" s="11">
        <v>2465</v>
      </c>
      <c r="H447" s="11">
        <v>4623</v>
      </c>
      <c r="I447" s="11">
        <v>4623</v>
      </c>
    </row>
    <row r="448" customHeight="1" spans="2:9">
      <c r="B448" s="11">
        <v>1444</v>
      </c>
      <c r="C448" s="11">
        <v>1444</v>
      </c>
      <c r="E448" s="11">
        <v>2466</v>
      </c>
      <c r="F448" s="11">
        <v>2466</v>
      </c>
      <c r="H448" s="11">
        <v>4624</v>
      </c>
      <c r="I448" s="11">
        <v>4624</v>
      </c>
    </row>
    <row r="449" customHeight="1" spans="2:9">
      <c r="B449" s="11">
        <v>1445</v>
      </c>
      <c r="C449" s="11">
        <v>1445</v>
      </c>
      <c r="E449" s="11">
        <v>2467</v>
      </c>
      <c r="F449" s="11">
        <v>2467</v>
      </c>
      <c r="H449" s="11">
        <v>4625</v>
      </c>
      <c r="I449" s="11">
        <v>4625</v>
      </c>
    </row>
    <row r="450" customHeight="1" spans="2:9">
      <c r="B450" s="11">
        <v>1446</v>
      </c>
      <c r="C450" s="11">
        <v>1446</v>
      </c>
      <c r="E450" s="11">
        <v>2468</v>
      </c>
      <c r="F450" s="11">
        <v>2468</v>
      </c>
      <c r="H450" s="11">
        <v>4626</v>
      </c>
      <c r="I450" s="11">
        <v>4626</v>
      </c>
    </row>
    <row r="451" customHeight="1" spans="2:9">
      <c r="B451" s="11">
        <v>1447</v>
      </c>
      <c r="C451" s="11">
        <v>1447</v>
      </c>
      <c r="E451" s="11">
        <v>2469</v>
      </c>
      <c r="F451" s="11">
        <v>2469</v>
      </c>
      <c r="H451" s="11">
        <v>4627</v>
      </c>
      <c r="I451" s="11">
        <v>4627</v>
      </c>
    </row>
    <row r="452" customHeight="1" spans="2:9">
      <c r="B452" s="11">
        <v>1448</v>
      </c>
      <c r="C452" s="11">
        <v>1448</v>
      </c>
      <c r="E452" s="11">
        <v>2470</v>
      </c>
      <c r="F452" s="11">
        <v>2470</v>
      </c>
      <c r="H452" s="11">
        <v>4628</v>
      </c>
      <c r="I452" s="11">
        <v>4628</v>
      </c>
    </row>
    <row r="453" customHeight="1" spans="2:9">
      <c r="B453" s="11">
        <v>1449</v>
      </c>
      <c r="C453" s="11">
        <v>1449</v>
      </c>
      <c r="E453" s="11">
        <v>2471</v>
      </c>
      <c r="F453" s="11">
        <v>2471</v>
      </c>
      <c r="H453" s="11">
        <v>4629</v>
      </c>
      <c r="I453" s="11">
        <v>4629</v>
      </c>
    </row>
    <row r="454" customHeight="1" spans="2:9">
      <c r="B454" s="11">
        <v>1450</v>
      </c>
      <c r="C454" s="11">
        <v>1450</v>
      </c>
      <c r="E454" s="11">
        <v>2472</v>
      </c>
      <c r="F454" s="11">
        <v>2472</v>
      </c>
      <c r="H454" s="11">
        <v>4630</v>
      </c>
      <c r="I454" s="11">
        <v>4630</v>
      </c>
    </row>
    <row r="455" customHeight="1" spans="2:9">
      <c r="B455" s="11">
        <v>1451</v>
      </c>
      <c r="C455" s="11">
        <v>1451</v>
      </c>
      <c r="E455" s="11">
        <v>2473</v>
      </c>
      <c r="F455" s="11">
        <v>2473</v>
      </c>
      <c r="H455" s="11">
        <v>4631</v>
      </c>
      <c r="I455" s="11">
        <v>4631</v>
      </c>
    </row>
    <row r="456" customHeight="1" spans="2:9">
      <c r="B456" s="11">
        <v>1452</v>
      </c>
      <c r="C456" s="11">
        <v>1452</v>
      </c>
      <c r="E456" s="11">
        <v>2474</v>
      </c>
      <c r="F456" s="11">
        <v>2474</v>
      </c>
      <c r="H456" s="11">
        <v>4632</v>
      </c>
      <c r="I456" s="11">
        <v>4632</v>
      </c>
    </row>
    <row r="457" customHeight="1" spans="2:9">
      <c r="B457" s="11">
        <v>1453</v>
      </c>
      <c r="C457" s="11">
        <v>1453</v>
      </c>
      <c r="E457" s="11">
        <v>2475</v>
      </c>
      <c r="F457" s="11">
        <v>2475</v>
      </c>
      <c r="H457" s="11">
        <v>4633</v>
      </c>
      <c r="I457" s="11">
        <v>4633</v>
      </c>
    </row>
    <row r="458" customHeight="1" spans="2:9">
      <c r="B458" s="11">
        <v>1454</v>
      </c>
      <c r="C458" s="11">
        <v>1454</v>
      </c>
      <c r="E458" s="11">
        <v>2476</v>
      </c>
      <c r="F458" s="11">
        <v>2476</v>
      </c>
      <c r="H458" s="11">
        <v>4634</v>
      </c>
      <c r="I458" s="11">
        <v>4634</v>
      </c>
    </row>
    <row r="459" customHeight="1" spans="2:9">
      <c r="B459" s="11">
        <v>1455</v>
      </c>
      <c r="C459" s="11">
        <v>1455</v>
      </c>
      <c r="E459" s="11">
        <v>2477</v>
      </c>
      <c r="F459" s="11">
        <v>2477</v>
      </c>
      <c r="H459" s="11">
        <v>4635</v>
      </c>
      <c r="I459" s="11">
        <v>4635</v>
      </c>
    </row>
    <row r="460" customHeight="1" spans="2:9">
      <c r="B460" s="11">
        <v>1456</v>
      </c>
      <c r="C460" s="11">
        <v>1456</v>
      </c>
      <c r="E460" s="11">
        <v>2478</v>
      </c>
      <c r="F460" s="11">
        <v>2478</v>
      </c>
      <c r="H460" s="11">
        <v>4636</v>
      </c>
      <c r="I460" s="11">
        <v>4636</v>
      </c>
    </row>
    <row r="461" customHeight="1" spans="2:9">
      <c r="B461" s="11">
        <v>1457</v>
      </c>
      <c r="C461" s="11">
        <v>1457</v>
      </c>
      <c r="E461" s="11">
        <v>2479</v>
      </c>
      <c r="F461" s="11">
        <v>2479</v>
      </c>
      <c r="H461" s="11">
        <v>4637</v>
      </c>
      <c r="I461" s="11">
        <v>4637</v>
      </c>
    </row>
    <row r="462" customHeight="1" spans="2:9">
      <c r="B462" s="11">
        <v>1458</v>
      </c>
      <c r="C462" s="11">
        <v>1458</v>
      </c>
      <c r="E462" s="11">
        <v>2480</v>
      </c>
      <c r="F462" s="11">
        <v>2480</v>
      </c>
      <c r="H462" s="11">
        <v>4638</v>
      </c>
      <c r="I462" s="11">
        <v>4638</v>
      </c>
    </row>
    <row r="463" customHeight="1" spans="2:9">
      <c r="B463" s="11">
        <v>1459</v>
      </c>
      <c r="C463" s="11">
        <v>1459</v>
      </c>
      <c r="E463" s="11">
        <v>2481</v>
      </c>
      <c r="F463" s="11">
        <v>2481</v>
      </c>
      <c r="H463" s="11">
        <v>4639</v>
      </c>
      <c r="I463" s="11">
        <v>4639</v>
      </c>
    </row>
    <row r="464" customHeight="1" spans="2:9">
      <c r="B464" s="11">
        <v>1460</v>
      </c>
      <c r="C464" s="11">
        <v>1460</v>
      </c>
      <c r="E464" s="11">
        <v>2482</v>
      </c>
      <c r="F464" s="11">
        <v>2482</v>
      </c>
      <c r="H464" s="11">
        <v>4640</v>
      </c>
      <c r="I464" s="11">
        <v>4640</v>
      </c>
    </row>
    <row r="465" customHeight="1" spans="2:9">
      <c r="B465" s="11">
        <v>1461</v>
      </c>
      <c r="C465" s="11">
        <v>1461</v>
      </c>
      <c r="E465" s="11">
        <v>2483</v>
      </c>
      <c r="F465" s="11">
        <v>2483</v>
      </c>
      <c r="H465" s="11">
        <v>4641</v>
      </c>
      <c r="I465" s="11">
        <v>4641</v>
      </c>
    </row>
    <row r="466" customHeight="1" spans="2:9">
      <c r="B466" s="11">
        <v>1462</v>
      </c>
      <c r="C466" s="11">
        <v>1462</v>
      </c>
      <c r="E466" s="11">
        <v>2484</v>
      </c>
      <c r="F466" s="11">
        <v>2484</v>
      </c>
      <c r="H466" s="11">
        <v>4642</v>
      </c>
      <c r="I466" s="11">
        <v>4642</v>
      </c>
    </row>
    <row r="467" customHeight="1" spans="2:9">
      <c r="B467" s="11">
        <v>1463</v>
      </c>
      <c r="C467" s="11">
        <v>1463</v>
      </c>
      <c r="E467" s="11">
        <v>2648</v>
      </c>
      <c r="F467" s="11">
        <v>2648</v>
      </c>
      <c r="H467" s="11">
        <v>4643</v>
      </c>
      <c r="I467" s="11">
        <v>4643</v>
      </c>
    </row>
    <row r="468" customHeight="1" spans="2:9">
      <c r="B468" s="11">
        <v>1464</v>
      </c>
      <c r="C468" s="11">
        <v>1464</v>
      </c>
      <c r="E468" s="11">
        <v>2715</v>
      </c>
      <c r="F468" s="11">
        <v>2715</v>
      </c>
      <c r="H468" s="11">
        <v>4644</v>
      </c>
      <c r="I468" s="11">
        <v>4644</v>
      </c>
    </row>
    <row r="469" customHeight="1" spans="2:9">
      <c r="B469" s="11">
        <v>1465</v>
      </c>
      <c r="C469" s="11">
        <v>1465</v>
      </c>
      <c r="E469" s="11">
        <v>2717</v>
      </c>
      <c r="F469" s="11">
        <v>2717</v>
      </c>
      <c r="H469" s="11">
        <v>4645</v>
      </c>
      <c r="I469" s="11">
        <v>4645</v>
      </c>
    </row>
    <row r="470" customHeight="1" spans="2:9">
      <c r="B470" s="11">
        <v>1466</v>
      </c>
      <c r="C470" s="11">
        <v>1466</v>
      </c>
      <c r="E470" s="11">
        <v>2718</v>
      </c>
      <c r="F470" s="11">
        <v>2718</v>
      </c>
      <c r="H470" s="11">
        <v>4646</v>
      </c>
      <c r="I470" s="11">
        <v>4646</v>
      </c>
    </row>
    <row r="471" customHeight="1" spans="2:9">
      <c r="B471" s="11">
        <v>1467</v>
      </c>
      <c r="C471" s="11">
        <v>1467</v>
      </c>
      <c r="E471" s="11">
        <v>2719</v>
      </c>
      <c r="F471" s="11">
        <v>2719</v>
      </c>
      <c r="H471" s="11">
        <v>4647</v>
      </c>
      <c r="I471" s="11">
        <v>4647</v>
      </c>
    </row>
    <row r="472" customHeight="1" spans="2:9">
      <c r="B472" s="11">
        <v>1468</v>
      </c>
      <c r="C472" s="11">
        <v>1468</v>
      </c>
      <c r="E472" s="11">
        <v>2731</v>
      </c>
      <c r="F472" s="11">
        <v>2731</v>
      </c>
      <c r="H472" s="11">
        <v>4648</v>
      </c>
      <c r="I472" s="11">
        <v>4648</v>
      </c>
    </row>
    <row r="473" customHeight="1" spans="2:9">
      <c r="B473" s="11">
        <v>1469</v>
      </c>
      <c r="C473" s="11">
        <v>1469</v>
      </c>
      <c r="E473" s="11">
        <v>2732</v>
      </c>
      <c r="F473" s="11">
        <v>2732</v>
      </c>
      <c r="H473" s="11">
        <v>4649</v>
      </c>
      <c r="I473" s="11">
        <v>4649</v>
      </c>
    </row>
    <row r="474" customHeight="1" spans="2:9">
      <c r="B474" s="11">
        <v>1470</v>
      </c>
      <c r="C474" s="11">
        <v>1470</v>
      </c>
      <c r="E474" s="11">
        <v>2733</v>
      </c>
      <c r="F474" s="11">
        <v>2733</v>
      </c>
      <c r="H474" s="11">
        <v>4650</v>
      </c>
      <c r="I474" s="11">
        <v>4650</v>
      </c>
    </row>
    <row r="475" customHeight="1" spans="2:9">
      <c r="B475" s="11">
        <v>1471</v>
      </c>
      <c r="C475" s="11">
        <v>1471</v>
      </c>
      <c r="E475" s="11">
        <v>2734</v>
      </c>
      <c r="F475" s="11">
        <v>2734</v>
      </c>
      <c r="H475" s="11">
        <v>4651</v>
      </c>
      <c r="I475" s="11">
        <v>4651</v>
      </c>
    </row>
    <row r="476" customHeight="1" spans="2:9">
      <c r="B476" s="11">
        <v>1472</v>
      </c>
      <c r="C476" s="11">
        <v>1472</v>
      </c>
      <c r="E476" s="11">
        <v>2735</v>
      </c>
      <c r="F476" s="11">
        <v>2735</v>
      </c>
      <c r="H476" s="11">
        <v>4652</v>
      </c>
      <c r="I476" s="11">
        <v>4652</v>
      </c>
    </row>
    <row r="477" customHeight="1" spans="2:9">
      <c r="B477" s="11">
        <v>1473</v>
      </c>
      <c r="C477" s="11">
        <v>1473</v>
      </c>
      <c r="E477" s="11">
        <v>2736</v>
      </c>
      <c r="F477" s="11">
        <v>2736</v>
      </c>
      <c r="H477" s="11">
        <v>4653</v>
      </c>
      <c r="I477" s="11">
        <v>4653</v>
      </c>
    </row>
    <row r="478" customHeight="1" spans="2:9">
      <c r="B478" s="11">
        <v>1474</v>
      </c>
      <c r="C478" s="11">
        <v>1474</v>
      </c>
      <c r="E478" s="11">
        <v>2737</v>
      </c>
      <c r="F478" s="11">
        <v>2737</v>
      </c>
      <c r="H478" s="11">
        <v>4654</v>
      </c>
      <c r="I478" s="11">
        <v>4654</v>
      </c>
    </row>
    <row r="479" customHeight="1" spans="2:9">
      <c r="B479" s="11">
        <v>1475</v>
      </c>
      <c r="C479" s="11">
        <v>1475</v>
      </c>
      <c r="E479" s="11">
        <v>2738</v>
      </c>
      <c r="F479" s="11">
        <v>2738</v>
      </c>
      <c r="H479" s="11">
        <v>4655</v>
      </c>
      <c r="I479" s="11">
        <v>4655</v>
      </c>
    </row>
    <row r="480" customHeight="1" spans="2:9">
      <c r="B480" s="11">
        <v>1476</v>
      </c>
      <c r="C480" s="11">
        <v>1476</v>
      </c>
      <c r="E480" s="11">
        <v>2739</v>
      </c>
      <c r="F480" s="11">
        <v>2739</v>
      </c>
      <c r="H480" s="11">
        <v>4656</v>
      </c>
      <c r="I480" s="11">
        <v>4656</v>
      </c>
    </row>
    <row r="481" customHeight="1" spans="2:9">
      <c r="B481" s="11">
        <v>1477</v>
      </c>
      <c r="C481" s="11">
        <v>1477</v>
      </c>
      <c r="E481" s="11">
        <v>3342</v>
      </c>
      <c r="F481" s="11">
        <v>3342</v>
      </c>
      <c r="H481" s="11">
        <v>4657</v>
      </c>
      <c r="I481" s="11">
        <v>4657</v>
      </c>
    </row>
    <row r="482" customHeight="1" spans="2:9">
      <c r="B482" s="11">
        <v>1478</v>
      </c>
      <c r="C482" s="11">
        <v>1478</v>
      </c>
      <c r="E482" s="11">
        <v>3343</v>
      </c>
      <c r="F482" s="11">
        <v>3343</v>
      </c>
      <c r="H482" s="11">
        <v>4658</v>
      </c>
      <c r="I482" s="11">
        <v>4658</v>
      </c>
    </row>
    <row r="483" customHeight="1" spans="2:9">
      <c r="B483" s="11">
        <v>1479</v>
      </c>
      <c r="C483" s="11">
        <v>1479</v>
      </c>
      <c r="E483" s="11">
        <v>3344</v>
      </c>
      <c r="F483" s="11">
        <v>3344</v>
      </c>
      <c r="H483" s="11">
        <v>4659</v>
      </c>
      <c r="I483" s="11">
        <v>4659</v>
      </c>
    </row>
    <row r="484" customHeight="1" spans="2:9">
      <c r="B484" s="11">
        <v>1480</v>
      </c>
      <c r="C484" s="11">
        <v>1480</v>
      </c>
      <c r="E484" s="11">
        <v>3345</v>
      </c>
      <c r="F484" s="11">
        <v>3345</v>
      </c>
      <c r="H484" s="11">
        <v>4660</v>
      </c>
      <c r="I484" s="11">
        <v>4660</v>
      </c>
    </row>
    <row r="485" customHeight="1" spans="2:9">
      <c r="B485" s="11">
        <v>1481</v>
      </c>
      <c r="C485" s="11">
        <v>1481</v>
      </c>
      <c r="E485" s="11">
        <v>3346</v>
      </c>
      <c r="F485" s="11">
        <v>3346</v>
      </c>
      <c r="H485" s="11">
        <v>4661</v>
      </c>
      <c r="I485" s="11">
        <v>4661</v>
      </c>
    </row>
    <row r="486" customHeight="1" spans="2:9">
      <c r="B486" s="11">
        <v>1482</v>
      </c>
      <c r="C486" s="11">
        <v>1482</v>
      </c>
      <c r="E486" s="11">
        <v>3347</v>
      </c>
      <c r="F486" s="11">
        <v>3347</v>
      </c>
      <c r="H486" s="11">
        <v>4662</v>
      </c>
      <c r="I486" s="11">
        <v>4662</v>
      </c>
    </row>
    <row r="487" customHeight="1" spans="2:9">
      <c r="B487" s="11">
        <v>1483</v>
      </c>
      <c r="C487" s="11">
        <v>1483</v>
      </c>
      <c r="E487" s="11">
        <v>3348</v>
      </c>
      <c r="F487" s="11">
        <v>3348</v>
      </c>
      <c r="H487" s="11">
        <v>4663</v>
      </c>
      <c r="I487" s="11">
        <v>4663</v>
      </c>
    </row>
    <row r="488" customHeight="1" spans="2:9">
      <c r="B488" s="11">
        <v>1484</v>
      </c>
      <c r="C488" s="11">
        <v>1484</v>
      </c>
      <c r="E488" s="11">
        <v>3349</v>
      </c>
      <c r="F488" s="11">
        <v>3349</v>
      </c>
      <c r="H488" s="11">
        <v>4664</v>
      </c>
      <c r="I488" s="11">
        <v>4664</v>
      </c>
    </row>
    <row r="489" customHeight="1" spans="2:9">
      <c r="B489" s="11">
        <v>1485</v>
      </c>
      <c r="C489" s="11">
        <v>1485</v>
      </c>
      <c r="E489" s="11">
        <v>3351</v>
      </c>
      <c r="F489" s="11">
        <v>3351</v>
      </c>
      <c r="H489" s="11">
        <v>4665</v>
      </c>
      <c r="I489" s="11">
        <v>4665</v>
      </c>
    </row>
    <row r="490" customHeight="1" spans="2:9">
      <c r="B490" s="11">
        <v>1486</v>
      </c>
      <c r="C490" s="11">
        <v>1486</v>
      </c>
      <c r="E490" s="11">
        <v>3352</v>
      </c>
      <c r="F490" s="11">
        <v>3352</v>
      </c>
      <c r="H490" s="11">
        <v>4666</v>
      </c>
      <c r="I490" s="11">
        <v>4666</v>
      </c>
    </row>
    <row r="491" customHeight="1" spans="2:9">
      <c r="B491" s="11">
        <v>1487</v>
      </c>
      <c r="C491" s="11">
        <v>1487</v>
      </c>
      <c r="E491" s="11">
        <v>3945</v>
      </c>
      <c r="F491" s="11">
        <v>3945</v>
      </c>
      <c r="H491" s="11">
        <v>4667</v>
      </c>
      <c r="I491" s="11">
        <v>4667</v>
      </c>
    </row>
    <row r="492" customHeight="1" spans="2:9">
      <c r="B492" s="11">
        <v>1488</v>
      </c>
      <c r="C492" s="11">
        <v>1488</v>
      </c>
      <c r="E492" s="11">
        <v>3946</v>
      </c>
      <c r="F492" s="11">
        <v>3946</v>
      </c>
      <c r="H492" s="11">
        <v>4668</v>
      </c>
      <c r="I492" s="11">
        <v>4668</v>
      </c>
    </row>
    <row r="493" customHeight="1" spans="2:9">
      <c r="B493" s="11">
        <v>1489</v>
      </c>
      <c r="C493" s="11">
        <v>1489</v>
      </c>
      <c r="E493" s="11">
        <v>3947</v>
      </c>
      <c r="F493" s="11">
        <v>3947</v>
      </c>
      <c r="H493" s="11">
        <v>4669</v>
      </c>
      <c r="I493" s="11">
        <v>4669</v>
      </c>
    </row>
    <row r="494" customHeight="1" spans="2:9">
      <c r="B494" s="11">
        <v>1490</v>
      </c>
      <c r="C494" s="11">
        <v>1490</v>
      </c>
      <c r="E494" s="11">
        <v>3948</v>
      </c>
      <c r="F494" s="11">
        <v>3948</v>
      </c>
      <c r="H494" s="11">
        <v>4670</v>
      </c>
      <c r="I494" s="11">
        <v>4670</v>
      </c>
    </row>
    <row r="495" customHeight="1" spans="2:9">
      <c r="B495" s="11">
        <v>1491</v>
      </c>
      <c r="C495" s="11">
        <v>1491</v>
      </c>
      <c r="E495" s="11">
        <v>3949</v>
      </c>
      <c r="F495" s="11">
        <v>3949</v>
      </c>
      <c r="H495" s="11">
        <v>4671</v>
      </c>
      <c r="I495" s="11">
        <v>4671</v>
      </c>
    </row>
    <row r="496" customHeight="1" spans="2:9">
      <c r="B496" s="11">
        <v>1492</v>
      </c>
      <c r="C496" s="11">
        <v>1492</v>
      </c>
      <c r="E496" s="11">
        <v>3950</v>
      </c>
      <c r="F496" s="11">
        <v>3950</v>
      </c>
      <c r="H496" s="11">
        <v>4672</v>
      </c>
      <c r="I496" s="11">
        <v>4672</v>
      </c>
    </row>
    <row r="497" customHeight="1" spans="2:9">
      <c r="B497" s="11">
        <v>1493</v>
      </c>
      <c r="C497" s="11">
        <v>1493</v>
      </c>
      <c r="E497" s="11">
        <v>3951</v>
      </c>
      <c r="F497" s="11">
        <v>3951</v>
      </c>
      <c r="H497" s="11">
        <v>4673</v>
      </c>
      <c r="I497" s="11">
        <v>4673</v>
      </c>
    </row>
    <row r="498" customHeight="1" spans="2:9">
      <c r="B498" s="11">
        <v>1494</v>
      </c>
      <c r="C498" s="11">
        <v>1494</v>
      </c>
      <c r="E498" s="11">
        <v>3952</v>
      </c>
      <c r="F498" s="11">
        <v>3952</v>
      </c>
      <c r="H498" s="11">
        <v>4674</v>
      </c>
      <c r="I498" s="11">
        <v>4674</v>
      </c>
    </row>
    <row r="499" customHeight="1" spans="2:9">
      <c r="B499" s="11">
        <v>1495</v>
      </c>
      <c r="C499" s="11">
        <v>1495</v>
      </c>
      <c r="E499" s="11">
        <v>3953</v>
      </c>
      <c r="F499" s="11">
        <v>3953</v>
      </c>
      <c r="H499" s="11">
        <v>4675</v>
      </c>
      <c r="I499" s="11">
        <v>4675</v>
      </c>
    </row>
    <row r="500" customHeight="1" spans="2:9">
      <c r="B500" s="11">
        <v>1496</v>
      </c>
      <c r="C500" s="11">
        <v>1496</v>
      </c>
      <c r="E500" s="11">
        <v>3954</v>
      </c>
      <c r="F500" s="11">
        <v>3954</v>
      </c>
      <c r="H500" s="11">
        <v>4676</v>
      </c>
      <c r="I500" s="11">
        <v>4676</v>
      </c>
    </row>
    <row r="501" customHeight="1" spans="2:9">
      <c r="B501" s="11">
        <v>1497</v>
      </c>
      <c r="C501" s="11">
        <v>1497</v>
      </c>
      <c r="E501" s="11">
        <v>3955</v>
      </c>
      <c r="F501" s="11">
        <v>3955</v>
      </c>
      <c r="H501" s="11">
        <v>4677</v>
      </c>
      <c r="I501" s="11">
        <v>4677</v>
      </c>
    </row>
    <row r="502" customHeight="1" spans="2:9">
      <c r="B502" s="11">
        <v>1498</v>
      </c>
      <c r="C502" s="11">
        <v>1498</v>
      </c>
      <c r="E502" s="11">
        <v>3956</v>
      </c>
      <c r="F502" s="11">
        <v>3956</v>
      </c>
      <c r="H502" s="11">
        <v>4678</v>
      </c>
      <c r="I502" s="11">
        <v>4678</v>
      </c>
    </row>
    <row r="503" customHeight="1" spans="2:9">
      <c r="B503" s="11">
        <v>1499</v>
      </c>
      <c r="C503" s="11">
        <v>1499</v>
      </c>
      <c r="E503" s="11">
        <v>3957</v>
      </c>
      <c r="F503" s="11">
        <v>3957</v>
      </c>
      <c r="H503" s="11">
        <v>4679</v>
      </c>
      <c r="I503" s="11">
        <v>4679</v>
      </c>
    </row>
    <row r="504" customHeight="1" spans="2:9">
      <c r="B504" s="11">
        <v>1500</v>
      </c>
      <c r="C504" s="11">
        <v>1500</v>
      </c>
      <c r="E504" s="11">
        <v>3958</v>
      </c>
      <c r="F504" s="11">
        <v>3958</v>
      </c>
      <c r="H504" s="11">
        <v>4680</v>
      </c>
      <c r="I504" s="11">
        <v>4680</v>
      </c>
    </row>
    <row r="505" customHeight="1" spans="2:9">
      <c r="B505" s="11">
        <v>1501</v>
      </c>
      <c r="C505" s="11">
        <v>1501</v>
      </c>
      <c r="E505" s="11">
        <v>3959</v>
      </c>
      <c r="F505" s="11">
        <v>3959</v>
      </c>
      <c r="H505" s="11">
        <v>4681</v>
      </c>
      <c r="I505" s="11">
        <v>4681</v>
      </c>
    </row>
    <row r="506" customHeight="1" spans="2:9">
      <c r="B506" s="11">
        <v>1502</v>
      </c>
      <c r="C506" s="11">
        <v>1502</v>
      </c>
      <c r="E506" s="11">
        <v>3960</v>
      </c>
      <c r="F506" s="11">
        <v>3960</v>
      </c>
      <c r="H506" s="11">
        <v>4682</v>
      </c>
      <c r="I506" s="11">
        <v>4682</v>
      </c>
    </row>
    <row r="507" customHeight="1" spans="2:9">
      <c r="B507" s="11">
        <v>1503</v>
      </c>
      <c r="C507" s="11">
        <v>1503</v>
      </c>
      <c r="E507" s="11">
        <v>3961</v>
      </c>
      <c r="F507" s="11">
        <v>3961</v>
      </c>
      <c r="H507" s="11">
        <v>4683</v>
      </c>
      <c r="I507" s="11">
        <v>4683</v>
      </c>
    </row>
    <row r="508" customHeight="1" spans="2:9">
      <c r="B508" s="11">
        <v>1504</v>
      </c>
      <c r="C508" s="11">
        <v>1504</v>
      </c>
      <c r="E508" s="11">
        <v>3962</v>
      </c>
      <c r="F508" s="11">
        <v>3962</v>
      </c>
      <c r="H508" s="11">
        <v>4684</v>
      </c>
      <c r="I508" s="11">
        <v>4684</v>
      </c>
    </row>
    <row r="509" customHeight="1" spans="2:9">
      <c r="B509" s="11">
        <v>1505</v>
      </c>
      <c r="C509" s="11">
        <v>1505</v>
      </c>
      <c r="E509" s="11">
        <v>3963</v>
      </c>
      <c r="F509" s="11">
        <v>3963</v>
      </c>
      <c r="H509" s="11">
        <v>4685</v>
      </c>
      <c r="I509" s="11">
        <v>4685</v>
      </c>
    </row>
    <row r="510" customHeight="1" spans="2:9">
      <c r="B510" s="11">
        <v>1506</v>
      </c>
      <c r="C510" s="11">
        <v>1506</v>
      </c>
      <c r="E510" s="11">
        <v>3964</v>
      </c>
      <c r="F510" s="11">
        <v>3964</v>
      </c>
      <c r="H510" s="11">
        <v>4686</v>
      </c>
      <c r="I510" s="11">
        <v>4686</v>
      </c>
    </row>
    <row r="511" customHeight="1" spans="2:9">
      <c r="B511" s="11">
        <v>1507</v>
      </c>
      <c r="C511" s="11">
        <v>1507</v>
      </c>
      <c r="E511" s="11">
        <v>3965</v>
      </c>
      <c r="F511" s="11">
        <v>3965</v>
      </c>
      <c r="H511" s="11">
        <v>4687</v>
      </c>
      <c r="I511" s="11">
        <v>4687</v>
      </c>
    </row>
    <row r="512" customHeight="1" spans="2:9">
      <c r="B512" s="11">
        <v>1508</v>
      </c>
      <c r="C512" s="11">
        <v>1508</v>
      </c>
      <c r="E512" s="11">
        <v>3966</v>
      </c>
      <c r="F512" s="11">
        <v>3966</v>
      </c>
      <c r="H512" s="11">
        <v>4688</v>
      </c>
      <c r="I512" s="11">
        <v>4688</v>
      </c>
    </row>
    <row r="513" customHeight="1" spans="2:9">
      <c r="B513" s="11">
        <v>1509</v>
      </c>
      <c r="C513" s="11">
        <v>1509</v>
      </c>
      <c r="E513" s="11">
        <v>3967</v>
      </c>
      <c r="F513" s="11">
        <v>3967</v>
      </c>
      <c r="H513" s="11">
        <v>4689</v>
      </c>
      <c r="I513" s="11">
        <v>4689</v>
      </c>
    </row>
    <row r="514" customHeight="1" spans="2:9">
      <c r="B514" s="11">
        <v>1510</v>
      </c>
      <c r="C514" s="11">
        <v>1510</v>
      </c>
      <c r="E514" s="11">
        <v>3968</v>
      </c>
      <c r="F514" s="11">
        <v>3968</v>
      </c>
      <c r="H514" s="11">
        <v>4690</v>
      </c>
      <c r="I514" s="11">
        <v>4690</v>
      </c>
    </row>
    <row r="515" customHeight="1" spans="2:9">
      <c r="B515" s="11">
        <v>1511</v>
      </c>
      <c r="C515" s="11">
        <v>1511</v>
      </c>
      <c r="E515" s="11">
        <v>3969</v>
      </c>
      <c r="F515" s="11">
        <v>3969</v>
      </c>
      <c r="H515" s="11">
        <v>4691</v>
      </c>
      <c r="I515" s="11">
        <v>4691</v>
      </c>
    </row>
    <row r="516" customHeight="1" spans="2:9">
      <c r="B516" s="11">
        <v>1512</v>
      </c>
      <c r="C516" s="11">
        <v>1512</v>
      </c>
      <c r="E516" s="11">
        <v>3970</v>
      </c>
      <c r="F516" s="11">
        <v>3970</v>
      </c>
      <c r="H516" s="11">
        <v>4692</v>
      </c>
      <c r="I516" s="11">
        <v>4692</v>
      </c>
    </row>
    <row r="517" customHeight="1" spans="2:9">
      <c r="B517" s="11">
        <v>1513</v>
      </c>
      <c r="C517" s="11">
        <v>1513</v>
      </c>
      <c r="E517" s="11">
        <v>3971</v>
      </c>
      <c r="F517" s="11">
        <v>3971</v>
      </c>
      <c r="H517" s="11">
        <v>4693</v>
      </c>
      <c r="I517" s="11">
        <v>4693</v>
      </c>
    </row>
    <row r="518" customHeight="1" spans="2:9">
      <c r="B518" s="11">
        <v>1514</v>
      </c>
      <c r="C518" s="11">
        <v>1514</v>
      </c>
      <c r="E518" s="11">
        <v>3972</v>
      </c>
      <c r="F518" s="11">
        <v>3972</v>
      </c>
      <c r="H518" s="11">
        <v>4454</v>
      </c>
      <c r="I518" s="11">
        <v>4454</v>
      </c>
    </row>
    <row r="519" customHeight="1" spans="2:9">
      <c r="B519" s="11">
        <v>1515</v>
      </c>
      <c r="C519" s="11">
        <v>1515</v>
      </c>
      <c r="E519" s="11">
        <v>3973</v>
      </c>
      <c r="F519" s="11">
        <v>3973</v>
      </c>
      <c r="H519" s="11">
        <v>4455</v>
      </c>
      <c r="I519" s="11">
        <v>4455</v>
      </c>
    </row>
    <row r="520" customHeight="1" spans="2:9">
      <c r="B520" s="11">
        <v>1516</v>
      </c>
      <c r="C520" s="11">
        <v>1516</v>
      </c>
      <c r="E520" s="11">
        <v>3974</v>
      </c>
      <c r="F520" s="11">
        <v>3974</v>
      </c>
      <c r="H520" s="11">
        <v>4456</v>
      </c>
      <c r="I520" s="11">
        <v>4456</v>
      </c>
    </row>
    <row r="521" customHeight="1" spans="2:9">
      <c r="B521" s="11">
        <v>1517</v>
      </c>
      <c r="C521" s="11">
        <v>1517</v>
      </c>
      <c r="E521" s="11">
        <v>3984</v>
      </c>
      <c r="F521" s="11">
        <v>3984</v>
      </c>
      <c r="H521" s="11">
        <v>4457</v>
      </c>
      <c r="I521" s="11">
        <v>4457</v>
      </c>
    </row>
    <row r="522" customHeight="1" spans="2:9">
      <c r="B522" s="11">
        <v>1518</v>
      </c>
      <c r="C522" s="11">
        <v>1518</v>
      </c>
      <c r="E522" s="11">
        <v>3985</v>
      </c>
      <c r="F522" s="11">
        <v>3985</v>
      </c>
      <c r="H522" s="11">
        <v>4458</v>
      </c>
      <c r="I522" s="11">
        <v>4458</v>
      </c>
    </row>
    <row r="523" customHeight="1" spans="2:9">
      <c r="B523" s="11">
        <v>1519</v>
      </c>
      <c r="C523" s="11">
        <v>1519</v>
      </c>
      <c r="E523" s="11">
        <v>3986</v>
      </c>
      <c r="F523" s="11">
        <v>3986</v>
      </c>
      <c r="H523" s="11">
        <v>4459</v>
      </c>
      <c r="I523" s="11">
        <v>4459</v>
      </c>
    </row>
    <row r="524" customHeight="1" spans="2:9">
      <c r="B524" s="11">
        <v>1520</v>
      </c>
      <c r="C524" s="11">
        <v>1520</v>
      </c>
      <c r="E524" s="11">
        <v>3987</v>
      </c>
      <c r="F524" s="11">
        <v>3987</v>
      </c>
      <c r="H524" s="11">
        <v>4460</v>
      </c>
      <c r="I524" s="11">
        <v>4460</v>
      </c>
    </row>
    <row r="525" customHeight="1" spans="2:9">
      <c r="B525" s="11">
        <v>1521</v>
      </c>
      <c r="C525" s="11">
        <v>1521</v>
      </c>
      <c r="E525" s="11">
        <v>3988</v>
      </c>
      <c r="F525" s="11">
        <v>3988</v>
      </c>
      <c r="H525" s="11">
        <v>4461</v>
      </c>
      <c r="I525" s="11">
        <v>4461</v>
      </c>
    </row>
    <row r="526" customHeight="1" spans="2:9">
      <c r="B526" s="11">
        <v>1522</v>
      </c>
      <c r="C526" s="11">
        <v>1522</v>
      </c>
      <c r="E526" s="11">
        <v>3989</v>
      </c>
      <c r="F526" s="11">
        <v>3989</v>
      </c>
      <c r="H526" s="11">
        <v>4462</v>
      </c>
      <c r="I526" s="11">
        <v>4462</v>
      </c>
    </row>
    <row r="527" customHeight="1" spans="2:9">
      <c r="B527" s="11">
        <v>1523</v>
      </c>
      <c r="C527" s="11">
        <v>1523</v>
      </c>
      <c r="E527" s="11">
        <v>3990</v>
      </c>
      <c r="F527" s="11">
        <v>3990</v>
      </c>
      <c r="H527" s="11">
        <v>4463</v>
      </c>
      <c r="I527" s="11">
        <v>4463</v>
      </c>
    </row>
    <row r="528" customHeight="1" spans="2:9">
      <c r="B528" s="11">
        <v>1524</v>
      </c>
      <c r="C528" s="11">
        <v>1524</v>
      </c>
      <c r="E528" s="11">
        <v>3991</v>
      </c>
      <c r="F528" s="11">
        <v>3991</v>
      </c>
      <c r="H528" s="11">
        <v>4464</v>
      </c>
      <c r="I528" s="11">
        <v>4464</v>
      </c>
    </row>
    <row r="529" customHeight="1" spans="2:9">
      <c r="B529" s="11">
        <v>1525</v>
      </c>
      <c r="C529" s="11">
        <v>1525</v>
      </c>
      <c r="E529" s="11">
        <v>3992</v>
      </c>
      <c r="F529" s="11">
        <v>3992</v>
      </c>
      <c r="H529" s="11">
        <v>4465</v>
      </c>
      <c r="I529" s="11">
        <v>4465</v>
      </c>
    </row>
    <row r="530" customHeight="1" spans="2:9">
      <c r="B530" s="11">
        <v>1526</v>
      </c>
      <c r="C530" s="11">
        <v>1526</v>
      </c>
      <c r="E530" s="11">
        <v>3993</v>
      </c>
      <c r="F530" s="11">
        <v>3993</v>
      </c>
      <c r="H530" s="11">
        <v>4466</v>
      </c>
      <c r="I530" s="11">
        <v>4466</v>
      </c>
    </row>
    <row r="531" customHeight="1" spans="2:9">
      <c r="B531" s="11">
        <v>1527</v>
      </c>
      <c r="C531" s="11">
        <v>1527</v>
      </c>
      <c r="E531" s="11">
        <v>3994</v>
      </c>
      <c r="F531" s="11">
        <v>3994</v>
      </c>
      <c r="H531" s="11">
        <v>4467</v>
      </c>
      <c r="I531" s="11">
        <v>4467</v>
      </c>
    </row>
    <row r="532" customHeight="1" spans="2:9">
      <c r="B532" s="11">
        <v>1528</v>
      </c>
      <c r="C532" s="11">
        <v>1528</v>
      </c>
      <c r="E532" s="11">
        <v>3995</v>
      </c>
      <c r="F532" s="11">
        <v>3995</v>
      </c>
      <c r="H532" s="11">
        <v>4468</v>
      </c>
      <c r="I532" s="11">
        <v>4468</v>
      </c>
    </row>
    <row r="533" customHeight="1" spans="2:9">
      <c r="B533" s="11">
        <v>1529</v>
      </c>
      <c r="C533" s="11">
        <v>1529</v>
      </c>
      <c r="E533" s="11">
        <v>3996</v>
      </c>
      <c r="F533" s="11">
        <v>3996</v>
      </c>
      <c r="H533" s="11">
        <v>4469</v>
      </c>
      <c r="I533" s="11">
        <v>4469</v>
      </c>
    </row>
    <row r="534" customHeight="1" spans="2:9">
      <c r="B534" s="11">
        <v>1530</v>
      </c>
      <c r="C534" s="11">
        <v>1530</v>
      </c>
      <c r="E534" s="11">
        <v>3997</v>
      </c>
      <c r="F534" s="11">
        <v>3997</v>
      </c>
      <c r="H534" s="11">
        <v>4470</v>
      </c>
      <c r="I534" s="11">
        <v>4470</v>
      </c>
    </row>
    <row r="535" customHeight="1" spans="2:9">
      <c r="B535" s="11">
        <v>1531</v>
      </c>
      <c r="C535" s="11">
        <v>1531</v>
      </c>
      <c r="E535" s="11">
        <v>3998</v>
      </c>
      <c r="F535" s="11">
        <v>3998</v>
      </c>
      <c r="H535" s="11">
        <v>4471</v>
      </c>
      <c r="I535" s="11">
        <v>4471</v>
      </c>
    </row>
    <row r="536" customHeight="1" spans="2:9">
      <c r="B536" s="11">
        <v>1532</v>
      </c>
      <c r="C536" s="11">
        <v>1532</v>
      </c>
      <c r="E536" s="11">
        <v>3999</v>
      </c>
      <c r="F536" s="11">
        <v>3999</v>
      </c>
      <c r="H536" s="11">
        <v>4472</v>
      </c>
      <c r="I536" s="11">
        <v>4472</v>
      </c>
    </row>
    <row r="537" customHeight="1" spans="2:9">
      <c r="B537" s="11">
        <v>1533</v>
      </c>
      <c r="C537" s="11">
        <v>1533</v>
      </c>
      <c r="E537" s="11">
        <v>3979</v>
      </c>
      <c r="F537" s="11">
        <v>3979</v>
      </c>
      <c r="H537" s="11">
        <v>4473</v>
      </c>
      <c r="I537" s="11">
        <v>4473</v>
      </c>
    </row>
    <row r="538" customHeight="1" spans="2:9">
      <c r="B538" s="11">
        <v>1534</v>
      </c>
      <c r="C538" s="11">
        <v>1534</v>
      </c>
      <c r="E538" s="11">
        <v>3921</v>
      </c>
      <c r="F538" s="11">
        <v>3921</v>
      </c>
      <c r="H538" s="11">
        <v>4474</v>
      </c>
      <c r="I538" s="11">
        <v>4474</v>
      </c>
    </row>
    <row r="539" customHeight="1" spans="2:9">
      <c r="B539" s="11">
        <v>1535</v>
      </c>
      <c r="C539" s="11">
        <v>1535</v>
      </c>
      <c r="E539" s="11">
        <v>3922</v>
      </c>
      <c r="F539" s="11">
        <v>3922</v>
      </c>
      <c r="H539" s="11">
        <v>4475</v>
      </c>
      <c r="I539" s="11">
        <v>4475</v>
      </c>
    </row>
    <row r="540" customHeight="1" spans="2:9">
      <c r="B540" s="11">
        <v>1536</v>
      </c>
      <c r="C540" s="11">
        <v>1536</v>
      </c>
      <c r="E540" s="11">
        <v>3923</v>
      </c>
      <c r="F540" s="11">
        <v>3923</v>
      </c>
      <c r="H540" s="11">
        <v>4476</v>
      </c>
      <c r="I540" s="11">
        <v>4476</v>
      </c>
    </row>
    <row r="541" customHeight="1" spans="2:9">
      <c r="B541" s="11">
        <v>1537</v>
      </c>
      <c r="C541" s="11">
        <v>1537</v>
      </c>
      <c r="E541" s="11">
        <v>3924</v>
      </c>
      <c r="F541" s="11">
        <v>3924</v>
      </c>
      <c r="H541" s="11">
        <v>4477</v>
      </c>
      <c r="I541" s="11">
        <v>4477</v>
      </c>
    </row>
    <row r="542" customHeight="1" spans="2:9">
      <c r="B542" s="11">
        <v>1538</v>
      </c>
      <c r="C542" s="11">
        <v>1538</v>
      </c>
      <c r="E542" s="11">
        <v>3925</v>
      </c>
      <c r="F542" s="11">
        <v>3925</v>
      </c>
      <c r="H542" s="11">
        <v>4478</v>
      </c>
      <c r="I542" s="11">
        <v>4478</v>
      </c>
    </row>
    <row r="543" customHeight="1" spans="2:9">
      <c r="B543" s="11">
        <v>1539</v>
      </c>
      <c r="C543" s="11">
        <v>1539</v>
      </c>
      <c r="E543" s="11">
        <v>4000</v>
      </c>
      <c r="F543" s="11">
        <v>4000</v>
      </c>
      <c r="H543" s="11">
        <v>4479</v>
      </c>
      <c r="I543" s="11">
        <v>4479</v>
      </c>
    </row>
    <row r="544" customHeight="1" spans="2:9">
      <c r="B544" s="11">
        <v>1540</v>
      </c>
      <c r="C544" s="11">
        <v>1540</v>
      </c>
      <c r="E544" s="11">
        <v>4001</v>
      </c>
      <c r="F544" s="11">
        <v>4001</v>
      </c>
      <c r="H544" s="11">
        <v>4480</v>
      </c>
      <c r="I544" s="11">
        <v>4480</v>
      </c>
    </row>
    <row r="545" customHeight="1" spans="2:9">
      <c r="B545" s="11">
        <v>1541</v>
      </c>
      <c r="C545" s="11">
        <v>1541</v>
      </c>
      <c r="E545" s="11">
        <v>4002</v>
      </c>
      <c r="F545" s="11">
        <v>4002</v>
      </c>
      <c r="H545" s="11">
        <v>4481</v>
      </c>
      <c r="I545" s="11">
        <v>4481</v>
      </c>
    </row>
    <row r="546" customHeight="1" spans="2:9">
      <c r="B546" s="11">
        <v>1542</v>
      </c>
      <c r="C546" s="11">
        <v>1542</v>
      </c>
      <c r="E546" s="11">
        <v>4003</v>
      </c>
      <c r="F546" s="11">
        <v>4003</v>
      </c>
      <c r="H546" s="11">
        <v>4482</v>
      </c>
      <c r="I546" s="11">
        <v>4482</v>
      </c>
    </row>
    <row r="547" customHeight="1" spans="2:9">
      <c r="B547" s="11">
        <v>1543</v>
      </c>
      <c r="C547" s="11">
        <v>1543</v>
      </c>
      <c r="E547" s="11">
        <v>4004</v>
      </c>
      <c r="F547" s="11">
        <v>4004</v>
      </c>
      <c r="H547" s="11">
        <v>4483</v>
      </c>
      <c r="I547" s="11">
        <v>4483</v>
      </c>
    </row>
    <row r="548" customHeight="1" spans="2:9">
      <c r="B548" s="11">
        <v>1544</v>
      </c>
      <c r="C548" s="11">
        <v>1544</v>
      </c>
      <c r="E548" s="11">
        <v>4005</v>
      </c>
      <c r="F548" s="11">
        <v>4005</v>
      </c>
      <c r="H548" s="11">
        <v>4484</v>
      </c>
      <c r="I548" s="11">
        <v>4484</v>
      </c>
    </row>
    <row r="549" customHeight="1" spans="2:9">
      <c r="B549" s="11">
        <v>1545</v>
      </c>
      <c r="C549" s="11">
        <v>1545</v>
      </c>
      <c r="E549" s="11">
        <v>4006</v>
      </c>
      <c r="F549" s="11">
        <v>4006</v>
      </c>
      <c r="H549" s="11">
        <v>4485</v>
      </c>
      <c r="I549" s="11">
        <v>4485</v>
      </c>
    </row>
    <row r="550" customHeight="1" spans="2:9">
      <c r="B550" s="11">
        <v>1546</v>
      </c>
      <c r="C550" s="11">
        <v>1546</v>
      </c>
      <c r="E550" s="11">
        <v>4007</v>
      </c>
      <c r="F550" s="11">
        <v>4007</v>
      </c>
      <c r="H550" s="11">
        <v>4486</v>
      </c>
      <c r="I550" s="11">
        <v>4486</v>
      </c>
    </row>
    <row r="551" customHeight="1" spans="2:9">
      <c r="B551" s="11">
        <v>1547</v>
      </c>
      <c r="C551" s="11">
        <v>1547</v>
      </c>
      <c r="E551" s="11">
        <v>4008</v>
      </c>
      <c r="F551" s="11">
        <v>4008</v>
      </c>
      <c r="H551" s="11">
        <v>4487</v>
      </c>
      <c r="I551" s="11">
        <v>4487</v>
      </c>
    </row>
    <row r="552" customHeight="1" spans="2:9">
      <c r="B552" s="11">
        <v>1548</v>
      </c>
      <c r="C552" s="11">
        <v>1548</v>
      </c>
      <c r="E552" s="11">
        <v>4009</v>
      </c>
      <c r="F552" s="11">
        <v>4009</v>
      </c>
      <c r="H552" s="11">
        <v>4488</v>
      </c>
      <c r="I552" s="11">
        <v>4488</v>
      </c>
    </row>
    <row r="553" customHeight="1" spans="2:9">
      <c r="B553" s="11">
        <v>1549</v>
      </c>
      <c r="C553" s="11">
        <v>1549</v>
      </c>
      <c r="E553" s="11">
        <v>4010</v>
      </c>
      <c r="F553" s="11">
        <v>4010</v>
      </c>
      <c r="H553" s="11">
        <v>4489</v>
      </c>
      <c r="I553" s="11">
        <v>4489</v>
      </c>
    </row>
    <row r="554" customHeight="1" spans="2:9">
      <c r="B554" s="11">
        <v>1550</v>
      </c>
      <c r="C554" s="11">
        <v>1550</v>
      </c>
      <c r="E554" s="11">
        <v>4011</v>
      </c>
      <c r="F554" s="11">
        <v>4011</v>
      </c>
      <c r="H554" s="11">
        <v>4490</v>
      </c>
      <c r="I554" s="11">
        <v>4490</v>
      </c>
    </row>
    <row r="555" customHeight="1" spans="2:9">
      <c r="B555" s="11">
        <v>1551</v>
      </c>
      <c r="C555" s="11">
        <v>1551</v>
      </c>
      <c r="E555" s="11">
        <v>4012</v>
      </c>
      <c r="F555" s="11">
        <v>4012</v>
      </c>
      <c r="H555" s="11">
        <v>4491</v>
      </c>
      <c r="I555" s="11">
        <v>4491</v>
      </c>
    </row>
    <row r="556" customHeight="1" spans="2:9">
      <c r="B556" s="11">
        <v>1552</v>
      </c>
      <c r="C556" s="11">
        <v>1552</v>
      </c>
      <c r="E556" s="11">
        <v>4013</v>
      </c>
      <c r="F556" s="11">
        <v>4013</v>
      </c>
      <c r="H556" s="11">
        <v>4492</v>
      </c>
      <c r="I556" s="11">
        <v>4492</v>
      </c>
    </row>
    <row r="557" customHeight="1" spans="2:9">
      <c r="B557" s="11">
        <v>1553</v>
      </c>
      <c r="C557" s="11">
        <v>1553</v>
      </c>
      <c r="E557" s="11">
        <v>4014</v>
      </c>
      <c r="F557" s="11">
        <v>4014</v>
      </c>
      <c r="H557" s="11">
        <v>4493</v>
      </c>
      <c r="I557" s="11">
        <v>4493</v>
      </c>
    </row>
    <row r="558" customHeight="1" spans="2:9">
      <c r="B558" s="11">
        <v>1554</v>
      </c>
      <c r="C558" s="11">
        <v>1554</v>
      </c>
      <c r="E558" s="11">
        <v>4015</v>
      </c>
      <c r="F558" s="11">
        <v>4015</v>
      </c>
      <c r="H558" s="11">
        <v>4494</v>
      </c>
      <c r="I558" s="11">
        <v>4494</v>
      </c>
    </row>
    <row r="559" customHeight="1" spans="2:9">
      <c r="B559" s="11">
        <v>1555</v>
      </c>
      <c r="C559" s="11">
        <v>1555</v>
      </c>
      <c r="E559" s="11">
        <v>4016</v>
      </c>
      <c r="F559" s="11">
        <v>4016</v>
      </c>
      <c r="H559" s="11">
        <v>4495</v>
      </c>
      <c r="I559" s="11">
        <v>4495</v>
      </c>
    </row>
    <row r="560" customHeight="1" spans="2:9">
      <c r="B560" s="11">
        <v>1556</v>
      </c>
      <c r="C560" s="11">
        <v>1556</v>
      </c>
      <c r="E560" s="11">
        <v>4017</v>
      </c>
      <c r="F560" s="11">
        <v>4017</v>
      </c>
      <c r="H560" s="11">
        <v>4496</v>
      </c>
      <c r="I560" s="11">
        <v>4496</v>
      </c>
    </row>
    <row r="561" customHeight="1" spans="2:9">
      <c r="B561" s="11">
        <v>1557</v>
      </c>
      <c r="C561" s="11">
        <v>1557</v>
      </c>
      <c r="E561" s="11">
        <v>4018</v>
      </c>
      <c r="F561" s="11">
        <v>4018</v>
      </c>
      <c r="H561" s="11">
        <v>4497</v>
      </c>
      <c r="I561" s="11">
        <v>4497</v>
      </c>
    </row>
    <row r="562" customHeight="1" spans="2:9">
      <c r="B562" s="11">
        <v>1558</v>
      </c>
      <c r="C562" s="11">
        <v>1558</v>
      </c>
      <c r="E562" s="11">
        <v>3221</v>
      </c>
      <c r="F562" s="11">
        <v>3221</v>
      </c>
      <c r="H562" s="11">
        <v>4498</v>
      </c>
      <c r="I562" s="11">
        <v>4498</v>
      </c>
    </row>
    <row r="563" customHeight="1" spans="2:9">
      <c r="B563" s="11">
        <v>1559</v>
      </c>
      <c r="C563" s="11">
        <v>1559</v>
      </c>
      <c r="E563" s="11">
        <v>3222</v>
      </c>
      <c r="F563" s="11">
        <v>3222</v>
      </c>
      <c r="H563" s="11">
        <v>4499</v>
      </c>
      <c r="I563" s="11">
        <v>4499</v>
      </c>
    </row>
    <row r="564" customHeight="1" spans="2:9">
      <c r="B564" s="11">
        <v>1560</v>
      </c>
      <c r="C564" s="11">
        <v>1560</v>
      </c>
      <c r="E564" s="11">
        <v>3223</v>
      </c>
      <c r="F564" s="11">
        <v>3223</v>
      </c>
      <c r="H564" s="11">
        <v>4804</v>
      </c>
      <c r="I564" s="11">
        <v>4804</v>
      </c>
    </row>
    <row r="565" customHeight="1" spans="2:9">
      <c r="B565" s="11">
        <v>1561</v>
      </c>
      <c r="C565" s="11">
        <v>1561</v>
      </c>
      <c r="E565" s="11">
        <v>3224</v>
      </c>
      <c r="F565" s="11">
        <v>3224</v>
      </c>
      <c r="H565" s="11">
        <v>4805</v>
      </c>
      <c r="I565" s="11">
        <v>4805</v>
      </c>
    </row>
    <row r="566" customHeight="1" spans="2:9">
      <c r="B566" s="11">
        <v>1562</v>
      </c>
      <c r="C566" s="11">
        <v>1562</v>
      </c>
      <c r="E566" s="11">
        <v>3225</v>
      </c>
      <c r="F566" s="11">
        <v>3225</v>
      </c>
      <c r="H566" s="11">
        <v>4803</v>
      </c>
      <c r="I566" s="11">
        <v>4803</v>
      </c>
    </row>
    <row r="567" customHeight="1" spans="2:9">
      <c r="B567" s="11">
        <v>1563</v>
      </c>
      <c r="C567" s="11">
        <v>1563</v>
      </c>
      <c r="E567" s="11">
        <v>3226</v>
      </c>
      <c r="F567" s="11">
        <v>3226</v>
      </c>
      <c r="H567" s="11">
        <v>2880</v>
      </c>
      <c r="I567" s="11">
        <v>2880</v>
      </c>
    </row>
    <row r="568" customHeight="1" spans="2:9">
      <c r="B568" s="11">
        <v>1564</v>
      </c>
      <c r="C568" s="11">
        <v>1564</v>
      </c>
      <c r="E568" s="11">
        <v>3227</v>
      </c>
      <c r="F568" s="11">
        <v>3227</v>
      </c>
      <c r="H568" s="11">
        <v>2881</v>
      </c>
      <c r="I568" s="11">
        <v>2881</v>
      </c>
    </row>
    <row r="569" customHeight="1" spans="2:9">
      <c r="B569" s="11">
        <v>1565</v>
      </c>
      <c r="C569" s="11">
        <v>1565</v>
      </c>
      <c r="E569" s="11">
        <v>3228</v>
      </c>
      <c r="F569" s="11">
        <v>3228</v>
      </c>
      <c r="H569" s="11">
        <v>2882</v>
      </c>
      <c r="I569" s="11">
        <v>2882</v>
      </c>
    </row>
    <row r="570" customHeight="1" spans="2:9">
      <c r="B570" s="11">
        <v>1566</v>
      </c>
      <c r="C570" s="11">
        <v>1566</v>
      </c>
      <c r="E570" s="11">
        <v>3229</v>
      </c>
      <c r="F570" s="11">
        <v>3229</v>
      </c>
      <c r="H570" s="11">
        <v>2883</v>
      </c>
      <c r="I570" s="11">
        <v>2883</v>
      </c>
    </row>
    <row r="571" customHeight="1" spans="2:9">
      <c r="B571" s="11">
        <v>1567</v>
      </c>
      <c r="C571" s="11">
        <v>1567</v>
      </c>
      <c r="E571" s="11">
        <v>3230</v>
      </c>
      <c r="F571" s="11">
        <v>3230</v>
      </c>
      <c r="H571" s="11">
        <v>2884</v>
      </c>
      <c r="I571" s="11">
        <v>2884</v>
      </c>
    </row>
    <row r="572" customHeight="1" spans="2:9">
      <c r="B572" s="11">
        <v>1568</v>
      </c>
      <c r="C572" s="11">
        <v>1568</v>
      </c>
      <c r="E572" s="11">
        <v>3231</v>
      </c>
      <c r="F572" s="11">
        <v>3231</v>
      </c>
      <c r="H572" s="11">
        <v>2885</v>
      </c>
      <c r="I572" s="11">
        <v>2885</v>
      </c>
    </row>
    <row r="573" customHeight="1" spans="2:9">
      <c r="B573" s="11">
        <v>1569</v>
      </c>
      <c r="C573" s="11">
        <v>1569</v>
      </c>
      <c r="E573" s="11">
        <v>3232</v>
      </c>
      <c r="F573" s="11">
        <v>3232</v>
      </c>
      <c r="H573" s="11">
        <v>2886</v>
      </c>
      <c r="I573" s="11">
        <v>2886</v>
      </c>
    </row>
    <row r="574" customHeight="1" spans="2:9">
      <c r="B574" s="11">
        <v>1570</v>
      </c>
      <c r="C574" s="11">
        <v>1570</v>
      </c>
      <c r="E574" s="11">
        <v>3233</v>
      </c>
      <c r="F574" s="11">
        <v>3233</v>
      </c>
      <c r="H574" s="11">
        <v>2887</v>
      </c>
      <c r="I574" s="11">
        <v>2887</v>
      </c>
    </row>
    <row r="575" customHeight="1" spans="2:9">
      <c r="B575" s="11">
        <v>1571</v>
      </c>
      <c r="C575" s="11">
        <v>1571</v>
      </c>
      <c r="E575" s="11">
        <v>3234</v>
      </c>
      <c r="F575" s="11">
        <v>3234</v>
      </c>
      <c r="H575" s="11">
        <v>2888</v>
      </c>
      <c r="I575" s="11">
        <v>2888</v>
      </c>
    </row>
    <row r="576" customHeight="1" spans="2:9">
      <c r="B576" s="11">
        <v>1572</v>
      </c>
      <c r="C576" s="11">
        <v>1572</v>
      </c>
      <c r="E576" s="11">
        <v>3235</v>
      </c>
      <c r="F576" s="11">
        <v>3235</v>
      </c>
      <c r="H576" s="11">
        <v>2889</v>
      </c>
      <c r="I576" s="11">
        <v>2889</v>
      </c>
    </row>
    <row r="577" customHeight="1" spans="2:9">
      <c r="B577" s="11">
        <v>1573</v>
      </c>
      <c r="C577" s="11">
        <v>1573</v>
      </c>
      <c r="E577" s="11">
        <v>3236</v>
      </c>
      <c r="F577" s="11">
        <v>3236</v>
      </c>
      <c r="H577" s="11">
        <v>6036</v>
      </c>
      <c r="I577" s="11">
        <v>6036</v>
      </c>
    </row>
    <row r="578" customHeight="1" spans="2:9">
      <c r="B578" s="11">
        <v>1574</v>
      </c>
      <c r="C578" s="11">
        <v>1574</v>
      </c>
      <c r="E578" s="11">
        <v>3237</v>
      </c>
      <c r="F578" s="11">
        <v>3237</v>
      </c>
      <c r="H578" s="11">
        <v>6069</v>
      </c>
      <c r="I578" s="11">
        <v>6069</v>
      </c>
    </row>
    <row r="579" customHeight="1" spans="2:9">
      <c r="B579" s="11">
        <v>1575</v>
      </c>
      <c r="C579" s="11">
        <v>1575</v>
      </c>
      <c r="E579" s="11">
        <v>3238</v>
      </c>
      <c r="F579" s="11">
        <v>3238</v>
      </c>
      <c r="H579" s="11">
        <v>6076</v>
      </c>
      <c r="I579" s="11">
        <v>6076</v>
      </c>
    </row>
    <row r="580" customHeight="1" spans="2:9">
      <c r="B580" s="11">
        <v>1576</v>
      </c>
      <c r="C580" s="11">
        <v>1576</v>
      </c>
      <c r="E580" s="11">
        <v>3239</v>
      </c>
      <c r="F580" s="11">
        <v>3239</v>
      </c>
      <c r="H580" s="11">
        <v>6992</v>
      </c>
      <c r="I580" s="11">
        <v>6992</v>
      </c>
    </row>
    <row r="581" customHeight="1" spans="2:9">
      <c r="B581" s="11">
        <v>1577</v>
      </c>
      <c r="C581" s="11">
        <v>1577</v>
      </c>
      <c r="E581" s="11">
        <v>3240</v>
      </c>
      <c r="F581" s="11">
        <v>3240</v>
      </c>
      <c r="H581" s="11">
        <v>6993</v>
      </c>
      <c r="I581" s="11">
        <v>6993</v>
      </c>
    </row>
    <row r="582" customHeight="1" spans="2:9">
      <c r="B582" s="11">
        <v>1578</v>
      </c>
      <c r="C582" s="11">
        <v>1578</v>
      </c>
      <c r="E582" s="11">
        <v>3241</v>
      </c>
      <c r="F582" s="11">
        <v>3241</v>
      </c>
      <c r="H582" s="11">
        <v>6994</v>
      </c>
      <c r="I582" s="11">
        <v>6994</v>
      </c>
    </row>
    <row r="583" customHeight="1" spans="2:9">
      <c r="B583" s="11">
        <v>1579</v>
      </c>
      <c r="C583" s="11">
        <v>1579</v>
      </c>
      <c r="E583" s="11">
        <v>3242</v>
      </c>
      <c r="F583" s="11">
        <v>3242</v>
      </c>
      <c r="H583" s="11">
        <v>6995</v>
      </c>
      <c r="I583" s="11">
        <v>6995</v>
      </c>
    </row>
    <row r="584" customHeight="1" spans="2:9">
      <c r="B584" s="11">
        <v>1580</v>
      </c>
      <c r="C584" s="11">
        <v>1580</v>
      </c>
      <c r="E584" s="11">
        <v>3243</v>
      </c>
      <c r="F584" s="11">
        <v>3243</v>
      </c>
      <c r="H584" s="11">
        <v>6996</v>
      </c>
      <c r="I584" s="11">
        <v>6996</v>
      </c>
    </row>
    <row r="585" customHeight="1" spans="2:9">
      <c r="B585" s="11">
        <v>1581</v>
      </c>
      <c r="C585" s="11">
        <v>1581</v>
      </c>
      <c r="E585" s="11">
        <v>3244</v>
      </c>
      <c r="F585" s="11">
        <v>3244</v>
      </c>
      <c r="H585" s="11">
        <v>4694</v>
      </c>
      <c r="I585" s="11">
        <v>4694</v>
      </c>
    </row>
    <row r="586" customHeight="1" spans="2:9">
      <c r="B586" s="11">
        <v>1582</v>
      </c>
      <c r="C586" s="11">
        <v>1582</v>
      </c>
      <c r="E586" s="11">
        <v>3245</v>
      </c>
      <c r="F586" s="11">
        <v>3245</v>
      </c>
      <c r="H586" s="11">
        <v>4695</v>
      </c>
      <c r="I586" s="11">
        <v>4695</v>
      </c>
    </row>
    <row r="587" customHeight="1" spans="2:9">
      <c r="B587" s="11">
        <v>1583</v>
      </c>
      <c r="C587" s="11">
        <v>1583</v>
      </c>
      <c r="E587" s="11">
        <v>3246</v>
      </c>
      <c r="F587" s="11">
        <v>3246</v>
      </c>
      <c r="H587" s="11">
        <v>4696</v>
      </c>
      <c r="I587" s="11">
        <v>4696</v>
      </c>
    </row>
    <row r="588" customHeight="1" spans="2:9">
      <c r="B588" s="11">
        <v>1584</v>
      </c>
      <c r="C588" s="11">
        <v>1584</v>
      </c>
      <c r="E588" s="11">
        <v>3247</v>
      </c>
      <c r="F588" s="11">
        <v>3247</v>
      </c>
      <c r="H588" s="11">
        <v>4697</v>
      </c>
      <c r="I588" s="11">
        <v>4697</v>
      </c>
    </row>
    <row r="589" customHeight="1" spans="2:9">
      <c r="B589" s="11">
        <v>1585</v>
      </c>
      <c r="C589" s="11">
        <v>1585</v>
      </c>
      <c r="E589" s="11">
        <v>3248</v>
      </c>
      <c r="F589" s="11">
        <v>3248</v>
      </c>
      <c r="H589" s="11">
        <v>4698</v>
      </c>
      <c r="I589" s="11">
        <v>4698</v>
      </c>
    </row>
    <row r="590" customHeight="1" spans="2:9">
      <c r="B590" s="11">
        <v>1586</v>
      </c>
      <c r="C590" s="11">
        <v>1586</v>
      </c>
      <c r="E590" s="11">
        <v>3249</v>
      </c>
      <c r="F590" s="11">
        <v>3249</v>
      </c>
      <c r="H590" s="11">
        <v>4699</v>
      </c>
      <c r="I590" s="11">
        <v>4699</v>
      </c>
    </row>
    <row r="591" customHeight="1" spans="2:9">
      <c r="B591" s="11">
        <v>1587</v>
      </c>
      <c r="C591" s="11">
        <v>1587</v>
      </c>
      <c r="E591" s="11">
        <v>3250</v>
      </c>
      <c r="F591" s="11">
        <v>3250</v>
      </c>
      <c r="H591" s="11">
        <v>4700</v>
      </c>
      <c r="I591" s="11">
        <v>4700</v>
      </c>
    </row>
    <row r="592" customHeight="1" spans="2:9">
      <c r="B592" s="11">
        <v>1588</v>
      </c>
      <c r="C592" s="11">
        <v>1588</v>
      </c>
      <c r="E592" s="11">
        <v>3251</v>
      </c>
      <c r="F592" s="11">
        <v>3251</v>
      </c>
      <c r="H592" s="11">
        <v>4701</v>
      </c>
      <c r="I592" s="11">
        <v>4701</v>
      </c>
    </row>
    <row r="593" customHeight="1" spans="2:9">
      <c r="B593" s="11">
        <v>1589</v>
      </c>
      <c r="C593" s="11">
        <v>1589</v>
      </c>
      <c r="E593" s="11">
        <v>3252</v>
      </c>
      <c r="F593" s="11">
        <v>3252</v>
      </c>
      <c r="H593" s="11">
        <v>4702</v>
      </c>
      <c r="I593" s="11">
        <v>4702</v>
      </c>
    </row>
    <row r="594" customHeight="1" spans="2:9">
      <c r="B594" s="11">
        <v>1590</v>
      </c>
      <c r="C594" s="11">
        <v>1590</v>
      </c>
      <c r="E594" s="11">
        <v>3253</v>
      </c>
      <c r="F594" s="11">
        <v>3253</v>
      </c>
      <c r="H594" s="11">
        <v>4703</v>
      </c>
      <c r="I594" s="11">
        <v>4703</v>
      </c>
    </row>
    <row r="595" customHeight="1" spans="2:9">
      <c r="B595" s="11">
        <v>1591</v>
      </c>
      <c r="C595" s="11">
        <v>1591</v>
      </c>
      <c r="E595" s="11">
        <v>3254</v>
      </c>
      <c r="F595" s="11">
        <v>3254</v>
      </c>
      <c r="H595" s="11">
        <v>4704</v>
      </c>
      <c r="I595" s="11">
        <v>4704</v>
      </c>
    </row>
    <row r="596" customHeight="1" spans="2:9">
      <c r="B596" s="11">
        <v>1592</v>
      </c>
      <c r="C596" s="11">
        <v>1592</v>
      </c>
      <c r="E596" s="11">
        <v>3255</v>
      </c>
      <c r="F596" s="11">
        <v>3255</v>
      </c>
      <c r="H596" s="11">
        <v>4705</v>
      </c>
      <c r="I596" s="11">
        <v>4705</v>
      </c>
    </row>
    <row r="597" customHeight="1" spans="2:9">
      <c r="B597" s="11">
        <v>1593</v>
      </c>
      <c r="C597" s="11">
        <v>1593</v>
      </c>
      <c r="E597" s="11">
        <v>3256</v>
      </c>
      <c r="F597" s="11">
        <v>3256</v>
      </c>
      <c r="H597" s="11">
        <v>4706</v>
      </c>
      <c r="I597" s="11">
        <v>4706</v>
      </c>
    </row>
    <row r="598" customHeight="1" spans="2:9">
      <c r="B598" s="11">
        <v>1594</v>
      </c>
      <c r="C598" s="11">
        <v>1594</v>
      </c>
      <c r="E598" s="11">
        <v>3257</v>
      </c>
      <c r="F598" s="11">
        <v>3257</v>
      </c>
      <c r="H598" s="11">
        <v>4707</v>
      </c>
      <c r="I598" s="11">
        <v>4707</v>
      </c>
    </row>
    <row r="599" customHeight="1" spans="2:9">
      <c r="B599" s="11">
        <v>1595</v>
      </c>
      <c r="C599" s="11">
        <v>1595</v>
      </c>
      <c r="E599" s="11">
        <v>3258</v>
      </c>
      <c r="F599" s="11">
        <v>3258</v>
      </c>
      <c r="H599" s="11">
        <v>4708</v>
      </c>
      <c r="I599" s="11">
        <v>4708</v>
      </c>
    </row>
    <row r="600" customHeight="1" spans="2:9">
      <c r="B600" s="11">
        <v>1596</v>
      </c>
      <c r="C600" s="11">
        <v>1596</v>
      </c>
      <c r="E600" s="11">
        <v>3259</v>
      </c>
      <c r="F600" s="11">
        <v>3259</v>
      </c>
      <c r="H600" s="11">
        <v>4709</v>
      </c>
      <c r="I600" s="11">
        <v>4709</v>
      </c>
    </row>
    <row r="601" customHeight="1" spans="2:9">
      <c r="B601" s="11">
        <v>1597</v>
      </c>
      <c r="C601" s="11">
        <v>1597</v>
      </c>
      <c r="E601" s="11">
        <v>3260</v>
      </c>
      <c r="F601" s="11">
        <v>3260</v>
      </c>
      <c r="H601" s="11">
        <v>4710</v>
      </c>
      <c r="I601" s="11">
        <v>4710</v>
      </c>
    </row>
    <row r="602" customHeight="1" spans="2:9">
      <c r="B602" s="11">
        <v>1598</v>
      </c>
      <c r="C602" s="11">
        <v>1598</v>
      </c>
      <c r="E602" s="11">
        <v>3261</v>
      </c>
      <c r="F602" s="11">
        <v>3261</v>
      </c>
      <c r="H602" s="11">
        <v>4711</v>
      </c>
      <c r="I602" s="11">
        <v>4711</v>
      </c>
    </row>
    <row r="603" customHeight="1" spans="2:9">
      <c r="B603" s="11">
        <v>1599</v>
      </c>
      <c r="C603" s="11">
        <v>1599</v>
      </c>
      <c r="E603" s="11">
        <v>3262</v>
      </c>
      <c r="F603" s="11">
        <v>3262</v>
      </c>
      <c r="H603" s="11">
        <v>4712</v>
      </c>
      <c r="I603" s="11">
        <v>4712</v>
      </c>
    </row>
    <row r="604" customHeight="1" spans="2:9">
      <c r="B604" s="11">
        <v>1600</v>
      </c>
      <c r="C604" s="11">
        <v>1600</v>
      </c>
      <c r="E604" s="11">
        <v>3263</v>
      </c>
      <c r="F604" s="11">
        <v>3263</v>
      </c>
      <c r="H604" s="11">
        <v>4713</v>
      </c>
      <c r="I604" s="11">
        <v>4713</v>
      </c>
    </row>
    <row r="605" customHeight="1" spans="2:9">
      <c r="B605" s="11">
        <v>1601</v>
      </c>
      <c r="C605" s="11">
        <v>1601</v>
      </c>
      <c r="E605" s="11">
        <v>3264</v>
      </c>
      <c r="F605" s="11">
        <v>3264</v>
      </c>
      <c r="H605" s="11">
        <v>4714</v>
      </c>
      <c r="I605" s="11">
        <v>4714</v>
      </c>
    </row>
    <row r="606" customHeight="1" spans="2:9">
      <c r="B606" s="11">
        <v>1602</v>
      </c>
      <c r="C606" s="11">
        <v>1602</v>
      </c>
      <c r="E606" s="11">
        <v>3265</v>
      </c>
      <c r="F606" s="11">
        <v>3265</v>
      </c>
      <c r="H606" s="11">
        <v>4715</v>
      </c>
      <c r="I606" s="11">
        <v>4715</v>
      </c>
    </row>
    <row r="607" customHeight="1" spans="2:9">
      <c r="B607" s="11">
        <v>1603</v>
      </c>
      <c r="C607" s="11">
        <v>1603</v>
      </c>
      <c r="E607" s="11">
        <v>3266</v>
      </c>
      <c r="F607" s="11">
        <v>3266</v>
      </c>
      <c r="H607" s="11">
        <v>4716</v>
      </c>
      <c r="I607" s="11">
        <v>4716</v>
      </c>
    </row>
    <row r="608" customHeight="1" spans="2:9">
      <c r="B608" s="11">
        <v>1604</v>
      </c>
      <c r="C608" s="11">
        <v>1604</v>
      </c>
      <c r="E608" s="11">
        <v>3267</v>
      </c>
      <c r="F608" s="11">
        <v>3267</v>
      </c>
      <c r="H608" s="11">
        <v>4717</v>
      </c>
      <c r="I608" s="11">
        <v>4717</v>
      </c>
    </row>
    <row r="609" customHeight="1" spans="2:9">
      <c r="B609" s="11">
        <v>1605</v>
      </c>
      <c r="C609" s="11">
        <v>1605</v>
      </c>
      <c r="E609" s="11">
        <v>3268</v>
      </c>
      <c r="F609" s="11">
        <v>3268</v>
      </c>
      <c r="H609" s="11">
        <v>4718</v>
      </c>
      <c r="I609" s="11">
        <v>4718</v>
      </c>
    </row>
    <row r="610" customHeight="1" spans="2:9">
      <c r="B610" s="11">
        <v>1606</v>
      </c>
      <c r="C610" s="11">
        <v>1606</v>
      </c>
      <c r="E610" s="11">
        <v>3269</v>
      </c>
      <c r="F610" s="11">
        <v>3269</v>
      </c>
      <c r="H610" s="11">
        <v>4719</v>
      </c>
      <c r="I610" s="11">
        <v>4719</v>
      </c>
    </row>
    <row r="611" customHeight="1" spans="2:9">
      <c r="B611" s="11">
        <v>1607</v>
      </c>
      <c r="C611" s="11">
        <v>1607</v>
      </c>
      <c r="E611" s="11">
        <v>3270</v>
      </c>
      <c r="F611" s="11">
        <v>3270</v>
      </c>
      <c r="H611" s="11">
        <v>4720</v>
      </c>
      <c r="I611" s="11">
        <v>4720</v>
      </c>
    </row>
    <row r="612" customHeight="1" spans="2:9">
      <c r="B612" s="11">
        <v>1608</v>
      </c>
      <c r="C612" s="11">
        <v>1608</v>
      </c>
      <c r="E612" s="11">
        <v>3271</v>
      </c>
      <c r="F612" s="11">
        <v>3271</v>
      </c>
      <c r="H612" s="11">
        <v>4721</v>
      </c>
      <c r="I612" s="11">
        <v>4721</v>
      </c>
    </row>
    <row r="613" customHeight="1" spans="2:9">
      <c r="B613" s="11">
        <v>1609</v>
      </c>
      <c r="C613" s="11">
        <v>1609</v>
      </c>
      <c r="E613" s="11">
        <v>3272</v>
      </c>
      <c r="F613" s="11">
        <v>3272</v>
      </c>
      <c r="H613" s="11">
        <v>4722</v>
      </c>
      <c r="I613" s="11">
        <v>4722</v>
      </c>
    </row>
    <row r="614" customHeight="1" spans="2:9">
      <c r="B614" s="11">
        <v>1610</v>
      </c>
      <c r="C614" s="11">
        <v>1610</v>
      </c>
      <c r="E614" s="11">
        <v>3273</v>
      </c>
      <c r="F614" s="11">
        <v>3273</v>
      </c>
      <c r="H614" s="11">
        <v>4723</v>
      </c>
      <c r="I614" s="11">
        <v>4723</v>
      </c>
    </row>
    <row r="615" customHeight="1" spans="2:9">
      <c r="B615" s="11">
        <v>1611</v>
      </c>
      <c r="C615" s="11">
        <v>1611</v>
      </c>
      <c r="E615" s="11">
        <v>3274</v>
      </c>
      <c r="F615" s="11">
        <v>3274</v>
      </c>
      <c r="H615" s="11">
        <v>4724</v>
      </c>
      <c r="I615" s="11">
        <v>4724</v>
      </c>
    </row>
    <row r="616" customHeight="1" spans="2:9">
      <c r="B616" s="11">
        <v>1612</v>
      </c>
      <c r="C616" s="11">
        <v>1612</v>
      </c>
      <c r="E616" s="11">
        <v>3275</v>
      </c>
      <c r="F616" s="11">
        <v>3275</v>
      </c>
      <c r="H616" s="11">
        <v>4725</v>
      </c>
      <c r="I616" s="11">
        <v>4725</v>
      </c>
    </row>
    <row r="617" customHeight="1" spans="2:9">
      <c r="B617" s="11">
        <v>1613</v>
      </c>
      <c r="C617" s="11">
        <v>1613</v>
      </c>
      <c r="E617" s="11">
        <v>3276</v>
      </c>
      <c r="F617" s="11">
        <v>3276</v>
      </c>
      <c r="H617" s="11">
        <v>4726</v>
      </c>
      <c r="I617" s="11">
        <v>4726</v>
      </c>
    </row>
    <row r="618" customHeight="1" spans="2:9">
      <c r="B618" s="11">
        <v>1614</v>
      </c>
      <c r="C618" s="11">
        <v>1614</v>
      </c>
      <c r="E618" s="11">
        <v>3277</v>
      </c>
      <c r="F618" s="11">
        <v>3277</v>
      </c>
      <c r="H618" s="11">
        <v>4727</v>
      </c>
      <c r="I618" s="11">
        <v>4727</v>
      </c>
    </row>
    <row r="619" customHeight="1" spans="2:9">
      <c r="B619" s="11">
        <v>1615</v>
      </c>
      <c r="C619" s="11">
        <v>1615</v>
      </c>
      <c r="E619" s="11">
        <v>3278</v>
      </c>
      <c r="F619" s="11">
        <v>3278</v>
      </c>
      <c r="H619" s="11">
        <v>4728</v>
      </c>
      <c r="I619" s="11">
        <v>4728</v>
      </c>
    </row>
    <row r="620" customHeight="1" spans="2:9">
      <c r="B620" s="11">
        <v>1616</v>
      </c>
      <c r="C620" s="11">
        <v>1616</v>
      </c>
      <c r="E620" s="11">
        <v>3279</v>
      </c>
      <c r="F620" s="11">
        <v>3279</v>
      </c>
      <c r="H620" s="11">
        <v>4729</v>
      </c>
      <c r="I620" s="11">
        <v>4729</v>
      </c>
    </row>
    <row r="621" customHeight="1" spans="2:9">
      <c r="B621" s="11">
        <v>1617</v>
      </c>
      <c r="C621" s="11">
        <v>1617</v>
      </c>
      <c r="E621" s="11">
        <v>3280</v>
      </c>
      <c r="F621" s="11">
        <v>3280</v>
      </c>
      <c r="H621" s="11">
        <v>4730</v>
      </c>
      <c r="I621" s="11">
        <v>4730</v>
      </c>
    </row>
    <row r="622" customHeight="1" spans="2:9">
      <c r="B622" s="11">
        <v>1618</v>
      </c>
      <c r="C622" s="11">
        <v>1618</v>
      </c>
      <c r="E622" s="11">
        <v>3281</v>
      </c>
      <c r="F622" s="11">
        <v>3281</v>
      </c>
      <c r="H622" s="11">
        <v>4731</v>
      </c>
      <c r="I622" s="11">
        <v>4731</v>
      </c>
    </row>
    <row r="623" customHeight="1" spans="2:9">
      <c r="B623" s="11">
        <v>1619</v>
      </c>
      <c r="C623" s="11">
        <v>1619</v>
      </c>
      <c r="E623" s="11">
        <v>3282</v>
      </c>
      <c r="F623" s="11">
        <v>3282</v>
      </c>
      <c r="H623" s="11">
        <v>4732</v>
      </c>
      <c r="I623" s="11">
        <v>4732</v>
      </c>
    </row>
    <row r="624" customHeight="1" spans="2:9">
      <c r="B624" s="11">
        <v>1620</v>
      </c>
      <c r="C624" s="11">
        <v>1620</v>
      </c>
      <c r="E624" s="11">
        <v>3283</v>
      </c>
      <c r="F624" s="11">
        <v>3283</v>
      </c>
      <c r="H624" s="11">
        <v>4733</v>
      </c>
      <c r="I624" s="11">
        <v>4733</v>
      </c>
    </row>
    <row r="625" customHeight="1" spans="2:9">
      <c r="B625" s="11">
        <v>1621</v>
      </c>
      <c r="C625" s="11">
        <v>1621</v>
      </c>
      <c r="E625" s="11">
        <v>3284</v>
      </c>
      <c r="F625" s="11">
        <v>3284</v>
      </c>
      <c r="H625" s="11">
        <v>4734</v>
      </c>
      <c r="I625" s="11">
        <v>4734</v>
      </c>
    </row>
    <row r="626" customHeight="1" spans="2:9">
      <c r="B626" s="11">
        <v>1622</v>
      </c>
      <c r="C626" s="11">
        <v>1622</v>
      </c>
      <c r="E626" s="11">
        <v>3285</v>
      </c>
      <c r="F626" s="11">
        <v>3285</v>
      </c>
      <c r="H626" s="11">
        <v>4735</v>
      </c>
      <c r="I626" s="11">
        <v>4735</v>
      </c>
    </row>
    <row r="627" customHeight="1" spans="2:9">
      <c r="B627" s="11">
        <v>1623</v>
      </c>
      <c r="C627" s="11">
        <v>1623</v>
      </c>
      <c r="E627" s="11">
        <v>3286</v>
      </c>
      <c r="F627" s="11">
        <v>3286</v>
      </c>
      <c r="H627" s="11">
        <v>4736</v>
      </c>
      <c r="I627" s="11">
        <v>4736</v>
      </c>
    </row>
    <row r="628" customHeight="1" spans="2:9">
      <c r="B628" s="11">
        <v>1624</v>
      </c>
      <c r="C628" s="11">
        <v>1624</v>
      </c>
      <c r="E628" s="11">
        <v>3287</v>
      </c>
      <c r="F628" s="11">
        <v>3287</v>
      </c>
      <c r="H628" s="11">
        <v>4737</v>
      </c>
      <c r="I628" s="11">
        <v>4737</v>
      </c>
    </row>
    <row r="629" customHeight="1" spans="2:9">
      <c r="B629" s="11">
        <v>1625</v>
      </c>
      <c r="C629" s="11">
        <v>1625</v>
      </c>
      <c r="E629" s="11">
        <v>3288</v>
      </c>
      <c r="F629" s="11">
        <v>3288</v>
      </c>
      <c r="H629" s="11">
        <v>4738</v>
      </c>
      <c r="I629" s="11">
        <v>4738</v>
      </c>
    </row>
    <row r="630" customHeight="1" spans="2:9">
      <c r="B630" s="11">
        <v>1626</v>
      </c>
      <c r="C630" s="11">
        <v>1626</v>
      </c>
      <c r="E630" s="11">
        <v>3289</v>
      </c>
      <c r="F630" s="11">
        <v>3289</v>
      </c>
      <c r="H630" s="11">
        <v>4739</v>
      </c>
      <c r="I630" s="11">
        <v>4739</v>
      </c>
    </row>
    <row r="631" customHeight="1" spans="2:9">
      <c r="B631" s="11">
        <v>1627</v>
      </c>
      <c r="C631" s="11">
        <v>1627</v>
      </c>
      <c r="E631" s="11">
        <v>3290</v>
      </c>
      <c r="F631" s="11">
        <v>3290</v>
      </c>
      <c r="H631" s="11">
        <v>4740</v>
      </c>
      <c r="I631" s="11">
        <v>4740</v>
      </c>
    </row>
    <row r="632" customHeight="1" spans="2:9">
      <c r="B632" s="11">
        <v>1628</v>
      </c>
      <c r="C632" s="11">
        <v>1628</v>
      </c>
      <c r="E632" s="11">
        <v>3291</v>
      </c>
      <c r="F632" s="11">
        <v>3291</v>
      </c>
      <c r="H632" s="11">
        <v>4741</v>
      </c>
      <c r="I632" s="11">
        <v>4741</v>
      </c>
    </row>
    <row r="633" customHeight="1" spans="2:9">
      <c r="B633" s="11">
        <v>1629</v>
      </c>
      <c r="C633" s="11">
        <v>1629</v>
      </c>
      <c r="E633" s="11">
        <v>3292</v>
      </c>
      <c r="F633" s="11">
        <v>3292</v>
      </c>
      <c r="H633" s="11">
        <v>4742</v>
      </c>
      <c r="I633" s="11">
        <v>4742</v>
      </c>
    </row>
    <row r="634" customHeight="1" spans="2:9">
      <c r="B634" s="11">
        <v>1630</v>
      </c>
      <c r="C634" s="11">
        <v>1630</v>
      </c>
      <c r="E634" s="11">
        <v>3293</v>
      </c>
      <c r="F634" s="11">
        <v>3293</v>
      </c>
      <c r="H634" s="11">
        <v>4743</v>
      </c>
      <c r="I634" s="11">
        <v>4743</v>
      </c>
    </row>
    <row r="635" customHeight="1" spans="2:9">
      <c r="B635" s="11">
        <v>1631</v>
      </c>
      <c r="C635" s="11">
        <v>1631</v>
      </c>
      <c r="E635" s="11">
        <v>3294</v>
      </c>
      <c r="F635" s="11">
        <v>3294</v>
      </c>
      <c r="H635" s="11">
        <v>4744</v>
      </c>
      <c r="I635" s="11">
        <v>4744</v>
      </c>
    </row>
    <row r="636" customHeight="1" spans="2:9">
      <c r="B636" s="11">
        <v>1632</v>
      </c>
      <c r="C636" s="11">
        <v>1632</v>
      </c>
      <c r="E636" s="11">
        <v>3295</v>
      </c>
      <c r="F636" s="11">
        <v>3295</v>
      </c>
      <c r="H636" s="11">
        <v>4745</v>
      </c>
      <c r="I636" s="11">
        <v>4745</v>
      </c>
    </row>
    <row r="637" customHeight="1" spans="2:9">
      <c r="B637" s="11">
        <v>1633</v>
      </c>
      <c r="C637" s="11">
        <v>1633</v>
      </c>
      <c r="E637" s="11">
        <v>3296</v>
      </c>
      <c r="F637" s="11">
        <v>3296</v>
      </c>
      <c r="H637" s="11">
        <v>4746</v>
      </c>
      <c r="I637" s="11">
        <v>4746</v>
      </c>
    </row>
    <row r="638" customHeight="1" spans="2:9">
      <c r="B638" s="11">
        <v>1634</v>
      </c>
      <c r="C638" s="11">
        <v>1634</v>
      </c>
      <c r="E638" s="11">
        <v>3297</v>
      </c>
      <c r="F638" s="11">
        <v>3297</v>
      </c>
      <c r="H638" s="11">
        <v>4747</v>
      </c>
      <c r="I638" s="11">
        <v>4747</v>
      </c>
    </row>
    <row r="639" customHeight="1" spans="2:9">
      <c r="B639" s="11">
        <v>1635</v>
      </c>
      <c r="C639" s="11">
        <v>1635</v>
      </c>
      <c r="E639" s="11">
        <v>3298</v>
      </c>
      <c r="F639" s="11">
        <v>3298</v>
      </c>
      <c r="H639" s="11">
        <v>4748</v>
      </c>
      <c r="I639" s="11">
        <v>4748</v>
      </c>
    </row>
    <row r="640" customHeight="1" spans="2:9">
      <c r="B640" s="11">
        <v>1636</v>
      </c>
      <c r="C640" s="11">
        <v>1636</v>
      </c>
      <c r="E640" s="11">
        <v>3299</v>
      </c>
      <c r="F640" s="11">
        <v>3299</v>
      </c>
      <c r="H640" s="11">
        <v>4749</v>
      </c>
      <c r="I640" s="11">
        <v>4749</v>
      </c>
    </row>
    <row r="641" customHeight="1" spans="2:9">
      <c r="B641" s="11">
        <v>1637</v>
      </c>
      <c r="C641" s="11">
        <v>1637</v>
      </c>
      <c r="E641" s="11">
        <v>3300</v>
      </c>
      <c r="F641" s="11">
        <v>3300</v>
      </c>
      <c r="H641" s="11">
        <v>4750</v>
      </c>
      <c r="I641" s="11">
        <v>4750</v>
      </c>
    </row>
    <row r="642" customHeight="1" spans="2:9">
      <c r="B642" s="11">
        <v>1638</v>
      </c>
      <c r="C642" s="11">
        <v>1638</v>
      </c>
      <c r="E642" s="11">
        <v>3301</v>
      </c>
      <c r="F642" s="11">
        <v>3301</v>
      </c>
      <c r="H642" s="11">
        <v>4751</v>
      </c>
      <c r="I642" s="11">
        <v>4751</v>
      </c>
    </row>
    <row r="643" customHeight="1" spans="2:9">
      <c r="B643" s="11">
        <v>1639</v>
      </c>
      <c r="C643" s="11">
        <v>1639</v>
      </c>
      <c r="E643" s="11">
        <v>3302</v>
      </c>
      <c r="F643" s="11">
        <v>3302</v>
      </c>
      <c r="H643" s="11">
        <v>4752</v>
      </c>
      <c r="I643" s="11">
        <v>4752</v>
      </c>
    </row>
    <row r="644" customHeight="1" spans="2:9">
      <c r="B644" s="11">
        <v>1640</v>
      </c>
      <c r="C644" s="11">
        <v>1640</v>
      </c>
      <c r="E644" s="11">
        <v>3303</v>
      </c>
      <c r="F644" s="11">
        <v>3303</v>
      </c>
      <c r="H644" s="11">
        <v>4753</v>
      </c>
      <c r="I644" s="11">
        <v>4753</v>
      </c>
    </row>
    <row r="645" customHeight="1" spans="2:9">
      <c r="B645" s="11">
        <v>1641</v>
      </c>
      <c r="C645" s="11">
        <v>1641</v>
      </c>
      <c r="E645" s="11">
        <v>3304</v>
      </c>
      <c r="F645" s="11">
        <v>3304</v>
      </c>
      <c r="H645" s="11">
        <v>4754</v>
      </c>
      <c r="I645" s="11">
        <v>4754</v>
      </c>
    </row>
    <row r="646" customHeight="1" spans="2:9">
      <c r="B646" s="11">
        <v>1642</v>
      </c>
      <c r="C646" s="11">
        <v>1642</v>
      </c>
      <c r="E646" s="11">
        <v>3305</v>
      </c>
      <c r="F646" s="11">
        <v>3305</v>
      </c>
      <c r="H646" s="11">
        <v>4755</v>
      </c>
      <c r="I646" s="11">
        <v>4755</v>
      </c>
    </row>
    <row r="647" customHeight="1" spans="2:9">
      <c r="B647" s="11">
        <v>1643</v>
      </c>
      <c r="C647" s="11">
        <v>1643</v>
      </c>
      <c r="E647" s="11">
        <v>3306</v>
      </c>
      <c r="F647" s="11">
        <v>3306</v>
      </c>
      <c r="H647" s="11">
        <v>4756</v>
      </c>
      <c r="I647" s="11">
        <v>4756</v>
      </c>
    </row>
    <row r="648" customHeight="1" spans="2:9">
      <c r="B648" s="11">
        <v>1644</v>
      </c>
      <c r="C648" s="11">
        <v>1644</v>
      </c>
      <c r="E648" s="11">
        <v>3307</v>
      </c>
      <c r="F648" s="11">
        <v>3307</v>
      </c>
      <c r="H648" s="11">
        <v>4757</v>
      </c>
      <c r="I648" s="11">
        <v>4757</v>
      </c>
    </row>
    <row r="649" customHeight="1" spans="2:9">
      <c r="B649" s="11">
        <v>1645</v>
      </c>
      <c r="C649" s="11">
        <v>1645</v>
      </c>
      <c r="E649" s="11">
        <v>3308</v>
      </c>
      <c r="F649" s="11">
        <v>3308</v>
      </c>
      <c r="H649" s="11">
        <v>4758</v>
      </c>
      <c r="I649" s="11">
        <v>4758</v>
      </c>
    </row>
    <row r="650" customHeight="1" spans="2:9">
      <c r="B650" s="11">
        <v>1646</v>
      </c>
      <c r="C650" s="11">
        <v>1646</v>
      </c>
      <c r="E650" s="11">
        <v>3309</v>
      </c>
      <c r="F650" s="11">
        <v>3309</v>
      </c>
      <c r="H650" s="11">
        <v>4759</v>
      </c>
      <c r="I650" s="11">
        <v>4759</v>
      </c>
    </row>
    <row r="651" customHeight="1" spans="2:9">
      <c r="B651" s="11">
        <v>1647</v>
      </c>
      <c r="C651" s="11">
        <v>1647</v>
      </c>
      <c r="E651" s="11">
        <v>3310</v>
      </c>
      <c r="F651" s="11">
        <v>3310</v>
      </c>
      <c r="H651" s="11">
        <v>4760</v>
      </c>
      <c r="I651" s="11">
        <v>4760</v>
      </c>
    </row>
    <row r="652" customHeight="1" spans="2:9">
      <c r="B652" s="11">
        <v>1648</v>
      </c>
      <c r="C652" s="11">
        <v>1648</v>
      </c>
      <c r="E652" s="11">
        <v>3311</v>
      </c>
      <c r="F652" s="11">
        <v>3311</v>
      </c>
      <c r="H652" s="11">
        <v>4761</v>
      </c>
      <c r="I652" s="11">
        <v>4761</v>
      </c>
    </row>
    <row r="653" customHeight="1" spans="2:9">
      <c r="B653" s="11">
        <v>1649</v>
      </c>
      <c r="C653" s="11">
        <v>1649</v>
      </c>
      <c r="E653" s="11">
        <v>3312</v>
      </c>
      <c r="F653" s="11">
        <v>3312</v>
      </c>
      <c r="H653" s="11">
        <v>4762</v>
      </c>
      <c r="I653" s="11">
        <v>4762</v>
      </c>
    </row>
    <row r="654" customHeight="1" spans="2:9">
      <c r="B654" s="11">
        <v>1650</v>
      </c>
      <c r="C654" s="11">
        <v>1650</v>
      </c>
      <c r="E654" s="11">
        <v>3313</v>
      </c>
      <c r="F654" s="11">
        <v>3313</v>
      </c>
      <c r="H654" s="11">
        <v>4763</v>
      </c>
      <c r="I654" s="11">
        <v>4763</v>
      </c>
    </row>
    <row r="655" customHeight="1" spans="2:9">
      <c r="B655" s="11">
        <v>1651</v>
      </c>
      <c r="C655" s="11">
        <v>1651</v>
      </c>
      <c r="E655" s="11">
        <v>3314</v>
      </c>
      <c r="F655" s="11">
        <v>3314</v>
      </c>
      <c r="H655" s="11">
        <v>4764</v>
      </c>
      <c r="I655" s="11">
        <v>4764</v>
      </c>
    </row>
    <row r="656" customHeight="1" spans="2:9">
      <c r="B656" s="11">
        <v>1652</v>
      </c>
      <c r="C656" s="11">
        <v>1652</v>
      </c>
      <c r="E656" s="11">
        <v>3315</v>
      </c>
      <c r="F656" s="11">
        <v>3315</v>
      </c>
      <c r="H656" s="11">
        <v>4765</v>
      </c>
      <c r="I656" s="11">
        <v>4765</v>
      </c>
    </row>
    <row r="657" customHeight="1" spans="2:9">
      <c r="B657" s="11">
        <v>1653</v>
      </c>
      <c r="C657" s="11">
        <v>1653</v>
      </c>
      <c r="E657" s="11">
        <v>3316</v>
      </c>
      <c r="F657" s="11">
        <v>3316</v>
      </c>
      <c r="H657" s="11">
        <v>4766</v>
      </c>
      <c r="I657" s="11">
        <v>4766</v>
      </c>
    </row>
    <row r="658" customHeight="1" spans="2:9">
      <c r="B658" s="11">
        <v>1654</v>
      </c>
      <c r="C658" s="11">
        <v>1654</v>
      </c>
      <c r="E658" s="11">
        <v>3317</v>
      </c>
      <c r="F658" s="11">
        <v>3317</v>
      </c>
      <c r="H658" s="11">
        <v>4767</v>
      </c>
      <c r="I658" s="11">
        <v>4767</v>
      </c>
    </row>
    <row r="659" customHeight="1" spans="2:9">
      <c r="B659" s="11">
        <v>1655</v>
      </c>
      <c r="C659" s="11">
        <v>1655</v>
      </c>
      <c r="E659" s="11">
        <v>3318</v>
      </c>
      <c r="F659" s="11">
        <v>3318</v>
      </c>
      <c r="H659" s="11">
        <v>4768</v>
      </c>
      <c r="I659" s="11">
        <v>4768</v>
      </c>
    </row>
    <row r="660" customHeight="1" spans="2:9">
      <c r="B660" s="11">
        <v>1656</v>
      </c>
      <c r="C660" s="11">
        <v>1656</v>
      </c>
      <c r="E660" s="11">
        <v>3319</v>
      </c>
      <c r="F660" s="11">
        <v>3319</v>
      </c>
      <c r="H660" s="11">
        <v>4769</v>
      </c>
      <c r="I660" s="11">
        <v>4769</v>
      </c>
    </row>
    <row r="661" customHeight="1" spans="2:9">
      <c r="B661" s="11">
        <v>1657</v>
      </c>
      <c r="C661" s="11">
        <v>1657</v>
      </c>
      <c r="E661" s="11">
        <v>3320</v>
      </c>
      <c r="F661" s="11">
        <v>3320</v>
      </c>
      <c r="H661" s="11">
        <v>4770</v>
      </c>
      <c r="I661" s="11">
        <v>4770</v>
      </c>
    </row>
    <row r="662" customHeight="1" spans="2:9">
      <c r="B662" s="11">
        <v>1658</v>
      </c>
      <c r="C662" s="11">
        <v>1658</v>
      </c>
      <c r="E662" s="11">
        <v>3321</v>
      </c>
      <c r="F662" s="11">
        <v>3321</v>
      </c>
      <c r="H662" s="11">
        <v>4771</v>
      </c>
      <c r="I662" s="11">
        <v>4771</v>
      </c>
    </row>
    <row r="663" customHeight="1" spans="2:9">
      <c r="B663" s="11">
        <v>1659</v>
      </c>
      <c r="C663" s="11">
        <v>1659</v>
      </c>
      <c r="E663" s="11">
        <v>3322</v>
      </c>
      <c r="F663" s="11">
        <v>3322</v>
      </c>
      <c r="H663" s="11">
        <v>4772</v>
      </c>
      <c r="I663" s="11">
        <v>4772</v>
      </c>
    </row>
    <row r="664" customHeight="1" spans="2:9">
      <c r="B664" s="11">
        <v>1660</v>
      </c>
      <c r="C664" s="11">
        <v>1660</v>
      </c>
      <c r="E664" s="11">
        <v>3323</v>
      </c>
      <c r="F664" s="11">
        <v>3323</v>
      </c>
      <c r="H664" s="11">
        <v>4773</v>
      </c>
      <c r="I664" s="11">
        <v>4773</v>
      </c>
    </row>
    <row r="665" customHeight="1" spans="2:9">
      <c r="B665" s="11">
        <v>1661</v>
      </c>
      <c r="C665" s="11">
        <v>1661</v>
      </c>
      <c r="E665" s="11">
        <v>3324</v>
      </c>
      <c r="F665" s="11">
        <v>3324</v>
      </c>
      <c r="H665" s="11">
        <v>4774</v>
      </c>
      <c r="I665" s="11">
        <v>4774</v>
      </c>
    </row>
    <row r="666" customHeight="1" spans="2:9">
      <c r="B666" s="11">
        <v>1662</v>
      </c>
      <c r="C666" s="11">
        <v>1662</v>
      </c>
      <c r="E666" s="11">
        <v>3325</v>
      </c>
      <c r="F666" s="11">
        <v>3325</v>
      </c>
      <c r="H666" s="11">
        <v>4775</v>
      </c>
      <c r="I666" s="11">
        <v>4775</v>
      </c>
    </row>
    <row r="667" customHeight="1" spans="2:9">
      <c r="B667" s="11">
        <v>1663</v>
      </c>
      <c r="C667" s="11">
        <v>1663</v>
      </c>
      <c r="E667" s="11">
        <v>3326</v>
      </c>
      <c r="F667" s="11">
        <v>3326</v>
      </c>
      <c r="H667" s="11">
        <v>4776</v>
      </c>
      <c r="I667" s="11">
        <v>4776</v>
      </c>
    </row>
    <row r="668" customHeight="1" spans="2:9">
      <c r="B668" s="11">
        <v>1664</v>
      </c>
      <c r="C668" s="11">
        <v>1664</v>
      </c>
      <c r="E668" s="11">
        <v>3327</v>
      </c>
      <c r="F668" s="11">
        <v>3327</v>
      </c>
      <c r="H668" s="11">
        <v>4777</v>
      </c>
      <c r="I668" s="11">
        <v>4777</v>
      </c>
    </row>
    <row r="669" customHeight="1" spans="2:9">
      <c r="B669" s="11">
        <v>1665</v>
      </c>
      <c r="C669" s="11">
        <v>1665</v>
      </c>
      <c r="E669" s="11">
        <v>3328</v>
      </c>
      <c r="F669" s="11">
        <v>3328</v>
      </c>
      <c r="H669" s="11">
        <v>4778</v>
      </c>
      <c r="I669" s="11">
        <v>4778</v>
      </c>
    </row>
    <row r="670" customHeight="1" spans="2:9">
      <c r="B670" s="11">
        <v>1666</v>
      </c>
      <c r="C670" s="11">
        <v>1666</v>
      </c>
      <c r="E670" s="11">
        <v>3329</v>
      </c>
      <c r="F670" s="11">
        <v>3329</v>
      </c>
      <c r="H670" s="11">
        <v>4779</v>
      </c>
      <c r="I670" s="11">
        <v>4779</v>
      </c>
    </row>
    <row r="671" customHeight="1" spans="2:9">
      <c r="B671" s="11">
        <v>1667</v>
      </c>
      <c r="C671" s="11">
        <v>1667</v>
      </c>
      <c r="E671" s="11">
        <v>3330</v>
      </c>
      <c r="F671" s="11">
        <v>3330</v>
      </c>
      <c r="H671" s="11">
        <v>4780</v>
      </c>
      <c r="I671" s="11">
        <v>4780</v>
      </c>
    </row>
    <row r="672" customHeight="1" spans="2:9">
      <c r="B672" s="11">
        <v>1668</v>
      </c>
      <c r="C672" s="11">
        <v>1668</v>
      </c>
      <c r="E672" s="11">
        <v>3331</v>
      </c>
      <c r="F672" s="11">
        <v>3331</v>
      </c>
      <c r="H672" s="11">
        <v>4781</v>
      </c>
      <c r="I672" s="11">
        <v>4781</v>
      </c>
    </row>
    <row r="673" customHeight="1" spans="2:9">
      <c r="B673" s="11">
        <v>1669</v>
      </c>
      <c r="C673" s="11">
        <v>1669</v>
      </c>
      <c r="E673" s="11">
        <v>3332</v>
      </c>
      <c r="F673" s="11">
        <v>3332</v>
      </c>
      <c r="H673" s="11">
        <v>4782</v>
      </c>
      <c r="I673" s="11">
        <v>4782</v>
      </c>
    </row>
    <row r="674" customHeight="1" spans="2:9">
      <c r="B674" s="11">
        <v>1670</v>
      </c>
      <c r="C674" s="11">
        <v>1670</v>
      </c>
      <c r="E674" s="11">
        <v>3333</v>
      </c>
      <c r="F674" s="11">
        <v>3333</v>
      </c>
      <c r="H674" s="11">
        <v>4783</v>
      </c>
      <c r="I674" s="11">
        <v>4783</v>
      </c>
    </row>
    <row r="675" customHeight="1" spans="2:9">
      <c r="B675" s="11">
        <v>1671</v>
      </c>
      <c r="C675" s="11">
        <v>1671</v>
      </c>
      <c r="E675" s="11">
        <v>3334</v>
      </c>
      <c r="F675" s="11">
        <v>3334</v>
      </c>
      <c r="H675" s="11">
        <v>4784</v>
      </c>
      <c r="I675" s="11">
        <v>4784</v>
      </c>
    </row>
    <row r="676" customHeight="1" spans="2:9">
      <c r="B676" s="11">
        <v>1672</v>
      </c>
      <c r="C676" s="11">
        <v>1672</v>
      </c>
      <c r="E676" s="11">
        <v>3444</v>
      </c>
      <c r="F676" s="11">
        <v>3444</v>
      </c>
      <c r="H676" s="11">
        <v>4785</v>
      </c>
      <c r="I676" s="11">
        <v>4785</v>
      </c>
    </row>
    <row r="677" customHeight="1" spans="2:9">
      <c r="B677" s="11">
        <v>1673</v>
      </c>
      <c r="C677" s="11">
        <v>1673</v>
      </c>
      <c r="E677" s="11">
        <v>3445</v>
      </c>
      <c r="F677" s="11">
        <v>3445</v>
      </c>
      <c r="H677" s="11">
        <v>4786</v>
      </c>
      <c r="I677" s="11">
        <v>4786</v>
      </c>
    </row>
    <row r="678" customHeight="1" spans="2:9">
      <c r="B678" s="11">
        <v>1674</v>
      </c>
      <c r="C678" s="11">
        <v>1674</v>
      </c>
      <c r="E678" s="11">
        <v>3446</v>
      </c>
      <c r="F678" s="11">
        <v>3446</v>
      </c>
      <c r="H678" s="11">
        <v>4787</v>
      </c>
      <c r="I678" s="11">
        <v>4787</v>
      </c>
    </row>
    <row r="679" customHeight="1" spans="2:9">
      <c r="B679" s="11">
        <v>1675</v>
      </c>
      <c r="C679" s="11">
        <v>1675</v>
      </c>
      <c r="E679" s="11">
        <v>3447</v>
      </c>
      <c r="F679" s="11">
        <v>3447</v>
      </c>
      <c r="H679" s="11">
        <v>4788</v>
      </c>
      <c r="I679" s="11">
        <v>4788</v>
      </c>
    </row>
    <row r="680" customHeight="1" spans="2:9">
      <c r="B680" s="11">
        <v>1676</v>
      </c>
      <c r="C680" s="11">
        <v>1676</v>
      </c>
      <c r="E680" s="11">
        <v>3448</v>
      </c>
      <c r="F680" s="11">
        <v>3448</v>
      </c>
      <c r="H680" s="11">
        <v>4789</v>
      </c>
      <c r="I680" s="11">
        <v>4789</v>
      </c>
    </row>
    <row r="681" customHeight="1" spans="2:9">
      <c r="B681" s="11">
        <v>1677</v>
      </c>
      <c r="C681" s="11">
        <v>1677</v>
      </c>
      <c r="E681" s="11">
        <v>3449</v>
      </c>
      <c r="F681" s="11">
        <v>3449</v>
      </c>
      <c r="H681" s="11">
        <v>4790</v>
      </c>
      <c r="I681" s="11">
        <v>4790</v>
      </c>
    </row>
    <row r="682" customHeight="1" spans="2:9">
      <c r="B682" s="11">
        <v>1678</v>
      </c>
      <c r="C682" s="11">
        <v>1678</v>
      </c>
      <c r="E682" s="11">
        <v>3450</v>
      </c>
      <c r="F682" s="11">
        <v>3450</v>
      </c>
      <c r="H682" s="11">
        <v>4791</v>
      </c>
      <c r="I682" s="11">
        <v>4791</v>
      </c>
    </row>
    <row r="683" customHeight="1" spans="2:9">
      <c r="B683" s="11">
        <v>1679</v>
      </c>
      <c r="C683" s="11">
        <v>1679</v>
      </c>
      <c r="E683" s="11">
        <v>3451</v>
      </c>
      <c r="F683" s="11">
        <v>3451</v>
      </c>
      <c r="H683" s="11">
        <v>4792</v>
      </c>
      <c r="I683" s="11">
        <v>4792</v>
      </c>
    </row>
    <row r="684" customHeight="1" spans="2:9">
      <c r="B684" s="11">
        <v>1680</v>
      </c>
      <c r="C684" s="11">
        <v>1680</v>
      </c>
      <c r="E684" s="11">
        <v>3452</v>
      </c>
      <c r="F684" s="11">
        <v>3452</v>
      </c>
      <c r="H684" s="11">
        <v>4793</v>
      </c>
      <c r="I684" s="11">
        <v>4793</v>
      </c>
    </row>
    <row r="685" customHeight="1" spans="2:9">
      <c r="B685" s="11">
        <v>1681</v>
      </c>
      <c r="C685" s="11">
        <v>1681</v>
      </c>
      <c r="E685" s="11">
        <v>3453</v>
      </c>
      <c r="F685" s="11">
        <v>3453</v>
      </c>
      <c r="H685" s="11">
        <v>4794</v>
      </c>
      <c r="I685" s="11">
        <v>4794</v>
      </c>
    </row>
    <row r="686" customHeight="1" spans="2:9">
      <c r="B686" s="11">
        <v>1682</v>
      </c>
      <c r="C686" s="11">
        <v>1682</v>
      </c>
      <c r="E686" s="11">
        <v>3454</v>
      </c>
      <c r="F686" s="11">
        <v>3454</v>
      </c>
      <c r="H686" s="11">
        <v>4795</v>
      </c>
      <c r="I686" s="11">
        <v>4795</v>
      </c>
    </row>
    <row r="687" customHeight="1" spans="2:9">
      <c r="B687" s="11">
        <v>1683</v>
      </c>
      <c r="C687" s="11">
        <v>1683</v>
      </c>
      <c r="E687" s="11">
        <v>3455</v>
      </c>
      <c r="F687" s="11">
        <v>3455</v>
      </c>
      <c r="H687" s="11">
        <v>4796</v>
      </c>
      <c r="I687" s="11">
        <v>4796</v>
      </c>
    </row>
    <row r="688" customHeight="1" spans="2:9">
      <c r="B688" s="11">
        <v>1684</v>
      </c>
      <c r="C688" s="11">
        <v>1684</v>
      </c>
      <c r="E688" s="11">
        <v>3456</v>
      </c>
      <c r="F688" s="11">
        <v>3456</v>
      </c>
      <c r="H688" s="11">
        <v>4797</v>
      </c>
      <c r="I688" s="11">
        <v>4797</v>
      </c>
    </row>
    <row r="689" customHeight="1" spans="2:9">
      <c r="B689" s="11">
        <v>1685</v>
      </c>
      <c r="C689" s="11">
        <v>1685</v>
      </c>
      <c r="E689" s="11">
        <v>3457</v>
      </c>
      <c r="F689" s="11">
        <v>3457</v>
      </c>
      <c r="H689" s="11">
        <v>4798</v>
      </c>
      <c r="I689" s="11">
        <v>4798</v>
      </c>
    </row>
    <row r="690" customHeight="1" spans="2:9">
      <c r="B690" s="11">
        <v>1686</v>
      </c>
      <c r="C690" s="11">
        <v>1686</v>
      </c>
      <c r="E690" s="11">
        <v>3458</v>
      </c>
      <c r="F690" s="11">
        <v>3458</v>
      </c>
      <c r="H690" s="11">
        <v>4799</v>
      </c>
      <c r="I690" s="11">
        <v>4799</v>
      </c>
    </row>
    <row r="691" customHeight="1" spans="2:9">
      <c r="B691" s="11">
        <v>1687</v>
      </c>
      <c r="C691" s="11">
        <v>1687</v>
      </c>
      <c r="E691" s="11">
        <v>3459</v>
      </c>
      <c r="F691" s="11">
        <v>3459</v>
      </c>
      <c r="H691" s="11">
        <v>4800</v>
      </c>
      <c r="I691" s="11">
        <v>4800</v>
      </c>
    </row>
    <row r="692" customHeight="1" spans="2:9">
      <c r="B692" s="11">
        <v>1688</v>
      </c>
      <c r="C692" s="11">
        <v>1688</v>
      </c>
      <c r="E692" s="11">
        <v>3460</v>
      </c>
      <c r="F692" s="11">
        <v>3460</v>
      </c>
      <c r="H692" s="11">
        <v>4801</v>
      </c>
      <c r="I692" s="11">
        <v>4801</v>
      </c>
    </row>
    <row r="693" customHeight="1" spans="2:9">
      <c r="B693" s="11">
        <v>1689</v>
      </c>
      <c r="C693" s="11">
        <v>1689</v>
      </c>
      <c r="E693" s="11">
        <v>3461</v>
      </c>
      <c r="F693" s="11">
        <v>3461</v>
      </c>
      <c r="H693" s="11">
        <v>4802</v>
      </c>
      <c r="I693" s="11">
        <v>4802</v>
      </c>
    </row>
    <row r="694" customHeight="1" spans="2:9">
      <c r="B694" s="11">
        <v>1690</v>
      </c>
      <c r="C694" s="11">
        <v>1690</v>
      </c>
      <c r="E694" s="11">
        <v>3462</v>
      </c>
      <c r="F694" s="11">
        <v>3462</v>
      </c>
      <c r="H694" s="11">
        <v>9920</v>
      </c>
      <c r="I694" s="11">
        <v>9920</v>
      </c>
    </row>
    <row r="695" customHeight="1" spans="2:9">
      <c r="B695" s="11">
        <v>1691</v>
      </c>
      <c r="C695" s="11">
        <v>1691</v>
      </c>
      <c r="E695" s="11">
        <v>3463</v>
      </c>
      <c r="F695" s="11">
        <v>3463</v>
      </c>
      <c r="H695" s="11">
        <v>9921</v>
      </c>
      <c r="I695" s="11">
        <v>9921</v>
      </c>
    </row>
    <row r="696" customHeight="1" spans="2:9">
      <c r="B696" s="11">
        <v>1692</v>
      </c>
      <c r="C696" s="11">
        <v>1692</v>
      </c>
      <c r="E696" s="11">
        <v>3464</v>
      </c>
      <c r="F696" s="11">
        <v>3464</v>
      </c>
      <c r="H696" s="11">
        <v>9922</v>
      </c>
      <c r="I696" s="11">
        <v>9922</v>
      </c>
    </row>
    <row r="697" customHeight="1" spans="2:9">
      <c r="B697" s="11">
        <v>1693</v>
      </c>
      <c r="C697" s="11">
        <v>1693</v>
      </c>
      <c r="E697" s="11">
        <v>3465</v>
      </c>
      <c r="F697" s="11">
        <v>3465</v>
      </c>
      <c r="H697" s="11">
        <v>9923</v>
      </c>
      <c r="I697" s="11">
        <v>9923</v>
      </c>
    </row>
    <row r="698" customHeight="1" spans="2:9">
      <c r="B698" s="11">
        <v>1694</v>
      </c>
      <c r="C698" s="11">
        <v>1694</v>
      </c>
      <c r="E698" s="11">
        <v>3466</v>
      </c>
      <c r="F698" s="11">
        <v>3466</v>
      </c>
      <c r="H698" s="11">
        <v>9924</v>
      </c>
      <c r="I698" s="11">
        <v>9924</v>
      </c>
    </row>
    <row r="699" customHeight="1" spans="2:9">
      <c r="B699" s="11">
        <v>1695</v>
      </c>
      <c r="C699" s="11">
        <v>1695</v>
      </c>
      <c r="E699" s="11">
        <v>3467</v>
      </c>
      <c r="F699" s="11">
        <v>3467</v>
      </c>
      <c r="H699" s="11">
        <v>9925</v>
      </c>
      <c r="I699" s="11">
        <v>9925</v>
      </c>
    </row>
    <row r="700" customHeight="1" spans="2:9">
      <c r="B700" s="11">
        <v>1696</v>
      </c>
      <c r="C700" s="11">
        <v>1696</v>
      </c>
      <c r="E700" s="11">
        <v>3468</v>
      </c>
      <c r="F700" s="11">
        <v>3468</v>
      </c>
      <c r="H700" s="11">
        <v>9926</v>
      </c>
      <c r="I700" s="11">
        <v>9926</v>
      </c>
    </row>
    <row r="701" customHeight="1" spans="2:9">
      <c r="B701" s="11">
        <v>1697</v>
      </c>
      <c r="C701" s="11">
        <v>1697</v>
      </c>
      <c r="E701" s="11">
        <v>3469</v>
      </c>
      <c r="F701" s="11">
        <v>3469</v>
      </c>
      <c r="H701" s="11">
        <v>9927</v>
      </c>
      <c r="I701" s="11">
        <v>9927</v>
      </c>
    </row>
    <row r="702" customHeight="1" spans="2:9">
      <c r="B702" s="11">
        <v>1698</v>
      </c>
      <c r="C702" s="11">
        <v>1698</v>
      </c>
      <c r="E702" s="11">
        <v>3470</v>
      </c>
      <c r="F702" s="11">
        <v>3470</v>
      </c>
      <c r="H702" s="11">
        <v>9928</v>
      </c>
      <c r="I702" s="11">
        <v>9928</v>
      </c>
    </row>
    <row r="703" customHeight="1" spans="2:9">
      <c r="B703" s="11">
        <v>1699</v>
      </c>
      <c r="C703" s="11">
        <v>1699</v>
      </c>
      <c r="E703" s="11">
        <v>3471</v>
      </c>
      <c r="F703" s="11">
        <v>3471</v>
      </c>
      <c r="H703" s="11">
        <v>9929</v>
      </c>
      <c r="I703" s="11">
        <v>9929</v>
      </c>
    </row>
    <row r="704" customHeight="1" spans="2:9">
      <c r="B704" s="11">
        <v>1700</v>
      </c>
      <c r="C704" s="11">
        <v>1700</v>
      </c>
      <c r="E704" s="11">
        <v>3472</v>
      </c>
      <c r="F704" s="11">
        <v>3472</v>
      </c>
      <c r="H704" s="11">
        <v>9930</v>
      </c>
      <c r="I704" s="11">
        <v>9930</v>
      </c>
    </row>
    <row r="705" customHeight="1" spans="2:9">
      <c r="B705" s="11">
        <v>1701</v>
      </c>
      <c r="C705" s="11">
        <v>1701</v>
      </c>
      <c r="E705" s="11">
        <v>3473</v>
      </c>
      <c r="F705" s="11">
        <v>3473</v>
      </c>
      <c r="H705" s="11">
        <v>9931</v>
      </c>
      <c r="I705" s="11">
        <v>9931</v>
      </c>
    </row>
    <row r="706" customHeight="1" spans="2:9">
      <c r="B706" s="11">
        <v>1702</v>
      </c>
      <c r="C706" s="11">
        <v>1702</v>
      </c>
      <c r="E706" s="11">
        <v>3474</v>
      </c>
      <c r="F706" s="11">
        <v>3474</v>
      </c>
      <c r="H706" s="11">
        <v>9932</v>
      </c>
      <c r="I706" s="11">
        <v>9932</v>
      </c>
    </row>
    <row r="707" customHeight="1" spans="2:9">
      <c r="B707" s="11">
        <v>1703</v>
      </c>
      <c r="C707" s="11">
        <v>1703</v>
      </c>
      <c r="E707" s="11">
        <v>3475</v>
      </c>
      <c r="F707" s="11">
        <v>3475</v>
      </c>
      <c r="H707" s="11">
        <v>9933</v>
      </c>
      <c r="I707" s="11">
        <v>9933</v>
      </c>
    </row>
    <row r="708" customHeight="1" spans="2:9">
      <c r="B708" s="11">
        <v>1704</v>
      </c>
      <c r="C708" s="11">
        <v>1704</v>
      </c>
      <c r="E708" s="11">
        <v>3476</v>
      </c>
      <c r="F708" s="11">
        <v>3476</v>
      </c>
      <c r="H708" s="11">
        <v>9934</v>
      </c>
      <c r="I708" s="11">
        <v>9934</v>
      </c>
    </row>
    <row r="709" customHeight="1" spans="2:9">
      <c r="B709" s="11">
        <v>1705</v>
      </c>
      <c r="C709" s="11">
        <v>1705</v>
      </c>
      <c r="E709" s="11">
        <v>3477</v>
      </c>
      <c r="F709" s="11">
        <v>3477</v>
      </c>
      <c r="H709" s="11">
        <v>9935</v>
      </c>
      <c r="I709" s="11">
        <v>9935</v>
      </c>
    </row>
    <row r="710" customHeight="1" spans="2:9">
      <c r="B710" s="11">
        <v>1706</v>
      </c>
      <c r="C710" s="11">
        <v>1706</v>
      </c>
      <c r="E710" s="11">
        <v>3478</v>
      </c>
      <c r="F710" s="11">
        <v>3478</v>
      </c>
      <c r="H710" s="11">
        <v>9936</v>
      </c>
      <c r="I710" s="11">
        <v>9936</v>
      </c>
    </row>
    <row r="711" customHeight="1" spans="2:9">
      <c r="B711" s="11">
        <v>1707</v>
      </c>
      <c r="C711" s="11">
        <v>1707</v>
      </c>
      <c r="E711" s="11">
        <v>3479</v>
      </c>
      <c r="F711" s="11">
        <v>3479</v>
      </c>
      <c r="H711" s="11">
        <v>9937</v>
      </c>
      <c r="I711" s="11">
        <v>9937</v>
      </c>
    </row>
    <row r="712" customHeight="1" spans="2:9">
      <c r="B712" s="11">
        <v>1708</v>
      </c>
      <c r="C712" s="11">
        <v>1708</v>
      </c>
      <c r="E712" s="11">
        <v>3480</v>
      </c>
      <c r="F712" s="11">
        <v>3480</v>
      </c>
      <c r="H712" s="11">
        <v>9938</v>
      </c>
      <c r="I712" s="11">
        <v>9938</v>
      </c>
    </row>
    <row r="713" customHeight="1" spans="2:9">
      <c r="B713" s="11">
        <v>1709</v>
      </c>
      <c r="C713" s="11">
        <v>1709</v>
      </c>
      <c r="E713" s="11">
        <v>3481</v>
      </c>
      <c r="F713" s="11">
        <v>3481</v>
      </c>
      <c r="H713" s="11">
        <v>9939</v>
      </c>
      <c r="I713" s="11">
        <v>9939</v>
      </c>
    </row>
    <row r="714" customHeight="1" spans="2:9">
      <c r="B714" s="11">
        <v>1710</v>
      </c>
      <c r="C714" s="11">
        <v>1710</v>
      </c>
      <c r="E714" s="11">
        <v>3482</v>
      </c>
      <c r="F714" s="11">
        <v>3482</v>
      </c>
      <c r="H714" s="11">
        <v>9940</v>
      </c>
      <c r="I714" s="11">
        <v>9940</v>
      </c>
    </row>
    <row r="715" customHeight="1" spans="2:9">
      <c r="B715" s="11">
        <v>1711</v>
      </c>
      <c r="C715" s="11">
        <v>1711</v>
      </c>
      <c r="E715" s="11">
        <v>3483</v>
      </c>
      <c r="F715" s="11">
        <v>3483</v>
      </c>
      <c r="H715" s="11">
        <v>9941</v>
      </c>
      <c r="I715" s="11">
        <v>9941</v>
      </c>
    </row>
    <row r="716" customHeight="1" spans="2:9">
      <c r="B716" s="11">
        <v>1712</v>
      </c>
      <c r="C716" s="11">
        <v>1712</v>
      </c>
      <c r="E716" s="11">
        <v>3484</v>
      </c>
      <c r="F716" s="11">
        <v>3484</v>
      </c>
      <c r="H716" s="11">
        <v>9942</v>
      </c>
      <c r="I716" s="11">
        <v>9942</v>
      </c>
    </row>
    <row r="717" customHeight="1" spans="2:9">
      <c r="B717" s="11">
        <v>1713</v>
      </c>
      <c r="C717" s="11">
        <v>1713</v>
      </c>
      <c r="E717" s="11">
        <v>3485</v>
      </c>
      <c r="F717" s="11">
        <v>3485</v>
      </c>
      <c r="H717" s="11">
        <v>9943</v>
      </c>
      <c r="I717" s="11">
        <v>9943</v>
      </c>
    </row>
    <row r="718" customHeight="1" spans="2:9">
      <c r="B718" s="11">
        <v>1714</v>
      </c>
      <c r="C718" s="11">
        <v>1714</v>
      </c>
      <c r="E718" s="11">
        <v>3486</v>
      </c>
      <c r="F718" s="11">
        <v>3486</v>
      </c>
      <c r="H718" s="11">
        <v>9944</v>
      </c>
      <c r="I718" s="11">
        <v>9944</v>
      </c>
    </row>
    <row r="719" customHeight="1" spans="2:9">
      <c r="B719" s="11">
        <v>1715</v>
      </c>
      <c r="C719" s="11">
        <v>1715</v>
      </c>
      <c r="E719" s="11">
        <v>3487</v>
      </c>
      <c r="F719" s="11">
        <v>3487</v>
      </c>
      <c r="H719" s="11">
        <v>9945</v>
      </c>
      <c r="I719" s="11">
        <v>9945</v>
      </c>
    </row>
    <row r="720" customHeight="1" spans="2:9">
      <c r="B720" s="11">
        <v>1716</v>
      </c>
      <c r="C720" s="11">
        <v>1716</v>
      </c>
      <c r="E720" s="11">
        <v>3488</v>
      </c>
      <c r="F720" s="11">
        <v>3488</v>
      </c>
      <c r="H720" s="11">
        <v>9946</v>
      </c>
      <c r="I720" s="11">
        <v>9946</v>
      </c>
    </row>
    <row r="721" customHeight="1" spans="2:9">
      <c r="B721" s="11">
        <v>1717</v>
      </c>
      <c r="C721" s="11">
        <v>1717</v>
      </c>
      <c r="E721" s="11">
        <v>3489</v>
      </c>
      <c r="F721" s="11">
        <v>3489</v>
      </c>
      <c r="H721" s="11">
        <v>9947</v>
      </c>
      <c r="I721" s="11">
        <v>9947</v>
      </c>
    </row>
    <row r="722" customHeight="1" spans="2:9">
      <c r="B722" s="11">
        <v>1718</v>
      </c>
      <c r="C722" s="11">
        <v>1718</v>
      </c>
      <c r="E722" s="11">
        <v>3490</v>
      </c>
      <c r="F722" s="11">
        <v>3490</v>
      </c>
      <c r="H722" s="11">
        <v>9948</v>
      </c>
      <c r="I722" s="11">
        <v>9948</v>
      </c>
    </row>
    <row r="723" customHeight="1" spans="2:9">
      <c r="B723" s="11">
        <v>1719</v>
      </c>
      <c r="C723" s="11">
        <v>1719</v>
      </c>
      <c r="E723" s="11">
        <v>3491</v>
      </c>
      <c r="F723" s="11">
        <v>3491</v>
      </c>
      <c r="H723" s="11">
        <v>9949</v>
      </c>
      <c r="I723" s="11">
        <v>9949</v>
      </c>
    </row>
    <row r="724" customHeight="1" spans="2:9">
      <c r="B724" s="11">
        <v>1720</v>
      </c>
      <c r="C724" s="11">
        <v>1720</v>
      </c>
      <c r="E724" s="11">
        <v>3492</v>
      </c>
      <c r="F724" s="11">
        <v>3492</v>
      </c>
      <c r="H724" s="11">
        <v>9950</v>
      </c>
      <c r="I724" s="11">
        <v>9950</v>
      </c>
    </row>
    <row r="725" customHeight="1" spans="2:9">
      <c r="B725" s="11">
        <v>1721</v>
      </c>
      <c r="C725" s="11">
        <v>1721</v>
      </c>
      <c r="E725" s="11">
        <v>3493</v>
      </c>
      <c r="F725" s="11">
        <v>3493</v>
      </c>
      <c r="H725" s="11">
        <v>9951</v>
      </c>
      <c r="I725" s="11">
        <v>9951</v>
      </c>
    </row>
    <row r="726" customHeight="1" spans="2:9">
      <c r="B726" s="11">
        <v>1722</v>
      </c>
      <c r="C726" s="11">
        <v>1722</v>
      </c>
      <c r="E726" s="11">
        <v>3494</v>
      </c>
      <c r="F726" s="11">
        <v>3494</v>
      </c>
      <c r="H726" s="11">
        <v>9952</v>
      </c>
      <c r="I726" s="11">
        <v>9952</v>
      </c>
    </row>
    <row r="727" customHeight="1" spans="2:9">
      <c r="B727" s="11">
        <v>1723</v>
      </c>
      <c r="C727" s="11">
        <v>1723</v>
      </c>
      <c r="E727" s="11">
        <v>3495</v>
      </c>
      <c r="F727" s="11">
        <v>3495</v>
      </c>
      <c r="H727" s="11">
        <v>9953</v>
      </c>
      <c r="I727" s="11">
        <v>9953</v>
      </c>
    </row>
    <row r="728" customHeight="1" spans="2:9">
      <c r="B728" s="11">
        <v>1724</v>
      </c>
      <c r="C728" s="11">
        <v>1724</v>
      </c>
      <c r="E728" s="11">
        <v>3496</v>
      </c>
      <c r="F728" s="11">
        <v>3496</v>
      </c>
      <c r="H728" s="11">
        <v>9954</v>
      </c>
      <c r="I728" s="11">
        <v>9954</v>
      </c>
    </row>
    <row r="729" customHeight="1" spans="2:9">
      <c r="B729" s="11">
        <v>1725</v>
      </c>
      <c r="C729" s="11">
        <v>1725</v>
      </c>
      <c r="E729" s="11">
        <v>3497</v>
      </c>
      <c r="F729" s="11">
        <v>3497</v>
      </c>
      <c r="H729" s="11">
        <v>9955</v>
      </c>
      <c r="I729" s="11">
        <v>9955</v>
      </c>
    </row>
    <row r="730" customHeight="1" spans="2:9">
      <c r="B730" s="11">
        <v>1726</v>
      </c>
      <c r="C730" s="11">
        <v>1726</v>
      </c>
      <c r="E730" s="11">
        <v>3498</v>
      </c>
      <c r="F730" s="11">
        <v>3498</v>
      </c>
      <c r="H730" s="11">
        <v>9956</v>
      </c>
      <c r="I730" s="11">
        <v>9956</v>
      </c>
    </row>
    <row r="731" customHeight="1" spans="2:9">
      <c r="B731" s="11">
        <v>1727</v>
      </c>
      <c r="C731" s="11">
        <v>1727</v>
      </c>
      <c r="E731" s="11">
        <v>3499</v>
      </c>
      <c r="F731" s="11">
        <v>3499</v>
      </c>
      <c r="H731" s="11">
        <v>9957</v>
      </c>
      <c r="I731" s="11">
        <v>9957</v>
      </c>
    </row>
    <row r="732" customHeight="1" spans="2:9">
      <c r="B732" s="11">
        <v>1728</v>
      </c>
      <c r="C732" s="11">
        <v>1728</v>
      </c>
      <c r="E732" s="11">
        <v>3500</v>
      </c>
      <c r="F732" s="11">
        <v>3500</v>
      </c>
      <c r="H732" s="11">
        <v>9958</v>
      </c>
      <c r="I732" s="11">
        <v>9958</v>
      </c>
    </row>
    <row r="733" customHeight="1" spans="2:9">
      <c r="B733" s="11">
        <v>1729</v>
      </c>
      <c r="C733" s="11">
        <v>1729</v>
      </c>
      <c r="E733" s="11">
        <v>3501</v>
      </c>
      <c r="F733" s="11">
        <v>3501</v>
      </c>
      <c r="H733" s="11">
        <v>9959</v>
      </c>
      <c r="I733" s="11">
        <v>9959</v>
      </c>
    </row>
    <row r="734" customHeight="1" spans="2:9">
      <c r="B734" s="11">
        <v>1730</v>
      </c>
      <c r="C734" s="11">
        <v>1730</v>
      </c>
      <c r="E734" s="11">
        <v>3502</v>
      </c>
      <c r="F734" s="11">
        <v>3502</v>
      </c>
      <c r="H734" s="11">
        <v>9960</v>
      </c>
      <c r="I734" s="11">
        <v>9960</v>
      </c>
    </row>
    <row r="735" customHeight="1" spans="2:9">
      <c r="B735" s="11">
        <v>1731</v>
      </c>
      <c r="C735" s="11">
        <v>1731</v>
      </c>
      <c r="E735" s="11">
        <v>3503</v>
      </c>
      <c r="F735" s="11">
        <v>3503</v>
      </c>
      <c r="H735" s="11">
        <v>9961</v>
      </c>
      <c r="I735" s="11">
        <v>9961</v>
      </c>
    </row>
    <row r="736" customHeight="1" spans="2:9">
      <c r="B736" s="11">
        <v>1732</v>
      </c>
      <c r="C736" s="11">
        <v>1732</v>
      </c>
      <c r="E736" s="11">
        <v>3504</v>
      </c>
      <c r="F736" s="11">
        <v>3504</v>
      </c>
      <c r="H736" s="11">
        <v>9962</v>
      </c>
      <c r="I736" s="11">
        <v>9962</v>
      </c>
    </row>
    <row r="737" customHeight="1" spans="2:9">
      <c r="B737" s="11">
        <v>1733</v>
      </c>
      <c r="C737" s="11">
        <v>1733</v>
      </c>
      <c r="E737" s="11">
        <v>3505</v>
      </c>
      <c r="F737" s="11">
        <v>3505</v>
      </c>
      <c r="H737" s="11">
        <v>9963</v>
      </c>
      <c r="I737" s="11">
        <v>9963</v>
      </c>
    </row>
    <row r="738" customHeight="1" spans="2:9">
      <c r="B738" s="11">
        <v>1734</v>
      </c>
      <c r="C738" s="11">
        <v>1734</v>
      </c>
      <c r="E738" s="11">
        <v>3506</v>
      </c>
      <c r="F738" s="11">
        <v>3506</v>
      </c>
      <c r="H738" s="11">
        <v>9964</v>
      </c>
      <c r="I738" s="11">
        <v>9964</v>
      </c>
    </row>
    <row r="739" customHeight="1" spans="2:9">
      <c r="B739" s="11">
        <v>1735</v>
      </c>
      <c r="C739" s="11">
        <v>1735</v>
      </c>
      <c r="E739" s="11">
        <v>3507</v>
      </c>
      <c r="F739" s="11">
        <v>3507</v>
      </c>
      <c r="H739" s="11">
        <v>9965</v>
      </c>
      <c r="I739" s="11">
        <v>9965</v>
      </c>
    </row>
    <row r="740" customHeight="1" spans="2:9">
      <c r="B740" s="11">
        <v>1736</v>
      </c>
      <c r="C740" s="11">
        <v>1736</v>
      </c>
      <c r="E740" s="11">
        <v>3508</v>
      </c>
      <c r="F740" s="11">
        <v>3508</v>
      </c>
      <c r="H740" s="11">
        <v>9966</v>
      </c>
      <c r="I740" s="11">
        <v>9966</v>
      </c>
    </row>
    <row r="741" customHeight="1" spans="2:9">
      <c r="B741" s="11">
        <v>1737</v>
      </c>
      <c r="C741" s="11">
        <v>1737</v>
      </c>
      <c r="E741" s="11">
        <v>3509</v>
      </c>
      <c r="F741" s="11">
        <v>3509</v>
      </c>
      <c r="H741" s="11">
        <v>9967</v>
      </c>
      <c r="I741" s="11">
        <v>9967</v>
      </c>
    </row>
    <row r="742" customHeight="1" spans="2:9">
      <c r="B742" s="11">
        <v>1738</v>
      </c>
      <c r="C742" s="11">
        <v>1738</v>
      </c>
      <c r="E742" s="11">
        <v>3510</v>
      </c>
      <c r="F742" s="11">
        <v>3510</v>
      </c>
      <c r="H742" s="11">
        <v>9968</v>
      </c>
      <c r="I742" s="11">
        <v>9968</v>
      </c>
    </row>
    <row r="743" customHeight="1" spans="2:9">
      <c r="B743" s="11">
        <v>1739</v>
      </c>
      <c r="C743" s="11">
        <v>1739</v>
      </c>
      <c r="E743" s="11">
        <v>3511</v>
      </c>
      <c r="F743" s="11">
        <v>3511</v>
      </c>
      <c r="H743" s="11">
        <v>9969</v>
      </c>
      <c r="I743" s="11">
        <v>9969</v>
      </c>
    </row>
    <row r="744" customHeight="1" spans="2:9">
      <c r="B744" s="11">
        <v>1740</v>
      </c>
      <c r="C744" s="11">
        <v>1740</v>
      </c>
      <c r="E744" s="11">
        <v>3512</v>
      </c>
      <c r="F744" s="11">
        <v>3512</v>
      </c>
      <c r="H744" s="11">
        <v>9970</v>
      </c>
      <c r="I744" s="11">
        <v>9970</v>
      </c>
    </row>
    <row r="745" customHeight="1" spans="2:9">
      <c r="B745" s="11">
        <v>1741</v>
      </c>
      <c r="C745" s="11">
        <v>1741</v>
      </c>
      <c r="E745" s="11">
        <v>3513</v>
      </c>
      <c r="F745" s="11">
        <v>3513</v>
      </c>
      <c r="H745" s="11">
        <v>9971</v>
      </c>
      <c r="I745" s="11">
        <v>9971</v>
      </c>
    </row>
    <row r="746" customHeight="1" spans="2:9">
      <c r="B746" s="11">
        <v>1742</v>
      </c>
      <c r="C746" s="11">
        <v>1742</v>
      </c>
      <c r="E746" s="11">
        <v>3514</v>
      </c>
      <c r="F746" s="11">
        <v>3514</v>
      </c>
      <c r="H746" s="11">
        <v>9972</v>
      </c>
      <c r="I746" s="11">
        <v>9972</v>
      </c>
    </row>
    <row r="747" customHeight="1" spans="2:9">
      <c r="B747" s="11">
        <v>1743</v>
      </c>
      <c r="C747" s="11">
        <v>1743</v>
      </c>
      <c r="E747" s="11">
        <v>3515</v>
      </c>
      <c r="F747" s="11">
        <v>3515</v>
      </c>
      <c r="H747" s="11">
        <v>9973</v>
      </c>
      <c r="I747" s="11">
        <v>9973</v>
      </c>
    </row>
    <row r="748" customHeight="1" spans="2:9">
      <c r="B748" s="11">
        <v>1744</v>
      </c>
      <c r="C748" s="11">
        <v>1744</v>
      </c>
      <c r="E748" s="11">
        <v>3516</v>
      </c>
      <c r="F748" s="11">
        <v>3516</v>
      </c>
      <c r="H748" s="11">
        <v>9974</v>
      </c>
      <c r="I748" s="11">
        <v>9974</v>
      </c>
    </row>
    <row r="749" customHeight="1" spans="2:9">
      <c r="B749" s="11">
        <v>1745</v>
      </c>
      <c r="C749" s="11">
        <v>1745</v>
      </c>
      <c r="E749" s="11">
        <v>3517</v>
      </c>
      <c r="F749" s="11">
        <v>3517</v>
      </c>
      <c r="H749" s="11">
        <v>9975</v>
      </c>
      <c r="I749" s="11">
        <v>9975</v>
      </c>
    </row>
    <row r="750" customHeight="1" spans="2:9">
      <c r="B750" s="11">
        <v>1746</v>
      </c>
      <c r="C750" s="11">
        <v>1746</v>
      </c>
      <c r="E750" s="11">
        <v>3518</v>
      </c>
      <c r="F750" s="11">
        <v>3518</v>
      </c>
      <c r="H750" s="11">
        <v>9976</v>
      </c>
      <c r="I750" s="11">
        <v>9976</v>
      </c>
    </row>
    <row r="751" customHeight="1" spans="2:9">
      <c r="B751" s="11">
        <v>1747</v>
      </c>
      <c r="C751" s="11">
        <v>1747</v>
      </c>
      <c r="E751" s="11">
        <v>3519</v>
      </c>
      <c r="F751" s="11">
        <v>3519</v>
      </c>
      <c r="H751" s="11">
        <v>9977</v>
      </c>
      <c r="I751" s="11">
        <v>9977</v>
      </c>
    </row>
    <row r="752" customHeight="1" spans="2:9">
      <c r="B752" s="11">
        <v>1748</v>
      </c>
      <c r="C752" s="11">
        <v>1748</v>
      </c>
      <c r="E752" s="11">
        <v>3520</v>
      </c>
      <c r="F752" s="11">
        <v>3520</v>
      </c>
      <c r="H752" s="11">
        <v>9978</v>
      </c>
      <c r="I752" s="11">
        <v>9978</v>
      </c>
    </row>
    <row r="753" customHeight="1" spans="2:9">
      <c r="B753" s="11">
        <v>1749</v>
      </c>
      <c r="C753" s="11">
        <v>1749</v>
      </c>
      <c r="E753" s="11">
        <v>3521</v>
      </c>
      <c r="F753" s="11">
        <v>3521</v>
      </c>
      <c r="H753" s="11">
        <v>9979</v>
      </c>
      <c r="I753" s="11">
        <v>9979</v>
      </c>
    </row>
    <row r="754" customHeight="1" spans="2:9">
      <c r="B754" s="11">
        <v>1750</v>
      </c>
      <c r="C754" s="11">
        <v>1750</v>
      </c>
      <c r="E754" s="11">
        <v>3522</v>
      </c>
      <c r="F754" s="11">
        <v>3522</v>
      </c>
      <c r="H754" s="11">
        <v>9980</v>
      </c>
      <c r="I754" s="11">
        <v>9980</v>
      </c>
    </row>
    <row r="755" customHeight="1" spans="2:9">
      <c r="B755" s="11">
        <v>1751</v>
      </c>
      <c r="C755" s="11">
        <v>1751</v>
      </c>
      <c r="E755" s="11">
        <v>3523</v>
      </c>
      <c r="F755" s="11">
        <v>3523</v>
      </c>
      <c r="H755" s="11">
        <v>9981</v>
      </c>
      <c r="I755" s="11">
        <v>9981</v>
      </c>
    </row>
    <row r="756" customHeight="1" spans="2:9">
      <c r="B756" s="11">
        <v>1752</v>
      </c>
      <c r="C756" s="11">
        <v>1752</v>
      </c>
      <c r="E756" s="11">
        <v>3524</v>
      </c>
      <c r="F756" s="11">
        <v>3524</v>
      </c>
      <c r="H756" s="11">
        <v>9982</v>
      </c>
      <c r="I756" s="11">
        <v>9982</v>
      </c>
    </row>
    <row r="757" customHeight="1" spans="2:9">
      <c r="B757" s="11">
        <v>1753</v>
      </c>
      <c r="C757" s="11">
        <v>1753</v>
      </c>
      <c r="E757" s="11">
        <v>3525</v>
      </c>
      <c r="F757" s="11">
        <v>3525</v>
      </c>
      <c r="H757" s="11">
        <v>9983</v>
      </c>
      <c r="I757" s="11">
        <v>9983</v>
      </c>
    </row>
    <row r="758" customHeight="1" spans="2:9">
      <c r="B758" s="11">
        <v>1754</v>
      </c>
      <c r="C758" s="11">
        <v>1754</v>
      </c>
      <c r="E758" s="11">
        <v>3526</v>
      </c>
      <c r="F758" s="11">
        <v>3526</v>
      </c>
      <c r="H758" s="11">
        <v>9984</v>
      </c>
      <c r="I758" s="11">
        <v>9984</v>
      </c>
    </row>
    <row r="759" customHeight="1" spans="2:9">
      <c r="B759" s="11">
        <v>1755</v>
      </c>
      <c r="C759" s="11">
        <v>1755</v>
      </c>
      <c r="E759" s="11">
        <v>3527</v>
      </c>
      <c r="F759" s="11">
        <v>3527</v>
      </c>
      <c r="H759" s="11">
        <v>9985</v>
      </c>
      <c r="I759" s="11">
        <v>9985</v>
      </c>
    </row>
    <row r="760" customHeight="1" spans="2:9">
      <c r="B760" s="11">
        <v>1756</v>
      </c>
      <c r="C760" s="11">
        <v>1756</v>
      </c>
      <c r="E760" s="11">
        <v>3528</v>
      </c>
      <c r="F760" s="11">
        <v>3528</v>
      </c>
      <c r="H760" s="11">
        <v>9986</v>
      </c>
      <c r="I760" s="11">
        <v>9986</v>
      </c>
    </row>
    <row r="761" customHeight="1" spans="2:9">
      <c r="B761" s="11">
        <v>1757</v>
      </c>
      <c r="C761" s="11">
        <v>1757</v>
      </c>
      <c r="E761" s="11">
        <v>3529</v>
      </c>
      <c r="F761" s="11">
        <v>3529</v>
      </c>
      <c r="H761" s="11">
        <v>9987</v>
      </c>
      <c r="I761" s="11">
        <v>9987</v>
      </c>
    </row>
    <row r="762" customHeight="1" spans="2:9">
      <c r="B762" s="11">
        <v>1758</v>
      </c>
      <c r="C762" s="11">
        <v>1758</v>
      </c>
      <c r="E762" s="11">
        <v>3530</v>
      </c>
      <c r="F762" s="11">
        <v>3530</v>
      </c>
      <c r="H762" s="11">
        <v>9988</v>
      </c>
      <c r="I762" s="11">
        <v>9988</v>
      </c>
    </row>
    <row r="763" customHeight="1" spans="2:9">
      <c r="B763" s="11">
        <v>1759</v>
      </c>
      <c r="C763" s="11">
        <v>1759</v>
      </c>
      <c r="E763" s="11">
        <v>3531</v>
      </c>
      <c r="F763" s="11">
        <v>3531</v>
      </c>
      <c r="H763" s="11">
        <v>9989</v>
      </c>
      <c r="I763" s="11">
        <v>9989</v>
      </c>
    </row>
    <row r="764" customHeight="1" spans="2:9">
      <c r="B764" s="11">
        <v>1760</v>
      </c>
      <c r="C764" s="11">
        <v>1760</v>
      </c>
      <c r="E764" s="11">
        <v>3532</v>
      </c>
      <c r="F764" s="11">
        <v>3532</v>
      </c>
      <c r="H764" s="11">
        <v>9990</v>
      </c>
      <c r="I764" s="11">
        <v>9990</v>
      </c>
    </row>
    <row r="765" customHeight="1" spans="2:9">
      <c r="B765" s="11">
        <v>1761</v>
      </c>
      <c r="C765" s="11">
        <v>1761</v>
      </c>
      <c r="E765" s="11">
        <v>3533</v>
      </c>
      <c r="F765" s="11">
        <v>3533</v>
      </c>
      <c r="H765" s="11">
        <v>9991</v>
      </c>
      <c r="I765" s="11">
        <v>9991</v>
      </c>
    </row>
    <row r="766" customHeight="1" spans="2:9">
      <c r="B766" s="11">
        <v>1762</v>
      </c>
      <c r="C766" s="11">
        <v>1762</v>
      </c>
      <c r="E766" s="11">
        <v>3534</v>
      </c>
      <c r="F766" s="11">
        <v>3534</v>
      </c>
      <c r="H766" s="11">
        <v>9992</v>
      </c>
      <c r="I766" s="11">
        <v>9992</v>
      </c>
    </row>
    <row r="767" customHeight="1" spans="2:9">
      <c r="B767" s="11">
        <v>1763</v>
      </c>
      <c r="C767" s="11">
        <v>1763</v>
      </c>
      <c r="E767" s="11">
        <v>3535</v>
      </c>
      <c r="F767" s="11">
        <v>3535</v>
      </c>
      <c r="H767" s="11">
        <v>9993</v>
      </c>
      <c r="I767" s="11">
        <v>9993</v>
      </c>
    </row>
    <row r="768" customHeight="1" spans="2:9">
      <c r="B768" s="11">
        <v>1764</v>
      </c>
      <c r="C768" s="11">
        <v>1764</v>
      </c>
      <c r="E768" s="11">
        <v>3536</v>
      </c>
      <c r="F768" s="11">
        <v>3536</v>
      </c>
      <c r="H768" s="11">
        <v>9994</v>
      </c>
      <c r="I768" s="11">
        <v>9994</v>
      </c>
    </row>
    <row r="769" customHeight="1" spans="2:9">
      <c r="B769" s="11">
        <v>1765</v>
      </c>
      <c r="C769" s="11">
        <v>1765</v>
      </c>
      <c r="E769" s="11">
        <v>3537</v>
      </c>
      <c r="F769" s="11">
        <v>3537</v>
      </c>
      <c r="H769" s="11">
        <v>9995</v>
      </c>
      <c r="I769" s="11">
        <v>9995</v>
      </c>
    </row>
    <row r="770" customHeight="1" spans="2:9">
      <c r="B770" s="11">
        <v>1766</v>
      </c>
      <c r="C770" s="11">
        <v>1766</v>
      </c>
      <c r="E770" s="11">
        <v>3538</v>
      </c>
      <c r="F770" s="11">
        <v>3538</v>
      </c>
      <c r="H770" s="11">
        <v>9996</v>
      </c>
      <c r="I770" s="11">
        <v>9996</v>
      </c>
    </row>
    <row r="771" customHeight="1" spans="2:9">
      <c r="B771" s="11">
        <v>1767</v>
      </c>
      <c r="C771" s="11">
        <v>1767</v>
      </c>
      <c r="E771" s="11">
        <v>3539</v>
      </c>
      <c r="F771" s="11">
        <v>3539</v>
      </c>
      <c r="H771" s="11">
        <v>9997</v>
      </c>
      <c r="I771" s="11">
        <v>9997</v>
      </c>
    </row>
    <row r="772" customHeight="1" spans="2:9">
      <c r="B772" s="11">
        <v>1768</v>
      </c>
      <c r="C772" s="11">
        <v>1768</v>
      </c>
      <c r="E772" s="11">
        <v>3540</v>
      </c>
      <c r="F772" s="11">
        <v>3540</v>
      </c>
      <c r="H772" s="11">
        <v>9998</v>
      </c>
      <c r="I772" s="11">
        <v>9998</v>
      </c>
    </row>
    <row r="773" customHeight="1" spans="2:9">
      <c r="B773" s="11">
        <v>1769</v>
      </c>
      <c r="C773" s="11">
        <v>1769</v>
      </c>
      <c r="E773" s="11">
        <v>3541</v>
      </c>
      <c r="F773" s="11">
        <v>3541</v>
      </c>
      <c r="H773" s="11">
        <v>4806</v>
      </c>
      <c r="I773" s="11">
        <v>4806</v>
      </c>
    </row>
    <row r="774" customHeight="1" spans="2:9">
      <c r="B774" s="11">
        <v>1770</v>
      </c>
      <c r="C774" s="11">
        <v>1770</v>
      </c>
      <c r="E774" s="11">
        <v>3542</v>
      </c>
      <c r="F774" s="11">
        <v>3542</v>
      </c>
      <c r="H774" s="11">
        <v>4807</v>
      </c>
      <c r="I774" s="11">
        <v>4807</v>
      </c>
    </row>
    <row r="775" customHeight="1" spans="2:9">
      <c r="B775" s="11">
        <v>1771</v>
      </c>
      <c r="C775" s="11">
        <v>1771</v>
      </c>
      <c r="E775" s="11">
        <v>3543</v>
      </c>
      <c r="F775" s="11">
        <v>3543</v>
      </c>
      <c r="H775" s="11">
        <v>4808</v>
      </c>
      <c r="I775" s="11">
        <v>4808</v>
      </c>
    </row>
    <row r="776" customHeight="1" spans="2:9">
      <c r="B776" s="11">
        <v>1772</v>
      </c>
      <c r="C776" s="11">
        <v>1772</v>
      </c>
      <c r="E776" s="11">
        <v>3544</v>
      </c>
      <c r="F776" s="11">
        <v>3544</v>
      </c>
      <c r="H776" s="11">
        <v>4809</v>
      </c>
      <c r="I776" s="11">
        <v>4809</v>
      </c>
    </row>
    <row r="777" customHeight="1" spans="2:9">
      <c r="B777" s="11">
        <v>1773</v>
      </c>
      <c r="C777" s="11">
        <v>1773</v>
      </c>
      <c r="E777" s="11">
        <v>3545</v>
      </c>
      <c r="F777" s="11">
        <v>3545</v>
      </c>
      <c r="H777" s="11">
        <v>4810</v>
      </c>
      <c r="I777" s="11">
        <v>4810</v>
      </c>
    </row>
    <row r="778" customHeight="1" spans="2:9">
      <c r="B778" s="11">
        <v>1774</v>
      </c>
      <c r="C778" s="11">
        <v>1774</v>
      </c>
      <c r="E778" s="11">
        <v>3546</v>
      </c>
      <c r="F778" s="11">
        <v>3546</v>
      </c>
      <c r="H778" s="11">
        <v>4811</v>
      </c>
      <c r="I778" s="11">
        <v>4811</v>
      </c>
    </row>
    <row r="779" customHeight="1" spans="2:9">
      <c r="B779" s="11">
        <v>1775</v>
      </c>
      <c r="C779" s="11">
        <v>1775</v>
      </c>
      <c r="E779" s="11">
        <v>3547</v>
      </c>
      <c r="F779" s="11">
        <v>3547</v>
      </c>
      <c r="H779" s="11">
        <v>4812</v>
      </c>
      <c r="I779" s="11">
        <v>4812</v>
      </c>
    </row>
    <row r="780" customHeight="1" spans="2:9">
      <c r="B780" s="11">
        <v>1776</v>
      </c>
      <c r="C780" s="11">
        <v>1776</v>
      </c>
      <c r="E780" s="11">
        <v>3548</v>
      </c>
      <c r="F780" s="11">
        <v>3548</v>
      </c>
      <c r="H780" s="11">
        <v>4813</v>
      </c>
      <c r="I780" s="11">
        <v>4813</v>
      </c>
    </row>
    <row r="781" customHeight="1" spans="2:9">
      <c r="B781" s="11">
        <v>1777</v>
      </c>
      <c r="C781" s="11">
        <v>1777</v>
      </c>
      <c r="E781" s="11">
        <v>3549</v>
      </c>
      <c r="F781" s="11">
        <v>3549</v>
      </c>
      <c r="H781" s="11">
        <v>4814</v>
      </c>
      <c r="I781" s="11">
        <v>4814</v>
      </c>
    </row>
    <row r="782" customHeight="1" spans="2:9">
      <c r="B782" s="11">
        <v>1778</v>
      </c>
      <c r="C782" s="11">
        <v>1778</v>
      </c>
      <c r="E782" s="11">
        <v>3550</v>
      </c>
      <c r="F782" s="11">
        <v>3550</v>
      </c>
      <c r="H782" s="11">
        <v>4815</v>
      </c>
      <c r="I782" s="11">
        <v>4815</v>
      </c>
    </row>
    <row r="783" customHeight="1" spans="2:9">
      <c r="B783" s="11">
        <v>1779</v>
      </c>
      <c r="C783" s="11">
        <v>1779</v>
      </c>
      <c r="E783" s="11">
        <v>3551</v>
      </c>
      <c r="F783" s="11">
        <v>3551</v>
      </c>
      <c r="H783" s="11">
        <v>4816</v>
      </c>
      <c r="I783" s="11">
        <v>4816</v>
      </c>
    </row>
    <row r="784" customHeight="1" spans="2:9">
      <c r="B784" s="11">
        <v>1780</v>
      </c>
      <c r="C784" s="11">
        <v>1780</v>
      </c>
      <c r="E784" s="11">
        <v>3552</v>
      </c>
      <c r="F784" s="11">
        <v>3552</v>
      </c>
      <c r="H784" s="11">
        <v>4817</v>
      </c>
      <c r="I784" s="11">
        <v>4817</v>
      </c>
    </row>
    <row r="785" customHeight="1" spans="2:9">
      <c r="B785" s="11">
        <v>1781</v>
      </c>
      <c r="C785" s="11">
        <v>1781</v>
      </c>
      <c r="E785" s="11">
        <v>3553</v>
      </c>
      <c r="F785" s="11">
        <v>3553</v>
      </c>
      <c r="H785" s="11">
        <v>4818</v>
      </c>
      <c r="I785" s="11">
        <v>4818</v>
      </c>
    </row>
    <row r="786" customHeight="1" spans="2:9">
      <c r="B786" s="11">
        <v>1782</v>
      </c>
      <c r="C786" s="11">
        <v>1782</v>
      </c>
      <c r="E786" s="11">
        <v>3554</v>
      </c>
      <c r="F786" s="11">
        <v>3554</v>
      </c>
      <c r="H786" s="11">
        <v>4819</v>
      </c>
      <c r="I786" s="11">
        <v>4819</v>
      </c>
    </row>
    <row r="787" customHeight="1" spans="2:9">
      <c r="B787" s="11">
        <v>1783</v>
      </c>
      <c r="C787" s="11">
        <v>1783</v>
      </c>
      <c r="E787" s="11">
        <v>3555</v>
      </c>
      <c r="F787" s="11">
        <v>3555</v>
      </c>
      <c r="H787" s="11">
        <v>4820</v>
      </c>
      <c r="I787" s="11">
        <v>4820</v>
      </c>
    </row>
    <row r="788" customHeight="1" spans="2:9">
      <c r="B788" s="11">
        <v>1784</v>
      </c>
      <c r="C788" s="11">
        <v>1784</v>
      </c>
      <c r="E788" s="11">
        <v>3556</v>
      </c>
      <c r="F788" s="11">
        <v>3556</v>
      </c>
      <c r="H788" s="11">
        <v>4821</v>
      </c>
      <c r="I788" s="11">
        <v>4821</v>
      </c>
    </row>
    <row r="789" customHeight="1" spans="2:9">
      <c r="B789" s="11">
        <v>1785</v>
      </c>
      <c r="C789" s="11">
        <v>1785</v>
      </c>
      <c r="E789" s="11">
        <v>3557</v>
      </c>
      <c r="F789" s="11">
        <v>3557</v>
      </c>
      <c r="H789" s="11">
        <v>4822</v>
      </c>
      <c r="I789" s="11">
        <v>4822</v>
      </c>
    </row>
    <row r="790" customHeight="1" spans="2:9">
      <c r="B790" s="11">
        <v>1786</v>
      </c>
      <c r="C790" s="11">
        <v>1786</v>
      </c>
      <c r="E790" s="11">
        <v>3558</v>
      </c>
      <c r="F790" s="11">
        <v>3558</v>
      </c>
      <c r="H790" s="11">
        <v>4823</v>
      </c>
      <c r="I790" s="11">
        <v>4823</v>
      </c>
    </row>
    <row r="791" customHeight="1" spans="2:9">
      <c r="B791" s="11">
        <v>1787</v>
      </c>
      <c r="C791" s="11">
        <v>1787</v>
      </c>
      <c r="E791" s="11">
        <v>3559</v>
      </c>
      <c r="F791" s="11">
        <v>3559</v>
      </c>
      <c r="H791" s="11">
        <v>4824</v>
      </c>
      <c r="I791" s="11">
        <v>4824</v>
      </c>
    </row>
    <row r="792" customHeight="1" spans="2:9">
      <c r="B792" s="11">
        <v>1788</v>
      </c>
      <c r="C792" s="11">
        <v>1788</v>
      </c>
      <c r="E792" s="11">
        <v>3560</v>
      </c>
      <c r="F792" s="11">
        <v>3560</v>
      </c>
      <c r="H792" s="11">
        <v>4825</v>
      </c>
      <c r="I792" s="11">
        <v>4825</v>
      </c>
    </row>
    <row r="793" customHeight="1" spans="2:9">
      <c r="B793" s="11">
        <v>1789</v>
      </c>
      <c r="C793" s="11">
        <v>1789</v>
      </c>
      <c r="E793" s="11">
        <v>3561</v>
      </c>
      <c r="F793" s="11">
        <v>3561</v>
      </c>
      <c r="H793" s="11">
        <v>4826</v>
      </c>
      <c r="I793" s="11">
        <v>4826</v>
      </c>
    </row>
    <row r="794" customHeight="1" spans="2:9">
      <c r="B794" s="11">
        <v>1790</v>
      </c>
      <c r="C794" s="11">
        <v>1790</v>
      </c>
      <c r="E794" s="11">
        <v>3562</v>
      </c>
      <c r="F794" s="11">
        <v>3562</v>
      </c>
      <c r="H794" s="11">
        <v>4827</v>
      </c>
      <c r="I794" s="11">
        <v>4827</v>
      </c>
    </row>
    <row r="795" customHeight="1" spans="2:9">
      <c r="B795" s="11">
        <v>1791</v>
      </c>
      <c r="C795" s="11">
        <v>1791</v>
      </c>
      <c r="E795" s="11">
        <v>3563</v>
      </c>
      <c r="F795" s="11">
        <v>3563</v>
      </c>
      <c r="H795" s="11">
        <v>4828</v>
      </c>
      <c r="I795" s="11">
        <v>4828</v>
      </c>
    </row>
    <row r="796" customHeight="1" spans="2:9">
      <c r="B796" s="11">
        <v>1792</v>
      </c>
      <c r="C796" s="11">
        <v>1792</v>
      </c>
      <c r="E796" s="11">
        <v>3564</v>
      </c>
      <c r="F796" s="11">
        <v>3564</v>
      </c>
      <c r="H796" s="11">
        <v>4829</v>
      </c>
      <c r="I796" s="11">
        <v>4829</v>
      </c>
    </row>
    <row r="797" customHeight="1" spans="2:9">
      <c r="B797" s="11">
        <v>1793</v>
      </c>
      <c r="C797" s="11">
        <v>1793</v>
      </c>
      <c r="E797" s="11">
        <v>3565</v>
      </c>
      <c r="F797" s="11">
        <v>3565</v>
      </c>
      <c r="H797" s="11">
        <v>4830</v>
      </c>
      <c r="I797" s="11">
        <v>4830</v>
      </c>
    </row>
    <row r="798" customHeight="1" spans="2:9">
      <c r="B798" s="11">
        <v>1794</v>
      </c>
      <c r="C798" s="11">
        <v>1794</v>
      </c>
      <c r="E798" s="11">
        <v>3566</v>
      </c>
      <c r="F798" s="11">
        <v>3566</v>
      </c>
      <c r="H798" s="11">
        <v>4831</v>
      </c>
      <c r="I798" s="11">
        <v>4831</v>
      </c>
    </row>
    <row r="799" customHeight="1" spans="2:9">
      <c r="B799" s="11">
        <v>1795</v>
      </c>
      <c r="C799" s="11">
        <v>1795</v>
      </c>
      <c r="E799" s="11">
        <v>3567</v>
      </c>
      <c r="F799" s="11">
        <v>3567</v>
      </c>
      <c r="H799" s="11">
        <v>4832</v>
      </c>
      <c r="I799" s="11">
        <v>4832</v>
      </c>
    </row>
    <row r="800" customHeight="1" spans="2:9">
      <c r="B800" s="11">
        <v>1796</v>
      </c>
      <c r="C800" s="11">
        <v>1796</v>
      </c>
      <c r="E800" s="11">
        <v>3568</v>
      </c>
      <c r="F800" s="11">
        <v>3568</v>
      </c>
      <c r="H800" s="11">
        <v>4833</v>
      </c>
      <c r="I800" s="11">
        <v>4833</v>
      </c>
    </row>
    <row r="801" customHeight="1" spans="2:9">
      <c r="B801" s="11">
        <v>1797</v>
      </c>
      <c r="C801" s="11">
        <v>1797</v>
      </c>
      <c r="E801" s="11">
        <v>3569</v>
      </c>
      <c r="F801" s="11">
        <v>3569</v>
      </c>
      <c r="H801" s="11">
        <v>4834</v>
      </c>
      <c r="I801" s="11">
        <v>4834</v>
      </c>
    </row>
    <row r="802" customHeight="1" spans="2:9">
      <c r="B802" s="11">
        <v>1798</v>
      </c>
      <c r="C802" s="11">
        <v>1798</v>
      </c>
      <c r="E802" s="11">
        <v>3570</v>
      </c>
      <c r="F802" s="11">
        <v>3570</v>
      </c>
      <c r="H802" s="11">
        <v>4835</v>
      </c>
      <c r="I802" s="11">
        <v>4835</v>
      </c>
    </row>
    <row r="803" customHeight="1" spans="2:9">
      <c r="B803" s="11">
        <v>1799</v>
      </c>
      <c r="C803" s="11">
        <v>1799</v>
      </c>
      <c r="E803" s="11">
        <v>3571</v>
      </c>
      <c r="F803" s="11">
        <v>3571</v>
      </c>
      <c r="H803" s="11">
        <v>4836</v>
      </c>
      <c r="I803" s="11">
        <v>4836</v>
      </c>
    </row>
    <row r="804" customHeight="1" spans="2:9">
      <c r="B804" s="11">
        <v>1800</v>
      </c>
      <c r="C804" s="11">
        <v>1800</v>
      </c>
      <c r="E804" s="11">
        <v>3572</v>
      </c>
      <c r="F804" s="11">
        <v>3572</v>
      </c>
      <c r="H804" s="11">
        <v>4837</v>
      </c>
      <c r="I804" s="11">
        <v>4837</v>
      </c>
    </row>
    <row r="805" customHeight="1" spans="2:9">
      <c r="B805" s="11">
        <v>1801</v>
      </c>
      <c r="C805" s="11">
        <v>1801</v>
      </c>
      <c r="E805" s="11">
        <v>3573</v>
      </c>
      <c r="F805" s="11">
        <v>3573</v>
      </c>
      <c r="H805" s="11">
        <v>4838</v>
      </c>
      <c r="I805" s="11">
        <v>4838</v>
      </c>
    </row>
    <row r="806" customHeight="1" spans="2:9">
      <c r="B806" s="11">
        <v>1802</v>
      </c>
      <c r="C806" s="11">
        <v>1802</v>
      </c>
      <c r="E806" s="11">
        <v>3574</v>
      </c>
      <c r="F806" s="11">
        <v>3574</v>
      </c>
      <c r="H806" s="11">
        <v>4839</v>
      </c>
      <c r="I806" s="11">
        <v>4839</v>
      </c>
    </row>
    <row r="807" customHeight="1" spans="2:9">
      <c r="B807" s="11">
        <v>1803</v>
      </c>
      <c r="C807" s="11">
        <v>1803</v>
      </c>
      <c r="E807" s="11">
        <v>3575</v>
      </c>
      <c r="F807" s="11">
        <v>3575</v>
      </c>
      <c r="H807" s="11">
        <v>4840</v>
      </c>
      <c r="I807" s="11">
        <v>4840</v>
      </c>
    </row>
    <row r="808" customHeight="1" spans="2:9">
      <c r="B808" s="11">
        <v>1804</v>
      </c>
      <c r="C808" s="11">
        <v>1804</v>
      </c>
      <c r="E808" s="11">
        <v>3576</v>
      </c>
      <c r="F808" s="11">
        <v>3576</v>
      </c>
      <c r="H808" s="11">
        <v>4841</v>
      </c>
      <c r="I808" s="11">
        <v>4841</v>
      </c>
    </row>
    <row r="809" customHeight="1" spans="2:9">
      <c r="B809" s="11">
        <v>1805</v>
      </c>
      <c r="C809" s="11">
        <v>1805</v>
      </c>
      <c r="E809" s="11">
        <v>3577</v>
      </c>
      <c r="F809" s="11">
        <v>3577</v>
      </c>
      <c r="H809" s="11">
        <v>4842</v>
      </c>
      <c r="I809" s="11">
        <v>4842</v>
      </c>
    </row>
    <row r="810" customHeight="1" spans="2:9">
      <c r="B810" s="11">
        <v>1806</v>
      </c>
      <c r="C810" s="11">
        <v>1806</v>
      </c>
      <c r="E810" s="11">
        <v>3578</v>
      </c>
      <c r="F810" s="11">
        <v>3578</v>
      </c>
      <c r="H810" s="11">
        <v>4843</v>
      </c>
      <c r="I810" s="11">
        <v>4843</v>
      </c>
    </row>
    <row r="811" customHeight="1" spans="2:9">
      <c r="B811" s="11">
        <v>1807</v>
      </c>
      <c r="C811" s="11">
        <v>1807</v>
      </c>
      <c r="E811" s="11">
        <v>3579</v>
      </c>
      <c r="F811" s="11">
        <v>3579</v>
      </c>
      <c r="H811" s="11">
        <v>4844</v>
      </c>
      <c r="I811" s="11">
        <v>4844</v>
      </c>
    </row>
    <row r="812" customHeight="1" spans="2:9">
      <c r="B812" s="11">
        <v>1808</v>
      </c>
      <c r="C812" s="11">
        <v>1808</v>
      </c>
      <c r="E812" s="11">
        <v>3580</v>
      </c>
      <c r="F812" s="11">
        <v>3580</v>
      </c>
      <c r="H812" s="11">
        <v>4845</v>
      </c>
      <c r="I812" s="11">
        <v>4845</v>
      </c>
    </row>
    <row r="813" customHeight="1" spans="2:9">
      <c r="B813" s="11">
        <v>1809</v>
      </c>
      <c r="C813" s="11">
        <v>1809</v>
      </c>
      <c r="E813" s="11">
        <v>3581</v>
      </c>
      <c r="F813" s="11">
        <v>3581</v>
      </c>
      <c r="H813" s="11">
        <v>4846</v>
      </c>
      <c r="I813" s="11">
        <v>4846</v>
      </c>
    </row>
    <row r="814" customHeight="1" spans="2:9">
      <c r="B814" s="11">
        <v>1810</v>
      </c>
      <c r="C814" s="11">
        <v>1810</v>
      </c>
      <c r="E814" s="11">
        <v>3582</v>
      </c>
      <c r="F814" s="11">
        <v>3582</v>
      </c>
      <c r="H814" s="11">
        <v>4847</v>
      </c>
      <c r="I814" s="11">
        <v>4847</v>
      </c>
    </row>
    <row r="815" customHeight="1" spans="2:9">
      <c r="B815" s="11">
        <v>1811</v>
      </c>
      <c r="C815" s="11">
        <v>1811</v>
      </c>
      <c r="E815" s="11">
        <v>3583</v>
      </c>
      <c r="F815" s="11">
        <v>3583</v>
      </c>
      <c r="H815" s="11">
        <v>4848</v>
      </c>
      <c r="I815" s="11">
        <v>4848</v>
      </c>
    </row>
    <row r="816" customHeight="1" spans="2:9">
      <c r="B816" s="11">
        <v>1812</v>
      </c>
      <c r="C816" s="11">
        <v>1812</v>
      </c>
      <c r="E816" s="11">
        <v>3584</v>
      </c>
      <c r="F816" s="11">
        <v>3584</v>
      </c>
      <c r="H816" s="11">
        <v>4849</v>
      </c>
      <c r="I816" s="11">
        <v>4849</v>
      </c>
    </row>
    <row r="817" customHeight="1" spans="2:9">
      <c r="B817" s="11">
        <v>1813</v>
      </c>
      <c r="C817" s="11">
        <v>1813</v>
      </c>
      <c r="E817" s="11">
        <v>3585</v>
      </c>
      <c r="F817" s="11">
        <v>3585</v>
      </c>
      <c r="H817" s="11">
        <v>4850</v>
      </c>
      <c r="I817" s="11">
        <v>4850</v>
      </c>
    </row>
    <row r="818" customHeight="1" spans="2:9">
      <c r="B818" s="11">
        <v>1814</v>
      </c>
      <c r="C818" s="11">
        <v>1814</v>
      </c>
      <c r="E818" s="11">
        <v>3586</v>
      </c>
      <c r="F818" s="11">
        <v>3586</v>
      </c>
      <c r="H818" s="11">
        <v>4851</v>
      </c>
      <c r="I818" s="11">
        <v>4851</v>
      </c>
    </row>
    <row r="819" customHeight="1" spans="2:9">
      <c r="B819" s="11">
        <v>1815</v>
      </c>
      <c r="C819" s="11">
        <v>1815</v>
      </c>
      <c r="E819" s="11">
        <v>3587</v>
      </c>
      <c r="F819" s="11">
        <v>3587</v>
      </c>
      <c r="H819" s="11">
        <v>4852</v>
      </c>
      <c r="I819" s="11">
        <v>4852</v>
      </c>
    </row>
    <row r="820" customHeight="1" spans="2:9">
      <c r="B820" s="11">
        <v>1816</v>
      </c>
      <c r="C820" s="11">
        <v>1816</v>
      </c>
      <c r="E820" s="11">
        <v>3588</v>
      </c>
      <c r="F820" s="11">
        <v>3588</v>
      </c>
      <c r="H820" s="11">
        <v>4853</v>
      </c>
      <c r="I820" s="11">
        <v>4853</v>
      </c>
    </row>
    <row r="821" customHeight="1" spans="2:9">
      <c r="B821" s="11">
        <v>1817</v>
      </c>
      <c r="C821" s="11">
        <v>1817</v>
      </c>
      <c r="E821" s="11">
        <v>3589</v>
      </c>
      <c r="F821" s="11">
        <v>3589</v>
      </c>
      <c r="H821" s="11">
        <v>4854</v>
      </c>
      <c r="I821" s="11">
        <v>4854</v>
      </c>
    </row>
    <row r="822" customHeight="1" spans="2:9">
      <c r="B822" s="11">
        <v>1818</v>
      </c>
      <c r="C822" s="11">
        <v>1818</v>
      </c>
      <c r="E822" s="11">
        <v>3590</v>
      </c>
      <c r="F822" s="11">
        <v>3590</v>
      </c>
      <c r="H822" s="11">
        <v>4855</v>
      </c>
      <c r="I822" s="11">
        <v>4855</v>
      </c>
    </row>
    <row r="823" customHeight="1" spans="2:9">
      <c r="B823" s="11">
        <v>1819</v>
      </c>
      <c r="C823" s="11">
        <v>1819</v>
      </c>
      <c r="E823" s="11">
        <v>3591</v>
      </c>
      <c r="F823" s="11">
        <v>3591</v>
      </c>
      <c r="H823" s="11">
        <v>4856</v>
      </c>
      <c r="I823" s="11">
        <v>4856</v>
      </c>
    </row>
    <row r="824" customHeight="1" spans="2:9">
      <c r="B824" s="11">
        <v>1820</v>
      </c>
      <c r="C824" s="11">
        <v>1820</v>
      </c>
      <c r="E824" s="11">
        <v>3592</v>
      </c>
      <c r="F824" s="11">
        <v>3592</v>
      </c>
      <c r="H824" s="11">
        <v>4857</v>
      </c>
      <c r="I824" s="11">
        <v>4857</v>
      </c>
    </row>
    <row r="825" customHeight="1" spans="2:9">
      <c r="B825" s="11">
        <v>1821</v>
      </c>
      <c r="C825" s="11">
        <v>1821</v>
      </c>
      <c r="E825" s="11">
        <v>3593</v>
      </c>
      <c r="F825" s="11">
        <v>3593</v>
      </c>
      <c r="H825" s="11">
        <v>4858</v>
      </c>
      <c r="I825" s="11">
        <v>4858</v>
      </c>
    </row>
    <row r="826" customHeight="1" spans="2:9">
      <c r="B826" s="11">
        <v>1822</v>
      </c>
      <c r="C826" s="11">
        <v>1822</v>
      </c>
      <c r="E826" s="11">
        <v>3594</v>
      </c>
      <c r="F826" s="11">
        <v>3594</v>
      </c>
      <c r="H826" s="11">
        <v>4859</v>
      </c>
      <c r="I826" s="11">
        <v>4859</v>
      </c>
    </row>
    <row r="827" customHeight="1" spans="2:9">
      <c r="B827" s="11">
        <v>1823</v>
      </c>
      <c r="C827" s="11">
        <v>1823</v>
      </c>
      <c r="E827" s="11">
        <v>3595</v>
      </c>
      <c r="F827" s="11">
        <v>3595</v>
      </c>
      <c r="H827" s="11">
        <v>4860</v>
      </c>
      <c r="I827" s="11">
        <v>4860</v>
      </c>
    </row>
    <row r="828" customHeight="1" spans="2:9">
      <c r="B828" s="11">
        <v>1824</v>
      </c>
      <c r="C828" s="11">
        <v>1824</v>
      </c>
      <c r="E828" s="11">
        <v>3596</v>
      </c>
      <c r="F828" s="11">
        <v>3596</v>
      </c>
      <c r="H828" s="11">
        <v>4861</v>
      </c>
      <c r="I828" s="11">
        <v>4861</v>
      </c>
    </row>
    <row r="829" customHeight="1" spans="2:9">
      <c r="B829" s="11">
        <v>1825</v>
      </c>
      <c r="C829" s="11">
        <v>1825</v>
      </c>
      <c r="E829" s="11">
        <v>3597</v>
      </c>
      <c r="F829" s="11">
        <v>3597</v>
      </c>
      <c r="H829" s="11">
        <v>4862</v>
      </c>
      <c r="I829" s="11">
        <v>4862</v>
      </c>
    </row>
    <row r="830" customHeight="1" spans="2:9">
      <c r="B830" s="11">
        <v>1826</v>
      </c>
      <c r="C830" s="11">
        <v>1826</v>
      </c>
      <c r="E830" s="11">
        <v>3598</v>
      </c>
      <c r="F830" s="11">
        <v>3598</v>
      </c>
      <c r="H830" s="11">
        <v>4863</v>
      </c>
      <c r="I830" s="11">
        <v>4863</v>
      </c>
    </row>
    <row r="831" customHeight="1" spans="2:9">
      <c r="B831" s="11">
        <v>1827</v>
      </c>
      <c r="C831" s="11">
        <v>1827</v>
      </c>
      <c r="E831" s="11">
        <v>3599</v>
      </c>
      <c r="F831" s="11">
        <v>3599</v>
      </c>
      <c r="H831" s="11">
        <v>4864</v>
      </c>
      <c r="I831" s="11">
        <v>4864</v>
      </c>
    </row>
    <row r="832" customHeight="1" spans="2:9">
      <c r="B832" s="11">
        <v>1828</v>
      </c>
      <c r="C832" s="11">
        <v>1828</v>
      </c>
      <c r="E832" s="11">
        <v>3600</v>
      </c>
      <c r="F832" s="11">
        <v>3600</v>
      </c>
      <c r="H832" s="11">
        <v>4865</v>
      </c>
      <c r="I832" s="11">
        <v>4865</v>
      </c>
    </row>
    <row r="833" customHeight="1" spans="2:9">
      <c r="B833" s="11">
        <v>1829</v>
      </c>
      <c r="C833" s="11">
        <v>1829</v>
      </c>
      <c r="E833" s="11">
        <v>3601</v>
      </c>
      <c r="F833" s="11">
        <v>3601</v>
      </c>
      <c r="H833" s="11">
        <v>4866</v>
      </c>
      <c r="I833" s="11">
        <v>4866</v>
      </c>
    </row>
    <row r="834" customHeight="1" spans="2:9">
      <c r="B834" s="11">
        <v>1830</v>
      </c>
      <c r="C834" s="11">
        <v>1830</v>
      </c>
      <c r="E834" s="11">
        <v>3602</v>
      </c>
      <c r="F834" s="11">
        <v>3602</v>
      </c>
      <c r="H834" s="11">
        <v>4867</v>
      </c>
      <c r="I834" s="11">
        <v>4867</v>
      </c>
    </row>
    <row r="835" customHeight="1" spans="2:9">
      <c r="B835" s="11">
        <v>1831</v>
      </c>
      <c r="C835" s="11">
        <v>1831</v>
      </c>
      <c r="E835" s="11">
        <v>3603</v>
      </c>
      <c r="F835" s="11">
        <v>3603</v>
      </c>
      <c r="H835" s="11">
        <v>4868</v>
      </c>
      <c r="I835" s="11">
        <v>4868</v>
      </c>
    </row>
    <row r="836" customHeight="1" spans="2:9">
      <c r="B836" s="11">
        <v>1832</v>
      </c>
      <c r="C836" s="11">
        <v>1832</v>
      </c>
      <c r="E836" s="11">
        <v>3604</v>
      </c>
      <c r="F836" s="11">
        <v>3604</v>
      </c>
      <c r="H836" s="11">
        <v>4869</v>
      </c>
      <c r="I836" s="11">
        <v>4869</v>
      </c>
    </row>
    <row r="837" customHeight="1" spans="2:9">
      <c r="B837" s="11">
        <v>1833</v>
      </c>
      <c r="C837" s="11">
        <v>1833</v>
      </c>
      <c r="E837" s="11">
        <v>3605</v>
      </c>
      <c r="F837" s="11">
        <v>3605</v>
      </c>
      <c r="H837" s="11">
        <v>4870</v>
      </c>
      <c r="I837" s="11">
        <v>4870</v>
      </c>
    </row>
    <row r="838" customHeight="1" spans="2:9">
      <c r="B838" s="11">
        <v>1834</v>
      </c>
      <c r="C838" s="11">
        <v>1834</v>
      </c>
      <c r="E838" s="11">
        <v>3606</v>
      </c>
      <c r="F838" s="11">
        <v>3606</v>
      </c>
      <c r="H838" s="11">
        <v>4871</v>
      </c>
      <c r="I838" s="11">
        <v>4871</v>
      </c>
    </row>
    <row r="839" customHeight="1" spans="2:9">
      <c r="B839" s="11">
        <v>1835</v>
      </c>
      <c r="C839" s="11">
        <v>1835</v>
      </c>
      <c r="E839" s="11">
        <v>3607</v>
      </c>
      <c r="F839" s="11">
        <v>3607</v>
      </c>
      <c r="H839" s="11">
        <v>4872</v>
      </c>
      <c r="I839" s="11">
        <v>4872</v>
      </c>
    </row>
    <row r="840" customHeight="1" spans="2:9">
      <c r="B840" s="11">
        <v>1836</v>
      </c>
      <c r="C840" s="11">
        <v>1836</v>
      </c>
      <c r="E840" s="11">
        <v>3608</v>
      </c>
      <c r="F840" s="11">
        <v>3608</v>
      </c>
      <c r="H840" s="11">
        <v>4873</v>
      </c>
      <c r="I840" s="11">
        <v>4873</v>
      </c>
    </row>
    <row r="841" customHeight="1" spans="2:9">
      <c r="B841" s="11">
        <v>1837</v>
      </c>
      <c r="C841" s="11">
        <v>1837</v>
      </c>
      <c r="E841" s="11">
        <v>3609</v>
      </c>
      <c r="F841" s="11">
        <v>3609</v>
      </c>
      <c r="H841" s="11">
        <v>4874</v>
      </c>
      <c r="I841" s="11">
        <v>4874</v>
      </c>
    </row>
    <row r="842" customHeight="1" spans="2:9">
      <c r="B842" s="11">
        <v>1838</v>
      </c>
      <c r="C842" s="11">
        <v>1838</v>
      </c>
      <c r="E842" s="11">
        <v>3610</v>
      </c>
      <c r="F842" s="11">
        <v>3610</v>
      </c>
      <c r="H842" s="11">
        <v>4875</v>
      </c>
      <c r="I842" s="11">
        <v>4875</v>
      </c>
    </row>
    <row r="843" customHeight="1" spans="2:9">
      <c r="B843" s="11">
        <v>1839</v>
      </c>
      <c r="C843" s="11">
        <v>1839</v>
      </c>
      <c r="E843" s="11">
        <v>3611</v>
      </c>
      <c r="F843" s="11">
        <v>3611</v>
      </c>
      <c r="H843" s="11">
        <v>4876</v>
      </c>
      <c r="I843" s="11">
        <v>4876</v>
      </c>
    </row>
    <row r="844" customHeight="1" spans="2:9">
      <c r="B844" s="11">
        <v>1840</v>
      </c>
      <c r="C844" s="11">
        <v>1840</v>
      </c>
      <c r="E844" s="11">
        <v>3612</v>
      </c>
      <c r="F844" s="11">
        <v>3612</v>
      </c>
      <c r="H844" s="11">
        <v>4877</v>
      </c>
      <c r="I844" s="11">
        <v>4877</v>
      </c>
    </row>
    <row r="845" customHeight="1" spans="2:9">
      <c r="B845" s="11">
        <v>1841</v>
      </c>
      <c r="C845" s="11">
        <v>1841</v>
      </c>
      <c r="E845" s="11">
        <v>3613</v>
      </c>
      <c r="F845" s="11">
        <v>3613</v>
      </c>
      <c r="H845" s="11">
        <v>4878</v>
      </c>
      <c r="I845" s="11">
        <v>4878</v>
      </c>
    </row>
    <row r="846" customHeight="1" spans="2:9">
      <c r="B846" s="11">
        <v>1842</v>
      </c>
      <c r="C846" s="11">
        <v>1842</v>
      </c>
      <c r="E846" s="11">
        <v>3614</v>
      </c>
      <c r="F846" s="11">
        <v>3614</v>
      </c>
      <c r="H846" s="11">
        <v>4879</v>
      </c>
      <c r="I846" s="11">
        <v>4879</v>
      </c>
    </row>
    <row r="847" customHeight="1" spans="2:9">
      <c r="B847" s="11">
        <v>1843</v>
      </c>
      <c r="C847" s="11">
        <v>1843</v>
      </c>
      <c r="E847" s="11">
        <v>3615</v>
      </c>
      <c r="F847" s="11">
        <v>3615</v>
      </c>
      <c r="H847" s="11">
        <v>4880</v>
      </c>
      <c r="I847" s="11">
        <v>4880</v>
      </c>
    </row>
    <row r="848" customHeight="1" spans="2:9">
      <c r="B848" s="11">
        <v>1844</v>
      </c>
      <c r="C848" s="11">
        <v>1844</v>
      </c>
      <c r="E848" s="11">
        <v>3616</v>
      </c>
      <c r="F848" s="11">
        <v>3616</v>
      </c>
      <c r="H848" s="11">
        <v>4881</v>
      </c>
      <c r="I848" s="11">
        <v>4881</v>
      </c>
    </row>
    <row r="849" customHeight="1" spans="2:9">
      <c r="B849" s="11">
        <v>1845</v>
      </c>
      <c r="C849" s="11">
        <v>1845</v>
      </c>
      <c r="E849" s="11">
        <v>3617</v>
      </c>
      <c r="F849" s="11">
        <v>3617</v>
      </c>
      <c r="H849" s="11">
        <v>4882</v>
      </c>
      <c r="I849" s="11">
        <v>4882</v>
      </c>
    </row>
    <row r="850" customHeight="1" spans="2:9">
      <c r="B850" s="11">
        <v>1846</v>
      </c>
      <c r="C850" s="11">
        <v>1846</v>
      </c>
      <c r="E850" s="11">
        <v>3618</v>
      </c>
      <c r="F850" s="11">
        <v>3618</v>
      </c>
      <c r="H850" s="11">
        <v>4883</v>
      </c>
      <c r="I850" s="11">
        <v>4883</v>
      </c>
    </row>
    <row r="851" customHeight="1" spans="2:9">
      <c r="B851" s="11">
        <v>1847</v>
      </c>
      <c r="C851" s="11">
        <v>1847</v>
      </c>
      <c r="E851" s="11">
        <v>3619</v>
      </c>
      <c r="F851" s="11">
        <v>3619</v>
      </c>
      <c r="H851" s="11">
        <v>4884</v>
      </c>
      <c r="I851" s="11">
        <v>4884</v>
      </c>
    </row>
    <row r="852" customHeight="1" spans="2:9">
      <c r="B852" s="11">
        <v>1848</v>
      </c>
      <c r="C852" s="11">
        <v>1848</v>
      </c>
      <c r="E852" s="11">
        <v>3620</v>
      </c>
      <c r="F852" s="11">
        <v>3620</v>
      </c>
      <c r="H852" s="11">
        <v>4885</v>
      </c>
      <c r="I852" s="11">
        <v>4885</v>
      </c>
    </row>
    <row r="853" customHeight="1" spans="2:9">
      <c r="B853" s="11">
        <v>1849</v>
      </c>
      <c r="C853" s="11">
        <v>1849</v>
      </c>
      <c r="E853" s="11">
        <v>3621</v>
      </c>
      <c r="F853" s="11">
        <v>3621</v>
      </c>
      <c r="H853" s="11">
        <v>4886</v>
      </c>
      <c r="I853" s="11">
        <v>4886</v>
      </c>
    </row>
    <row r="854" customHeight="1" spans="2:9">
      <c r="B854" s="11">
        <v>1850</v>
      </c>
      <c r="C854" s="11">
        <v>1850</v>
      </c>
      <c r="E854" s="11">
        <v>3622</v>
      </c>
      <c r="F854" s="11">
        <v>3622</v>
      </c>
      <c r="H854" s="11">
        <v>4887</v>
      </c>
      <c r="I854" s="11">
        <v>4887</v>
      </c>
    </row>
    <row r="855" customHeight="1" spans="2:9">
      <c r="B855" s="11">
        <v>1851</v>
      </c>
      <c r="C855" s="11">
        <v>1851</v>
      </c>
      <c r="E855" s="11">
        <v>3623</v>
      </c>
      <c r="F855" s="11">
        <v>3623</v>
      </c>
      <c r="H855" s="11">
        <v>4888</v>
      </c>
      <c r="I855" s="11">
        <v>4888</v>
      </c>
    </row>
    <row r="856" customHeight="1" spans="2:9">
      <c r="B856" s="11">
        <v>1852</v>
      </c>
      <c r="C856" s="11">
        <v>1852</v>
      </c>
      <c r="E856" s="11">
        <v>3624</v>
      </c>
      <c r="F856" s="11">
        <v>3624</v>
      </c>
      <c r="H856" s="11">
        <v>4889</v>
      </c>
      <c r="I856" s="11">
        <v>4889</v>
      </c>
    </row>
    <row r="857" customHeight="1" spans="2:9">
      <c r="B857" s="11">
        <v>1853</v>
      </c>
      <c r="C857" s="11">
        <v>1853</v>
      </c>
      <c r="E857" s="11">
        <v>3625</v>
      </c>
      <c r="F857" s="11">
        <v>3625</v>
      </c>
      <c r="H857" s="11">
        <v>4890</v>
      </c>
      <c r="I857" s="11">
        <v>4890</v>
      </c>
    </row>
    <row r="858" customHeight="1" spans="2:9">
      <c r="B858" s="11">
        <v>1854</v>
      </c>
      <c r="C858" s="11">
        <v>1854</v>
      </c>
      <c r="E858" s="11">
        <v>3626</v>
      </c>
      <c r="F858" s="11">
        <v>3626</v>
      </c>
      <c r="H858" s="11">
        <v>4891</v>
      </c>
      <c r="I858" s="11">
        <v>4891</v>
      </c>
    </row>
    <row r="859" customHeight="1" spans="2:9">
      <c r="B859" s="11">
        <v>1855</v>
      </c>
      <c r="C859" s="11">
        <v>1855</v>
      </c>
      <c r="E859" s="11">
        <v>3627</v>
      </c>
      <c r="F859" s="11">
        <v>3627</v>
      </c>
      <c r="H859" s="11">
        <v>4892</v>
      </c>
      <c r="I859" s="11">
        <v>4892</v>
      </c>
    </row>
    <row r="860" customHeight="1" spans="2:9">
      <c r="B860" s="11">
        <v>1856</v>
      </c>
      <c r="C860" s="11">
        <v>1856</v>
      </c>
      <c r="E860" s="11">
        <v>3628</v>
      </c>
      <c r="F860" s="11">
        <v>3628</v>
      </c>
      <c r="H860" s="11">
        <v>4893</v>
      </c>
      <c r="I860" s="11">
        <v>4893</v>
      </c>
    </row>
    <row r="861" customHeight="1" spans="2:9">
      <c r="B861" s="11">
        <v>1857</v>
      </c>
      <c r="C861" s="11">
        <v>1857</v>
      </c>
      <c r="E861" s="11">
        <v>3629</v>
      </c>
      <c r="F861" s="11">
        <v>3629</v>
      </c>
      <c r="H861" s="11">
        <v>4894</v>
      </c>
      <c r="I861" s="11">
        <v>4894</v>
      </c>
    </row>
    <row r="862" customHeight="1" spans="2:9">
      <c r="B862" s="11">
        <v>1858</v>
      </c>
      <c r="C862" s="11">
        <v>1858</v>
      </c>
      <c r="E862" s="11">
        <v>3630</v>
      </c>
      <c r="F862" s="11">
        <v>3630</v>
      </c>
      <c r="H862" s="11">
        <v>4895</v>
      </c>
      <c r="I862" s="11">
        <v>4895</v>
      </c>
    </row>
    <row r="863" customHeight="1" spans="2:9">
      <c r="B863" s="11">
        <v>1859</v>
      </c>
      <c r="C863" s="11">
        <v>1859</v>
      </c>
      <c r="E863" s="11">
        <v>3631</v>
      </c>
      <c r="F863" s="11">
        <v>3631</v>
      </c>
      <c r="H863" s="11">
        <v>4896</v>
      </c>
      <c r="I863" s="11">
        <v>4896</v>
      </c>
    </row>
    <row r="864" customHeight="1" spans="2:9">
      <c r="B864" s="11">
        <v>1860</v>
      </c>
      <c r="C864" s="11">
        <v>1860</v>
      </c>
      <c r="E864" s="11">
        <v>3632</v>
      </c>
      <c r="F864" s="11">
        <v>3632</v>
      </c>
      <c r="H864" s="11">
        <v>4897</v>
      </c>
      <c r="I864" s="11">
        <v>4897</v>
      </c>
    </row>
    <row r="865" customHeight="1" spans="2:9">
      <c r="B865" s="11">
        <v>1861</v>
      </c>
      <c r="C865" s="11">
        <v>1861</v>
      </c>
      <c r="E865" s="11">
        <v>3633</v>
      </c>
      <c r="F865" s="11">
        <v>3633</v>
      </c>
      <c r="H865" s="11">
        <v>4898</v>
      </c>
      <c r="I865" s="11">
        <v>4898</v>
      </c>
    </row>
    <row r="866" customHeight="1" spans="2:9">
      <c r="B866" s="11">
        <v>1862</v>
      </c>
      <c r="C866" s="11">
        <v>1862</v>
      </c>
      <c r="E866" s="11">
        <v>3634</v>
      </c>
      <c r="F866" s="11">
        <v>3634</v>
      </c>
      <c r="H866" s="11">
        <v>4899</v>
      </c>
      <c r="I866" s="11">
        <v>4899</v>
      </c>
    </row>
    <row r="867" customHeight="1" spans="2:9">
      <c r="B867" s="11">
        <v>1863</v>
      </c>
      <c r="C867" s="11">
        <v>1863</v>
      </c>
      <c r="E867" s="11">
        <v>3635</v>
      </c>
      <c r="F867" s="11">
        <v>3635</v>
      </c>
      <c r="H867" s="11">
        <v>4900</v>
      </c>
      <c r="I867" s="11">
        <v>4900</v>
      </c>
    </row>
    <row r="868" customHeight="1" spans="2:9">
      <c r="B868" s="11">
        <v>1864</v>
      </c>
      <c r="C868" s="11">
        <v>1864</v>
      </c>
      <c r="E868" s="11">
        <v>3636</v>
      </c>
      <c r="F868" s="11">
        <v>3636</v>
      </c>
      <c r="H868" s="11">
        <v>4901</v>
      </c>
      <c r="I868" s="11">
        <v>4901</v>
      </c>
    </row>
    <row r="869" customHeight="1" spans="2:9">
      <c r="B869" s="11">
        <v>1865</v>
      </c>
      <c r="C869" s="11">
        <v>1865</v>
      </c>
      <c r="E869" s="11">
        <v>3637</v>
      </c>
      <c r="F869" s="11">
        <v>3637</v>
      </c>
      <c r="H869" s="11">
        <v>4902</v>
      </c>
      <c r="I869" s="11">
        <v>4902</v>
      </c>
    </row>
    <row r="870" customHeight="1" spans="2:9">
      <c r="B870" s="11">
        <v>1866</v>
      </c>
      <c r="C870" s="11">
        <v>1866</v>
      </c>
      <c r="E870" s="11">
        <v>3638</v>
      </c>
      <c r="F870" s="11">
        <v>3638</v>
      </c>
      <c r="H870" s="11">
        <v>4903</v>
      </c>
      <c r="I870" s="11">
        <v>4903</v>
      </c>
    </row>
    <row r="871" customHeight="1" spans="2:9">
      <c r="B871" s="11">
        <v>1867</v>
      </c>
      <c r="C871" s="11">
        <v>1867</v>
      </c>
      <c r="E871" s="11">
        <v>3639</v>
      </c>
      <c r="F871" s="11">
        <v>3639</v>
      </c>
      <c r="H871" s="11">
        <v>4904</v>
      </c>
      <c r="I871" s="11">
        <v>4904</v>
      </c>
    </row>
    <row r="872" customHeight="1" spans="2:9">
      <c r="B872" s="11">
        <v>1868</v>
      </c>
      <c r="C872" s="11">
        <v>1868</v>
      </c>
      <c r="E872" s="11">
        <v>3640</v>
      </c>
      <c r="F872" s="11">
        <v>3640</v>
      </c>
      <c r="H872" s="11">
        <v>4905</v>
      </c>
      <c r="I872" s="11">
        <v>4905</v>
      </c>
    </row>
    <row r="873" customHeight="1" spans="2:9">
      <c r="B873" s="11">
        <v>1869</v>
      </c>
      <c r="C873" s="11">
        <v>1869</v>
      </c>
      <c r="E873" s="11">
        <v>3641</v>
      </c>
      <c r="F873" s="11">
        <v>3641</v>
      </c>
      <c r="H873" s="11">
        <v>4906</v>
      </c>
      <c r="I873" s="11">
        <v>4906</v>
      </c>
    </row>
    <row r="874" customHeight="1" spans="2:9">
      <c r="B874" s="11">
        <v>1870</v>
      </c>
      <c r="C874" s="11">
        <v>1870</v>
      </c>
      <c r="E874" s="11">
        <v>3642</v>
      </c>
      <c r="F874" s="11">
        <v>3642</v>
      </c>
      <c r="H874" s="11">
        <v>4907</v>
      </c>
      <c r="I874" s="11">
        <v>4907</v>
      </c>
    </row>
    <row r="875" customHeight="1" spans="2:9">
      <c r="B875" s="11">
        <v>1871</v>
      </c>
      <c r="C875" s="11">
        <v>1871</v>
      </c>
      <c r="E875" s="11">
        <v>3643</v>
      </c>
      <c r="F875" s="11">
        <v>3643</v>
      </c>
      <c r="H875" s="11">
        <v>4908</v>
      </c>
      <c r="I875" s="11">
        <v>4908</v>
      </c>
    </row>
    <row r="876" customHeight="1" spans="2:9">
      <c r="B876" s="11">
        <v>1872</v>
      </c>
      <c r="C876" s="11">
        <v>1872</v>
      </c>
      <c r="E876" s="11">
        <v>3644</v>
      </c>
      <c r="F876" s="11">
        <v>3644</v>
      </c>
      <c r="H876" s="11">
        <v>4909</v>
      </c>
      <c r="I876" s="11">
        <v>4909</v>
      </c>
    </row>
    <row r="877" customHeight="1" spans="2:9">
      <c r="B877" s="11">
        <v>1873</v>
      </c>
      <c r="C877" s="11">
        <v>1873</v>
      </c>
      <c r="E877" s="11">
        <v>3645</v>
      </c>
      <c r="F877" s="11">
        <v>3645</v>
      </c>
      <c r="H877" s="11">
        <v>4910</v>
      </c>
      <c r="I877" s="11">
        <v>4910</v>
      </c>
    </row>
    <row r="878" customHeight="1" spans="2:9">
      <c r="B878" s="11">
        <v>1874</v>
      </c>
      <c r="C878" s="11">
        <v>1874</v>
      </c>
      <c r="E878" s="11">
        <v>3646</v>
      </c>
      <c r="F878" s="11">
        <v>3646</v>
      </c>
      <c r="H878" s="11">
        <v>4911</v>
      </c>
      <c r="I878" s="11">
        <v>4911</v>
      </c>
    </row>
    <row r="879" customHeight="1" spans="2:9">
      <c r="B879" s="11">
        <v>1875</v>
      </c>
      <c r="C879" s="11">
        <v>1875</v>
      </c>
      <c r="E879" s="11">
        <v>3647</v>
      </c>
      <c r="F879" s="11">
        <v>3647</v>
      </c>
      <c r="H879" s="11">
        <v>4912</v>
      </c>
      <c r="I879" s="11">
        <v>4912</v>
      </c>
    </row>
    <row r="880" customHeight="1" spans="2:9">
      <c r="B880" s="11">
        <v>1876</v>
      </c>
      <c r="C880" s="11">
        <v>1876</v>
      </c>
      <c r="E880" s="11">
        <v>3648</v>
      </c>
      <c r="F880" s="11">
        <v>3648</v>
      </c>
      <c r="H880" s="11">
        <v>4913</v>
      </c>
      <c r="I880" s="11">
        <v>4913</v>
      </c>
    </row>
    <row r="881" customHeight="1" spans="2:9">
      <c r="B881" s="11">
        <v>1877</v>
      </c>
      <c r="C881" s="11">
        <v>1877</v>
      </c>
      <c r="E881" s="11">
        <v>3649</v>
      </c>
      <c r="F881" s="11">
        <v>3649</v>
      </c>
      <c r="H881" s="11">
        <v>4914</v>
      </c>
      <c r="I881" s="11">
        <v>4914</v>
      </c>
    </row>
    <row r="882" customHeight="1" spans="2:9">
      <c r="B882" s="11">
        <v>1878</v>
      </c>
      <c r="C882" s="11">
        <v>1878</v>
      </c>
      <c r="E882" s="11">
        <v>3650</v>
      </c>
      <c r="F882" s="11">
        <v>3650</v>
      </c>
      <c r="H882" s="11">
        <v>4915</v>
      </c>
      <c r="I882" s="11">
        <v>4915</v>
      </c>
    </row>
    <row r="883" customHeight="1" spans="2:9">
      <c r="B883" s="11">
        <v>1879</v>
      </c>
      <c r="C883" s="11">
        <v>1879</v>
      </c>
      <c r="E883" s="11">
        <v>3651</v>
      </c>
      <c r="F883" s="11">
        <v>3651</v>
      </c>
      <c r="H883" s="11">
        <v>4916</v>
      </c>
      <c r="I883" s="11">
        <v>4916</v>
      </c>
    </row>
    <row r="884" customHeight="1" spans="2:9">
      <c r="B884" s="11">
        <v>1880</v>
      </c>
      <c r="C884" s="11">
        <v>1880</v>
      </c>
      <c r="E884" s="11">
        <v>3652</v>
      </c>
      <c r="F884" s="11">
        <v>3652</v>
      </c>
      <c r="H884" s="11">
        <v>4917</v>
      </c>
      <c r="I884" s="11">
        <v>4917</v>
      </c>
    </row>
    <row r="885" customHeight="1" spans="2:9">
      <c r="B885" s="11">
        <v>1881</v>
      </c>
      <c r="C885" s="11">
        <v>1881</v>
      </c>
      <c r="E885" s="11">
        <v>3653</v>
      </c>
      <c r="F885" s="11">
        <v>3653</v>
      </c>
      <c r="H885" s="11">
        <v>4918</v>
      </c>
      <c r="I885" s="11">
        <v>4918</v>
      </c>
    </row>
    <row r="886" customHeight="1" spans="2:9">
      <c r="B886" s="11">
        <v>1882</v>
      </c>
      <c r="C886" s="11">
        <v>1882</v>
      </c>
      <c r="E886" s="11">
        <v>3654</v>
      </c>
      <c r="F886" s="11">
        <v>3654</v>
      </c>
      <c r="H886" s="11">
        <v>4919</v>
      </c>
      <c r="I886" s="11">
        <v>4919</v>
      </c>
    </row>
    <row r="887" customHeight="1" spans="2:9">
      <c r="B887" s="11">
        <v>1883</v>
      </c>
      <c r="C887" s="11">
        <v>1883</v>
      </c>
      <c r="E887" s="11">
        <v>3655</v>
      </c>
      <c r="F887" s="11">
        <v>3655</v>
      </c>
      <c r="H887" s="11">
        <v>4920</v>
      </c>
      <c r="I887" s="11">
        <v>4920</v>
      </c>
    </row>
    <row r="888" customHeight="1" spans="2:9">
      <c r="B888" s="11">
        <v>1884</v>
      </c>
      <c r="C888" s="11">
        <v>1884</v>
      </c>
      <c r="E888" s="11">
        <v>3656</v>
      </c>
      <c r="F888" s="11">
        <v>3656</v>
      </c>
      <c r="H888" s="11">
        <v>4921</v>
      </c>
      <c r="I888" s="11">
        <v>4921</v>
      </c>
    </row>
    <row r="889" customHeight="1" spans="2:9">
      <c r="B889" s="11">
        <v>1885</v>
      </c>
      <c r="C889" s="11">
        <v>1885</v>
      </c>
      <c r="E889" s="11">
        <v>3657</v>
      </c>
      <c r="F889" s="11">
        <v>3657</v>
      </c>
      <c r="H889" s="11">
        <v>4922</v>
      </c>
      <c r="I889" s="11">
        <v>4922</v>
      </c>
    </row>
    <row r="890" customHeight="1" spans="2:9">
      <c r="B890" s="11">
        <v>1886</v>
      </c>
      <c r="C890" s="11">
        <v>1886</v>
      </c>
      <c r="E890" s="11">
        <v>3658</v>
      </c>
      <c r="F890" s="11">
        <v>3658</v>
      </c>
      <c r="H890" s="11">
        <v>4923</v>
      </c>
      <c r="I890" s="11">
        <v>4923</v>
      </c>
    </row>
    <row r="891" customHeight="1" spans="2:9">
      <c r="B891" s="11">
        <v>1887</v>
      </c>
      <c r="C891" s="11">
        <v>1887</v>
      </c>
      <c r="E891" s="11">
        <v>3659</v>
      </c>
      <c r="F891" s="11">
        <v>3659</v>
      </c>
      <c r="H891" s="11">
        <v>4924</v>
      </c>
      <c r="I891" s="11">
        <v>4924</v>
      </c>
    </row>
    <row r="892" customHeight="1" spans="2:9">
      <c r="B892" s="11">
        <v>1888</v>
      </c>
      <c r="C892" s="11">
        <v>1888</v>
      </c>
      <c r="E892" s="11">
        <v>3660</v>
      </c>
      <c r="F892" s="11">
        <v>3660</v>
      </c>
      <c r="H892" s="11">
        <v>4925</v>
      </c>
      <c r="I892" s="11">
        <v>4925</v>
      </c>
    </row>
    <row r="893" customHeight="1" spans="2:9">
      <c r="B893" s="11">
        <v>1889</v>
      </c>
      <c r="C893" s="11">
        <v>1889</v>
      </c>
      <c r="E893" s="11">
        <v>3661</v>
      </c>
      <c r="F893" s="11">
        <v>3661</v>
      </c>
      <c r="H893" s="11">
        <v>4926</v>
      </c>
      <c r="I893" s="11">
        <v>4926</v>
      </c>
    </row>
    <row r="894" customHeight="1" spans="2:9">
      <c r="B894" s="11">
        <v>1890</v>
      </c>
      <c r="C894" s="11">
        <v>1890</v>
      </c>
      <c r="E894" s="11">
        <v>3662</v>
      </c>
      <c r="F894" s="11">
        <v>3662</v>
      </c>
      <c r="H894" s="11">
        <v>4927</v>
      </c>
      <c r="I894" s="11">
        <v>4927</v>
      </c>
    </row>
    <row r="895" customHeight="1" spans="2:9">
      <c r="B895" s="11">
        <v>1891</v>
      </c>
      <c r="C895" s="11">
        <v>1891</v>
      </c>
      <c r="E895" s="11">
        <v>3663</v>
      </c>
      <c r="F895" s="11">
        <v>3663</v>
      </c>
      <c r="H895" s="11">
        <v>4928</v>
      </c>
      <c r="I895" s="11">
        <v>4928</v>
      </c>
    </row>
    <row r="896" customHeight="1" spans="2:9">
      <c r="B896" s="11">
        <v>1892</v>
      </c>
      <c r="C896" s="11">
        <v>1892</v>
      </c>
      <c r="E896" s="11">
        <v>3664</v>
      </c>
      <c r="F896" s="11">
        <v>3664</v>
      </c>
      <c r="H896" s="11">
        <v>4929</v>
      </c>
      <c r="I896" s="11">
        <v>4929</v>
      </c>
    </row>
    <row r="897" customHeight="1" spans="2:9">
      <c r="B897" s="11">
        <v>1893</v>
      </c>
      <c r="C897" s="11">
        <v>1893</v>
      </c>
      <c r="E897" s="11">
        <v>3665</v>
      </c>
      <c r="F897" s="11">
        <v>3665</v>
      </c>
      <c r="H897" s="11">
        <v>4930</v>
      </c>
      <c r="I897" s="11">
        <v>4930</v>
      </c>
    </row>
    <row r="898" customHeight="1" spans="2:9">
      <c r="B898" s="11">
        <v>1894</v>
      </c>
      <c r="C898" s="11">
        <v>1894</v>
      </c>
      <c r="E898" s="11">
        <v>3666</v>
      </c>
      <c r="F898" s="11">
        <v>3666</v>
      </c>
      <c r="H898" s="11">
        <v>4931</v>
      </c>
      <c r="I898" s="11">
        <v>4931</v>
      </c>
    </row>
    <row r="899" customHeight="1" spans="2:9">
      <c r="B899" s="11">
        <v>1895</v>
      </c>
      <c r="C899" s="11">
        <v>1895</v>
      </c>
      <c r="E899" s="11">
        <v>3667</v>
      </c>
      <c r="F899" s="11">
        <v>3667</v>
      </c>
      <c r="H899" s="11">
        <v>4932</v>
      </c>
      <c r="I899" s="11">
        <v>4932</v>
      </c>
    </row>
    <row r="900" customHeight="1" spans="2:9">
      <c r="B900" s="11">
        <v>1896</v>
      </c>
      <c r="C900" s="11">
        <v>1896</v>
      </c>
      <c r="E900" s="11">
        <v>3668</v>
      </c>
      <c r="F900" s="11">
        <v>3668</v>
      </c>
      <c r="H900" s="11">
        <v>4933</v>
      </c>
      <c r="I900" s="11">
        <v>4933</v>
      </c>
    </row>
    <row r="901" customHeight="1" spans="2:9">
      <c r="B901" s="11">
        <v>1897</v>
      </c>
      <c r="C901" s="11">
        <v>1897</v>
      </c>
      <c r="E901" s="11">
        <v>3669</v>
      </c>
      <c r="F901" s="11">
        <v>3669</v>
      </c>
      <c r="H901" s="11">
        <v>4934</v>
      </c>
      <c r="I901" s="11">
        <v>4934</v>
      </c>
    </row>
    <row r="902" customHeight="1" spans="2:9">
      <c r="B902" s="11">
        <v>1898</v>
      </c>
      <c r="C902" s="11">
        <v>1898</v>
      </c>
      <c r="E902" s="11">
        <v>3670</v>
      </c>
      <c r="F902" s="11">
        <v>3670</v>
      </c>
      <c r="H902" s="11">
        <v>4935</v>
      </c>
      <c r="I902" s="11">
        <v>4935</v>
      </c>
    </row>
    <row r="903" customHeight="1" spans="2:9">
      <c r="B903" s="11">
        <v>1899</v>
      </c>
      <c r="C903" s="11">
        <v>1899</v>
      </c>
      <c r="E903" s="11">
        <v>3671</v>
      </c>
      <c r="F903" s="11">
        <v>3671</v>
      </c>
      <c r="H903" s="11">
        <v>4936</v>
      </c>
      <c r="I903" s="11">
        <v>4936</v>
      </c>
    </row>
    <row r="904" customHeight="1" spans="2:9">
      <c r="B904" s="11">
        <v>1900</v>
      </c>
      <c r="C904" s="11">
        <v>1900</v>
      </c>
      <c r="E904" s="11">
        <v>3672</v>
      </c>
      <c r="F904" s="11">
        <v>3672</v>
      </c>
      <c r="H904" s="11">
        <v>4937</v>
      </c>
      <c r="I904" s="11">
        <v>4937</v>
      </c>
    </row>
    <row r="905" customHeight="1" spans="2:9">
      <c r="B905" s="11">
        <v>1901</v>
      </c>
      <c r="C905" s="11">
        <v>1901</v>
      </c>
      <c r="E905" s="11">
        <v>3673</v>
      </c>
      <c r="F905" s="11">
        <v>3673</v>
      </c>
      <c r="H905" s="11">
        <v>4938</v>
      </c>
      <c r="I905" s="11">
        <v>4938</v>
      </c>
    </row>
    <row r="906" customHeight="1" spans="2:9">
      <c r="B906" s="11">
        <v>1902</v>
      </c>
      <c r="C906" s="11">
        <v>1902</v>
      </c>
      <c r="E906" s="11">
        <v>3674</v>
      </c>
      <c r="F906" s="11">
        <v>3674</v>
      </c>
      <c r="H906" s="11">
        <v>4939</v>
      </c>
      <c r="I906" s="11">
        <v>4939</v>
      </c>
    </row>
    <row r="907" customHeight="1" spans="2:9">
      <c r="B907" s="11">
        <v>1903</v>
      </c>
      <c r="C907" s="11">
        <v>1903</v>
      </c>
      <c r="E907" s="11">
        <v>3675</v>
      </c>
      <c r="F907" s="11">
        <v>3675</v>
      </c>
      <c r="H907" s="11">
        <v>4940</v>
      </c>
      <c r="I907" s="11">
        <v>4940</v>
      </c>
    </row>
    <row r="908" customHeight="1" spans="2:9">
      <c r="B908" s="11">
        <v>1904</v>
      </c>
      <c r="C908" s="11">
        <v>1904</v>
      </c>
      <c r="E908" s="11">
        <v>3676</v>
      </c>
      <c r="F908" s="11">
        <v>3676</v>
      </c>
      <c r="H908" s="11">
        <v>4941</v>
      </c>
      <c r="I908" s="11">
        <v>4941</v>
      </c>
    </row>
    <row r="909" customHeight="1" spans="2:9">
      <c r="B909" s="11">
        <v>1905</v>
      </c>
      <c r="C909" s="11">
        <v>1905</v>
      </c>
      <c r="E909" s="11">
        <v>3677</v>
      </c>
      <c r="F909" s="11">
        <v>3677</v>
      </c>
      <c r="H909" s="11">
        <v>4942</v>
      </c>
      <c r="I909" s="11">
        <v>4942</v>
      </c>
    </row>
    <row r="910" customHeight="1" spans="2:9">
      <c r="B910" s="11">
        <v>1906</v>
      </c>
      <c r="C910" s="11">
        <v>1906</v>
      </c>
      <c r="E910" s="11">
        <v>3678</v>
      </c>
      <c r="F910" s="11">
        <v>3678</v>
      </c>
      <c r="H910" s="11">
        <v>4943</v>
      </c>
      <c r="I910" s="11">
        <v>4943</v>
      </c>
    </row>
    <row r="911" customHeight="1" spans="2:9">
      <c r="B911" s="11">
        <v>1907</v>
      </c>
      <c r="C911" s="11">
        <v>1907</v>
      </c>
      <c r="E911" s="11">
        <v>3679</v>
      </c>
      <c r="F911" s="11">
        <v>3679</v>
      </c>
      <c r="H911" s="11">
        <v>4944</v>
      </c>
      <c r="I911" s="11">
        <v>4944</v>
      </c>
    </row>
    <row r="912" customHeight="1" spans="2:9">
      <c r="B912" s="11">
        <v>1908</v>
      </c>
      <c r="C912" s="11">
        <v>1908</v>
      </c>
      <c r="E912" s="11">
        <v>3680</v>
      </c>
      <c r="F912" s="11">
        <v>3680</v>
      </c>
      <c r="H912" s="11">
        <v>4945</v>
      </c>
      <c r="I912" s="11">
        <v>4945</v>
      </c>
    </row>
    <row r="913" customHeight="1" spans="2:9">
      <c r="B913" s="11">
        <v>1909</v>
      </c>
      <c r="C913" s="11">
        <v>1909</v>
      </c>
      <c r="E913" s="11">
        <v>3681</v>
      </c>
      <c r="F913" s="11">
        <v>3681</v>
      </c>
      <c r="H913" s="11">
        <v>4946</v>
      </c>
      <c r="I913" s="11">
        <v>4946</v>
      </c>
    </row>
    <row r="914" customHeight="1" spans="2:9">
      <c r="B914" s="11">
        <v>1910</v>
      </c>
      <c r="C914" s="11">
        <v>1910</v>
      </c>
      <c r="E914" s="11">
        <v>3682</v>
      </c>
      <c r="F914" s="11">
        <v>3682</v>
      </c>
      <c r="H914" s="11">
        <v>4947</v>
      </c>
      <c r="I914" s="11">
        <v>4947</v>
      </c>
    </row>
    <row r="915" customHeight="1" spans="2:9">
      <c r="B915" s="11">
        <v>1911</v>
      </c>
      <c r="C915" s="11">
        <v>1911</v>
      </c>
      <c r="E915" s="11">
        <v>3683</v>
      </c>
      <c r="F915" s="11">
        <v>3683</v>
      </c>
      <c r="H915" s="11">
        <v>4948</v>
      </c>
      <c r="I915" s="11">
        <v>4948</v>
      </c>
    </row>
    <row r="916" customHeight="1" spans="2:9">
      <c r="B916" s="11">
        <v>1912</v>
      </c>
      <c r="C916" s="11">
        <v>1912</v>
      </c>
      <c r="E916" s="11">
        <v>3684</v>
      </c>
      <c r="F916" s="11">
        <v>3684</v>
      </c>
      <c r="H916" s="11">
        <v>4949</v>
      </c>
      <c r="I916" s="11">
        <v>4949</v>
      </c>
    </row>
    <row r="917" customHeight="1" spans="2:9">
      <c r="B917" s="11">
        <v>1913</v>
      </c>
      <c r="C917" s="11">
        <v>1913</v>
      </c>
      <c r="E917" s="11">
        <v>3685</v>
      </c>
      <c r="F917" s="11">
        <v>3685</v>
      </c>
      <c r="H917" s="11">
        <v>4950</v>
      </c>
      <c r="I917" s="11">
        <v>4950</v>
      </c>
    </row>
    <row r="918" customHeight="1" spans="2:9">
      <c r="B918" s="11">
        <v>1914</v>
      </c>
      <c r="C918" s="11">
        <v>1914</v>
      </c>
      <c r="E918" s="11">
        <v>3686</v>
      </c>
      <c r="F918" s="11">
        <v>3686</v>
      </c>
      <c r="H918" s="11">
        <v>4951</v>
      </c>
      <c r="I918" s="11">
        <v>4951</v>
      </c>
    </row>
    <row r="919" customHeight="1" spans="2:9">
      <c r="B919" s="11">
        <v>1915</v>
      </c>
      <c r="C919" s="11">
        <v>1915</v>
      </c>
      <c r="E919" s="11">
        <v>3687</v>
      </c>
      <c r="F919" s="11">
        <v>3687</v>
      </c>
      <c r="H919" s="11">
        <v>4952</v>
      </c>
      <c r="I919" s="11">
        <v>4952</v>
      </c>
    </row>
    <row r="920" customHeight="1" spans="2:9">
      <c r="B920" s="11">
        <v>1916</v>
      </c>
      <c r="C920" s="11">
        <v>1916</v>
      </c>
      <c r="E920" s="11">
        <v>3688</v>
      </c>
      <c r="F920" s="11">
        <v>3688</v>
      </c>
      <c r="H920" s="11">
        <v>4953</v>
      </c>
      <c r="I920" s="11">
        <v>4953</v>
      </c>
    </row>
    <row r="921" customHeight="1" spans="2:9">
      <c r="B921" s="11">
        <v>1917</v>
      </c>
      <c r="C921" s="11">
        <v>1917</v>
      </c>
      <c r="E921" s="11">
        <v>3357</v>
      </c>
      <c r="F921" s="11">
        <v>3357</v>
      </c>
      <c r="H921" s="11">
        <v>4954</v>
      </c>
      <c r="I921" s="11">
        <v>4954</v>
      </c>
    </row>
    <row r="922" customHeight="1" spans="2:9">
      <c r="B922" s="11">
        <v>1918</v>
      </c>
      <c r="C922" s="11">
        <v>1918</v>
      </c>
      <c r="E922" s="11">
        <v>3358</v>
      </c>
      <c r="F922" s="11">
        <v>3358</v>
      </c>
      <c r="H922" s="11">
        <v>4955</v>
      </c>
      <c r="I922" s="11">
        <v>4955</v>
      </c>
    </row>
    <row r="923" customHeight="1" spans="2:9">
      <c r="B923" s="11">
        <v>1919</v>
      </c>
      <c r="C923" s="11">
        <v>1919</v>
      </c>
      <c r="E923" s="11">
        <v>3359</v>
      </c>
      <c r="F923" s="11">
        <v>3359</v>
      </c>
      <c r="H923" s="11">
        <v>4956</v>
      </c>
      <c r="I923" s="11">
        <v>4956</v>
      </c>
    </row>
    <row r="924" customHeight="1" spans="2:9">
      <c r="B924" s="11">
        <v>1920</v>
      </c>
      <c r="C924" s="11">
        <v>1920</v>
      </c>
      <c r="E924" s="11">
        <v>3360</v>
      </c>
      <c r="F924" s="11">
        <v>3360</v>
      </c>
      <c r="H924" s="11">
        <v>4957</v>
      </c>
      <c r="I924" s="11">
        <v>4957</v>
      </c>
    </row>
    <row r="925" customHeight="1" spans="2:9">
      <c r="B925" s="11">
        <v>1921</v>
      </c>
      <c r="C925" s="11">
        <v>1921</v>
      </c>
      <c r="E925" s="11">
        <v>3361</v>
      </c>
      <c r="F925" s="11">
        <v>3361</v>
      </c>
      <c r="H925" s="11">
        <v>4958</v>
      </c>
      <c r="I925" s="11">
        <v>4958</v>
      </c>
    </row>
    <row r="926" customHeight="1" spans="2:9">
      <c r="B926" s="11">
        <v>1922</v>
      </c>
      <c r="C926" s="11">
        <v>1922</v>
      </c>
      <c r="E926" s="11">
        <v>3362</v>
      </c>
      <c r="F926" s="11">
        <v>3362</v>
      </c>
      <c r="H926" s="11">
        <v>4959</v>
      </c>
      <c r="I926" s="11">
        <v>4959</v>
      </c>
    </row>
    <row r="927" customHeight="1" spans="2:9">
      <c r="B927" s="11">
        <v>1923</v>
      </c>
      <c r="C927" s="11">
        <v>1923</v>
      </c>
      <c r="E927" s="11">
        <v>3363</v>
      </c>
      <c r="F927" s="11">
        <v>3363</v>
      </c>
      <c r="H927" s="11">
        <v>4960</v>
      </c>
      <c r="I927" s="11">
        <v>4960</v>
      </c>
    </row>
    <row r="928" customHeight="1" spans="2:9">
      <c r="B928" s="11">
        <v>1924</v>
      </c>
      <c r="C928" s="11">
        <v>1924</v>
      </c>
      <c r="E928" s="11">
        <v>3364</v>
      </c>
      <c r="F928" s="11">
        <v>3364</v>
      </c>
      <c r="H928" s="11">
        <v>4961</v>
      </c>
      <c r="I928" s="11">
        <v>4961</v>
      </c>
    </row>
    <row r="929" customHeight="1" spans="2:9">
      <c r="B929" s="11">
        <v>1925</v>
      </c>
      <c r="C929" s="11">
        <v>1925</v>
      </c>
      <c r="E929" s="11">
        <v>3365</v>
      </c>
      <c r="F929" s="11">
        <v>3365</v>
      </c>
      <c r="H929" s="11">
        <v>4962</v>
      </c>
      <c r="I929" s="11">
        <v>4962</v>
      </c>
    </row>
    <row r="930" customHeight="1" spans="2:9">
      <c r="B930" s="11">
        <v>1926</v>
      </c>
      <c r="C930" s="11">
        <v>1926</v>
      </c>
      <c r="E930" s="11">
        <v>3366</v>
      </c>
      <c r="F930" s="11">
        <v>3366</v>
      </c>
      <c r="H930" s="11">
        <v>4963</v>
      </c>
      <c r="I930" s="11">
        <v>4963</v>
      </c>
    </row>
    <row r="931" customHeight="1" spans="2:9">
      <c r="B931" s="11">
        <v>1927</v>
      </c>
      <c r="C931" s="11">
        <v>1927</v>
      </c>
      <c r="E931" s="11">
        <v>3367</v>
      </c>
      <c r="F931" s="11">
        <v>3367</v>
      </c>
      <c r="H931" s="11">
        <v>4964</v>
      </c>
      <c r="I931" s="11">
        <v>4964</v>
      </c>
    </row>
    <row r="932" customHeight="1" spans="2:9">
      <c r="B932" s="11">
        <v>1928</v>
      </c>
      <c r="C932" s="11">
        <v>1928</v>
      </c>
      <c r="E932" s="11">
        <v>3368</v>
      </c>
      <c r="F932" s="11">
        <v>3368</v>
      </c>
      <c r="H932" s="11">
        <v>4965</v>
      </c>
      <c r="I932" s="11">
        <v>4965</v>
      </c>
    </row>
    <row r="933" customHeight="1" spans="2:9">
      <c r="B933" s="11">
        <v>1929</v>
      </c>
      <c r="C933" s="11">
        <v>1929</v>
      </c>
      <c r="E933" s="11">
        <v>3369</v>
      </c>
      <c r="F933" s="11">
        <v>3369</v>
      </c>
      <c r="H933" s="11">
        <v>4966</v>
      </c>
      <c r="I933" s="11">
        <v>4966</v>
      </c>
    </row>
    <row r="934" customHeight="1" spans="2:9">
      <c r="B934" s="11">
        <v>1930</v>
      </c>
      <c r="C934" s="11">
        <v>1930</v>
      </c>
      <c r="E934" s="11">
        <v>3370</v>
      </c>
      <c r="F934" s="11">
        <v>3370</v>
      </c>
      <c r="H934" s="11">
        <v>4967</v>
      </c>
      <c r="I934" s="11">
        <v>4967</v>
      </c>
    </row>
    <row r="935" customHeight="1" spans="2:9">
      <c r="B935" s="11">
        <v>1931</v>
      </c>
      <c r="C935" s="11">
        <v>1931</v>
      </c>
      <c r="E935" s="11">
        <v>3371</v>
      </c>
      <c r="F935" s="11">
        <v>3371</v>
      </c>
      <c r="H935" s="11">
        <v>4968</v>
      </c>
      <c r="I935" s="11">
        <v>4968</v>
      </c>
    </row>
    <row r="936" customHeight="1" spans="2:9">
      <c r="B936" s="11">
        <v>1932</v>
      </c>
      <c r="C936" s="11">
        <v>1932</v>
      </c>
      <c r="E936" s="11">
        <v>3372</v>
      </c>
      <c r="F936" s="11">
        <v>3372</v>
      </c>
      <c r="H936" s="11">
        <v>4969</v>
      </c>
      <c r="I936" s="11">
        <v>4969</v>
      </c>
    </row>
    <row r="937" customHeight="1" spans="2:9">
      <c r="B937" s="11">
        <v>1933</v>
      </c>
      <c r="C937" s="11">
        <v>1933</v>
      </c>
      <c r="E937" s="11">
        <v>3373</v>
      </c>
      <c r="F937" s="11">
        <v>3373</v>
      </c>
      <c r="H937" s="11">
        <v>4970</v>
      </c>
      <c r="I937" s="11">
        <v>4970</v>
      </c>
    </row>
    <row r="938" customHeight="1" spans="2:9">
      <c r="B938" s="11">
        <v>1934</v>
      </c>
      <c r="C938" s="11">
        <v>1934</v>
      </c>
      <c r="E938" s="11">
        <v>3374</v>
      </c>
      <c r="F938" s="11">
        <v>3374</v>
      </c>
      <c r="H938" s="11">
        <v>4971</v>
      </c>
      <c r="I938" s="11">
        <v>4971</v>
      </c>
    </row>
    <row r="939" customHeight="1" spans="2:9">
      <c r="B939" s="11">
        <v>1935</v>
      </c>
      <c r="C939" s="11">
        <v>1935</v>
      </c>
      <c r="E939" s="11">
        <v>3375</v>
      </c>
      <c r="F939" s="11">
        <v>3375</v>
      </c>
      <c r="H939" s="11">
        <v>4972</v>
      </c>
      <c r="I939" s="11">
        <v>4972</v>
      </c>
    </row>
    <row r="940" customHeight="1" spans="2:9">
      <c r="B940" s="11">
        <v>2000</v>
      </c>
      <c r="C940" s="11">
        <v>2000</v>
      </c>
      <c r="E940" s="11">
        <v>3376</v>
      </c>
      <c r="F940" s="11">
        <v>3376</v>
      </c>
      <c r="H940" s="11">
        <v>4973</v>
      </c>
      <c r="I940" s="11">
        <v>4973</v>
      </c>
    </row>
    <row r="941" customHeight="1" spans="2:9">
      <c r="B941" s="11">
        <v>2001</v>
      </c>
      <c r="C941" s="11">
        <v>2001</v>
      </c>
      <c r="E941" s="11">
        <v>3377</v>
      </c>
      <c r="F941" s="11">
        <v>3377</v>
      </c>
      <c r="H941" s="11">
        <v>4974</v>
      </c>
      <c r="I941" s="11">
        <v>4974</v>
      </c>
    </row>
    <row r="942" customHeight="1" spans="2:9">
      <c r="B942" s="11">
        <v>2002</v>
      </c>
      <c r="C942" s="11">
        <v>2002</v>
      </c>
      <c r="E942" s="11">
        <v>3378</v>
      </c>
      <c r="F942" s="11">
        <v>3378</v>
      </c>
      <c r="H942" s="11">
        <v>4975</v>
      </c>
      <c r="I942" s="11">
        <v>4975</v>
      </c>
    </row>
    <row r="943" customHeight="1" spans="2:9">
      <c r="B943" s="11">
        <v>2003</v>
      </c>
      <c r="C943" s="11">
        <v>2003</v>
      </c>
      <c r="E943" s="11">
        <v>3379</v>
      </c>
      <c r="F943" s="11">
        <v>3379</v>
      </c>
      <c r="H943" s="11">
        <v>4976</v>
      </c>
      <c r="I943" s="11">
        <v>4976</v>
      </c>
    </row>
    <row r="944" customHeight="1" spans="2:9">
      <c r="B944" s="11">
        <v>2004</v>
      </c>
      <c r="C944" s="11">
        <v>2004</v>
      </c>
      <c r="E944" s="11">
        <v>3380</v>
      </c>
      <c r="F944" s="11">
        <v>3380</v>
      </c>
      <c r="H944" s="11">
        <v>4977</v>
      </c>
      <c r="I944" s="11">
        <v>4977</v>
      </c>
    </row>
    <row r="945" customHeight="1" spans="2:9">
      <c r="B945" s="11">
        <v>2005</v>
      </c>
      <c r="C945" s="11">
        <v>2005</v>
      </c>
      <c r="E945" s="11">
        <v>3381</v>
      </c>
      <c r="F945" s="11">
        <v>3381</v>
      </c>
      <c r="H945" s="11">
        <v>4978</v>
      </c>
      <c r="I945" s="11">
        <v>4978</v>
      </c>
    </row>
    <row r="946" customHeight="1" spans="2:9">
      <c r="B946" s="11">
        <v>2006</v>
      </c>
      <c r="C946" s="11">
        <v>2006</v>
      </c>
      <c r="E946" s="11">
        <v>3382</v>
      </c>
      <c r="F946" s="11">
        <v>3382</v>
      </c>
      <c r="H946" s="11">
        <v>4979</v>
      </c>
      <c r="I946" s="11">
        <v>4979</v>
      </c>
    </row>
    <row r="947" customHeight="1" spans="2:9">
      <c r="B947" s="11">
        <v>2007</v>
      </c>
      <c r="C947" s="11">
        <v>2007</v>
      </c>
      <c r="E947" s="11">
        <v>3383</v>
      </c>
      <c r="F947" s="11">
        <v>3383</v>
      </c>
      <c r="H947" s="11">
        <v>4980</v>
      </c>
      <c r="I947" s="11">
        <v>4980</v>
      </c>
    </row>
    <row r="948" customHeight="1" spans="2:9">
      <c r="B948" s="11">
        <v>2008</v>
      </c>
      <c r="C948" s="11">
        <v>2008</v>
      </c>
      <c r="E948" s="11">
        <v>3384</v>
      </c>
      <c r="F948" s="11">
        <v>3384</v>
      </c>
      <c r="H948" s="11">
        <v>4981</v>
      </c>
      <c r="I948" s="11">
        <v>4981</v>
      </c>
    </row>
    <row r="949" customHeight="1" spans="2:9">
      <c r="B949" s="11">
        <v>2009</v>
      </c>
      <c r="C949" s="11">
        <v>2009</v>
      </c>
      <c r="E949" s="11">
        <v>3385</v>
      </c>
      <c r="F949" s="11">
        <v>3385</v>
      </c>
      <c r="H949" s="11">
        <v>4982</v>
      </c>
      <c r="I949" s="11">
        <v>4982</v>
      </c>
    </row>
    <row r="950" customHeight="1" spans="2:9">
      <c r="B950" s="11">
        <v>2010</v>
      </c>
      <c r="C950" s="11">
        <v>2010</v>
      </c>
      <c r="E950" s="11">
        <v>3386</v>
      </c>
      <c r="F950" s="11">
        <v>3386</v>
      </c>
      <c r="H950" s="11">
        <v>4983</v>
      </c>
      <c r="I950" s="11">
        <v>4983</v>
      </c>
    </row>
    <row r="951" customHeight="1" spans="2:9">
      <c r="B951" s="11">
        <v>2011</v>
      </c>
      <c r="C951" s="11">
        <v>2011</v>
      </c>
      <c r="E951" s="11">
        <v>3387</v>
      </c>
      <c r="F951" s="11">
        <v>3387</v>
      </c>
      <c r="H951" s="11">
        <v>4984</v>
      </c>
      <c r="I951" s="11">
        <v>4984</v>
      </c>
    </row>
    <row r="952" customHeight="1" spans="2:9">
      <c r="B952" s="11">
        <v>2012</v>
      </c>
      <c r="C952" s="11">
        <v>2012</v>
      </c>
      <c r="E952" s="11">
        <v>3388</v>
      </c>
      <c r="F952" s="11">
        <v>3388</v>
      </c>
      <c r="H952" s="11">
        <v>4985</v>
      </c>
      <c r="I952" s="11">
        <v>4985</v>
      </c>
    </row>
    <row r="953" customHeight="1" spans="2:9">
      <c r="B953" s="11">
        <v>2013</v>
      </c>
      <c r="C953" s="11">
        <v>2013</v>
      </c>
      <c r="E953" s="11">
        <v>3389</v>
      </c>
      <c r="F953" s="11">
        <v>3389</v>
      </c>
      <c r="H953" s="11">
        <v>4986</v>
      </c>
      <c r="I953" s="11">
        <v>4986</v>
      </c>
    </row>
    <row r="954" customHeight="1" spans="2:9">
      <c r="B954" s="11">
        <v>2014</v>
      </c>
      <c r="C954" s="11">
        <v>2014</v>
      </c>
      <c r="E954" s="11">
        <v>3390</v>
      </c>
      <c r="F954" s="11">
        <v>3390</v>
      </c>
      <c r="H954" s="11">
        <v>4987</v>
      </c>
      <c r="I954" s="11">
        <v>4987</v>
      </c>
    </row>
    <row r="955" customHeight="1" spans="2:9">
      <c r="B955" s="11">
        <v>2015</v>
      </c>
      <c r="C955" s="11">
        <v>2015</v>
      </c>
      <c r="E955" s="11">
        <v>3391</v>
      </c>
      <c r="F955" s="11">
        <v>3391</v>
      </c>
      <c r="H955" s="11">
        <v>4988</v>
      </c>
      <c r="I955" s="11">
        <v>4988</v>
      </c>
    </row>
    <row r="956" customHeight="1" spans="2:9">
      <c r="B956" s="11">
        <v>2016</v>
      </c>
      <c r="C956" s="11">
        <v>2016</v>
      </c>
      <c r="E956" s="11">
        <v>3392</v>
      </c>
      <c r="F956" s="11">
        <v>3392</v>
      </c>
      <c r="H956" s="11">
        <v>4989</v>
      </c>
      <c r="I956" s="11">
        <v>4989</v>
      </c>
    </row>
    <row r="957" customHeight="1" spans="2:9">
      <c r="B957" s="11">
        <v>2017</v>
      </c>
      <c r="C957" s="11">
        <v>2017</v>
      </c>
      <c r="E957" s="11">
        <v>3393</v>
      </c>
      <c r="F957" s="11">
        <v>3393</v>
      </c>
      <c r="H957" s="11">
        <v>4990</v>
      </c>
      <c r="I957" s="11">
        <v>4990</v>
      </c>
    </row>
    <row r="958" customHeight="1" spans="2:9">
      <c r="B958" s="11">
        <v>2018</v>
      </c>
      <c r="C958" s="11">
        <v>2018</v>
      </c>
      <c r="E958" s="11">
        <v>3394</v>
      </c>
      <c r="F958" s="11">
        <v>3394</v>
      </c>
      <c r="H958" s="11">
        <v>4991</v>
      </c>
      <c r="I958" s="11">
        <v>4991</v>
      </c>
    </row>
    <row r="959" customHeight="1" spans="2:9">
      <c r="B959" s="11">
        <v>2019</v>
      </c>
      <c r="C959" s="11">
        <v>2019</v>
      </c>
      <c r="E959" s="11">
        <v>3395</v>
      </c>
      <c r="F959" s="11">
        <v>3395</v>
      </c>
      <c r="H959" s="11">
        <v>4992</v>
      </c>
      <c r="I959" s="11">
        <v>4992</v>
      </c>
    </row>
    <row r="960" customHeight="1" spans="2:9">
      <c r="B960" s="11">
        <v>2020</v>
      </c>
      <c r="C960" s="11">
        <v>2020</v>
      </c>
      <c r="E960" s="11">
        <v>3396</v>
      </c>
      <c r="F960" s="11">
        <v>3396</v>
      </c>
      <c r="H960" s="11">
        <v>4993</v>
      </c>
      <c r="I960" s="11">
        <v>4993</v>
      </c>
    </row>
    <row r="961" customHeight="1" spans="2:9">
      <c r="B961" s="11">
        <v>2021</v>
      </c>
      <c r="C961" s="11">
        <v>2021</v>
      </c>
      <c r="E961" s="11">
        <v>3397</v>
      </c>
      <c r="F961" s="11">
        <v>3397</v>
      </c>
      <c r="H961" s="11">
        <v>4994</v>
      </c>
      <c r="I961" s="11">
        <v>4994</v>
      </c>
    </row>
    <row r="962" customHeight="1" spans="2:9">
      <c r="B962" s="11">
        <v>2022</v>
      </c>
      <c r="C962" s="11">
        <v>2022</v>
      </c>
      <c r="E962" s="11">
        <v>3398</v>
      </c>
      <c r="F962" s="11">
        <v>3398</v>
      </c>
      <c r="H962" s="11">
        <v>4995</v>
      </c>
      <c r="I962" s="11">
        <v>4995</v>
      </c>
    </row>
    <row r="963" customHeight="1" spans="2:9">
      <c r="B963" s="11">
        <v>2023</v>
      </c>
      <c r="C963" s="11">
        <v>2023</v>
      </c>
      <c r="E963" s="11">
        <v>3399</v>
      </c>
      <c r="F963" s="11">
        <v>3399</v>
      </c>
      <c r="H963" s="11">
        <v>4996</v>
      </c>
      <c r="I963" s="11">
        <v>4996</v>
      </c>
    </row>
    <row r="964" customHeight="1" spans="2:9">
      <c r="B964" s="11">
        <v>2024</v>
      </c>
      <c r="C964" s="11">
        <v>2024</v>
      </c>
      <c r="E964" s="11">
        <v>3400</v>
      </c>
      <c r="F964" s="11">
        <v>3400</v>
      </c>
      <c r="H964" s="11">
        <v>4997</v>
      </c>
      <c r="I964" s="11">
        <v>4997</v>
      </c>
    </row>
    <row r="965" customHeight="1" spans="2:9">
      <c r="B965" s="11">
        <v>2025</v>
      </c>
      <c r="C965" s="11">
        <v>2025</v>
      </c>
      <c r="E965" s="11">
        <v>3401</v>
      </c>
      <c r="F965" s="11">
        <v>3401</v>
      </c>
      <c r="H965" s="11">
        <v>4998</v>
      </c>
      <c r="I965" s="11">
        <v>4998</v>
      </c>
    </row>
    <row r="966" customHeight="1" spans="2:9">
      <c r="B966" s="11">
        <v>2026</v>
      </c>
      <c r="C966" s="11">
        <v>2026</v>
      </c>
      <c r="E966" s="11">
        <v>3402</v>
      </c>
      <c r="F966" s="11">
        <v>3402</v>
      </c>
      <c r="H966" s="11">
        <v>4999</v>
      </c>
      <c r="I966" s="11">
        <v>4999</v>
      </c>
    </row>
    <row r="967" customHeight="1" spans="2:9">
      <c r="B967" s="11">
        <v>2027</v>
      </c>
      <c r="C967" s="11">
        <v>2027</v>
      </c>
      <c r="E967" s="11">
        <v>3403</v>
      </c>
      <c r="F967" s="11">
        <v>3403</v>
      </c>
      <c r="H967" s="11">
        <v>5201</v>
      </c>
      <c r="I967" s="11">
        <v>5201</v>
      </c>
    </row>
    <row r="968" customHeight="1" spans="2:9">
      <c r="B968" s="11">
        <v>2028</v>
      </c>
      <c r="C968" s="11">
        <v>2028</v>
      </c>
      <c r="E968" s="11">
        <v>3404</v>
      </c>
      <c r="F968" s="11">
        <v>3404</v>
      </c>
      <c r="H968" s="11">
        <v>5202</v>
      </c>
      <c r="I968" s="11">
        <v>5202</v>
      </c>
    </row>
    <row r="969" customHeight="1" spans="2:9">
      <c r="B969" s="11">
        <v>2029</v>
      </c>
      <c r="C969" s="11">
        <v>2029</v>
      </c>
      <c r="E969" s="11">
        <v>3405</v>
      </c>
      <c r="F969" s="11">
        <v>3405</v>
      </c>
      <c r="H969" s="11">
        <v>5203</v>
      </c>
      <c r="I969" s="11">
        <v>5203</v>
      </c>
    </row>
    <row r="970" customHeight="1" spans="2:9">
      <c r="B970" s="11">
        <v>2030</v>
      </c>
      <c r="C970" s="11">
        <v>2030</v>
      </c>
      <c r="E970" s="11">
        <v>3406</v>
      </c>
      <c r="F970" s="11">
        <v>3406</v>
      </c>
      <c r="H970" s="11">
        <v>5204</v>
      </c>
      <c r="I970" s="11">
        <v>5204</v>
      </c>
    </row>
    <row r="971" customHeight="1" spans="2:9">
      <c r="B971" s="11">
        <v>2031</v>
      </c>
      <c r="C971" s="11">
        <v>2031</v>
      </c>
      <c r="E971" s="11">
        <v>3407</v>
      </c>
      <c r="F971" s="11">
        <v>3407</v>
      </c>
      <c r="H971" s="11">
        <v>5205</v>
      </c>
      <c r="I971" s="11">
        <v>5205</v>
      </c>
    </row>
    <row r="972" customHeight="1" spans="2:9">
      <c r="B972" s="11">
        <v>2032</v>
      </c>
      <c r="C972" s="11">
        <v>2032</v>
      </c>
      <c r="E972" s="11">
        <v>3408</v>
      </c>
      <c r="F972" s="11">
        <v>3408</v>
      </c>
      <c r="H972" s="11">
        <v>5206</v>
      </c>
      <c r="I972" s="11">
        <v>5206</v>
      </c>
    </row>
    <row r="973" customHeight="1" spans="2:9">
      <c r="B973" s="11">
        <v>2033</v>
      </c>
      <c r="C973" s="11">
        <v>2033</v>
      </c>
      <c r="E973" s="11">
        <v>3409</v>
      </c>
      <c r="F973" s="11">
        <v>3409</v>
      </c>
      <c r="H973" s="11">
        <v>5207</v>
      </c>
      <c r="I973" s="11">
        <v>5207</v>
      </c>
    </row>
    <row r="974" customHeight="1" spans="2:9">
      <c r="B974" s="11">
        <v>2034</v>
      </c>
      <c r="C974" s="11">
        <v>2034</v>
      </c>
      <c r="E974" s="11">
        <v>3410</v>
      </c>
      <c r="F974" s="11">
        <v>3410</v>
      </c>
      <c r="H974" s="11">
        <v>5208</v>
      </c>
      <c r="I974" s="11">
        <v>5208</v>
      </c>
    </row>
    <row r="975" customHeight="1" spans="2:9">
      <c r="B975" s="11">
        <v>2035</v>
      </c>
      <c r="C975" s="11">
        <v>2035</v>
      </c>
      <c r="E975" s="11">
        <v>3411</v>
      </c>
      <c r="F975" s="11">
        <v>3411</v>
      </c>
      <c r="H975" s="11">
        <v>5209</v>
      </c>
      <c r="I975" s="11">
        <v>5209</v>
      </c>
    </row>
    <row r="976" customHeight="1" spans="2:9">
      <c r="B976" s="11">
        <v>2036</v>
      </c>
      <c r="C976" s="11">
        <v>2036</v>
      </c>
      <c r="E976" s="11">
        <v>3412</v>
      </c>
      <c r="F976" s="11">
        <v>3412</v>
      </c>
      <c r="H976" s="11">
        <v>5210</v>
      </c>
      <c r="I976" s="11">
        <v>5210</v>
      </c>
    </row>
    <row r="977" customHeight="1" spans="2:9">
      <c r="B977" s="11">
        <v>2037</v>
      </c>
      <c r="C977" s="11">
        <v>2037</v>
      </c>
      <c r="E977" s="11">
        <v>3413</v>
      </c>
      <c r="F977" s="11">
        <v>3413</v>
      </c>
      <c r="H977" s="11">
        <v>5211</v>
      </c>
      <c r="I977" s="11">
        <v>5211</v>
      </c>
    </row>
    <row r="978" customHeight="1" spans="2:9">
      <c r="B978" s="11">
        <v>2038</v>
      </c>
      <c r="C978" s="11">
        <v>2038</v>
      </c>
      <c r="E978" s="11">
        <v>3414</v>
      </c>
      <c r="F978" s="11">
        <v>3414</v>
      </c>
      <c r="H978" s="11">
        <v>5212</v>
      </c>
      <c r="I978" s="11">
        <v>5212</v>
      </c>
    </row>
    <row r="979" customHeight="1" spans="2:9">
      <c r="B979" s="11">
        <v>2039</v>
      </c>
      <c r="C979" s="11">
        <v>2039</v>
      </c>
      <c r="E979" s="11">
        <v>3415</v>
      </c>
      <c r="F979" s="11">
        <v>3415</v>
      </c>
      <c r="H979" s="11">
        <v>5213</v>
      </c>
      <c r="I979" s="11">
        <v>5213</v>
      </c>
    </row>
    <row r="980" customHeight="1" spans="2:9">
      <c r="B980" s="11">
        <v>2040</v>
      </c>
      <c r="C980" s="11">
        <v>2040</v>
      </c>
      <c r="E980" s="11">
        <v>3416</v>
      </c>
      <c r="F980" s="11">
        <v>3416</v>
      </c>
      <c r="H980" s="11">
        <v>5214</v>
      </c>
      <c r="I980" s="11">
        <v>5214</v>
      </c>
    </row>
    <row r="981" customHeight="1" spans="2:9">
      <c r="B981" s="11">
        <v>2041</v>
      </c>
      <c r="C981" s="11">
        <v>2041</v>
      </c>
      <c r="E981" s="11">
        <v>3417</v>
      </c>
      <c r="F981" s="11">
        <v>3417</v>
      </c>
      <c r="H981" s="11">
        <v>5215</v>
      </c>
      <c r="I981" s="11">
        <v>5215</v>
      </c>
    </row>
    <row r="982" customHeight="1" spans="2:9">
      <c r="B982" s="11">
        <v>2042</v>
      </c>
      <c r="C982" s="11">
        <v>2042</v>
      </c>
      <c r="E982" s="11">
        <v>3418</v>
      </c>
      <c r="F982" s="11">
        <v>3418</v>
      </c>
      <c r="H982" s="11">
        <v>5216</v>
      </c>
      <c r="I982" s="11">
        <v>5216</v>
      </c>
    </row>
    <row r="983" customHeight="1" spans="2:9">
      <c r="B983" s="11">
        <v>2043</v>
      </c>
      <c r="C983" s="11">
        <v>2043</v>
      </c>
      <c r="E983" s="11">
        <v>3419</v>
      </c>
      <c r="F983" s="11">
        <v>3419</v>
      </c>
      <c r="H983" s="11">
        <v>5217</v>
      </c>
      <c r="I983" s="11">
        <v>5217</v>
      </c>
    </row>
    <row r="984" customHeight="1" spans="2:9">
      <c r="B984" s="11">
        <v>2044</v>
      </c>
      <c r="C984" s="11">
        <v>2044</v>
      </c>
      <c r="E984" s="11">
        <v>3420</v>
      </c>
      <c r="F984" s="11">
        <v>3420</v>
      </c>
      <c r="H984" s="11">
        <v>5218</v>
      </c>
      <c r="I984" s="11">
        <v>5218</v>
      </c>
    </row>
    <row r="985" customHeight="1" spans="2:9">
      <c r="B985" s="11">
        <v>2045</v>
      </c>
      <c r="C985" s="11">
        <v>2045</v>
      </c>
      <c r="E985" s="11">
        <v>3421</v>
      </c>
      <c r="F985" s="11">
        <v>3421</v>
      </c>
      <c r="H985" s="11">
        <v>5219</v>
      </c>
      <c r="I985" s="11">
        <v>5219</v>
      </c>
    </row>
    <row r="986" customHeight="1" spans="2:9">
      <c r="B986" s="11">
        <v>2046</v>
      </c>
      <c r="C986" s="11">
        <v>2046</v>
      </c>
      <c r="E986" s="11">
        <v>3422</v>
      </c>
      <c r="F986" s="11">
        <v>3422</v>
      </c>
      <c r="H986" s="11">
        <v>5220</v>
      </c>
      <c r="I986" s="11">
        <v>5220</v>
      </c>
    </row>
    <row r="987" customHeight="1" spans="2:9">
      <c r="B987" s="11">
        <v>2047</v>
      </c>
      <c r="C987" s="11">
        <v>2047</v>
      </c>
      <c r="E987" s="11">
        <v>3423</v>
      </c>
      <c r="F987" s="11">
        <v>3423</v>
      </c>
      <c r="H987" s="11">
        <v>5221</v>
      </c>
      <c r="I987" s="11">
        <v>5221</v>
      </c>
    </row>
    <row r="988" customHeight="1" spans="2:9">
      <c r="B988" s="11">
        <v>2048</v>
      </c>
      <c r="C988" s="11">
        <v>2048</v>
      </c>
      <c r="E988" s="11">
        <v>3424</v>
      </c>
      <c r="F988" s="11">
        <v>3424</v>
      </c>
      <c r="H988" s="11">
        <v>5222</v>
      </c>
      <c r="I988" s="11">
        <v>5222</v>
      </c>
    </row>
    <row r="989" customHeight="1" spans="2:9">
      <c r="B989" s="11">
        <v>2049</v>
      </c>
      <c r="C989" s="11">
        <v>2049</v>
      </c>
      <c r="E989" s="11">
        <v>3425</v>
      </c>
      <c r="F989" s="11">
        <v>3425</v>
      </c>
      <c r="H989" s="11">
        <v>5223</v>
      </c>
      <c r="I989" s="11">
        <v>5223</v>
      </c>
    </row>
    <row r="990" customHeight="1" spans="2:9">
      <c r="B990" s="11">
        <v>2050</v>
      </c>
      <c r="C990" s="11">
        <v>2050</v>
      </c>
      <c r="E990" s="11">
        <v>3426</v>
      </c>
      <c r="F990" s="11">
        <v>3426</v>
      </c>
      <c r="H990" s="11">
        <v>5224</v>
      </c>
      <c r="I990" s="11">
        <v>5224</v>
      </c>
    </row>
    <row r="991" customHeight="1" spans="2:9">
      <c r="B991" s="11">
        <v>2051</v>
      </c>
      <c r="C991" s="11">
        <v>2051</v>
      </c>
      <c r="E991" s="11">
        <v>3691</v>
      </c>
      <c r="F991" s="11">
        <v>3691</v>
      </c>
      <c r="H991" s="11">
        <v>5225</v>
      </c>
      <c r="I991" s="11">
        <v>5225</v>
      </c>
    </row>
    <row r="992" customHeight="1" spans="2:9">
      <c r="B992" s="11">
        <v>2052</v>
      </c>
      <c r="C992" s="11">
        <v>2052</v>
      </c>
      <c r="E992" s="11">
        <v>3692</v>
      </c>
      <c r="F992" s="11">
        <v>3692</v>
      </c>
      <c r="H992" s="11">
        <v>5226</v>
      </c>
      <c r="I992" s="11">
        <v>5226</v>
      </c>
    </row>
    <row r="993" customHeight="1" spans="2:9">
      <c r="B993" s="11">
        <v>2053</v>
      </c>
      <c r="C993" s="11">
        <v>2053</v>
      </c>
      <c r="E993" s="11">
        <v>3693</v>
      </c>
      <c r="F993" s="11">
        <v>3693</v>
      </c>
      <c r="H993" s="11">
        <v>5227</v>
      </c>
      <c r="I993" s="11">
        <v>5227</v>
      </c>
    </row>
    <row r="994" customHeight="1" spans="2:9">
      <c r="B994" s="11">
        <v>2054</v>
      </c>
      <c r="C994" s="11">
        <v>2054</v>
      </c>
      <c r="E994" s="11">
        <v>3694</v>
      </c>
      <c r="F994" s="11">
        <v>3694</v>
      </c>
      <c r="H994" s="11">
        <v>5228</v>
      </c>
      <c r="I994" s="11">
        <v>5228</v>
      </c>
    </row>
    <row r="995" customHeight="1" spans="2:9">
      <c r="B995" s="11">
        <v>2055</v>
      </c>
      <c r="C995" s="11">
        <v>2055</v>
      </c>
      <c r="E995" s="11">
        <v>3695</v>
      </c>
      <c r="F995" s="11">
        <v>3695</v>
      </c>
      <c r="H995" s="11">
        <v>5229</v>
      </c>
      <c r="I995" s="11">
        <v>5229</v>
      </c>
    </row>
    <row r="996" customHeight="1" spans="2:9">
      <c r="B996" s="11">
        <v>2056</v>
      </c>
      <c r="C996" s="11">
        <v>2056</v>
      </c>
      <c r="E996" s="11">
        <v>3696</v>
      </c>
      <c r="F996" s="11">
        <v>3696</v>
      </c>
      <c r="H996" s="11">
        <v>5230</v>
      </c>
      <c r="I996" s="11">
        <v>5230</v>
      </c>
    </row>
    <row r="997" customHeight="1" spans="2:9">
      <c r="B997" s="11">
        <v>2057</v>
      </c>
      <c r="C997" s="11">
        <v>2057</v>
      </c>
      <c r="E997" s="11">
        <v>3697</v>
      </c>
      <c r="F997" s="11">
        <v>3697</v>
      </c>
      <c r="H997" s="11">
        <v>5231</v>
      </c>
      <c r="I997" s="11">
        <v>5231</v>
      </c>
    </row>
    <row r="998" customHeight="1" spans="2:9">
      <c r="B998" s="11">
        <v>2058</v>
      </c>
      <c r="C998" s="11">
        <v>2058</v>
      </c>
      <c r="E998" s="11">
        <v>3698</v>
      </c>
      <c r="F998" s="11">
        <v>3698</v>
      </c>
      <c r="H998" s="11">
        <v>5232</v>
      </c>
      <c r="I998" s="11">
        <v>5232</v>
      </c>
    </row>
    <row r="999" customHeight="1" spans="2:9">
      <c r="B999" s="11">
        <v>2059</v>
      </c>
      <c r="C999" s="11">
        <v>2059</v>
      </c>
      <c r="E999" s="11">
        <v>3699</v>
      </c>
      <c r="F999" s="11">
        <v>3699</v>
      </c>
      <c r="H999" s="11">
        <v>5233</v>
      </c>
      <c r="I999" s="11">
        <v>5233</v>
      </c>
    </row>
    <row r="1000" customHeight="1" spans="2:9">
      <c r="B1000" s="11">
        <v>2060</v>
      </c>
      <c r="C1000" s="11">
        <v>2060</v>
      </c>
      <c r="E1000" s="11">
        <v>3700</v>
      </c>
      <c r="F1000" s="11">
        <v>3700</v>
      </c>
      <c r="H1000" s="11">
        <v>5234</v>
      </c>
      <c r="I1000" s="11">
        <v>5234</v>
      </c>
    </row>
    <row r="1001" customHeight="1" spans="2:9">
      <c r="B1001" s="11">
        <v>2061</v>
      </c>
      <c r="C1001" s="11">
        <v>2061</v>
      </c>
      <c r="E1001" s="11">
        <v>3701</v>
      </c>
      <c r="F1001" s="11">
        <v>3701</v>
      </c>
      <c r="H1001" s="11">
        <v>5235</v>
      </c>
      <c r="I1001" s="11">
        <v>5235</v>
      </c>
    </row>
    <row r="1002" customHeight="1" spans="2:9">
      <c r="B1002" s="11">
        <v>2062</v>
      </c>
      <c r="C1002" s="11">
        <v>2062</v>
      </c>
      <c r="E1002" s="11">
        <v>3702</v>
      </c>
      <c r="F1002" s="11">
        <v>3702</v>
      </c>
      <c r="H1002" s="11">
        <v>5236</v>
      </c>
      <c r="I1002" s="11">
        <v>5236</v>
      </c>
    </row>
    <row r="1003" customHeight="1" spans="2:9">
      <c r="B1003" s="11">
        <v>2063</v>
      </c>
      <c r="C1003" s="11">
        <v>2063</v>
      </c>
      <c r="E1003" s="11">
        <v>3703</v>
      </c>
      <c r="F1003" s="11">
        <v>3703</v>
      </c>
      <c r="H1003" s="11">
        <v>5237</v>
      </c>
      <c r="I1003" s="11">
        <v>5237</v>
      </c>
    </row>
    <row r="1004" customHeight="1" spans="2:9">
      <c r="B1004" s="11">
        <v>2064</v>
      </c>
      <c r="C1004" s="11">
        <v>2064</v>
      </c>
      <c r="E1004" s="11">
        <v>3704</v>
      </c>
      <c r="F1004" s="11">
        <v>3704</v>
      </c>
      <c r="H1004" s="11">
        <v>5238</v>
      </c>
      <c r="I1004" s="11">
        <v>5238</v>
      </c>
    </row>
    <row r="1005" customHeight="1" spans="2:9">
      <c r="B1005" s="11">
        <v>2065</v>
      </c>
      <c r="C1005" s="11">
        <v>2065</v>
      </c>
      <c r="E1005" s="11">
        <v>3705</v>
      </c>
      <c r="F1005" s="11">
        <v>3705</v>
      </c>
      <c r="H1005" s="11">
        <v>5239</v>
      </c>
      <c r="I1005" s="11">
        <v>5239</v>
      </c>
    </row>
    <row r="1006" customHeight="1" spans="2:9">
      <c r="B1006" s="11">
        <v>2066</v>
      </c>
      <c r="C1006" s="11">
        <v>2066</v>
      </c>
      <c r="E1006" s="11">
        <v>3706</v>
      </c>
      <c r="F1006" s="11">
        <v>3706</v>
      </c>
      <c r="H1006" s="11">
        <v>5240</v>
      </c>
      <c r="I1006" s="11">
        <v>5240</v>
      </c>
    </row>
    <row r="1007" customHeight="1" spans="2:9">
      <c r="B1007" s="11">
        <v>2067</v>
      </c>
      <c r="C1007" s="11">
        <v>2067</v>
      </c>
      <c r="E1007" s="11">
        <v>3707</v>
      </c>
      <c r="F1007" s="11">
        <v>3707</v>
      </c>
      <c r="H1007" s="11">
        <v>5241</v>
      </c>
      <c r="I1007" s="11">
        <v>5241</v>
      </c>
    </row>
    <row r="1008" customHeight="1" spans="2:9">
      <c r="B1008" s="11">
        <v>2068</v>
      </c>
      <c r="C1008" s="11">
        <v>2068</v>
      </c>
      <c r="E1008" s="11">
        <v>3708</v>
      </c>
      <c r="F1008" s="11">
        <v>3708</v>
      </c>
      <c r="H1008" s="11">
        <v>5242</v>
      </c>
      <c r="I1008" s="11">
        <v>5242</v>
      </c>
    </row>
    <row r="1009" customHeight="1" spans="2:9">
      <c r="B1009" s="11">
        <v>2069</v>
      </c>
      <c r="C1009" s="11">
        <v>2069</v>
      </c>
      <c r="E1009" s="11">
        <v>3709</v>
      </c>
      <c r="F1009" s="11">
        <v>3709</v>
      </c>
      <c r="H1009" s="11">
        <v>5243</v>
      </c>
      <c r="I1009" s="11">
        <v>5243</v>
      </c>
    </row>
    <row r="1010" customHeight="1" spans="2:9">
      <c r="B1010" s="11">
        <v>2070</v>
      </c>
      <c r="C1010" s="11">
        <v>2070</v>
      </c>
      <c r="E1010" s="11">
        <v>3710</v>
      </c>
      <c r="F1010" s="11">
        <v>3710</v>
      </c>
      <c r="H1010" s="11">
        <v>5244</v>
      </c>
      <c r="I1010" s="11">
        <v>5244</v>
      </c>
    </row>
    <row r="1011" customHeight="1" spans="2:9">
      <c r="B1011" s="11">
        <v>2071</v>
      </c>
      <c r="C1011" s="11">
        <v>2071</v>
      </c>
      <c r="E1011" s="11">
        <v>3711</v>
      </c>
      <c r="F1011" s="11">
        <v>3711</v>
      </c>
      <c r="H1011" s="11">
        <v>5245</v>
      </c>
      <c r="I1011" s="11">
        <v>5245</v>
      </c>
    </row>
    <row r="1012" customHeight="1" spans="2:9">
      <c r="B1012" s="11">
        <v>2072</v>
      </c>
      <c r="C1012" s="11">
        <v>2072</v>
      </c>
      <c r="E1012" s="11">
        <v>3712</v>
      </c>
      <c r="F1012" s="11">
        <v>3712</v>
      </c>
      <c r="H1012" s="11">
        <v>5246</v>
      </c>
      <c r="I1012" s="11">
        <v>5246</v>
      </c>
    </row>
    <row r="1013" customHeight="1" spans="2:9">
      <c r="B1013" s="11">
        <v>2073</v>
      </c>
      <c r="C1013" s="11">
        <v>2073</v>
      </c>
      <c r="E1013" s="11">
        <v>3713</v>
      </c>
      <c r="F1013" s="11">
        <v>3713</v>
      </c>
      <c r="H1013" s="11">
        <v>5247</v>
      </c>
      <c r="I1013" s="11">
        <v>5247</v>
      </c>
    </row>
    <row r="1014" customHeight="1" spans="2:9">
      <c r="B1014" s="11">
        <v>2074</v>
      </c>
      <c r="C1014" s="11">
        <v>2074</v>
      </c>
      <c r="E1014" s="11">
        <v>3714</v>
      </c>
      <c r="F1014" s="11">
        <v>3714</v>
      </c>
      <c r="H1014" s="11">
        <v>5248</v>
      </c>
      <c r="I1014" s="11">
        <v>5248</v>
      </c>
    </row>
    <row r="1015" customHeight="1" spans="2:9">
      <c r="B1015" s="11">
        <v>2075</v>
      </c>
      <c r="C1015" s="11">
        <v>2075</v>
      </c>
      <c r="E1015" s="11">
        <v>3715</v>
      </c>
      <c r="F1015" s="11">
        <v>3715</v>
      </c>
      <c r="H1015" s="11">
        <v>5249</v>
      </c>
      <c r="I1015" s="11">
        <v>5249</v>
      </c>
    </row>
    <row r="1016" customHeight="1" spans="2:9">
      <c r="B1016" s="11">
        <v>2076</v>
      </c>
      <c r="C1016" s="11">
        <v>2076</v>
      </c>
      <c r="E1016" s="11">
        <v>3716</v>
      </c>
      <c r="F1016" s="11">
        <v>3716</v>
      </c>
      <c r="H1016" s="11">
        <v>5250</v>
      </c>
      <c r="I1016" s="11">
        <v>5250</v>
      </c>
    </row>
    <row r="1017" customHeight="1" spans="2:9">
      <c r="B1017" s="11">
        <v>2077</v>
      </c>
      <c r="C1017" s="11">
        <v>2077</v>
      </c>
      <c r="E1017" s="11">
        <v>3717</v>
      </c>
      <c r="F1017" s="11">
        <v>3717</v>
      </c>
      <c r="H1017" s="11">
        <v>5251</v>
      </c>
      <c r="I1017" s="11">
        <v>5251</v>
      </c>
    </row>
    <row r="1018" customHeight="1" spans="2:9">
      <c r="B1018" s="11">
        <v>2078</v>
      </c>
      <c r="C1018" s="11">
        <v>2078</v>
      </c>
      <c r="E1018" s="11">
        <v>3718</v>
      </c>
      <c r="F1018" s="11">
        <v>3718</v>
      </c>
      <c r="H1018" s="11">
        <v>5252</v>
      </c>
      <c r="I1018" s="11">
        <v>5252</v>
      </c>
    </row>
    <row r="1019" customHeight="1" spans="2:9">
      <c r="B1019" s="11">
        <v>2079</v>
      </c>
      <c r="C1019" s="11">
        <v>2079</v>
      </c>
      <c r="E1019" s="11">
        <v>3719</v>
      </c>
      <c r="F1019" s="11">
        <v>3719</v>
      </c>
      <c r="H1019" s="11">
        <v>5253</v>
      </c>
      <c r="I1019" s="11">
        <v>5253</v>
      </c>
    </row>
    <row r="1020" customHeight="1" spans="2:9">
      <c r="B1020" s="11">
        <v>2085</v>
      </c>
      <c r="C1020" s="11">
        <v>2085</v>
      </c>
      <c r="E1020" s="11">
        <v>3720</v>
      </c>
      <c r="F1020" s="11">
        <v>3720</v>
      </c>
      <c r="H1020" s="11">
        <v>5254</v>
      </c>
      <c r="I1020" s="11">
        <v>5254</v>
      </c>
    </row>
    <row r="1021" customHeight="1" spans="2:9">
      <c r="B1021" s="11">
        <v>2086</v>
      </c>
      <c r="C1021" s="11">
        <v>2086</v>
      </c>
      <c r="E1021" s="11">
        <v>3721</v>
      </c>
      <c r="F1021" s="11">
        <v>3721</v>
      </c>
      <c r="H1021" s="11">
        <v>5255</v>
      </c>
      <c r="I1021" s="11">
        <v>5255</v>
      </c>
    </row>
    <row r="1022" customHeight="1" spans="2:9">
      <c r="B1022" s="11">
        <v>2087</v>
      </c>
      <c r="C1022" s="11">
        <v>2087</v>
      </c>
      <c r="E1022" s="11">
        <v>3722</v>
      </c>
      <c r="F1022" s="11">
        <v>3722</v>
      </c>
      <c r="H1022" s="11">
        <v>5256</v>
      </c>
      <c r="I1022" s="11">
        <v>5256</v>
      </c>
    </row>
    <row r="1023" customHeight="1" spans="2:9">
      <c r="B1023" s="11">
        <v>2088</v>
      </c>
      <c r="C1023" s="11">
        <v>2088</v>
      </c>
      <c r="E1023" s="11">
        <v>3723</v>
      </c>
      <c r="F1023" s="11">
        <v>3723</v>
      </c>
      <c r="H1023" s="11">
        <v>5257</v>
      </c>
      <c r="I1023" s="11">
        <v>5257</v>
      </c>
    </row>
    <row r="1024" customHeight="1" spans="2:9">
      <c r="B1024" s="11">
        <v>2089</v>
      </c>
      <c r="C1024" s="11">
        <v>2089</v>
      </c>
      <c r="E1024" s="11">
        <v>3724</v>
      </c>
      <c r="F1024" s="11">
        <v>3724</v>
      </c>
      <c r="H1024" s="11">
        <v>5258</v>
      </c>
      <c r="I1024" s="11">
        <v>5258</v>
      </c>
    </row>
    <row r="1025" customHeight="1" spans="2:9">
      <c r="B1025" s="11">
        <v>2090</v>
      </c>
      <c r="C1025" s="11">
        <v>2090</v>
      </c>
      <c r="E1025" s="11">
        <v>3725</v>
      </c>
      <c r="F1025" s="11">
        <v>3725</v>
      </c>
      <c r="H1025" s="11">
        <v>5259</v>
      </c>
      <c r="I1025" s="11">
        <v>5259</v>
      </c>
    </row>
    <row r="1026" customHeight="1" spans="2:9">
      <c r="B1026" s="11">
        <v>2091</v>
      </c>
      <c r="C1026" s="11">
        <v>2091</v>
      </c>
      <c r="E1026" s="11">
        <v>3726</v>
      </c>
      <c r="F1026" s="11">
        <v>3726</v>
      </c>
      <c r="H1026" s="11">
        <v>5260</v>
      </c>
      <c r="I1026" s="11">
        <v>5260</v>
      </c>
    </row>
    <row r="1027" customHeight="1" spans="2:9">
      <c r="B1027" s="11">
        <v>2092</v>
      </c>
      <c r="C1027" s="11">
        <v>2092</v>
      </c>
      <c r="E1027" s="11">
        <v>3727</v>
      </c>
      <c r="F1027" s="11">
        <v>3727</v>
      </c>
      <c r="H1027" s="11">
        <v>5261</v>
      </c>
      <c r="I1027" s="11">
        <v>5261</v>
      </c>
    </row>
    <row r="1028" customHeight="1" spans="2:9">
      <c r="B1028" s="11">
        <v>2093</v>
      </c>
      <c r="C1028" s="11">
        <v>2093</v>
      </c>
      <c r="E1028" s="11">
        <v>3728</v>
      </c>
      <c r="F1028" s="11">
        <v>3728</v>
      </c>
      <c r="H1028" s="11">
        <v>5262</v>
      </c>
      <c r="I1028" s="11">
        <v>5262</v>
      </c>
    </row>
    <row r="1029" customHeight="1" spans="2:9">
      <c r="B1029" s="11">
        <v>2094</v>
      </c>
      <c r="C1029" s="11">
        <v>2094</v>
      </c>
      <c r="E1029" s="11">
        <v>3729</v>
      </c>
      <c r="F1029" s="11">
        <v>3729</v>
      </c>
      <c r="H1029" s="11">
        <v>5263</v>
      </c>
      <c r="I1029" s="11">
        <v>5263</v>
      </c>
    </row>
    <row r="1030" customHeight="1" spans="2:9">
      <c r="B1030" s="11">
        <v>2095</v>
      </c>
      <c r="C1030" s="11">
        <v>2095</v>
      </c>
      <c r="E1030" s="11">
        <v>3730</v>
      </c>
      <c r="F1030" s="11">
        <v>3730</v>
      </c>
      <c r="H1030" s="11">
        <v>5264</v>
      </c>
      <c r="I1030" s="11">
        <v>5264</v>
      </c>
    </row>
    <row r="1031" customHeight="1" spans="2:9">
      <c r="B1031" s="11">
        <v>2096</v>
      </c>
      <c r="C1031" s="11">
        <v>2096</v>
      </c>
      <c r="E1031" s="11">
        <v>3731</v>
      </c>
      <c r="F1031" s="11">
        <v>3731</v>
      </c>
      <c r="H1031" s="11">
        <v>5265</v>
      </c>
      <c r="I1031" s="11">
        <v>5265</v>
      </c>
    </row>
    <row r="1032" customHeight="1" spans="2:9">
      <c r="B1032" s="11">
        <v>2097</v>
      </c>
      <c r="C1032" s="11">
        <v>2097</v>
      </c>
      <c r="E1032" s="11">
        <v>3732</v>
      </c>
      <c r="F1032" s="11">
        <v>3732</v>
      </c>
      <c r="H1032" s="11">
        <v>5266</v>
      </c>
      <c r="I1032" s="11">
        <v>5266</v>
      </c>
    </row>
    <row r="1033" customHeight="1" spans="2:9">
      <c r="B1033" s="11">
        <v>2098</v>
      </c>
      <c r="C1033" s="11">
        <v>2098</v>
      </c>
      <c r="E1033" s="11">
        <v>3733</v>
      </c>
      <c r="F1033" s="11">
        <v>3733</v>
      </c>
      <c r="H1033" s="11">
        <v>5267</v>
      </c>
      <c r="I1033" s="11">
        <v>5267</v>
      </c>
    </row>
    <row r="1034" customHeight="1" spans="2:9">
      <c r="B1034" s="11">
        <v>2099</v>
      </c>
      <c r="C1034" s="11">
        <v>2099</v>
      </c>
      <c r="E1034" s="11">
        <v>3734</v>
      </c>
      <c r="F1034" s="11">
        <v>3734</v>
      </c>
      <c r="H1034" s="11">
        <v>5268</v>
      </c>
      <c r="I1034" s="11">
        <v>5268</v>
      </c>
    </row>
    <row r="1035" customHeight="1" spans="2:9">
      <c r="B1035" s="11">
        <v>2100</v>
      </c>
      <c r="C1035" s="11">
        <v>2100</v>
      </c>
      <c r="E1035" s="11">
        <v>3735</v>
      </c>
      <c r="F1035" s="11">
        <v>3735</v>
      </c>
      <c r="H1035" s="11">
        <v>5269</v>
      </c>
      <c r="I1035" s="11">
        <v>5269</v>
      </c>
    </row>
    <row r="1036" customHeight="1" spans="2:9">
      <c r="B1036" s="11">
        <v>2101</v>
      </c>
      <c r="C1036" s="11">
        <v>2101</v>
      </c>
      <c r="E1036" s="11">
        <v>3736</v>
      </c>
      <c r="F1036" s="11">
        <v>3736</v>
      </c>
      <c r="H1036" s="11">
        <v>5270</v>
      </c>
      <c r="I1036" s="11">
        <v>5270</v>
      </c>
    </row>
    <row r="1037" customHeight="1" spans="2:9">
      <c r="B1037" s="11">
        <v>2102</v>
      </c>
      <c r="C1037" s="11">
        <v>2102</v>
      </c>
      <c r="E1037" s="11">
        <v>3737</v>
      </c>
      <c r="F1037" s="11">
        <v>3737</v>
      </c>
      <c r="H1037" s="11">
        <v>5271</v>
      </c>
      <c r="I1037" s="11">
        <v>5271</v>
      </c>
    </row>
    <row r="1038" customHeight="1" spans="2:9">
      <c r="B1038" s="11">
        <v>2103</v>
      </c>
      <c r="C1038" s="11">
        <v>2103</v>
      </c>
      <c r="E1038" s="11">
        <v>3738</v>
      </c>
      <c r="F1038" s="11">
        <v>3738</v>
      </c>
      <c r="H1038" s="11">
        <v>5272</v>
      </c>
      <c r="I1038" s="11">
        <v>5272</v>
      </c>
    </row>
    <row r="1039" customHeight="1" spans="2:9">
      <c r="B1039" s="11">
        <v>2104</v>
      </c>
      <c r="C1039" s="11">
        <v>2104</v>
      </c>
      <c r="E1039" s="11">
        <v>3739</v>
      </c>
      <c r="F1039" s="11">
        <v>3739</v>
      </c>
      <c r="H1039" s="11">
        <v>5273</v>
      </c>
      <c r="I1039" s="11">
        <v>5273</v>
      </c>
    </row>
    <row r="1040" customHeight="1" spans="2:9">
      <c r="B1040" s="11">
        <v>2105</v>
      </c>
      <c r="C1040" s="11">
        <v>2105</v>
      </c>
      <c r="E1040" s="11">
        <v>3740</v>
      </c>
      <c r="F1040" s="11">
        <v>3740</v>
      </c>
      <c r="H1040" s="11">
        <v>5274</v>
      </c>
      <c r="I1040" s="11">
        <v>5274</v>
      </c>
    </row>
    <row r="1041" customHeight="1" spans="2:9">
      <c r="B1041" s="11">
        <v>2106</v>
      </c>
      <c r="C1041" s="11">
        <v>2106</v>
      </c>
      <c r="E1041" s="11">
        <v>3741</v>
      </c>
      <c r="F1041" s="11">
        <v>3741</v>
      </c>
      <c r="H1041" s="11">
        <v>5275</v>
      </c>
      <c r="I1041" s="11">
        <v>5275</v>
      </c>
    </row>
    <row r="1042" customHeight="1" spans="2:9">
      <c r="B1042" s="11">
        <v>2107</v>
      </c>
      <c r="C1042" s="11">
        <v>2107</v>
      </c>
      <c r="E1042" s="11">
        <v>3742</v>
      </c>
      <c r="F1042" s="11">
        <v>3742</v>
      </c>
      <c r="H1042" s="11">
        <v>5276</v>
      </c>
      <c r="I1042" s="11">
        <v>5276</v>
      </c>
    </row>
    <row r="1043" customHeight="1" spans="2:9">
      <c r="B1043" s="11">
        <v>2158</v>
      </c>
      <c r="C1043" s="11">
        <v>2158</v>
      </c>
      <c r="E1043" s="11">
        <v>3743</v>
      </c>
      <c r="F1043" s="11">
        <v>3743</v>
      </c>
      <c r="H1043" s="11">
        <v>5277</v>
      </c>
      <c r="I1043" s="11">
        <v>5277</v>
      </c>
    </row>
    <row r="1044" customHeight="1" spans="2:9">
      <c r="B1044" s="11">
        <v>2160</v>
      </c>
      <c r="C1044" s="11">
        <v>2160</v>
      </c>
      <c r="E1044" s="11">
        <v>3744</v>
      </c>
      <c r="F1044" s="11">
        <v>3744</v>
      </c>
      <c r="H1044" s="11">
        <v>5278</v>
      </c>
      <c r="I1044" s="11">
        <v>5278</v>
      </c>
    </row>
    <row r="1045" customHeight="1" spans="2:9">
      <c r="B1045" s="11">
        <v>2161</v>
      </c>
      <c r="C1045" s="11">
        <v>2161</v>
      </c>
      <c r="E1045" s="11">
        <v>3745</v>
      </c>
      <c r="F1045" s="11">
        <v>3745</v>
      </c>
      <c r="H1045" s="11">
        <v>5279</v>
      </c>
      <c r="I1045" s="11">
        <v>5279</v>
      </c>
    </row>
    <row r="1046" customHeight="1" spans="2:9">
      <c r="B1046" s="11">
        <v>2162</v>
      </c>
      <c r="C1046" s="11">
        <v>2162</v>
      </c>
      <c r="E1046" s="11">
        <v>3746</v>
      </c>
      <c r="F1046" s="11">
        <v>3746</v>
      </c>
      <c r="H1046" s="11">
        <v>5280</v>
      </c>
      <c r="I1046" s="11">
        <v>5280</v>
      </c>
    </row>
    <row r="1047" customHeight="1" spans="2:9">
      <c r="B1047" s="11">
        <v>2163</v>
      </c>
      <c r="C1047" s="11">
        <v>2163</v>
      </c>
      <c r="E1047" s="11">
        <v>3747</v>
      </c>
      <c r="F1047" s="11">
        <v>3747</v>
      </c>
      <c r="H1047" s="11">
        <v>5281</v>
      </c>
      <c r="I1047" s="11">
        <v>5281</v>
      </c>
    </row>
    <row r="1048" customHeight="1" spans="2:9">
      <c r="B1048" s="11">
        <v>2164</v>
      </c>
      <c r="C1048" s="11">
        <v>2164</v>
      </c>
      <c r="E1048" s="11">
        <v>3748</v>
      </c>
      <c r="F1048" s="11">
        <v>3748</v>
      </c>
      <c r="H1048" s="11">
        <v>5282</v>
      </c>
      <c r="I1048" s="11">
        <v>5282</v>
      </c>
    </row>
    <row r="1049" customHeight="1" spans="2:9">
      <c r="B1049" s="11">
        <v>2165</v>
      </c>
      <c r="C1049" s="11">
        <v>2165</v>
      </c>
      <c r="E1049" s="11">
        <v>3749</v>
      </c>
      <c r="F1049" s="11">
        <v>3749</v>
      </c>
      <c r="H1049" s="11">
        <v>5283</v>
      </c>
      <c r="I1049" s="11">
        <v>5283</v>
      </c>
    </row>
    <row r="1050" customHeight="1" spans="2:9">
      <c r="B1050" s="11">
        <v>2166</v>
      </c>
      <c r="C1050" s="11">
        <v>2166</v>
      </c>
      <c r="E1050" s="11">
        <v>3812</v>
      </c>
      <c r="F1050" s="11">
        <v>3812</v>
      </c>
      <c r="H1050" s="11">
        <v>5284</v>
      </c>
      <c r="I1050" s="11">
        <v>5284</v>
      </c>
    </row>
    <row r="1051" customHeight="1" spans="2:9">
      <c r="B1051" s="11">
        <v>2167</v>
      </c>
      <c r="C1051" s="11">
        <v>2167</v>
      </c>
      <c r="E1051" s="11">
        <v>3813</v>
      </c>
      <c r="F1051" s="11">
        <v>3813</v>
      </c>
      <c r="H1051" s="11">
        <v>5285</v>
      </c>
      <c r="I1051" s="11">
        <v>5285</v>
      </c>
    </row>
    <row r="1052" customHeight="1" spans="2:9">
      <c r="B1052" s="11">
        <v>2168</v>
      </c>
      <c r="C1052" s="11">
        <v>2168</v>
      </c>
      <c r="E1052" s="11">
        <v>3814</v>
      </c>
      <c r="F1052" s="11">
        <v>3814</v>
      </c>
      <c r="H1052" s="11">
        <v>5286</v>
      </c>
      <c r="I1052" s="11">
        <v>5286</v>
      </c>
    </row>
    <row r="1053" customHeight="1" spans="2:9">
      <c r="B1053" s="11">
        <v>2169</v>
      </c>
      <c r="C1053" s="11">
        <v>2169</v>
      </c>
      <c r="E1053" s="11">
        <v>3815</v>
      </c>
      <c r="F1053" s="11">
        <v>3815</v>
      </c>
      <c r="H1053" s="11">
        <v>5287</v>
      </c>
      <c r="I1053" s="11">
        <v>5287</v>
      </c>
    </row>
    <row r="1054" customHeight="1" spans="2:9">
      <c r="B1054" s="11">
        <v>2170</v>
      </c>
      <c r="C1054" s="11">
        <v>2170</v>
      </c>
      <c r="E1054" s="11">
        <v>3816</v>
      </c>
      <c r="F1054" s="11">
        <v>3816</v>
      </c>
      <c r="H1054" s="11">
        <v>5288</v>
      </c>
      <c r="I1054" s="11">
        <v>5288</v>
      </c>
    </row>
    <row r="1055" customHeight="1" spans="2:9">
      <c r="B1055" s="11">
        <v>2171</v>
      </c>
      <c r="C1055" s="11">
        <v>2171</v>
      </c>
      <c r="E1055" s="11">
        <v>3817</v>
      </c>
      <c r="F1055" s="11">
        <v>3817</v>
      </c>
      <c r="H1055" s="11">
        <v>5289</v>
      </c>
      <c r="I1055" s="11">
        <v>5289</v>
      </c>
    </row>
    <row r="1056" customHeight="1" spans="2:9">
      <c r="B1056" s="11">
        <v>2172</v>
      </c>
      <c r="C1056" s="11">
        <v>2172</v>
      </c>
      <c r="E1056" s="11">
        <v>3818</v>
      </c>
      <c r="F1056" s="11">
        <v>3818</v>
      </c>
      <c r="H1056" s="11">
        <v>5290</v>
      </c>
      <c r="I1056" s="11">
        <v>5290</v>
      </c>
    </row>
    <row r="1057" customHeight="1" spans="2:9">
      <c r="B1057" s="11">
        <v>2174</v>
      </c>
      <c r="C1057" s="11">
        <v>2174</v>
      </c>
      <c r="E1057" s="11">
        <v>3819</v>
      </c>
      <c r="F1057" s="11">
        <v>3819</v>
      </c>
      <c r="H1057" s="11">
        <v>5291</v>
      </c>
      <c r="I1057" s="11">
        <v>5291</v>
      </c>
    </row>
    <row r="1058" customHeight="1" spans="2:9">
      <c r="B1058" s="11">
        <v>2175</v>
      </c>
      <c r="C1058" s="11">
        <v>2175</v>
      </c>
      <c r="E1058" s="11">
        <v>3820</v>
      </c>
      <c r="F1058" s="11">
        <v>3820</v>
      </c>
      <c r="H1058" s="11">
        <v>5292</v>
      </c>
      <c r="I1058" s="11">
        <v>5292</v>
      </c>
    </row>
    <row r="1059" customHeight="1" spans="2:9">
      <c r="B1059" s="11">
        <v>2176</v>
      </c>
      <c r="C1059" s="11">
        <v>2176</v>
      </c>
      <c r="E1059" s="11">
        <v>3821</v>
      </c>
      <c r="F1059" s="11">
        <v>3821</v>
      </c>
      <c r="H1059" s="11">
        <v>5293</v>
      </c>
      <c r="I1059" s="11">
        <v>5293</v>
      </c>
    </row>
    <row r="1060" customHeight="1" spans="2:9">
      <c r="B1060" s="11">
        <v>2177</v>
      </c>
      <c r="C1060" s="11">
        <v>2177</v>
      </c>
      <c r="E1060" s="11">
        <v>3822</v>
      </c>
      <c r="F1060" s="11">
        <v>3822</v>
      </c>
      <c r="H1060" s="11">
        <v>5294</v>
      </c>
      <c r="I1060" s="11">
        <v>5294</v>
      </c>
    </row>
    <row r="1061" customHeight="1" spans="2:9">
      <c r="B1061" s="11">
        <v>2178</v>
      </c>
      <c r="C1061" s="11">
        <v>2178</v>
      </c>
      <c r="E1061" s="11">
        <v>3823</v>
      </c>
      <c r="F1061" s="11">
        <v>3823</v>
      </c>
      <c r="H1061" s="11">
        <v>5295</v>
      </c>
      <c r="I1061" s="11">
        <v>5295</v>
      </c>
    </row>
    <row r="1062" customHeight="1" spans="2:9">
      <c r="B1062" s="11">
        <v>2179</v>
      </c>
      <c r="C1062" s="11">
        <v>2179</v>
      </c>
      <c r="E1062" s="11">
        <v>3824</v>
      </c>
      <c r="F1062" s="11">
        <v>3824</v>
      </c>
      <c r="H1062" s="11">
        <v>5296</v>
      </c>
      <c r="I1062" s="11">
        <v>5296</v>
      </c>
    </row>
    <row r="1063" customHeight="1" spans="2:9">
      <c r="B1063" s="11">
        <v>2180</v>
      </c>
      <c r="C1063" s="11">
        <v>2180</v>
      </c>
      <c r="E1063" s="11">
        <v>3825</v>
      </c>
      <c r="F1063" s="11">
        <v>3825</v>
      </c>
      <c r="H1063" s="11">
        <v>5297</v>
      </c>
      <c r="I1063" s="11">
        <v>5297</v>
      </c>
    </row>
    <row r="1064" customHeight="1" spans="2:9">
      <c r="B1064" s="11">
        <v>2181</v>
      </c>
      <c r="C1064" s="11">
        <v>2181</v>
      </c>
      <c r="E1064" s="11">
        <v>3826</v>
      </c>
      <c r="F1064" s="11">
        <v>3826</v>
      </c>
      <c r="H1064" s="11">
        <v>5298</v>
      </c>
      <c r="I1064" s="11">
        <v>5298</v>
      </c>
    </row>
    <row r="1065" customHeight="1" spans="2:9">
      <c r="B1065" s="11">
        <v>2182</v>
      </c>
      <c r="C1065" s="11">
        <v>2182</v>
      </c>
      <c r="E1065" s="11">
        <v>3827</v>
      </c>
      <c r="F1065" s="11">
        <v>3827</v>
      </c>
      <c r="H1065" s="11">
        <v>5299</v>
      </c>
      <c r="I1065" s="11">
        <v>5299</v>
      </c>
    </row>
    <row r="1066" customHeight="1" spans="2:9">
      <c r="B1066" s="11">
        <v>2183</v>
      </c>
      <c r="C1066" s="11">
        <v>2183</v>
      </c>
      <c r="E1066" s="11">
        <v>3828</v>
      </c>
      <c r="F1066" s="11">
        <v>3828</v>
      </c>
      <c r="H1066" s="11">
        <v>5300</v>
      </c>
      <c r="I1066" s="11">
        <v>5300</v>
      </c>
    </row>
    <row r="1067" customHeight="1" spans="2:9">
      <c r="B1067" s="11">
        <v>2184</v>
      </c>
      <c r="C1067" s="11">
        <v>2184</v>
      </c>
      <c r="E1067" s="11">
        <v>3829</v>
      </c>
      <c r="F1067" s="11">
        <v>3829</v>
      </c>
      <c r="H1067" s="11">
        <v>5301</v>
      </c>
      <c r="I1067" s="11">
        <v>5301</v>
      </c>
    </row>
    <row r="1068" customHeight="1" spans="2:9">
      <c r="B1068" s="11">
        <v>2185</v>
      </c>
      <c r="C1068" s="11">
        <v>2185</v>
      </c>
      <c r="E1068" s="11">
        <v>3830</v>
      </c>
      <c r="F1068" s="11">
        <v>3830</v>
      </c>
      <c r="H1068" s="11">
        <v>5302</v>
      </c>
      <c r="I1068" s="11">
        <v>5302</v>
      </c>
    </row>
    <row r="1069" customHeight="1" spans="2:9">
      <c r="B1069" s="11">
        <v>2186</v>
      </c>
      <c r="C1069" s="11">
        <v>2186</v>
      </c>
      <c r="E1069" s="11">
        <v>3831</v>
      </c>
      <c r="F1069" s="11">
        <v>3831</v>
      </c>
      <c r="H1069" s="11">
        <v>5303</v>
      </c>
      <c r="I1069" s="11">
        <v>5303</v>
      </c>
    </row>
    <row r="1070" customHeight="1" spans="2:9">
      <c r="B1070" s="11">
        <v>2187</v>
      </c>
      <c r="C1070" s="11">
        <v>2187</v>
      </c>
      <c r="E1070" s="11">
        <v>3832</v>
      </c>
      <c r="F1070" s="11">
        <v>3832</v>
      </c>
      <c r="H1070" s="11">
        <v>5304</v>
      </c>
      <c r="I1070" s="11">
        <v>5304</v>
      </c>
    </row>
    <row r="1071" customHeight="1" spans="2:9">
      <c r="B1071" s="11">
        <v>2188</v>
      </c>
      <c r="C1071" s="11">
        <v>2188</v>
      </c>
      <c r="E1071" s="11">
        <v>3833</v>
      </c>
      <c r="F1071" s="11">
        <v>3833</v>
      </c>
      <c r="H1071" s="11">
        <v>5305</v>
      </c>
      <c r="I1071" s="11">
        <v>5305</v>
      </c>
    </row>
    <row r="1072" customHeight="1" spans="2:9">
      <c r="B1072" s="11">
        <v>2189</v>
      </c>
      <c r="C1072" s="11">
        <v>2189</v>
      </c>
      <c r="E1072" s="11">
        <v>3834</v>
      </c>
      <c r="F1072" s="11">
        <v>3834</v>
      </c>
      <c r="H1072" s="11">
        <v>5306</v>
      </c>
      <c r="I1072" s="11">
        <v>5306</v>
      </c>
    </row>
    <row r="1073" customHeight="1" spans="2:9">
      <c r="B1073" s="11">
        <v>2190</v>
      </c>
      <c r="C1073" s="11">
        <v>2190</v>
      </c>
      <c r="E1073" s="11">
        <v>3835</v>
      </c>
      <c r="F1073" s="11">
        <v>3835</v>
      </c>
      <c r="H1073" s="11">
        <v>5307</v>
      </c>
      <c r="I1073" s="11">
        <v>5307</v>
      </c>
    </row>
    <row r="1074" customHeight="1" spans="2:9">
      <c r="B1074" s="11">
        <v>2191</v>
      </c>
      <c r="C1074" s="11">
        <v>2191</v>
      </c>
      <c r="E1074" s="11">
        <v>3836</v>
      </c>
      <c r="F1074" s="11">
        <v>3836</v>
      </c>
      <c r="H1074" s="11">
        <v>5308</v>
      </c>
      <c r="I1074" s="11">
        <v>5308</v>
      </c>
    </row>
    <row r="1075" customHeight="1" spans="2:9">
      <c r="B1075" s="11">
        <v>2192</v>
      </c>
      <c r="C1075" s="11">
        <v>2192</v>
      </c>
      <c r="E1075" s="11">
        <v>3837</v>
      </c>
      <c r="F1075" s="11">
        <v>3837</v>
      </c>
      <c r="H1075" s="11">
        <v>5309</v>
      </c>
      <c r="I1075" s="11">
        <v>5309</v>
      </c>
    </row>
    <row r="1076" customHeight="1" spans="2:9">
      <c r="B1076" s="11">
        <v>2193</v>
      </c>
      <c r="C1076" s="11">
        <v>2193</v>
      </c>
      <c r="E1076" s="11">
        <v>3838</v>
      </c>
      <c r="F1076" s="11">
        <v>3838</v>
      </c>
      <c r="H1076" s="11">
        <v>5310</v>
      </c>
      <c r="I1076" s="11">
        <v>5310</v>
      </c>
    </row>
    <row r="1077" customHeight="1" spans="2:9">
      <c r="B1077" s="11">
        <v>2194</v>
      </c>
      <c r="C1077" s="11">
        <v>2194</v>
      </c>
      <c r="E1077" s="11">
        <v>3839</v>
      </c>
      <c r="F1077" s="11">
        <v>3839</v>
      </c>
      <c r="H1077" s="11">
        <v>5311</v>
      </c>
      <c r="I1077" s="11">
        <v>5311</v>
      </c>
    </row>
    <row r="1078" customHeight="1" spans="2:9">
      <c r="B1078" s="11">
        <v>2195</v>
      </c>
      <c r="C1078" s="11">
        <v>2195</v>
      </c>
      <c r="E1078" s="11">
        <v>3840</v>
      </c>
      <c r="F1078" s="11">
        <v>3840</v>
      </c>
      <c r="H1078" s="11">
        <v>5312</v>
      </c>
      <c r="I1078" s="11">
        <v>5312</v>
      </c>
    </row>
    <row r="1079" customHeight="1" spans="2:9">
      <c r="B1079" s="11">
        <v>2196</v>
      </c>
      <c r="C1079" s="11">
        <v>2196</v>
      </c>
      <c r="E1079" s="11">
        <v>3841</v>
      </c>
      <c r="F1079" s="11">
        <v>3841</v>
      </c>
      <c r="H1079" s="11">
        <v>5313</v>
      </c>
      <c r="I1079" s="11">
        <v>5313</v>
      </c>
    </row>
    <row r="1080" customHeight="1" spans="2:9">
      <c r="B1080" s="11">
        <v>2197</v>
      </c>
      <c r="C1080" s="11">
        <v>2197</v>
      </c>
      <c r="E1080" s="11">
        <v>3842</v>
      </c>
      <c r="F1080" s="11">
        <v>3842</v>
      </c>
      <c r="H1080" s="11">
        <v>5314</v>
      </c>
      <c r="I1080" s="11">
        <v>5314</v>
      </c>
    </row>
    <row r="1081" customHeight="1" spans="2:9">
      <c r="B1081" s="11">
        <v>2198</v>
      </c>
      <c r="C1081" s="11">
        <v>2198</v>
      </c>
      <c r="E1081" s="11">
        <v>3843</v>
      </c>
      <c r="F1081" s="11">
        <v>3843</v>
      </c>
      <c r="H1081" s="11">
        <v>5315</v>
      </c>
      <c r="I1081" s="11">
        <v>5315</v>
      </c>
    </row>
    <row r="1082" customHeight="1" spans="2:9">
      <c r="B1082" s="11">
        <v>2199</v>
      </c>
      <c r="C1082" s="11">
        <v>2199</v>
      </c>
      <c r="E1082" s="11">
        <v>3844</v>
      </c>
      <c r="F1082" s="11">
        <v>3844</v>
      </c>
      <c r="H1082" s="11">
        <v>5316</v>
      </c>
      <c r="I1082" s="11">
        <v>5316</v>
      </c>
    </row>
    <row r="1083" customHeight="1" spans="2:9">
      <c r="B1083" s="11">
        <v>2200</v>
      </c>
      <c r="C1083" s="11">
        <v>2200</v>
      </c>
      <c r="E1083" s="11">
        <v>3845</v>
      </c>
      <c r="F1083" s="11">
        <v>3845</v>
      </c>
      <c r="H1083" s="11">
        <v>5317</v>
      </c>
      <c r="I1083" s="11">
        <v>5317</v>
      </c>
    </row>
    <row r="1084" customHeight="1" spans="2:9">
      <c r="B1084" s="11">
        <v>2201</v>
      </c>
      <c r="C1084" s="11">
        <v>2201</v>
      </c>
      <c r="E1084" s="11">
        <v>3846</v>
      </c>
      <c r="F1084" s="11">
        <v>3846</v>
      </c>
      <c r="H1084" s="11">
        <v>5318</v>
      </c>
      <c r="I1084" s="11">
        <v>5318</v>
      </c>
    </row>
    <row r="1085" customHeight="1" spans="2:9">
      <c r="B1085" s="11">
        <v>2202</v>
      </c>
      <c r="C1085" s="11">
        <v>2202</v>
      </c>
      <c r="E1085" s="11">
        <v>3847</v>
      </c>
      <c r="F1085" s="11">
        <v>3847</v>
      </c>
      <c r="H1085" s="11">
        <v>5319</v>
      </c>
      <c r="I1085" s="11">
        <v>5319</v>
      </c>
    </row>
    <row r="1086" customHeight="1" spans="2:9">
      <c r="B1086" s="11">
        <v>2203</v>
      </c>
      <c r="C1086" s="11">
        <v>2203</v>
      </c>
      <c r="E1086" s="11">
        <v>3848</v>
      </c>
      <c r="F1086" s="11">
        <v>3848</v>
      </c>
      <c r="H1086" s="11">
        <v>5320</v>
      </c>
      <c r="I1086" s="11">
        <v>5320</v>
      </c>
    </row>
    <row r="1087" customHeight="1" spans="2:9">
      <c r="B1087" s="11">
        <v>2204</v>
      </c>
      <c r="C1087" s="11">
        <v>2204</v>
      </c>
      <c r="E1087" s="11">
        <v>3849</v>
      </c>
      <c r="F1087" s="11">
        <v>3849</v>
      </c>
      <c r="H1087" s="11">
        <v>5321</v>
      </c>
      <c r="I1087" s="11">
        <v>5321</v>
      </c>
    </row>
    <row r="1088" customHeight="1" spans="2:9">
      <c r="B1088" s="11">
        <v>2205</v>
      </c>
      <c r="C1088" s="11">
        <v>2205</v>
      </c>
      <c r="E1088" s="11">
        <v>3850</v>
      </c>
      <c r="F1088" s="11">
        <v>3850</v>
      </c>
      <c r="H1088" s="11">
        <v>5322</v>
      </c>
      <c r="I1088" s="11">
        <v>5322</v>
      </c>
    </row>
    <row r="1089" customHeight="1" spans="2:9">
      <c r="B1089" s="11">
        <v>2206</v>
      </c>
      <c r="C1089" s="11">
        <v>2206</v>
      </c>
      <c r="E1089" s="11">
        <v>3851</v>
      </c>
      <c r="F1089" s="11">
        <v>3851</v>
      </c>
      <c r="H1089" s="11">
        <v>5323</v>
      </c>
      <c r="I1089" s="11">
        <v>5323</v>
      </c>
    </row>
    <row r="1090" customHeight="1" spans="2:9">
      <c r="B1090" s="11">
        <v>2207</v>
      </c>
      <c r="C1090" s="11">
        <v>2207</v>
      </c>
      <c r="E1090" s="11">
        <v>3852</v>
      </c>
      <c r="F1090" s="11">
        <v>3852</v>
      </c>
      <c r="H1090" s="11">
        <v>5324</v>
      </c>
      <c r="I1090" s="11">
        <v>5324</v>
      </c>
    </row>
    <row r="1091" customHeight="1" spans="2:9">
      <c r="B1091" s="11">
        <v>2208</v>
      </c>
      <c r="C1091" s="11">
        <v>2208</v>
      </c>
      <c r="E1091" s="11">
        <v>3853</v>
      </c>
      <c r="F1091" s="11">
        <v>3853</v>
      </c>
      <c r="H1091" s="11">
        <v>5325</v>
      </c>
      <c r="I1091" s="11">
        <v>5325</v>
      </c>
    </row>
    <row r="1092" customHeight="1" spans="2:9">
      <c r="B1092" s="11">
        <v>2209</v>
      </c>
      <c r="C1092" s="11">
        <v>2209</v>
      </c>
      <c r="E1092" s="11">
        <v>3854</v>
      </c>
      <c r="F1092" s="11">
        <v>3854</v>
      </c>
      <c r="H1092" s="11">
        <v>5326</v>
      </c>
      <c r="I1092" s="11">
        <v>5326</v>
      </c>
    </row>
    <row r="1093" customHeight="1" spans="2:9">
      <c r="B1093" s="11">
        <v>2210</v>
      </c>
      <c r="C1093" s="11">
        <v>2210</v>
      </c>
      <c r="E1093" s="11">
        <v>3855</v>
      </c>
      <c r="F1093" s="11">
        <v>3855</v>
      </c>
      <c r="H1093" s="11">
        <v>5327</v>
      </c>
      <c r="I1093" s="11">
        <v>5327</v>
      </c>
    </row>
    <row r="1094" customHeight="1" spans="2:9">
      <c r="B1094" s="11">
        <v>2211</v>
      </c>
      <c r="C1094" s="11">
        <v>2211</v>
      </c>
      <c r="E1094" s="11">
        <v>3856</v>
      </c>
      <c r="F1094" s="11">
        <v>3856</v>
      </c>
      <c r="H1094" s="11">
        <v>5328</v>
      </c>
      <c r="I1094" s="11">
        <v>5328</v>
      </c>
    </row>
    <row r="1095" customHeight="1" spans="2:9">
      <c r="B1095" s="11">
        <v>2212</v>
      </c>
      <c r="C1095" s="11">
        <v>2212</v>
      </c>
      <c r="E1095" s="11">
        <v>3857</v>
      </c>
      <c r="F1095" s="11">
        <v>3857</v>
      </c>
      <c r="H1095" s="11">
        <v>5329</v>
      </c>
      <c r="I1095" s="11">
        <v>5329</v>
      </c>
    </row>
    <row r="1096" customHeight="1" spans="2:9">
      <c r="B1096" s="11">
        <v>2213</v>
      </c>
      <c r="C1096" s="11">
        <v>2213</v>
      </c>
      <c r="E1096" s="11">
        <v>3858</v>
      </c>
      <c r="F1096" s="11">
        <v>3858</v>
      </c>
      <c r="H1096" s="11">
        <v>5330</v>
      </c>
      <c r="I1096" s="11">
        <v>5330</v>
      </c>
    </row>
    <row r="1097" customHeight="1" spans="2:9">
      <c r="B1097" s="11">
        <v>2214</v>
      </c>
      <c r="C1097" s="11">
        <v>2214</v>
      </c>
      <c r="E1097" s="11">
        <v>3859</v>
      </c>
      <c r="F1097" s="11">
        <v>3859</v>
      </c>
      <c r="H1097" s="11">
        <v>5331</v>
      </c>
      <c r="I1097" s="11">
        <v>5331</v>
      </c>
    </row>
    <row r="1098" customHeight="1" spans="2:9">
      <c r="B1098" s="11">
        <v>2215</v>
      </c>
      <c r="C1098" s="11">
        <v>2215</v>
      </c>
      <c r="E1098" s="11">
        <v>3860</v>
      </c>
      <c r="F1098" s="11">
        <v>3860</v>
      </c>
      <c r="H1098" s="11">
        <v>5332</v>
      </c>
      <c r="I1098" s="11">
        <v>5332</v>
      </c>
    </row>
    <row r="1099" customHeight="1" spans="2:9">
      <c r="B1099" s="11">
        <v>2216</v>
      </c>
      <c r="C1099" s="11">
        <v>2216</v>
      </c>
      <c r="E1099" s="11">
        <v>3861</v>
      </c>
      <c r="F1099" s="11">
        <v>3861</v>
      </c>
      <c r="H1099" s="11">
        <v>5333</v>
      </c>
      <c r="I1099" s="11">
        <v>5333</v>
      </c>
    </row>
    <row r="1100" customHeight="1" spans="2:9">
      <c r="B1100" s="11">
        <v>2217</v>
      </c>
      <c r="C1100" s="11">
        <v>2217</v>
      </c>
      <c r="E1100" s="11">
        <v>3862</v>
      </c>
      <c r="F1100" s="11">
        <v>3862</v>
      </c>
      <c r="H1100" s="11">
        <v>5334</v>
      </c>
      <c r="I1100" s="11">
        <v>5334</v>
      </c>
    </row>
    <row r="1101" customHeight="1" spans="2:9">
      <c r="B1101" s="11">
        <v>2218</v>
      </c>
      <c r="C1101" s="11">
        <v>2218</v>
      </c>
      <c r="E1101" s="11">
        <v>3863</v>
      </c>
      <c r="F1101" s="11">
        <v>3863</v>
      </c>
      <c r="H1101" s="11">
        <v>5335</v>
      </c>
      <c r="I1101" s="11">
        <v>5335</v>
      </c>
    </row>
    <row r="1102" customHeight="1" spans="2:9">
      <c r="B1102" s="11">
        <v>2219</v>
      </c>
      <c r="C1102" s="11">
        <v>2219</v>
      </c>
      <c r="E1102" s="11">
        <v>3864</v>
      </c>
      <c r="F1102" s="11">
        <v>3864</v>
      </c>
      <c r="H1102" s="11">
        <v>5336</v>
      </c>
      <c r="I1102" s="11">
        <v>5336</v>
      </c>
    </row>
    <row r="1103" customHeight="1" spans="2:9">
      <c r="B1103" s="11">
        <v>2220</v>
      </c>
      <c r="C1103" s="11">
        <v>2220</v>
      </c>
      <c r="E1103" s="11">
        <v>3865</v>
      </c>
      <c r="F1103" s="11">
        <v>3865</v>
      </c>
      <c r="H1103" s="11">
        <v>5337</v>
      </c>
      <c r="I1103" s="11">
        <v>5337</v>
      </c>
    </row>
    <row r="1104" customHeight="1" spans="2:9">
      <c r="B1104" s="11">
        <v>2221</v>
      </c>
      <c r="C1104" s="11">
        <v>2221</v>
      </c>
      <c r="E1104" s="11">
        <v>3866</v>
      </c>
      <c r="F1104" s="11">
        <v>3866</v>
      </c>
      <c r="H1104" s="11">
        <v>5338</v>
      </c>
      <c r="I1104" s="11">
        <v>5338</v>
      </c>
    </row>
    <row r="1105" customHeight="1" spans="2:9">
      <c r="B1105" s="11">
        <v>2222</v>
      </c>
      <c r="C1105" s="11">
        <v>2222</v>
      </c>
      <c r="E1105" s="11">
        <v>3867</v>
      </c>
      <c r="F1105" s="11">
        <v>3867</v>
      </c>
      <c r="H1105" s="11">
        <v>5339</v>
      </c>
      <c r="I1105" s="11">
        <v>5339</v>
      </c>
    </row>
    <row r="1106" customHeight="1" spans="2:9">
      <c r="B1106" s="11">
        <v>2223</v>
      </c>
      <c r="C1106" s="11">
        <v>2223</v>
      </c>
      <c r="E1106" s="11">
        <v>3868</v>
      </c>
      <c r="F1106" s="11">
        <v>3868</v>
      </c>
      <c r="H1106" s="11">
        <v>5340</v>
      </c>
      <c r="I1106" s="11">
        <v>5340</v>
      </c>
    </row>
    <row r="1107" customHeight="1" spans="2:9">
      <c r="B1107" s="11">
        <v>2224</v>
      </c>
      <c r="C1107" s="11">
        <v>2224</v>
      </c>
      <c r="E1107" s="11">
        <v>3869</v>
      </c>
      <c r="F1107" s="11">
        <v>3869</v>
      </c>
      <c r="H1107" s="11">
        <v>5341</v>
      </c>
      <c r="I1107" s="11">
        <v>5341</v>
      </c>
    </row>
    <row r="1108" customHeight="1" spans="2:9">
      <c r="B1108" s="11">
        <v>2225</v>
      </c>
      <c r="C1108" s="11">
        <v>2225</v>
      </c>
      <c r="E1108" s="11">
        <v>3870</v>
      </c>
      <c r="F1108" s="11">
        <v>3870</v>
      </c>
      <c r="H1108" s="11">
        <v>5342</v>
      </c>
      <c r="I1108" s="11">
        <v>5342</v>
      </c>
    </row>
    <row r="1109" customHeight="1" spans="2:9">
      <c r="B1109" s="11">
        <v>2226</v>
      </c>
      <c r="C1109" s="11">
        <v>2226</v>
      </c>
      <c r="E1109" s="11">
        <v>3871</v>
      </c>
      <c r="F1109" s="11">
        <v>3871</v>
      </c>
      <c r="H1109" s="11">
        <v>5343</v>
      </c>
      <c r="I1109" s="11">
        <v>5343</v>
      </c>
    </row>
    <row r="1110" customHeight="1" spans="2:9">
      <c r="B1110" s="11">
        <v>2227</v>
      </c>
      <c r="C1110" s="11">
        <v>2227</v>
      </c>
      <c r="E1110" s="11">
        <v>3872</v>
      </c>
      <c r="F1110" s="11">
        <v>3872</v>
      </c>
      <c r="H1110" s="11">
        <v>5344</v>
      </c>
      <c r="I1110" s="11">
        <v>5344</v>
      </c>
    </row>
    <row r="1111" customHeight="1" spans="2:9">
      <c r="B1111" s="11">
        <v>2228</v>
      </c>
      <c r="C1111" s="11">
        <v>2228</v>
      </c>
      <c r="E1111" s="11">
        <v>3873</v>
      </c>
      <c r="F1111" s="11">
        <v>3873</v>
      </c>
      <c r="H1111" s="11">
        <v>5345</v>
      </c>
      <c r="I1111" s="11">
        <v>5345</v>
      </c>
    </row>
    <row r="1112" customHeight="1" spans="2:9">
      <c r="B1112" s="11">
        <v>2229</v>
      </c>
      <c r="C1112" s="11">
        <v>2229</v>
      </c>
      <c r="E1112" s="11">
        <v>3874</v>
      </c>
      <c r="F1112" s="11">
        <v>3874</v>
      </c>
      <c r="H1112" s="11">
        <v>5346</v>
      </c>
      <c r="I1112" s="11">
        <v>5346</v>
      </c>
    </row>
    <row r="1113" customHeight="1" spans="2:9">
      <c r="B1113" s="11">
        <v>2232</v>
      </c>
      <c r="C1113" s="11">
        <v>2232</v>
      </c>
      <c r="E1113" s="11">
        <v>3875</v>
      </c>
      <c r="F1113" s="11">
        <v>3875</v>
      </c>
      <c r="H1113" s="11">
        <v>5347</v>
      </c>
      <c r="I1113" s="11">
        <v>5347</v>
      </c>
    </row>
    <row r="1114" customHeight="1" spans="2:9">
      <c r="B1114" s="11">
        <v>2233</v>
      </c>
      <c r="C1114" s="11">
        <v>2233</v>
      </c>
      <c r="E1114" s="11">
        <v>3876</v>
      </c>
      <c r="F1114" s="11">
        <v>3876</v>
      </c>
      <c r="H1114" s="11">
        <v>5348</v>
      </c>
      <c r="I1114" s="11">
        <v>5348</v>
      </c>
    </row>
    <row r="1115" customHeight="1" spans="2:9">
      <c r="B1115" s="11">
        <v>2234</v>
      </c>
      <c r="C1115" s="11">
        <v>2234</v>
      </c>
      <c r="E1115" s="11">
        <v>3877</v>
      </c>
      <c r="F1115" s="11">
        <v>3877</v>
      </c>
      <c r="H1115" s="11">
        <v>5349</v>
      </c>
      <c r="I1115" s="11">
        <v>5349</v>
      </c>
    </row>
    <row r="1116" customHeight="1" spans="2:9">
      <c r="B1116" s="11">
        <v>2235</v>
      </c>
      <c r="C1116" s="11">
        <v>2235</v>
      </c>
      <c r="E1116" s="11">
        <v>3878</v>
      </c>
      <c r="F1116" s="11">
        <v>3878</v>
      </c>
      <c r="H1116" s="11">
        <v>5350</v>
      </c>
      <c r="I1116" s="11">
        <v>5350</v>
      </c>
    </row>
    <row r="1117" customHeight="1" spans="2:9">
      <c r="B1117" s="11">
        <v>2236</v>
      </c>
      <c r="C1117" s="11">
        <v>2236</v>
      </c>
      <c r="E1117" s="11">
        <v>3879</v>
      </c>
      <c r="F1117" s="11">
        <v>3879</v>
      </c>
      <c r="H1117" s="11">
        <v>5351</v>
      </c>
      <c r="I1117" s="11">
        <v>5351</v>
      </c>
    </row>
    <row r="1118" customHeight="1" spans="2:9">
      <c r="B1118" s="11">
        <v>2237</v>
      </c>
      <c r="C1118" s="11">
        <v>2237</v>
      </c>
      <c r="E1118" s="11">
        <v>3880</v>
      </c>
      <c r="F1118" s="11">
        <v>3880</v>
      </c>
      <c r="H1118" s="11">
        <v>5352</v>
      </c>
      <c r="I1118" s="11">
        <v>5352</v>
      </c>
    </row>
    <row r="1119" customHeight="1" spans="2:9">
      <c r="B1119" s="11">
        <v>2238</v>
      </c>
      <c r="C1119" s="11">
        <v>2238</v>
      </c>
      <c r="E1119" s="11">
        <v>3881</v>
      </c>
      <c r="F1119" s="11">
        <v>3881</v>
      </c>
      <c r="H1119" s="11">
        <v>5353</v>
      </c>
      <c r="I1119" s="11">
        <v>5353</v>
      </c>
    </row>
    <row r="1120" customHeight="1" spans="2:9">
      <c r="B1120" s="11">
        <v>2239</v>
      </c>
      <c r="C1120" s="11">
        <v>2239</v>
      </c>
      <c r="E1120" s="11">
        <v>3882</v>
      </c>
      <c r="F1120" s="11">
        <v>3882</v>
      </c>
      <c r="H1120" s="11">
        <v>5354</v>
      </c>
      <c r="I1120" s="11">
        <v>5354</v>
      </c>
    </row>
    <row r="1121" customHeight="1" spans="2:9">
      <c r="B1121" s="11">
        <v>2240</v>
      </c>
      <c r="C1121" s="11">
        <v>2240</v>
      </c>
      <c r="E1121" s="11">
        <v>3883</v>
      </c>
      <c r="F1121" s="11">
        <v>3883</v>
      </c>
      <c r="H1121" s="11">
        <v>5355</v>
      </c>
      <c r="I1121" s="11">
        <v>5355</v>
      </c>
    </row>
    <row r="1122" customHeight="1" spans="2:9">
      <c r="B1122" s="11">
        <v>2241</v>
      </c>
      <c r="C1122" s="11">
        <v>2241</v>
      </c>
      <c r="E1122" s="11">
        <v>3884</v>
      </c>
      <c r="F1122" s="11">
        <v>3884</v>
      </c>
      <c r="H1122" s="11">
        <v>5356</v>
      </c>
      <c r="I1122" s="11">
        <v>5356</v>
      </c>
    </row>
    <row r="1123" customHeight="1" spans="2:9">
      <c r="B1123" s="11">
        <v>2242</v>
      </c>
      <c r="C1123" s="11">
        <v>2242</v>
      </c>
      <c r="E1123" s="11">
        <v>3885</v>
      </c>
      <c r="F1123" s="11">
        <v>3885</v>
      </c>
      <c r="H1123" s="11">
        <v>5357</v>
      </c>
      <c r="I1123" s="11">
        <v>5357</v>
      </c>
    </row>
    <row r="1124" customHeight="1" spans="2:9">
      <c r="B1124" s="11">
        <v>2243</v>
      </c>
      <c r="C1124" s="11">
        <v>2243</v>
      </c>
      <c r="E1124" s="11">
        <v>3886</v>
      </c>
      <c r="F1124" s="11">
        <v>3886</v>
      </c>
      <c r="H1124" s="11">
        <v>5358</v>
      </c>
      <c r="I1124" s="11">
        <v>5358</v>
      </c>
    </row>
    <row r="1125" customHeight="1" spans="2:9">
      <c r="B1125" s="11">
        <v>2244</v>
      </c>
      <c r="C1125" s="11">
        <v>2244</v>
      </c>
      <c r="E1125" s="11">
        <v>3887</v>
      </c>
      <c r="F1125" s="11">
        <v>3887</v>
      </c>
      <c r="H1125" s="11">
        <v>5359</v>
      </c>
      <c r="I1125" s="11">
        <v>5359</v>
      </c>
    </row>
    <row r="1126" customHeight="1" spans="2:9">
      <c r="B1126" s="11">
        <v>2245</v>
      </c>
      <c r="C1126" s="11">
        <v>2245</v>
      </c>
      <c r="E1126" s="11">
        <v>3888</v>
      </c>
      <c r="F1126" s="11">
        <v>3888</v>
      </c>
      <c r="H1126" s="11">
        <v>5360</v>
      </c>
      <c r="I1126" s="11">
        <v>5360</v>
      </c>
    </row>
    <row r="1127" customHeight="1" spans="2:9">
      <c r="B1127" s="11">
        <v>2246</v>
      </c>
      <c r="C1127" s="11">
        <v>2246</v>
      </c>
      <c r="E1127" s="11">
        <v>3889</v>
      </c>
      <c r="F1127" s="11">
        <v>3889</v>
      </c>
      <c r="H1127" s="11">
        <v>5361</v>
      </c>
      <c r="I1127" s="11">
        <v>5361</v>
      </c>
    </row>
    <row r="1128" customHeight="1" spans="2:9">
      <c r="B1128" s="11">
        <v>2247</v>
      </c>
      <c r="C1128" s="11">
        <v>2247</v>
      </c>
      <c r="E1128" s="11">
        <v>3890</v>
      </c>
      <c r="F1128" s="11">
        <v>3890</v>
      </c>
      <c r="H1128" s="11">
        <v>5362</v>
      </c>
      <c r="I1128" s="11">
        <v>5362</v>
      </c>
    </row>
    <row r="1129" customHeight="1" spans="2:9">
      <c r="B1129" s="11">
        <v>2248</v>
      </c>
      <c r="C1129" s="11">
        <v>2248</v>
      </c>
      <c r="E1129" s="11">
        <v>3891</v>
      </c>
      <c r="F1129" s="11">
        <v>3891</v>
      </c>
      <c r="H1129" s="11">
        <v>5363</v>
      </c>
      <c r="I1129" s="11">
        <v>5363</v>
      </c>
    </row>
    <row r="1130" customHeight="1" spans="2:9">
      <c r="B1130" s="11">
        <v>2249</v>
      </c>
      <c r="C1130" s="11">
        <v>2249</v>
      </c>
      <c r="E1130" s="11">
        <v>3892</v>
      </c>
      <c r="F1130" s="11">
        <v>3892</v>
      </c>
      <c r="H1130" s="11">
        <v>5364</v>
      </c>
      <c r="I1130" s="11">
        <v>5364</v>
      </c>
    </row>
    <row r="1131" customHeight="1" spans="2:9">
      <c r="B1131" s="11">
        <v>2557</v>
      </c>
      <c r="C1131" s="11">
        <v>2557</v>
      </c>
      <c r="E1131" s="11">
        <v>3893</v>
      </c>
      <c r="F1131" s="11">
        <v>3893</v>
      </c>
      <c r="H1131" s="11">
        <v>5365</v>
      </c>
      <c r="I1131" s="11">
        <v>5365</v>
      </c>
    </row>
    <row r="1132" customHeight="1" spans="2:9">
      <c r="B1132" s="11">
        <v>2558</v>
      </c>
      <c r="C1132" s="11">
        <v>2558</v>
      </c>
      <c r="E1132" s="11">
        <v>3894</v>
      </c>
      <c r="F1132" s="11">
        <v>3894</v>
      </c>
      <c r="H1132" s="11">
        <v>5366</v>
      </c>
      <c r="I1132" s="11">
        <v>5366</v>
      </c>
    </row>
    <row r="1133" customHeight="1" spans="2:9">
      <c r="B1133" s="11">
        <v>2559</v>
      </c>
      <c r="C1133" s="11">
        <v>2559</v>
      </c>
      <c r="E1133" s="11">
        <v>3895</v>
      </c>
      <c r="F1133" s="11">
        <v>3895</v>
      </c>
      <c r="H1133" s="11">
        <v>5367</v>
      </c>
      <c r="I1133" s="11">
        <v>5367</v>
      </c>
    </row>
    <row r="1134" customHeight="1" spans="2:9">
      <c r="B1134" s="11">
        <v>2564</v>
      </c>
      <c r="C1134" s="11">
        <v>2564</v>
      </c>
      <c r="E1134" s="11">
        <v>3896</v>
      </c>
      <c r="F1134" s="11">
        <v>3896</v>
      </c>
      <c r="H1134" s="11">
        <v>5368</v>
      </c>
      <c r="I1134" s="11">
        <v>5368</v>
      </c>
    </row>
    <row r="1135" customHeight="1" spans="2:9">
      <c r="B1135" s="11">
        <v>2565</v>
      </c>
      <c r="C1135" s="11">
        <v>2565</v>
      </c>
      <c r="E1135" s="11">
        <v>3897</v>
      </c>
      <c r="F1135" s="11">
        <v>3897</v>
      </c>
      <c r="H1135" s="11">
        <v>5369</v>
      </c>
      <c r="I1135" s="11">
        <v>5369</v>
      </c>
    </row>
    <row r="1136" customHeight="1" spans="2:9">
      <c r="B1136" s="11">
        <v>2566</v>
      </c>
      <c r="C1136" s="11">
        <v>2566</v>
      </c>
      <c r="E1136" s="11">
        <v>3898</v>
      </c>
      <c r="F1136" s="11">
        <v>3898</v>
      </c>
      <c r="H1136" s="11">
        <v>5370</v>
      </c>
      <c r="I1136" s="11">
        <v>5370</v>
      </c>
    </row>
    <row r="1137" customHeight="1" spans="2:9">
      <c r="B1137" s="11">
        <v>2567</v>
      </c>
      <c r="C1137" s="11">
        <v>2567</v>
      </c>
      <c r="E1137" s="11">
        <v>3899</v>
      </c>
      <c r="F1137" s="11">
        <v>3899</v>
      </c>
      <c r="H1137" s="11">
        <v>5371</v>
      </c>
      <c r="I1137" s="11">
        <v>5371</v>
      </c>
    </row>
    <row r="1138" customHeight="1" spans="2:9">
      <c r="B1138" s="11">
        <v>2766</v>
      </c>
      <c r="C1138" s="11">
        <v>2766</v>
      </c>
      <c r="E1138" s="11">
        <v>3900</v>
      </c>
      <c r="F1138" s="11">
        <v>3900</v>
      </c>
      <c r="H1138" s="11">
        <v>5372</v>
      </c>
      <c r="I1138" s="11">
        <v>5372</v>
      </c>
    </row>
    <row r="1139" customHeight="1" spans="2:9">
      <c r="B1139" s="11">
        <v>2767</v>
      </c>
      <c r="C1139" s="11">
        <v>2767</v>
      </c>
      <c r="E1139" s="11">
        <v>3901</v>
      </c>
      <c r="F1139" s="11">
        <v>3901</v>
      </c>
      <c r="H1139" s="11">
        <v>5373</v>
      </c>
      <c r="I1139" s="11">
        <v>5373</v>
      </c>
    </row>
    <row r="1140" customHeight="1" spans="2:9">
      <c r="B1140" s="11">
        <v>2768</v>
      </c>
      <c r="C1140" s="11">
        <v>2768</v>
      </c>
      <c r="E1140" s="11">
        <v>3902</v>
      </c>
      <c r="F1140" s="11">
        <v>3902</v>
      </c>
      <c r="H1140" s="11">
        <v>5374</v>
      </c>
      <c r="I1140" s="11">
        <v>5374</v>
      </c>
    </row>
    <row r="1141" customHeight="1" spans="2:9">
      <c r="B1141" s="11">
        <v>2769</v>
      </c>
      <c r="C1141" s="11">
        <v>2769</v>
      </c>
      <c r="E1141" s="11">
        <v>3903</v>
      </c>
      <c r="F1141" s="11">
        <v>3903</v>
      </c>
      <c r="H1141" s="11">
        <v>5375</v>
      </c>
      <c r="I1141" s="11">
        <v>5375</v>
      </c>
    </row>
    <row r="1142" customHeight="1" spans="2:9">
      <c r="B1142" s="11">
        <v>2770</v>
      </c>
      <c r="C1142" s="11">
        <v>2770</v>
      </c>
      <c r="E1142" s="11">
        <v>3904</v>
      </c>
      <c r="F1142" s="11">
        <v>3904</v>
      </c>
      <c r="H1142" s="11">
        <v>5376</v>
      </c>
      <c r="I1142" s="11">
        <v>5376</v>
      </c>
    </row>
    <row r="1143" customHeight="1" spans="2:9">
      <c r="B1143" s="11">
        <v>2771</v>
      </c>
      <c r="C1143" s="11">
        <v>2771</v>
      </c>
      <c r="E1143" s="11">
        <v>3905</v>
      </c>
      <c r="F1143" s="11">
        <v>3905</v>
      </c>
      <c r="H1143" s="11">
        <v>5377</v>
      </c>
      <c r="I1143" s="11">
        <v>5377</v>
      </c>
    </row>
    <row r="1144" customHeight="1" spans="2:9">
      <c r="B1144" s="11">
        <v>2772</v>
      </c>
      <c r="C1144" s="11">
        <v>2772</v>
      </c>
      <c r="E1144" s="11">
        <v>3906</v>
      </c>
      <c r="F1144" s="11">
        <v>3906</v>
      </c>
      <c r="H1144" s="11">
        <v>5378</v>
      </c>
      <c r="I1144" s="11">
        <v>5378</v>
      </c>
    </row>
    <row r="1145" customHeight="1" spans="2:9">
      <c r="B1145" s="11">
        <v>2773</v>
      </c>
      <c r="C1145" s="11">
        <v>2773</v>
      </c>
      <c r="E1145" s="11">
        <v>3907</v>
      </c>
      <c r="F1145" s="11">
        <v>3907</v>
      </c>
      <c r="H1145" s="11">
        <v>5379</v>
      </c>
      <c r="I1145" s="11">
        <v>5379</v>
      </c>
    </row>
    <row r="1146" customHeight="1" spans="2:9">
      <c r="B1146" s="11">
        <v>2774</v>
      </c>
      <c r="C1146" s="11">
        <v>2774</v>
      </c>
      <c r="E1146" s="11">
        <v>3908</v>
      </c>
      <c r="F1146" s="11">
        <v>3908</v>
      </c>
      <c r="H1146" s="11">
        <v>5380</v>
      </c>
      <c r="I1146" s="11">
        <v>5380</v>
      </c>
    </row>
    <row r="1147" customHeight="1" spans="2:9">
      <c r="B1147" s="11">
        <v>2759</v>
      </c>
      <c r="C1147" s="11">
        <v>2759</v>
      </c>
      <c r="E1147" s="11">
        <v>3909</v>
      </c>
      <c r="F1147" s="11">
        <v>3909</v>
      </c>
      <c r="H1147" s="11">
        <v>5381</v>
      </c>
      <c r="I1147" s="11">
        <v>5381</v>
      </c>
    </row>
    <row r="1148" customHeight="1" spans="2:9">
      <c r="B1148" s="11">
        <v>2760</v>
      </c>
      <c r="C1148" s="11">
        <v>2760</v>
      </c>
      <c r="E1148" s="11">
        <v>4205</v>
      </c>
      <c r="F1148" s="11">
        <v>4205</v>
      </c>
      <c r="H1148" s="11">
        <v>5382</v>
      </c>
      <c r="I1148" s="11">
        <v>5382</v>
      </c>
    </row>
    <row r="1149" customHeight="1" spans="2:9">
      <c r="B1149" s="11">
        <v>2761</v>
      </c>
      <c r="C1149" s="11">
        <v>2761</v>
      </c>
      <c r="E1149" s="11">
        <v>4206</v>
      </c>
      <c r="F1149" s="11">
        <v>4206</v>
      </c>
      <c r="H1149" s="11">
        <v>5383</v>
      </c>
      <c r="I1149" s="11">
        <v>5383</v>
      </c>
    </row>
    <row r="1150" customHeight="1" spans="2:9">
      <c r="B1150" s="11">
        <v>2762</v>
      </c>
      <c r="C1150" s="11">
        <v>2762</v>
      </c>
      <c r="E1150" s="11">
        <v>4029</v>
      </c>
      <c r="F1150" s="11">
        <v>4029</v>
      </c>
      <c r="H1150" s="11">
        <v>5384</v>
      </c>
      <c r="I1150" s="11">
        <v>5384</v>
      </c>
    </row>
    <row r="1151" customHeight="1" spans="2:9">
      <c r="B1151" s="11">
        <v>2763</v>
      </c>
      <c r="C1151" s="11">
        <v>2763</v>
      </c>
      <c r="E1151" s="11">
        <v>4030</v>
      </c>
      <c r="F1151" s="11">
        <v>4030</v>
      </c>
      <c r="H1151" s="11">
        <v>5385</v>
      </c>
      <c r="I1151" s="11">
        <v>5385</v>
      </c>
    </row>
    <row r="1152" customHeight="1" spans="2:9">
      <c r="B1152" s="11">
        <v>2764</v>
      </c>
      <c r="C1152" s="11">
        <v>2764</v>
      </c>
      <c r="E1152" s="11">
        <v>4031</v>
      </c>
      <c r="F1152" s="11">
        <v>4031</v>
      </c>
      <c r="H1152" s="11">
        <v>5386</v>
      </c>
      <c r="I1152" s="11">
        <v>5386</v>
      </c>
    </row>
    <row r="1153" customHeight="1" spans="2:9">
      <c r="B1153" s="11">
        <v>2740</v>
      </c>
      <c r="C1153" s="11">
        <v>2740</v>
      </c>
      <c r="E1153" s="11">
        <v>4032</v>
      </c>
      <c r="F1153" s="11">
        <v>4032</v>
      </c>
      <c r="H1153" s="11">
        <v>5387</v>
      </c>
      <c r="I1153" s="11">
        <v>5387</v>
      </c>
    </row>
    <row r="1154" customHeight="1" spans="2:9">
      <c r="B1154" s="11">
        <v>2741</v>
      </c>
      <c r="C1154" s="11">
        <v>2741</v>
      </c>
      <c r="E1154" s="11">
        <v>4033</v>
      </c>
      <c r="F1154" s="11">
        <v>4033</v>
      </c>
      <c r="H1154" s="11">
        <v>5388</v>
      </c>
      <c r="I1154" s="11">
        <v>5388</v>
      </c>
    </row>
    <row r="1155" customHeight="1" spans="2:9">
      <c r="B1155" s="11">
        <v>2742</v>
      </c>
      <c r="C1155" s="11">
        <v>2742</v>
      </c>
      <c r="E1155" s="11">
        <v>4034</v>
      </c>
      <c r="F1155" s="11">
        <v>4034</v>
      </c>
      <c r="H1155" s="11">
        <v>5389</v>
      </c>
      <c r="I1155" s="11">
        <v>5389</v>
      </c>
    </row>
    <row r="1156" customHeight="1" spans="2:9">
      <c r="B1156" s="11">
        <v>2743</v>
      </c>
      <c r="C1156" s="11">
        <v>2743</v>
      </c>
      <c r="E1156" s="11">
        <v>4035</v>
      </c>
      <c r="F1156" s="11">
        <v>4035</v>
      </c>
      <c r="H1156" s="11">
        <v>5390</v>
      </c>
      <c r="I1156" s="11">
        <v>5390</v>
      </c>
    </row>
    <row r="1157" customHeight="1" spans="2:9">
      <c r="B1157" s="11">
        <v>2744</v>
      </c>
      <c r="C1157" s="11">
        <v>2744</v>
      </c>
      <c r="E1157" s="11">
        <v>4036</v>
      </c>
      <c r="F1157" s="11">
        <v>4036</v>
      </c>
      <c r="H1157" s="11">
        <v>5391</v>
      </c>
      <c r="I1157" s="11">
        <v>5391</v>
      </c>
    </row>
    <row r="1158" customHeight="1" spans="2:9">
      <c r="B1158" s="11">
        <v>2747</v>
      </c>
      <c r="C1158" s="11">
        <v>2747</v>
      </c>
      <c r="E1158" s="11">
        <v>4037</v>
      </c>
      <c r="F1158" s="11">
        <v>4037</v>
      </c>
      <c r="H1158" s="11">
        <v>5392</v>
      </c>
      <c r="I1158" s="11">
        <v>5392</v>
      </c>
    </row>
    <row r="1159" customHeight="1" spans="2:9">
      <c r="B1159" s="11">
        <v>2748</v>
      </c>
      <c r="C1159" s="11">
        <v>2748</v>
      </c>
      <c r="E1159" s="11">
        <v>4038</v>
      </c>
      <c r="F1159" s="11">
        <v>4038</v>
      </c>
      <c r="H1159" s="11">
        <v>5393</v>
      </c>
      <c r="I1159" s="11">
        <v>5393</v>
      </c>
    </row>
    <row r="1160" customHeight="1" spans="2:9">
      <c r="B1160" s="11">
        <v>2749</v>
      </c>
      <c r="C1160" s="11">
        <v>2749</v>
      </c>
      <c r="E1160" s="11">
        <v>4039</v>
      </c>
      <c r="F1160" s="11">
        <v>4039</v>
      </c>
      <c r="H1160" s="11">
        <v>5394</v>
      </c>
      <c r="I1160" s="11">
        <v>5394</v>
      </c>
    </row>
    <row r="1161" customHeight="1" spans="2:9">
      <c r="B1161" s="11">
        <v>2750</v>
      </c>
      <c r="C1161" s="11">
        <v>2750</v>
      </c>
      <c r="E1161" s="11">
        <v>4040</v>
      </c>
      <c r="F1161" s="11">
        <v>4040</v>
      </c>
      <c r="H1161" s="11">
        <v>5395</v>
      </c>
      <c r="I1161" s="11">
        <v>5395</v>
      </c>
    </row>
    <row r="1162" customHeight="1" spans="2:9">
      <c r="B1162" s="11">
        <v>2751</v>
      </c>
      <c r="C1162" s="11">
        <v>2751</v>
      </c>
      <c r="E1162" s="11">
        <v>4041</v>
      </c>
      <c r="F1162" s="11">
        <v>4041</v>
      </c>
      <c r="H1162" s="11">
        <v>5396</v>
      </c>
      <c r="I1162" s="11">
        <v>5396</v>
      </c>
    </row>
    <row r="1163" customHeight="1" spans="2:9">
      <c r="B1163" s="11">
        <v>2776</v>
      </c>
      <c r="C1163" s="11">
        <v>2776</v>
      </c>
      <c r="E1163" s="11">
        <v>4042</v>
      </c>
      <c r="F1163" s="11">
        <v>4042</v>
      </c>
      <c r="H1163" s="11">
        <v>5397</v>
      </c>
      <c r="I1163" s="11">
        <v>5397</v>
      </c>
    </row>
    <row r="1164" customHeight="1" spans="2:9">
      <c r="B1164" s="11">
        <v>2777</v>
      </c>
      <c r="C1164" s="11">
        <v>2777</v>
      </c>
      <c r="E1164" s="11">
        <v>4043</v>
      </c>
      <c r="F1164" s="11">
        <v>4043</v>
      </c>
      <c r="H1164" s="11">
        <v>5398</v>
      </c>
      <c r="I1164" s="11">
        <v>5398</v>
      </c>
    </row>
    <row r="1165" customHeight="1" spans="2:9">
      <c r="B1165" s="11">
        <v>2890</v>
      </c>
      <c r="C1165" s="11">
        <v>2890</v>
      </c>
      <c r="E1165" s="11">
        <v>4044</v>
      </c>
      <c r="F1165" s="11">
        <v>4044</v>
      </c>
      <c r="H1165" s="11">
        <v>5399</v>
      </c>
      <c r="I1165" s="11">
        <v>5399</v>
      </c>
    </row>
    <row r="1166" customHeight="1" spans="2:9">
      <c r="B1166" s="11">
        <v>2891</v>
      </c>
      <c r="C1166" s="11">
        <v>2891</v>
      </c>
      <c r="E1166" s="11">
        <v>4045</v>
      </c>
      <c r="F1166" s="11">
        <v>4045</v>
      </c>
      <c r="H1166" s="11">
        <v>5400</v>
      </c>
      <c r="I1166" s="11">
        <v>5400</v>
      </c>
    </row>
    <row r="1167" customHeight="1" spans="2:9">
      <c r="B1167" s="11">
        <v>2892</v>
      </c>
      <c r="C1167" s="11">
        <v>2892</v>
      </c>
      <c r="E1167" s="11">
        <v>4046</v>
      </c>
      <c r="F1167" s="11">
        <v>4046</v>
      </c>
      <c r="H1167" s="11">
        <v>5401</v>
      </c>
      <c r="I1167" s="11">
        <v>5401</v>
      </c>
    </row>
    <row r="1168" customHeight="1" spans="2:9">
      <c r="B1168" s="11">
        <v>2893</v>
      </c>
      <c r="C1168" s="11">
        <v>2893</v>
      </c>
      <c r="E1168" s="11">
        <v>4047</v>
      </c>
      <c r="F1168" s="11">
        <v>4047</v>
      </c>
      <c r="H1168" s="11">
        <v>5402</v>
      </c>
      <c r="I1168" s="11">
        <v>5402</v>
      </c>
    </row>
    <row r="1169" customHeight="1" spans="2:9">
      <c r="B1169" s="11">
        <v>2894</v>
      </c>
      <c r="C1169" s="11">
        <v>2894</v>
      </c>
      <c r="E1169" s="11">
        <v>4048</v>
      </c>
      <c r="F1169" s="11">
        <v>4048</v>
      </c>
      <c r="H1169" s="11">
        <v>5403</v>
      </c>
      <c r="I1169" s="11">
        <v>5403</v>
      </c>
    </row>
    <row r="1170" customHeight="1" spans="2:9">
      <c r="B1170" s="11">
        <v>2895</v>
      </c>
      <c r="C1170" s="11">
        <v>2895</v>
      </c>
      <c r="E1170" s="11">
        <v>4049</v>
      </c>
      <c r="F1170" s="11">
        <v>4049</v>
      </c>
      <c r="H1170" s="11">
        <v>5404</v>
      </c>
      <c r="I1170" s="11">
        <v>5404</v>
      </c>
    </row>
    <row r="1171" customHeight="1" spans="2:9">
      <c r="B1171" s="11">
        <v>2896</v>
      </c>
      <c r="C1171" s="11">
        <v>2896</v>
      </c>
      <c r="E1171" s="11">
        <v>4050</v>
      </c>
      <c r="F1171" s="11">
        <v>4050</v>
      </c>
      <c r="H1171" s="11">
        <v>5405</v>
      </c>
      <c r="I1171" s="11">
        <v>5405</v>
      </c>
    </row>
    <row r="1172" customHeight="1" spans="2:9">
      <c r="B1172" s="11">
        <v>2897</v>
      </c>
      <c r="C1172" s="11">
        <v>2897</v>
      </c>
      <c r="E1172" s="11">
        <v>4051</v>
      </c>
      <c r="F1172" s="11">
        <v>4051</v>
      </c>
      <c r="H1172" s="11">
        <v>5406</v>
      </c>
      <c r="I1172" s="11">
        <v>5406</v>
      </c>
    </row>
    <row r="1173" customHeight="1" spans="2:9">
      <c r="B1173" s="11">
        <v>2109</v>
      </c>
      <c r="C1173" s="11">
        <v>2109</v>
      </c>
      <c r="E1173" s="11">
        <v>4052</v>
      </c>
      <c r="F1173" s="11">
        <v>4052</v>
      </c>
      <c r="H1173" s="11">
        <v>5407</v>
      </c>
      <c r="I1173" s="11">
        <v>5407</v>
      </c>
    </row>
    <row r="1174" customHeight="1" spans="2:9">
      <c r="B1174" s="11">
        <v>2110</v>
      </c>
      <c r="C1174" s="11">
        <v>2110</v>
      </c>
      <c r="E1174" s="11">
        <v>4053</v>
      </c>
      <c r="F1174" s="11">
        <v>4053</v>
      </c>
      <c r="H1174" s="11">
        <v>5408</v>
      </c>
      <c r="I1174" s="11">
        <v>5408</v>
      </c>
    </row>
    <row r="1175" customHeight="1" spans="2:9">
      <c r="B1175" s="11">
        <v>2111</v>
      </c>
      <c r="C1175" s="11">
        <v>2111</v>
      </c>
      <c r="E1175" s="11">
        <v>4054</v>
      </c>
      <c r="F1175" s="11">
        <v>4054</v>
      </c>
      <c r="H1175" s="11">
        <v>5409</v>
      </c>
      <c r="I1175" s="11">
        <v>5409</v>
      </c>
    </row>
    <row r="1176" customHeight="1" spans="2:9">
      <c r="B1176" s="11">
        <v>2112</v>
      </c>
      <c r="C1176" s="11">
        <v>2112</v>
      </c>
      <c r="E1176" s="11">
        <v>4055</v>
      </c>
      <c r="F1176" s="11">
        <v>4055</v>
      </c>
      <c r="H1176" s="11">
        <v>5410</v>
      </c>
      <c r="I1176" s="11">
        <v>5410</v>
      </c>
    </row>
    <row r="1177" customHeight="1" spans="2:9">
      <c r="B1177" s="11">
        <v>2113</v>
      </c>
      <c r="C1177" s="11">
        <v>2113</v>
      </c>
      <c r="E1177" s="11">
        <v>4056</v>
      </c>
      <c r="F1177" s="11">
        <v>4056</v>
      </c>
      <c r="H1177" s="11">
        <v>5411</v>
      </c>
      <c r="I1177" s="11">
        <v>5411</v>
      </c>
    </row>
    <row r="1178" customHeight="1" spans="2:9">
      <c r="B1178" s="11">
        <v>2114</v>
      </c>
      <c r="C1178" s="11">
        <v>2114</v>
      </c>
      <c r="E1178" s="11">
        <v>4057</v>
      </c>
      <c r="F1178" s="11">
        <v>4057</v>
      </c>
      <c r="H1178" s="11">
        <v>5412</v>
      </c>
      <c r="I1178" s="11">
        <v>5412</v>
      </c>
    </row>
    <row r="1179" customHeight="1" spans="2:9">
      <c r="B1179" s="11">
        <v>2115</v>
      </c>
      <c r="C1179" s="11">
        <v>2115</v>
      </c>
      <c r="E1179" s="11">
        <v>4058</v>
      </c>
      <c r="F1179" s="11">
        <v>4058</v>
      </c>
      <c r="H1179" s="11">
        <v>5413</v>
      </c>
      <c r="I1179" s="11">
        <v>5413</v>
      </c>
    </row>
    <row r="1180" customHeight="1" spans="2:9">
      <c r="B1180" s="11">
        <v>2116</v>
      </c>
      <c r="C1180" s="11">
        <v>2116</v>
      </c>
      <c r="E1180" s="11">
        <v>4059</v>
      </c>
      <c r="F1180" s="11">
        <v>4059</v>
      </c>
      <c r="H1180" s="11">
        <v>5414</v>
      </c>
      <c r="I1180" s="11">
        <v>5414</v>
      </c>
    </row>
    <row r="1181" customHeight="1" spans="2:9">
      <c r="B1181" s="11">
        <v>2117</v>
      </c>
      <c r="C1181" s="11">
        <v>2117</v>
      </c>
      <c r="E1181" s="11">
        <v>4060</v>
      </c>
      <c r="F1181" s="11">
        <v>4060</v>
      </c>
      <c r="H1181" s="11">
        <v>5415</v>
      </c>
      <c r="I1181" s="11">
        <v>5415</v>
      </c>
    </row>
    <row r="1182" customHeight="1" spans="2:9">
      <c r="B1182" s="11">
        <v>2118</v>
      </c>
      <c r="C1182" s="11">
        <v>2118</v>
      </c>
      <c r="E1182" s="11">
        <v>4061</v>
      </c>
      <c r="F1182" s="11">
        <v>4061</v>
      </c>
      <c r="H1182" s="11">
        <v>5416</v>
      </c>
      <c r="I1182" s="11">
        <v>5416</v>
      </c>
    </row>
    <row r="1183" customHeight="1" spans="2:9">
      <c r="B1183" s="11">
        <v>2119</v>
      </c>
      <c r="C1183" s="11">
        <v>2119</v>
      </c>
      <c r="E1183" s="11">
        <v>4062</v>
      </c>
      <c r="F1183" s="11">
        <v>4062</v>
      </c>
      <c r="H1183" s="11">
        <v>5417</v>
      </c>
      <c r="I1183" s="11">
        <v>5417</v>
      </c>
    </row>
    <row r="1184" customHeight="1" spans="2:9">
      <c r="B1184" s="11">
        <v>2120</v>
      </c>
      <c r="C1184" s="11">
        <v>2120</v>
      </c>
      <c r="E1184" s="11">
        <v>4063</v>
      </c>
      <c r="F1184" s="11">
        <v>4063</v>
      </c>
      <c r="H1184" s="11">
        <v>5418</v>
      </c>
      <c r="I1184" s="11">
        <v>5418</v>
      </c>
    </row>
    <row r="1185" customHeight="1" spans="2:9">
      <c r="B1185" s="11">
        <v>2121</v>
      </c>
      <c r="C1185" s="11">
        <v>2121</v>
      </c>
      <c r="E1185" s="11">
        <v>4064</v>
      </c>
      <c r="F1185" s="11">
        <v>4064</v>
      </c>
      <c r="H1185" s="11">
        <v>5419</v>
      </c>
      <c r="I1185" s="11">
        <v>5419</v>
      </c>
    </row>
    <row r="1186" customHeight="1" spans="2:9">
      <c r="B1186" s="11">
        <v>2122</v>
      </c>
      <c r="C1186" s="11">
        <v>2122</v>
      </c>
      <c r="E1186" s="11">
        <v>4065</v>
      </c>
      <c r="F1186" s="11">
        <v>4065</v>
      </c>
      <c r="H1186" s="11">
        <v>5420</v>
      </c>
      <c r="I1186" s="11">
        <v>5420</v>
      </c>
    </row>
    <row r="1187" customHeight="1" spans="2:9">
      <c r="B1187" s="11">
        <v>2123</v>
      </c>
      <c r="C1187" s="11">
        <v>2123</v>
      </c>
      <c r="E1187" s="11">
        <v>4066</v>
      </c>
      <c r="F1187" s="11">
        <v>4066</v>
      </c>
      <c r="H1187" s="11">
        <v>5421</v>
      </c>
      <c r="I1187" s="11">
        <v>5421</v>
      </c>
    </row>
    <row r="1188" customHeight="1" spans="2:9">
      <c r="B1188" s="11">
        <v>2124</v>
      </c>
      <c r="C1188" s="11">
        <v>2124</v>
      </c>
      <c r="E1188" s="11">
        <v>4067</v>
      </c>
      <c r="F1188" s="11">
        <v>4067</v>
      </c>
      <c r="H1188" s="11">
        <v>5422</v>
      </c>
      <c r="I1188" s="11">
        <v>5422</v>
      </c>
    </row>
    <row r="1189" customHeight="1" spans="2:9">
      <c r="B1189" s="11">
        <v>2125</v>
      </c>
      <c r="C1189" s="11">
        <v>2125</v>
      </c>
      <c r="E1189" s="11">
        <v>4068</v>
      </c>
      <c r="F1189" s="11">
        <v>4068</v>
      </c>
      <c r="H1189" s="11">
        <v>5423</v>
      </c>
      <c r="I1189" s="11">
        <v>5423</v>
      </c>
    </row>
    <row r="1190" customHeight="1" spans="2:9">
      <c r="B1190" s="11">
        <v>2126</v>
      </c>
      <c r="C1190" s="11">
        <v>2126</v>
      </c>
      <c r="E1190" s="11">
        <v>4151</v>
      </c>
      <c r="F1190" s="11">
        <v>4151</v>
      </c>
      <c r="H1190" s="11">
        <v>5424</v>
      </c>
      <c r="I1190" s="11">
        <v>5424</v>
      </c>
    </row>
    <row r="1191" customHeight="1" spans="2:9">
      <c r="B1191" s="11">
        <v>2127</v>
      </c>
      <c r="C1191" s="11">
        <v>2127</v>
      </c>
      <c r="E1191" s="11">
        <v>4152</v>
      </c>
      <c r="F1191" s="11">
        <v>4152</v>
      </c>
      <c r="H1191" s="11">
        <v>5425</v>
      </c>
      <c r="I1191" s="11">
        <v>5425</v>
      </c>
    </row>
    <row r="1192" customHeight="1" spans="2:9">
      <c r="B1192" s="11">
        <v>2128</v>
      </c>
      <c r="C1192" s="11">
        <v>2128</v>
      </c>
      <c r="E1192" s="11">
        <v>4153</v>
      </c>
      <c r="F1192" s="11">
        <v>4153</v>
      </c>
      <c r="H1192" s="11">
        <v>5426</v>
      </c>
      <c r="I1192" s="11">
        <v>5426</v>
      </c>
    </row>
    <row r="1193" customHeight="1" spans="2:9">
      <c r="B1193" s="11">
        <v>2129</v>
      </c>
      <c r="C1193" s="11">
        <v>2129</v>
      </c>
      <c r="E1193" s="11">
        <v>4154</v>
      </c>
      <c r="F1193" s="11">
        <v>4154</v>
      </c>
      <c r="H1193" s="11">
        <v>5427</v>
      </c>
      <c r="I1193" s="11">
        <v>5427</v>
      </c>
    </row>
    <row r="1194" customHeight="1" spans="2:9">
      <c r="B1194" s="11">
        <v>2130</v>
      </c>
      <c r="C1194" s="11">
        <v>2130</v>
      </c>
      <c r="E1194" s="11">
        <v>4155</v>
      </c>
      <c r="F1194" s="11">
        <v>4155</v>
      </c>
      <c r="H1194" s="11">
        <v>5428</v>
      </c>
      <c r="I1194" s="11">
        <v>5428</v>
      </c>
    </row>
    <row r="1195" customHeight="1" spans="2:9">
      <c r="B1195" s="11">
        <v>2131</v>
      </c>
      <c r="C1195" s="11">
        <v>2131</v>
      </c>
      <c r="E1195" s="11">
        <v>4156</v>
      </c>
      <c r="F1195" s="11">
        <v>4156</v>
      </c>
      <c r="H1195" s="11">
        <v>5429</v>
      </c>
      <c r="I1195" s="11">
        <v>5429</v>
      </c>
    </row>
    <row r="1196" customHeight="1" spans="2:9">
      <c r="B1196" s="11">
        <v>2132</v>
      </c>
      <c r="C1196" s="11">
        <v>2132</v>
      </c>
      <c r="E1196" s="11">
        <v>4157</v>
      </c>
      <c r="F1196" s="11">
        <v>4157</v>
      </c>
      <c r="H1196" s="11">
        <v>5430</v>
      </c>
      <c r="I1196" s="11">
        <v>5430</v>
      </c>
    </row>
    <row r="1197" customHeight="1" spans="2:9">
      <c r="B1197" s="11">
        <v>2133</v>
      </c>
      <c r="C1197" s="11">
        <v>2133</v>
      </c>
      <c r="E1197" s="11">
        <v>4158</v>
      </c>
      <c r="F1197" s="11">
        <v>4158</v>
      </c>
      <c r="H1197" s="11">
        <v>5431</v>
      </c>
      <c r="I1197" s="11">
        <v>5431</v>
      </c>
    </row>
    <row r="1198" customHeight="1" spans="2:9">
      <c r="B1198" s="11">
        <v>2134</v>
      </c>
      <c r="C1198" s="11">
        <v>2134</v>
      </c>
      <c r="E1198" s="11">
        <v>4159</v>
      </c>
      <c r="F1198" s="11">
        <v>4159</v>
      </c>
      <c r="H1198" s="11">
        <v>5432</v>
      </c>
      <c r="I1198" s="11">
        <v>5432</v>
      </c>
    </row>
    <row r="1199" customHeight="1" spans="2:9">
      <c r="B1199" s="11">
        <v>2135</v>
      </c>
      <c r="C1199" s="11">
        <v>2135</v>
      </c>
      <c r="E1199" s="11">
        <v>4160</v>
      </c>
      <c r="F1199" s="11">
        <v>4160</v>
      </c>
      <c r="H1199" s="11">
        <v>5433</v>
      </c>
      <c r="I1199" s="11">
        <v>5433</v>
      </c>
    </row>
    <row r="1200" customHeight="1" spans="2:9">
      <c r="B1200" s="11">
        <v>2136</v>
      </c>
      <c r="C1200" s="11">
        <v>2136</v>
      </c>
      <c r="E1200" s="11">
        <v>4161</v>
      </c>
      <c r="F1200" s="11">
        <v>4161</v>
      </c>
      <c r="H1200" s="11">
        <v>5434</v>
      </c>
      <c r="I1200" s="11">
        <v>5434</v>
      </c>
    </row>
    <row r="1201" customHeight="1" spans="2:9">
      <c r="B1201" s="11">
        <v>2137</v>
      </c>
      <c r="C1201" s="11">
        <v>2137</v>
      </c>
      <c r="E1201" s="11">
        <v>4162</v>
      </c>
      <c r="F1201" s="11">
        <v>4162</v>
      </c>
      <c r="H1201" s="11">
        <v>5435</v>
      </c>
      <c r="I1201" s="11">
        <v>5435</v>
      </c>
    </row>
    <row r="1202" customHeight="1" spans="2:9">
      <c r="B1202" s="11">
        <v>2138</v>
      </c>
      <c r="C1202" s="11">
        <v>2138</v>
      </c>
      <c r="E1202" s="11">
        <v>4163</v>
      </c>
      <c r="F1202" s="11">
        <v>4163</v>
      </c>
      <c r="H1202" s="11">
        <v>5436</v>
      </c>
      <c r="I1202" s="11">
        <v>5436</v>
      </c>
    </row>
    <row r="1203" customHeight="1" spans="2:9">
      <c r="B1203" s="11">
        <v>2139</v>
      </c>
      <c r="C1203" s="11">
        <v>2139</v>
      </c>
      <c r="E1203" s="11">
        <v>4164</v>
      </c>
      <c r="F1203" s="11">
        <v>4164</v>
      </c>
      <c r="H1203" s="11">
        <v>5437</v>
      </c>
      <c r="I1203" s="11">
        <v>5437</v>
      </c>
    </row>
    <row r="1204" customHeight="1" spans="2:9">
      <c r="B1204" s="11">
        <v>2140</v>
      </c>
      <c r="C1204" s="11">
        <v>2140</v>
      </c>
      <c r="E1204" s="11">
        <v>4127</v>
      </c>
      <c r="F1204" s="11">
        <v>4127</v>
      </c>
      <c r="H1204" s="11">
        <v>5438</v>
      </c>
      <c r="I1204" s="11">
        <v>5438</v>
      </c>
    </row>
    <row r="1205" customHeight="1" spans="2:9">
      <c r="B1205" s="11">
        <v>2141</v>
      </c>
      <c r="C1205" s="11">
        <v>2141</v>
      </c>
      <c r="E1205" s="11">
        <v>4128</v>
      </c>
      <c r="F1205" s="11">
        <v>4128</v>
      </c>
      <c r="H1205" s="11">
        <v>5439</v>
      </c>
      <c r="I1205" s="11">
        <v>5439</v>
      </c>
    </row>
    <row r="1206" customHeight="1" spans="2:9">
      <c r="B1206" s="11">
        <v>2142</v>
      </c>
      <c r="C1206" s="11">
        <v>2142</v>
      </c>
      <c r="E1206" s="11">
        <v>4129</v>
      </c>
      <c r="F1206" s="11">
        <v>4129</v>
      </c>
      <c r="H1206" s="11">
        <v>5440</v>
      </c>
      <c r="I1206" s="11">
        <v>5440</v>
      </c>
    </row>
    <row r="1207" customHeight="1" spans="2:9">
      <c r="B1207" s="11">
        <v>2143</v>
      </c>
      <c r="C1207" s="11">
        <v>2143</v>
      </c>
      <c r="E1207" s="11">
        <v>4131</v>
      </c>
      <c r="F1207" s="11">
        <v>4131</v>
      </c>
      <c r="H1207" s="11">
        <v>5441</v>
      </c>
      <c r="I1207" s="11">
        <v>5441</v>
      </c>
    </row>
    <row r="1208" customHeight="1" spans="2:9">
      <c r="B1208" s="11">
        <v>2144</v>
      </c>
      <c r="C1208" s="11">
        <v>2144</v>
      </c>
      <c r="E1208" s="11">
        <v>4132</v>
      </c>
      <c r="F1208" s="11">
        <v>4132</v>
      </c>
      <c r="H1208" s="11">
        <v>5442</v>
      </c>
      <c r="I1208" s="11">
        <v>5442</v>
      </c>
    </row>
    <row r="1209" customHeight="1" spans="2:9">
      <c r="B1209" s="11">
        <v>2145</v>
      </c>
      <c r="C1209" s="11">
        <v>2145</v>
      </c>
      <c r="E1209" s="11">
        <v>4169</v>
      </c>
      <c r="F1209" s="11">
        <v>4169</v>
      </c>
      <c r="H1209" s="11">
        <v>5443</v>
      </c>
      <c r="I1209" s="11">
        <v>5443</v>
      </c>
    </row>
    <row r="1210" customHeight="1" spans="2:9">
      <c r="B1210" s="11">
        <v>2146</v>
      </c>
      <c r="C1210" s="11">
        <v>2146</v>
      </c>
      <c r="E1210" s="11">
        <v>4170</v>
      </c>
      <c r="F1210" s="11">
        <v>4170</v>
      </c>
      <c r="H1210" s="11">
        <v>5444</v>
      </c>
      <c r="I1210" s="11">
        <v>5444</v>
      </c>
    </row>
    <row r="1211" customHeight="1" spans="2:9">
      <c r="B1211" s="11">
        <v>2147</v>
      </c>
      <c r="C1211" s="11">
        <v>2147</v>
      </c>
      <c r="E1211" s="11">
        <v>4171</v>
      </c>
      <c r="F1211" s="11">
        <v>4171</v>
      </c>
      <c r="H1211" s="11">
        <v>5445</v>
      </c>
      <c r="I1211" s="11">
        <v>5445</v>
      </c>
    </row>
    <row r="1212" customHeight="1" spans="2:9">
      <c r="B1212" s="11">
        <v>2148</v>
      </c>
      <c r="C1212" s="11">
        <v>2148</v>
      </c>
      <c r="E1212" s="11">
        <v>4172</v>
      </c>
      <c r="F1212" s="11">
        <v>4172</v>
      </c>
      <c r="H1212" s="11">
        <v>5446</v>
      </c>
      <c r="I1212" s="11">
        <v>5446</v>
      </c>
    </row>
    <row r="1213" customHeight="1" spans="2:9">
      <c r="B1213" s="11">
        <v>2149</v>
      </c>
      <c r="C1213" s="11">
        <v>2149</v>
      </c>
      <c r="E1213" s="11">
        <v>4173</v>
      </c>
      <c r="F1213" s="11">
        <v>4173</v>
      </c>
      <c r="H1213" s="11">
        <v>5447</v>
      </c>
      <c r="I1213" s="11">
        <v>5447</v>
      </c>
    </row>
    <row r="1214" customHeight="1" spans="2:9">
      <c r="B1214" s="11">
        <v>2150</v>
      </c>
      <c r="C1214" s="11">
        <v>2150</v>
      </c>
      <c r="E1214" s="11">
        <v>4174</v>
      </c>
      <c r="F1214" s="11">
        <v>4174</v>
      </c>
      <c r="H1214" s="11">
        <v>5448</v>
      </c>
      <c r="I1214" s="11">
        <v>5448</v>
      </c>
    </row>
    <row r="1215" customHeight="1" spans="2:9">
      <c r="B1215" s="11">
        <v>2151</v>
      </c>
      <c r="C1215" s="11">
        <v>2151</v>
      </c>
      <c r="E1215" s="11">
        <v>4175</v>
      </c>
      <c r="F1215" s="11">
        <v>4175</v>
      </c>
      <c r="H1215" s="11">
        <v>5449</v>
      </c>
      <c r="I1215" s="11">
        <v>5449</v>
      </c>
    </row>
    <row r="1216" customHeight="1" spans="2:9">
      <c r="B1216" s="11">
        <v>2152</v>
      </c>
      <c r="C1216" s="11">
        <v>2152</v>
      </c>
      <c r="E1216" s="11">
        <v>4176</v>
      </c>
      <c r="F1216" s="11">
        <v>4176</v>
      </c>
      <c r="H1216" s="11">
        <v>5450</v>
      </c>
      <c r="I1216" s="11">
        <v>5450</v>
      </c>
    </row>
    <row r="1217" customHeight="1" spans="2:9">
      <c r="B1217" s="11">
        <v>2153</v>
      </c>
      <c r="C1217" s="11">
        <v>2153</v>
      </c>
      <c r="E1217" s="11">
        <v>4177</v>
      </c>
      <c r="F1217" s="11">
        <v>4177</v>
      </c>
      <c r="H1217" s="11">
        <v>5451</v>
      </c>
      <c r="I1217" s="11">
        <v>5451</v>
      </c>
    </row>
    <row r="1218" customHeight="1" spans="2:9">
      <c r="B1218" s="11">
        <v>2154</v>
      </c>
      <c r="C1218" s="11">
        <v>2154</v>
      </c>
      <c r="E1218" s="11">
        <v>4178</v>
      </c>
      <c r="F1218" s="11">
        <v>4178</v>
      </c>
      <c r="H1218" s="11">
        <v>5452</v>
      </c>
      <c r="I1218" s="11">
        <v>5452</v>
      </c>
    </row>
    <row r="1219" customHeight="1" spans="2:9">
      <c r="B1219" s="11">
        <v>2155</v>
      </c>
      <c r="C1219" s="11">
        <v>2155</v>
      </c>
      <c r="E1219" s="11">
        <v>4179</v>
      </c>
      <c r="F1219" s="11">
        <v>4179</v>
      </c>
      <c r="H1219" s="11">
        <v>5453</v>
      </c>
      <c r="I1219" s="11">
        <v>5453</v>
      </c>
    </row>
    <row r="1220" customHeight="1" spans="2:9">
      <c r="B1220" s="11">
        <v>2156</v>
      </c>
      <c r="C1220" s="11">
        <v>2156</v>
      </c>
      <c r="E1220" s="11">
        <v>4180</v>
      </c>
      <c r="F1220" s="11">
        <v>4180</v>
      </c>
      <c r="H1220" s="11">
        <v>5454</v>
      </c>
      <c r="I1220" s="11">
        <v>5454</v>
      </c>
    </row>
    <row r="1221" customHeight="1" spans="2:9">
      <c r="B1221" s="11">
        <v>2080</v>
      </c>
      <c r="C1221" s="11">
        <v>2080</v>
      </c>
      <c r="E1221" s="11">
        <v>4181</v>
      </c>
      <c r="F1221" s="11">
        <v>4181</v>
      </c>
      <c r="H1221" s="11">
        <v>5455</v>
      </c>
      <c r="I1221" s="11">
        <v>5455</v>
      </c>
    </row>
    <row r="1222" customHeight="1" spans="2:9">
      <c r="B1222" s="11">
        <v>2081</v>
      </c>
      <c r="C1222" s="11">
        <v>2081</v>
      </c>
      <c r="E1222" s="11">
        <v>4182</v>
      </c>
      <c r="F1222" s="11">
        <v>4182</v>
      </c>
      <c r="H1222" s="11">
        <v>5456</v>
      </c>
      <c r="I1222" s="11">
        <v>5456</v>
      </c>
    </row>
    <row r="1223" customHeight="1" spans="2:9">
      <c r="B1223" s="11">
        <v>2082</v>
      </c>
      <c r="C1223" s="11">
        <v>2082</v>
      </c>
      <c r="E1223" s="11">
        <v>4072</v>
      </c>
      <c r="F1223" s="11">
        <v>4072</v>
      </c>
      <c r="H1223" s="11">
        <v>5457</v>
      </c>
      <c r="I1223" s="11">
        <v>5457</v>
      </c>
    </row>
    <row r="1224" customHeight="1" spans="2:9">
      <c r="B1224" s="11">
        <v>2083</v>
      </c>
      <c r="C1224" s="11">
        <v>2083</v>
      </c>
      <c r="E1224" s="11">
        <v>4073</v>
      </c>
      <c r="F1224" s="11">
        <v>4073</v>
      </c>
      <c r="H1224" s="11">
        <v>5458</v>
      </c>
      <c r="I1224" s="11">
        <v>5458</v>
      </c>
    </row>
    <row r="1225" customHeight="1" spans="2:9">
      <c r="B1225" s="11">
        <v>2084</v>
      </c>
      <c r="C1225" s="11">
        <v>2084</v>
      </c>
      <c r="E1225" s="11">
        <v>4074</v>
      </c>
      <c r="F1225" s="11">
        <v>4074</v>
      </c>
      <c r="H1225" s="11">
        <v>5459</v>
      </c>
      <c r="I1225" s="11">
        <v>5459</v>
      </c>
    </row>
    <row r="1226" customHeight="1" spans="2:9">
      <c r="B1226" s="11">
        <v>2108</v>
      </c>
      <c r="C1226" s="11">
        <v>2108</v>
      </c>
      <c r="E1226" s="11">
        <v>4075</v>
      </c>
      <c r="F1226" s="11">
        <v>4075</v>
      </c>
      <c r="H1226" s="11">
        <v>5460</v>
      </c>
      <c r="I1226" s="11">
        <v>5460</v>
      </c>
    </row>
    <row r="1227" customHeight="1" spans="2:9">
      <c r="B1227" s="11">
        <v>2157</v>
      </c>
      <c r="C1227" s="11">
        <v>2157</v>
      </c>
      <c r="E1227" s="11">
        <v>4076</v>
      </c>
      <c r="F1227" s="11">
        <v>4076</v>
      </c>
      <c r="H1227" s="11">
        <v>5461</v>
      </c>
      <c r="I1227" s="11">
        <v>5461</v>
      </c>
    </row>
    <row r="1228" customHeight="1" spans="2:9">
      <c r="B1228" s="11">
        <v>2230</v>
      </c>
      <c r="C1228" s="11">
        <v>2230</v>
      </c>
      <c r="E1228" s="11">
        <v>4077</v>
      </c>
      <c r="F1228" s="11">
        <v>4077</v>
      </c>
      <c r="H1228" s="11">
        <v>5462</v>
      </c>
      <c r="I1228" s="11">
        <v>5462</v>
      </c>
    </row>
    <row r="1229" customHeight="1" spans="2:9">
      <c r="B1229" s="11">
        <v>2231</v>
      </c>
      <c r="C1229" s="11">
        <v>2231</v>
      </c>
      <c r="E1229" s="11">
        <v>4078</v>
      </c>
      <c r="F1229" s="11">
        <v>4078</v>
      </c>
      <c r="H1229" s="11">
        <v>5463</v>
      </c>
      <c r="I1229" s="11">
        <v>5463</v>
      </c>
    </row>
    <row r="1230" customHeight="1" spans="2:9">
      <c r="B1230" s="11">
        <v>2159</v>
      </c>
      <c r="C1230" s="11">
        <v>2159</v>
      </c>
      <c r="E1230" s="11">
        <v>4079</v>
      </c>
      <c r="F1230" s="11">
        <v>4079</v>
      </c>
      <c r="H1230" s="11">
        <v>5464</v>
      </c>
      <c r="I1230" s="11">
        <v>5464</v>
      </c>
    </row>
    <row r="1231" customHeight="1" spans="2:9">
      <c r="B1231" s="11">
        <v>2173</v>
      </c>
      <c r="C1231" s="11">
        <v>2173</v>
      </c>
      <c r="E1231" s="11">
        <v>4080</v>
      </c>
      <c r="F1231" s="11">
        <v>4080</v>
      </c>
      <c r="H1231" s="11">
        <v>5465</v>
      </c>
      <c r="I1231" s="11">
        <v>5465</v>
      </c>
    </row>
    <row r="1232" customHeight="1" spans="2:9">
      <c r="B1232" s="11">
        <v>2778</v>
      </c>
      <c r="C1232" s="11">
        <v>2778</v>
      </c>
      <c r="E1232" s="11">
        <v>4081</v>
      </c>
      <c r="F1232" s="11">
        <v>4081</v>
      </c>
      <c r="H1232" s="11">
        <v>5466</v>
      </c>
      <c r="I1232" s="11">
        <v>5466</v>
      </c>
    </row>
    <row r="1233" customHeight="1" spans="2:9">
      <c r="B1233" s="11">
        <v>2779</v>
      </c>
      <c r="C1233" s="11">
        <v>2779</v>
      </c>
      <c r="E1233" s="11">
        <v>4082</v>
      </c>
      <c r="F1233" s="11">
        <v>4082</v>
      </c>
      <c r="H1233" s="11">
        <v>5467</v>
      </c>
      <c r="I1233" s="11">
        <v>5467</v>
      </c>
    </row>
    <row r="1234" customHeight="1" spans="2:9">
      <c r="B1234" s="11">
        <v>2780</v>
      </c>
      <c r="C1234" s="11">
        <v>2780</v>
      </c>
      <c r="E1234" s="11">
        <v>4083</v>
      </c>
      <c r="F1234" s="11">
        <v>4083</v>
      </c>
      <c r="H1234" s="11">
        <v>5468</v>
      </c>
      <c r="I1234" s="11">
        <v>5468</v>
      </c>
    </row>
    <row r="1235" customHeight="1" spans="2:9">
      <c r="B1235" s="11">
        <v>2781</v>
      </c>
      <c r="C1235" s="11">
        <v>2781</v>
      </c>
      <c r="E1235" s="11">
        <v>4084</v>
      </c>
      <c r="F1235" s="11">
        <v>4084</v>
      </c>
      <c r="H1235" s="11">
        <v>5469</v>
      </c>
      <c r="I1235" s="11">
        <v>5469</v>
      </c>
    </row>
    <row r="1236" customHeight="1" spans="2:9">
      <c r="B1236" s="11">
        <v>2782</v>
      </c>
      <c r="C1236" s="11">
        <v>2782</v>
      </c>
      <c r="E1236" s="11">
        <v>4085</v>
      </c>
      <c r="F1236" s="11">
        <v>4085</v>
      </c>
      <c r="H1236" s="11">
        <v>5470</v>
      </c>
      <c r="I1236" s="11">
        <v>5470</v>
      </c>
    </row>
    <row r="1237" customHeight="1" spans="2:9">
      <c r="B1237" s="11">
        <v>2783</v>
      </c>
      <c r="C1237" s="11">
        <v>2783</v>
      </c>
      <c r="E1237" s="11">
        <v>4086</v>
      </c>
      <c r="F1237" s="11">
        <v>4086</v>
      </c>
      <c r="H1237" s="11">
        <v>5471</v>
      </c>
      <c r="I1237" s="11">
        <v>5471</v>
      </c>
    </row>
    <row r="1238" customHeight="1" spans="2:9">
      <c r="B1238" s="11">
        <v>2784</v>
      </c>
      <c r="C1238" s="11">
        <v>2784</v>
      </c>
      <c r="E1238" s="11">
        <v>4087</v>
      </c>
      <c r="F1238" s="11">
        <v>4087</v>
      </c>
      <c r="H1238" s="11">
        <v>5472</v>
      </c>
      <c r="I1238" s="11">
        <v>5472</v>
      </c>
    </row>
    <row r="1239" customHeight="1" spans="2:9">
      <c r="B1239" s="11">
        <v>2785</v>
      </c>
      <c r="C1239" s="11">
        <v>2785</v>
      </c>
      <c r="E1239" s="11">
        <v>4088</v>
      </c>
      <c r="F1239" s="11">
        <v>4088</v>
      </c>
      <c r="H1239" s="11">
        <v>5473</v>
      </c>
      <c r="I1239" s="11">
        <v>5473</v>
      </c>
    </row>
    <row r="1240" customHeight="1" spans="2:9">
      <c r="B1240" s="11">
        <v>2786</v>
      </c>
      <c r="C1240" s="11">
        <v>2786</v>
      </c>
      <c r="E1240" s="11">
        <v>4089</v>
      </c>
      <c r="F1240" s="11">
        <v>4089</v>
      </c>
      <c r="H1240" s="11">
        <v>5474</v>
      </c>
      <c r="I1240" s="11">
        <v>5474</v>
      </c>
    </row>
    <row r="1241" customHeight="1" spans="2:9">
      <c r="B1241" s="11">
        <v>2775</v>
      </c>
      <c r="C1241" s="11">
        <v>2775</v>
      </c>
      <c r="E1241" s="11">
        <v>4090</v>
      </c>
      <c r="F1241" s="11">
        <v>4090</v>
      </c>
      <c r="H1241" s="11">
        <v>5475</v>
      </c>
      <c r="I1241" s="11">
        <v>5475</v>
      </c>
    </row>
    <row r="1242" customHeight="1" spans="2:9">
      <c r="B1242" s="11">
        <v>2508</v>
      </c>
      <c r="C1242" s="11">
        <v>2508</v>
      </c>
      <c r="E1242" s="11">
        <v>4091</v>
      </c>
      <c r="F1242" s="11">
        <v>4091</v>
      </c>
      <c r="H1242" s="11">
        <v>5476</v>
      </c>
      <c r="I1242" s="11">
        <v>5476</v>
      </c>
    </row>
    <row r="1243" customHeight="1" spans="2:9">
      <c r="B1243" s="11">
        <v>2509</v>
      </c>
      <c r="C1243" s="11">
        <v>2509</v>
      </c>
      <c r="E1243" s="11">
        <v>4092</v>
      </c>
      <c r="F1243" s="11">
        <v>4092</v>
      </c>
      <c r="H1243" s="11">
        <v>5477</v>
      </c>
      <c r="I1243" s="11">
        <v>5477</v>
      </c>
    </row>
    <row r="1244" customHeight="1" spans="2:9">
      <c r="B1244" s="11">
        <v>2510</v>
      </c>
      <c r="C1244" s="11">
        <v>2510</v>
      </c>
      <c r="E1244" s="11">
        <v>4093</v>
      </c>
      <c r="F1244" s="11">
        <v>4093</v>
      </c>
      <c r="H1244" s="11">
        <v>5478</v>
      </c>
      <c r="I1244" s="11">
        <v>5478</v>
      </c>
    </row>
    <row r="1245" customHeight="1" spans="2:9">
      <c r="B1245" s="11">
        <v>2511</v>
      </c>
      <c r="C1245" s="11">
        <v>2511</v>
      </c>
      <c r="E1245" s="11">
        <v>4094</v>
      </c>
      <c r="F1245" s="11">
        <v>4094</v>
      </c>
      <c r="H1245" s="11">
        <v>5479</v>
      </c>
      <c r="I1245" s="11">
        <v>5479</v>
      </c>
    </row>
    <row r="1246" customHeight="1" spans="2:9">
      <c r="B1246" s="11">
        <v>2512</v>
      </c>
      <c r="C1246" s="11">
        <v>2512</v>
      </c>
      <c r="E1246" s="11">
        <v>4095</v>
      </c>
      <c r="F1246" s="11">
        <v>4095</v>
      </c>
      <c r="H1246" s="11">
        <v>5480</v>
      </c>
      <c r="I1246" s="11">
        <v>5480</v>
      </c>
    </row>
    <row r="1247" customHeight="1" spans="2:9">
      <c r="B1247" s="11">
        <v>2513</v>
      </c>
      <c r="C1247" s="11">
        <v>2513</v>
      </c>
      <c r="E1247" s="11">
        <v>4096</v>
      </c>
      <c r="F1247" s="11">
        <v>4096</v>
      </c>
      <c r="H1247" s="11">
        <v>5481</v>
      </c>
      <c r="I1247" s="11">
        <v>5481</v>
      </c>
    </row>
    <row r="1248" customHeight="1" spans="2:9">
      <c r="B1248" s="11">
        <v>2514</v>
      </c>
      <c r="C1248" s="11">
        <v>2514</v>
      </c>
      <c r="E1248" s="11">
        <v>4097</v>
      </c>
      <c r="F1248" s="11">
        <v>4097</v>
      </c>
      <c r="H1248" s="11">
        <v>5482</v>
      </c>
      <c r="I1248" s="11">
        <v>5482</v>
      </c>
    </row>
    <row r="1249" customHeight="1" spans="2:9">
      <c r="B1249" s="11">
        <v>2560</v>
      </c>
      <c r="C1249" s="11">
        <v>2560</v>
      </c>
      <c r="E1249" s="11">
        <v>4098</v>
      </c>
      <c r="F1249" s="11">
        <v>4098</v>
      </c>
      <c r="H1249" s="11">
        <v>5483</v>
      </c>
      <c r="I1249" s="11">
        <v>5483</v>
      </c>
    </row>
    <row r="1250" customHeight="1" spans="2:9">
      <c r="B1250" s="11">
        <v>2561</v>
      </c>
      <c r="C1250" s="11">
        <v>2561</v>
      </c>
      <c r="E1250" s="11">
        <v>4099</v>
      </c>
      <c r="F1250" s="11">
        <v>4099</v>
      </c>
      <c r="H1250" s="11">
        <v>5484</v>
      </c>
      <c r="I1250" s="11">
        <v>5484</v>
      </c>
    </row>
    <row r="1251" customHeight="1" spans="2:9">
      <c r="B1251" s="11">
        <v>2562</v>
      </c>
      <c r="C1251" s="11">
        <v>2562</v>
      </c>
      <c r="E1251" s="11">
        <v>4100</v>
      </c>
      <c r="F1251" s="11">
        <v>4100</v>
      </c>
      <c r="H1251" s="11">
        <v>5485</v>
      </c>
      <c r="I1251" s="11">
        <v>5485</v>
      </c>
    </row>
    <row r="1252" customHeight="1" spans="2:9">
      <c r="B1252" s="11">
        <v>2563</v>
      </c>
      <c r="C1252" s="11">
        <v>2563</v>
      </c>
      <c r="E1252" s="11">
        <v>4101</v>
      </c>
      <c r="F1252" s="11">
        <v>4101</v>
      </c>
      <c r="H1252" s="11">
        <v>5486</v>
      </c>
      <c r="I1252" s="11">
        <v>5486</v>
      </c>
    </row>
    <row r="1253" customHeight="1" spans="2:9">
      <c r="B1253" s="11">
        <v>2555</v>
      </c>
      <c r="C1253" s="11">
        <v>2555</v>
      </c>
      <c r="E1253" s="11">
        <v>4102</v>
      </c>
      <c r="F1253" s="11">
        <v>4102</v>
      </c>
      <c r="H1253" s="11">
        <v>5487</v>
      </c>
      <c r="I1253" s="11">
        <v>5487</v>
      </c>
    </row>
    <row r="1254" customHeight="1" spans="2:9">
      <c r="B1254" s="11">
        <v>2556</v>
      </c>
      <c r="C1254" s="11">
        <v>2556</v>
      </c>
      <c r="E1254" s="11">
        <v>4103</v>
      </c>
      <c r="F1254" s="11">
        <v>4103</v>
      </c>
      <c r="H1254" s="11">
        <v>5488</v>
      </c>
      <c r="I1254" s="11">
        <v>5488</v>
      </c>
    </row>
    <row r="1255" customHeight="1" spans="2:9">
      <c r="B1255" s="11">
        <v>2765</v>
      </c>
      <c r="C1255" s="11">
        <v>2765</v>
      </c>
      <c r="E1255" s="11">
        <v>4104</v>
      </c>
      <c r="F1255" s="11">
        <v>4104</v>
      </c>
      <c r="H1255" s="11">
        <v>5489</v>
      </c>
      <c r="I1255" s="11">
        <v>5489</v>
      </c>
    </row>
    <row r="1256" customHeight="1" spans="2:9">
      <c r="B1256" s="11">
        <v>2568</v>
      </c>
      <c r="C1256" s="11">
        <v>2568</v>
      </c>
      <c r="E1256" s="11">
        <v>4105</v>
      </c>
      <c r="F1256" s="11">
        <v>4105</v>
      </c>
      <c r="H1256" s="11">
        <v>5490</v>
      </c>
      <c r="I1256" s="11">
        <v>5490</v>
      </c>
    </row>
    <row r="1257" customHeight="1" spans="2:9">
      <c r="B1257" s="11">
        <v>2569</v>
      </c>
      <c r="C1257" s="11">
        <v>2569</v>
      </c>
      <c r="E1257" s="11">
        <v>4106</v>
      </c>
      <c r="F1257" s="11">
        <v>4106</v>
      </c>
      <c r="H1257" s="11">
        <v>5491</v>
      </c>
      <c r="I1257" s="11">
        <v>5491</v>
      </c>
    </row>
    <row r="1258" customHeight="1" spans="2:9">
      <c r="B1258" s="11">
        <v>2570</v>
      </c>
      <c r="C1258" s="11">
        <v>2570</v>
      </c>
      <c r="E1258" s="11">
        <v>4107</v>
      </c>
      <c r="F1258" s="11">
        <v>4107</v>
      </c>
      <c r="H1258" s="11">
        <v>5492</v>
      </c>
      <c r="I1258" s="11">
        <v>5492</v>
      </c>
    </row>
    <row r="1259" customHeight="1" spans="2:9">
      <c r="B1259" s="11">
        <v>2571</v>
      </c>
      <c r="C1259" s="11">
        <v>2571</v>
      </c>
      <c r="E1259" s="11">
        <v>4108</v>
      </c>
      <c r="F1259" s="11">
        <v>4108</v>
      </c>
      <c r="H1259" s="11">
        <v>5493</v>
      </c>
      <c r="I1259" s="11">
        <v>5493</v>
      </c>
    </row>
    <row r="1260" customHeight="1" spans="2:9">
      <c r="B1260" s="11">
        <v>2572</v>
      </c>
      <c r="C1260" s="11">
        <v>2572</v>
      </c>
      <c r="E1260" s="11">
        <v>4109</v>
      </c>
      <c r="F1260" s="11">
        <v>4109</v>
      </c>
      <c r="H1260" s="11">
        <v>5494</v>
      </c>
      <c r="I1260" s="11">
        <v>5494</v>
      </c>
    </row>
    <row r="1261" customHeight="1" spans="2:9">
      <c r="B1261" s="11">
        <v>2573</v>
      </c>
      <c r="C1261" s="11">
        <v>2573</v>
      </c>
      <c r="E1261" s="11">
        <v>4110</v>
      </c>
      <c r="F1261" s="11">
        <v>4110</v>
      </c>
      <c r="H1261" s="11">
        <v>5495</v>
      </c>
      <c r="I1261" s="11">
        <v>5495</v>
      </c>
    </row>
    <row r="1262" customHeight="1" spans="2:9">
      <c r="B1262" s="11">
        <v>2574</v>
      </c>
      <c r="C1262" s="11">
        <v>2574</v>
      </c>
      <c r="E1262" s="11">
        <v>4111</v>
      </c>
      <c r="F1262" s="11">
        <v>4111</v>
      </c>
      <c r="H1262" s="11">
        <v>5496</v>
      </c>
      <c r="I1262" s="11">
        <v>5496</v>
      </c>
    </row>
    <row r="1263" customHeight="1" spans="2:9">
      <c r="B1263" s="11">
        <v>2745</v>
      </c>
      <c r="C1263" s="11">
        <v>2745</v>
      </c>
      <c r="E1263" s="11">
        <v>4112</v>
      </c>
      <c r="F1263" s="11">
        <v>4112</v>
      </c>
      <c r="H1263" s="11">
        <v>5497</v>
      </c>
      <c r="I1263" s="11">
        <v>5497</v>
      </c>
    </row>
    <row r="1264" customHeight="1" spans="2:9">
      <c r="B1264" s="11">
        <v>2746</v>
      </c>
      <c r="C1264" s="11">
        <v>2746</v>
      </c>
      <c r="E1264" s="11">
        <v>4113</v>
      </c>
      <c r="F1264" s="11">
        <v>4113</v>
      </c>
      <c r="H1264" s="11">
        <v>5498</v>
      </c>
      <c r="I1264" s="11">
        <v>5498</v>
      </c>
    </row>
    <row r="1265" customHeight="1" spans="2:9">
      <c r="B1265" s="11">
        <v>2752</v>
      </c>
      <c r="C1265" s="11">
        <v>2752</v>
      </c>
      <c r="E1265" s="11">
        <v>4114</v>
      </c>
      <c r="F1265" s="11">
        <v>4114</v>
      </c>
      <c r="H1265" s="11">
        <v>5499</v>
      </c>
      <c r="I1265" s="11">
        <v>5499</v>
      </c>
    </row>
    <row r="1266" customHeight="1" spans="2:9">
      <c r="B1266" s="11">
        <v>2753</v>
      </c>
      <c r="C1266" s="11">
        <v>2753</v>
      </c>
      <c r="E1266" s="11">
        <v>4115</v>
      </c>
      <c r="F1266" s="11">
        <v>4115</v>
      </c>
      <c r="H1266" s="11">
        <v>5500</v>
      </c>
      <c r="I1266" s="11">
        <v>5500</v>
      </c>
    </row>
    <row r="1267" customHeight="1" spans="2:9">
      <c r="B1267" s="11">
        <v>2754</v>
      </c>
      <c r="C1267" s="11">
        <v>2754</v>
      </c>
      <c r="E1267" s="11">
        <v>4116</v>
      </c>
      <c r="F1267" s="11">
        <v>4116</v>
      </c>
      <c r="H1267" s="11">
        <v>5501</v>
      </c>
      <c r="I1267" s="11">
        <v>5501</v>
      </c>
    </row>
    <row r="1268" customHeight="1" spans="2:9">
      <c r="B1268" s="11">
        <v>2755</v>
      </c>
      <c r="C1268" s="11">
        <v>2755</v>
      </c>
      <c r="E1268" s="11">
        <v>4117</v>
      </c>
      <c r="F1268" s="11">
        <v>4117</v>
      </c>
      <c r="H1268" s="11">
        <v>5502</v>
      </c>
      <c r="I1268" s="11">
        <v>5502</v>
      </c>
    </row>
    <row r="1269" customHeight="1" spans="2:9">
      <c r="B1269" s="11">
        <v>2756</v>
      </c>
      <c r="C1269" s="11">
        <v>2756</v>
      </c>
      <c r="E1269" s="11">
        <v>4118</v>
      </c>
      <c r="F1269" s="11">
        <v>4118</v>
      </c>
      <c r="H1269" s="11">
        <v>5503</v>
      </c>
      <c r="I1269" s="11">
        <v>5503</v>
      </c>
    </row>
    <row r="1270" customHeight="1" spans="2:9">
      <c r="B1270" s="11">
        <v>2757</v>
      </c>
      <c r="C1270" s="11">
        <v>2757</v>
      </c>
      <c r="E1270" s="11">
        <v>4119</v>
      </c>
      <c r="F1270" s="11">
        <v>4119</v>
      </c>
      <c r="H1270" s="11">
        <v>5504</v>
      </c>
      <c r="I1270" s="11">
        <v>5504</v>
      </c>
    </row>
    <row r="1271" customHeight="1" spans="2:9">
      <c r="B1271" s="11">
        <v>2758</v>
      </c>
      <c r="C1271" s="11">
        <v>2758</v>
      </c>
      <c r="E1271" s="11">
        <v>4120</v>
      </c>
      <c r="F1271" s="11">
        <v>4120</v>
      </c>
      <c r="H1271" s="11">
        <v>5505</v>
      </c>
      <c r="I1271" s="11">
        <v>5505</v>
      </c>
    </row>
    <row r="1272" customHeight="1" spans="2:9">
      <c r="B1272" s="11">
        <v>2250</v>
      </c>
      <c r="C1272" s="11">
        <v>2250</v>
      </c>
      <c r="E1272" s="11">
        <v>4121</v>
      </c>
      <c r="F1272" s="11">
        <v>4121</v>
      </c>
      <c r="H1272" s="11">
        <v>5506</v>
      </c>
      <c r="I1272" s="11">
        <v>5506</v>
      </c>
    </row>
    <row r="1273" customHeight="1" spans="2:9">
      <c r="B1273" s="11">
        <v>2251</v>
      </c>
      <c r="C1273" s="11">
        <v>2251</v>
      </c>
      <c r="E1273" s="11">
        <v>4122</v>
      </c>
      <c r="F1273" s="11">
        <v>4122</v>
      </c>
      <c r="H1273" s="11">
        <v>5507</v>
      </c>
      <c r="I1273" s="11">
        <v>5507</v>
      </c>
    </row>
    <row r="1274" customHeight="1" spans="2:9">
      <c r="B1274" s="11">
        <v>2252</v>
      </c>
      <c r="C1274" s="11">
        <v>2252</v>
      </c>
      <c r="E1274" s="11">
        <v>4123</v>
      </c>
      <c r="F1274" s="11">
        <v>4123</v>
      </c>
      <c r="H1274" s="11">
        <v>5508</v>
      </c>
      <c r="I1274" s="11">
        <v>5508</v>
      </c>
    </row>
    <row r="1275" customHeight="1" spans="2:9">
      <c r="B1275" s="11">
        <v>2253</v>
      </c>
      <c r="C1275" s="11">
        <v>2253</v>
      </c>
      <c r="E1275" s="11">
        <v>4019</v>
      </c>
      <c r="F1275" s="11">
        <v>4019</v>
      </c>
      <c r="H1275" s="11">
        <v>5509</v>
      </c>
      <c r="I1275" s="11">
        <v>5509</v>
      </c>
    </row>
    <row r="1276" customHeight="1" spans="2:9">
      <c r="B1276" s="11">
        <v>2254</v>
      </c>
      <c r="C1276" s="11">
        <v>2254</v>
      </c>
      <c r="E1276" s="11">
        <v>4020</v>
      </c>
      <c r="F1276" s="11">
        <v>4020</v>
      </c>
      <c r="H1276" s="11">
        <v>5510</v>
      </c>
      <c r="I1276" s="11">
        <v>5510</v>
      </c>
    </row>
    <row r="1277" customHeight="1" spans="2:9">
      <c r="B1277" s="11">
        <v>2255</v>
      </c>
      <c r="C1277" s="11">
        <v>2255</v>
      </c>
      <c r="E1277" s="11">
        <v>4021</v>
      </c>
      <c r="F1277" s="11">
        <v>4021</v>
      </c>
      <c r="H1277" s="11">
        <v>5511</v>
      </c>
      <c r="I1277" s="11">
        <v>5511</v>
      </c>
    </row>
    <row r="1278" customHeight="1" spans="2:9">
      <c r="B1278" s="11">
        <v>2256</v>
      </c>
      <c r="C1278" s="11">
        <v>2256</v>
      </c>
      <c r="E1278" s="11">
        <v>4022</v>
      </c>
      <c r="F1278" s="11">
        <v>4022</v>
      </c>
      <c r="H1278" s="11">
        <v>5512</v>
      </c>
      <c r="I1278" s="11">
        <v>5512</v>
      </c>
    </row>
    <row r="1279" customHeight="1" spans="2:9">
      <c r="B1279" s="11">
        <v>2257</v>
      </c>
      <c r="C1279" s="11">
        <v>2257</v>
      </c>
      <c r="E1279" s="11">
        <v>4023</v>
      </c>
      <c r="F1279" s="11">
        <v>4023</v>
      </c>
      <c r="H1279" s="11">
        <v>5513</v>
      </c>
      <c r="I1279" s="11">
        <v>5513</v>
      </c>
    </row>
    <row r="1280" customHeight="1" spans="2:9">
      <c r="B1280" s="11">
        <v>2258</v>
      </c>
      <c r="C1280" s="11">
        <v>2258</v>
      </c>
      <c r="E1280" s="11">
        <v>4024</v>
      </c>
      <c r="F1280" s="11">
        <v>4024</v>
      </c>
      <c r="H1280" s="11">
        <v>5514</v>
      </c>
      <c r="I1280" s="11">
        <v>5514</v>
      </c>
    </row>
    <row r="1281" customHeight="1" spans="2:9">
      <c r="B1281" s="11">
        <v>2259</v>
      </c>
      <c r="C1281" s="11">
        <v>2259</v>
      </c>
      <c r="E1281" s="11">
        <v>4025</v>
      </c>
      <c r="F1281" s="11">
        <v>4025</v>
      </c>
      <c r="H1281" s="11">
        <v>5515</v>
      </c>
      <c r="I1281" s="11">
        <v>5515</v>
      </c>
    </row>
    <row r="1282" customHeight="1" spans="2:9">
      <c r="B1282" s="11">
        <v>2260</v>
      </c>
      <c r="C1282" s="11">
        <v>2260</v>
      </c>
      <c r="E1282" s="11">
        <v>4026</v>
      </c>
      <c r="F1282" s="11">
        <v>4026</v>
      </c>
      <c r="H1282" s="11">
        <v>5516</v>
      </c>
      <c r="I1282" s="11">
        <v>5516</v>
      </c>
    </row>
    <row r="1283" customHeight="1" spans="2:9">
      <c r="B1283" s="11">
        <v>2261</v>
      </c>
      <c r="C1283" s="11">
        <v>2261</v>
      </c>
      <c r="E1283" s="11">
        <v>4027</v>
      </c>
      <c r="F1283" s="11">
        <v>4027</v>
      </c>
      <c r="H1283" s="11">
        <v>5517</v>
      </c>
      <c r="I1283" s="11">
        <v>5517</v>
      </c>
    </row>
    <row r="1284" customHeight="1" spans="2:9">
      <c r="B1284" s="11">
        <v>2262</v>
      </c>
      <c r="C1284" s="11">
        <v>2262</v>
      </c>
      <c r="E1284" s="11">
        <v>4028</v>
      </c>
      <c r="F1284" s="11">
        <v>4028</v>
      </c>
      <c r="H1284" s="11">
        <v>5518</v>
      </c>
      <c r="I1284" s="11">
        <v>5518</v>
      </c>
    </row>
    <row r="1285" customHeight="1" spans="2:9">
      <c r="B1285" s="11">
        <v>2263</v>
      </c>
      <c r="C1285" s="11">
        <v>2263</v>
      </c>
      <c r="E1285" s="11">
        <v>4069</v>
      </c>
      <c r="F1285" s="11">
        <v>4069</v>
      </c>
      <c r="H1285" s="11">
        <v>5519</v>
      </c>
      <c r="I1285" s="11">
        <v>5519</v>
      </c>
    </row>
    <row r="1286" customHeight="1" spans="2:9">
      <c r="B1286" s="11">
        <v>2500</v>
      </c>
      <c r="C1286" s="11">
        <v>2500</v>
      </c>
      <c r="E1286" s="11">
        <v>4070</v>
      </c>
      <c r="F1286" s="11">
        <v>4070</v>
      </c>
      <c r="H1286" s="11">
        <v>5520</v>
      </c>
      <c r="I1286" s="11">
        <v>5520</v>
      </c>
    </row>
    <row r="1287" customHeight="1" spans="2:9">
      <c r="B1287" s="11">
        <v>2501</v>
      </c>
      <c r="C1287" s="11">
        <v>2501</v>
      </c>
      <c r="E1287" s="11">
        <v>4071</v>
      </c>
      <c r="F1287" s="11">
        <v>4071</v>
      </c>
      <c r="H1287" s="11">
        <v>5521</v>
      </c>
      <c r="I1287" s="11">
        <v>5521</v>
      </c>
    </row>
    <row r="1288" customHeight="1" spans="2:9">
      <c r="B1288" s="11">
        <v>2502</v>
      </c>
      <c r="C1288" s="11">
        <v>2502</v>
      </c>
      <c r="E1288" s="11">
        <v>4207</v>
      </c>
      <c r="F1288" s="11">
        <v>4207</v>
      </c>
      <c r="H1288" s="11">
        <v>5522</v>
      </c>
      <c r="I1288" s="11">
        <v>5522</v>
      </c>
    </row>
    <row r="1289" customHeight="1" spans="2:9">
      <c r="B1289" s="11">
        <v>2503</v>
      </c>
      <c r="C1289" s="11">
        <v>2503</v>
      </c>
      <c r="E1289" s="11">
        <v>4208</v>
      </c>
      <c r="F1289" s="11">
        <v>4208</v>
      </c>
      <c r="H1289" s="11">
        <v>5523</v>
      </c>
      <c r="I1289" s="11">
        <v>5523</v>
      </c>
    </row>
    <row r="1290" customHeight="1" spans="2:9">
      <c r="B1290" s="11">
        <v>2504</v>
      </c>
      <c r="C1290" s="11">
        <v>2504</v>
      </c>
      <c r="E1290" s="11">
        <v>4209</v>
      </c>
      <c r="F1290" s="11">
        <v>4209</v>
      </c>
      <c r="H1290" s="11">
        <v>5524</v>
      </c>
      <c r="I1290" s="11">
        <v>5524</v>
      </c>
    </row>
    <row r="1291" customHeight="1" spans="2:9">
      <c r="B1291" s="11">
        <v>2505</v>
      </c>
      <c r="C1291" s="11">
        <v>2505</v>
      </c>
      <c r="E1291" s="11">
        <v>4165</v>
      </c>
      <c r="F1291" s="11">
        <v>4165</v>
      </c>
      <c r="H1291" s="11">
        <v>5525</v>
      </c>
      <c r="I1291" s="11">
        <v>5525</v>
      </c>
    </row>
    <row r="1292" customHeight="1" spans="2:9">
      <c r="B1292" s="11">
        <v>2506</v>
      </c>
      <c r="C1292" s="11">
        <v>2506</v>
      </c>
      <c r="E1292" s="11">
        <v>4166</v>
      </c>
      <c r="F1292" s="11">
        <v>4166</v>
      </c>
      <c r="H1292" s="11">
        <v>5526</v>
      </c>
      <c r="I1292" s="11">
        <v>5526</v>
      </c>
    </row>
    <row r="1293" customHeight="1" spans="2:9">
      <c r="B1293" s="11">
        <v>2507</v>
      </c>
      <c r="C1293" s="11">
        <v>2507</v>
      </c>
      <c r="E1293" s="11">
        <v>4167</v>
      </c>
      <c r="F1293" s="11">
        <v>4167</v>
      </c>
      <c r="H1293" s="11">
        <v>5527</v>
      </c>
      <c r="I1293" s="11">
        <v>5527</v>
      </c>
    </row>
    <row r="1294" customHeight="1" spans="2:9">
      <c r="B1294" s="11">
        <v>2515</v>
      </c>
      <c r="C1294" s="11">
        <v>2515</v>
      </c>
      <c r="E1294" s="11">
        <v>4168</v>
      </c>
      <c r="F1294" s="11">
        <v>4168</v>
      </c>
      <c r="H1294" s="11">
        <v>5528</v>
      </c>
      <c r="I1294" s="11">
        <v>5528</v>
      </c>
    </row>
    <row r="1295" customHeight="1" spans="2:9">
      <c r="B1295" s="11">
        <v>2516</v>
      </c>
      <c r="C1295" s="11">
        <v>2516</v>
      </c>
      <c r="E1295" s="11">
        <v>4124</v>
      </c>
      <c r="F1295" s="11">
        <v>4124</v>
      </c>
      <c r="H1295" s="11">
        <v>5529</v>
      </c>
      <c r="I1295" s="11">
        <v>5529</v>
      </c>
    </row>
    <row r="1296" customHeight="1" spans="2:9">
      <c r="B1296" s="11">
        <v>2517</v>
      </c>
      <c r="C1296" s="11">
        <v>2517</v>
      </c>
      <c r="E1296" s="11">
        <v>4125</v>
      </c>
      <c r="F1296" s="11">
        <v>4125</v>
      </c>
      <c r="H1296" s="11">
        <v>5530</v>
      </c>
      <c r="I1296" s="11">
        <v>5530</v>
      </c>
    </row>
    <row r="1297" customHeight="1" spans="2:9">
      <c r="B1297" s="11">
        <v>2518</v>
      </c>
      <c r="C1297" s="11">
        <v>2518</v>
      </c>
      <c r="E1297" s="11">
        <v>4126</v>
      </c>
      <c r="F1297" s="11">
        <v>4126</v>
      </c>
      <c r="H1297" s="11">
        <v>5531</v>
      </c>
      <c r="I1297" s="11">
        <v>5531</v>
      </c>
    </row>
    <row r="1298" customHeight="1" spans="2:9">
      <c r="B1298" s="11">
        <v>2519</v>
      </c>
      <c r="C1298" s="11">
        <v>2519</v>
      </c>
      <c r="E1298" s="11">
        <v>4130</v>
      </c>
      <c r="F1298" s="11">
        <v>4130</v>
      </c>
      <c r="H1298" s="11">
        <v>5532</v>
      </c>
      <c r="I1298" s="11">
        <v>5532</v>
      </c>
    </row>
    <row r="1299" customHeight="1" spans="2:9">
      <c r="B1299" s="11">
        <v>2520</v>
      </c>
      <c r="C1299" s="11">
        <v>2520</v>
      </c>
      <c r="E1299" s="11">
        <v>4183</v>
      </c>
      <c r="F1299" s="11">
        <v>4183</v>
      </c>
      <c r="H1299" s="11">
        <v>5533</v>
      </c>
      <c r="I1299" s="11">
        <v>5533</v>
      </c>
    </row>
    <row r="1300" customHeight="1" spans="2:9">
      <c r="B1300" s="11">
        <v>2521</v>
      </c>
      <c r="C1300" s="11">
        <v>2521</v>
      </c>
      <c r="E1300" s="11">
        <v>4184</v>
      </c>
      <c r="F1300" s="11">
        <v>4184</v>
      </c>
      <c r="H1300" s="11">
        <v>5534</v>
      </c>
      <c r="I1300" s="11">
        <v>5534</v>
      </c>
    </row>
    <row r="1301" customHeight="1" spans="2:9">
      <c r="B1301" s="11">
        <v>2522</v>
      </c>
      <c r="C1301" s="11">
        <v>2522</v>
      </c>
      <c r="E1301" s="11">
        <v>4185</v>
      </c>
      <c r="F1301" s="11">
        <v>4185</v>
      </c>
      <c r="H1301" s="11">
        <v>5535</v>
      </c>
      <c r="I1301" s="11">
        <v>5535</v>
      </c>
    </row>
    <row r="1302" customHeight="1" spans="2:9">
      <c r="B1302" s="11">
        <v>2523</v>
      </c>
      <c r="C1302" s="11">
        <v>2523</v>
      </c>
      <c r="E1302" s="11">
        <v>4186</v>
      </c>
      <c r="F1302" s="11">
        <v>4186</v>
      </c>
      <c r="H1302" s="11">
        <v>5536</v>
      </c>
      <c r="I1302" s="11">
        <v>5536</v>
      </c>
    </row>
    <row r="1303" customHeight="1" spans="2:9">
      <c r="B1303" s="11">
        <v>2524</v>
      </c>
      <c r="C1303" s="11">
        <v>2524</v>
      </c>
      <c r="E1303" s="11">
        <v>4187</v>
      </c>
      <c r="F1303" s="11">
        <v>4187</v>
      </c>
      <c r="H1303" s="11">
        <v>5537</v>
      </c>
      <c r="I1303" s="11">
        <v>5537</v>
      </c>
    </row>
    <row r="1304" customHeight="1" spans="2:9">
      <c r="B1304" s="11">
        <v>2525</v>
      </c>
      <c r="C1304" s="11">
        <v>2525</v>
      </c>
      <c r="E1304" s="11">
        <v>4188</v>
      </c>
      <c r="F1304" s="11">
        <v>4188</v>
      </c>
      <c r="H1304" s="11">
        <v>5538</v>
      </c>
      <c r="I1304" s="11">
        <v>5538</v>
      </c>
    </row>
    <row r="1305" customHeight="1" spans="2:9">
      <c r="B1305" s="11">
        <v>2526</v>
      </c>
      <c r="C1305" s="11">
        <v>2526</v>
      </c>
      <c r="E1305" s="11">
        <v>4189</v>
      </c>
      <c r="F1305" s="11">
        <v>4189</v>
      </c>
      <c r="H1305" s="11">
        <v>5539</v>
      </c>
      <c r="I1305" s="11">
        <v>5539</v>
      </c>
    </row>
    <row r="1306" customHeight="1" spans="2:9">
      <c r="B1306" s="11">
        <v>2527</v>
      </c>
      <c r="C1306" s="11">
        <v>2527</v>
      </c>
      <c r="E1306" s="11">
        <v>4190</v>
      </c>
      <c r="F1306" s="11">
        <v>4190</v>
      </c>
      <c r="H1306" s="11">
        <v>5540</v>
      </c>
      <c r="I1306" s="11">
        <v>5540</v>
      </c>
    </row>
    <row r="1307" customHeight="1" spans="2:9">
      <c r="B1307" s="11">
        <v>2528</v>
      </c>
      <c r="C1307" s="11">
        <v>2528</v>
      </c>
      <c r="E1307" s="11">
        <v>4191</v>
      </c>
      <c r="F1307" s="11">
        <v>4191</v>
      </c>
      <c r="H1307" s="11">
        <v>5541</v>
      </c>
      <c r="I1307" s="11">
        <v>5541</v>
      </c>
    </row>
    <row r="1308" customHeight="1" spans="2:9">
      <c r="B1308" s="11">
        <v>2529</v>
      </c>
      <c r="C1308" s="11">
        <v>2529</v>
      </c>
      <c r="E1308" s="11">
        <v>4192</v>
      </c>
      <c r="F1308" s="11">
        <v>4192</v>
      </c>
      <c r="H1308" s="11">
        <v>5542</v>
      </c>
      <c r="I1308" s="11">
        <v>5542</v>
      </c>
    </row>
    <row r="1309" customHeight="1" spans="2:9">
      <c r="B1309" s="11">
        <v>2530</v>
      </c>
      <c r="C1309" s="11">
        <v>2530</v>
      </c>
      <c r="E1309" s="11">
        <v>4193</v>
      </c>
      <c r="F1309" s="11">
        <v>4193</v>
      </c>
      <c r="H1309" s="11">
        <v>5543</v>
      </c>
      <c r="I1309" s="11">
        <v>5543</v>
      </c>
    </row>
    <row r="1310" customHeight="1" spans="2:9">
      <c r="B1310" s="11">
        <v>2531</v>
      </c>
      <c r="C1310" s="11">
        <v>2531</v>
      </c>
      <c r="E1310" s="11">
        <v>4194</v>
      </c>
      <c r="F1310" s="11">
        <v>4194</v>
      </c>
      <c r="H1310" s="11">
        <v>5544</v>
      </c>
      <c r="I1310" s="11">
        <v>5544</v>
      </c>
    </row>
    <row r="1311" customHeight="1" spans="2:9">
      <c r="B1311" s="11">
        <v>2532</v>
      </c>
      <c r="C1311" s="11">
        <v>2532</v>
      </c>
      <c r="E1311" s="11">
        <v>4195</v>
      </c>
      <c r="F1311" s="11">
        <v>4195</v>
      </c>
      <c r="H1311" s="11">
        <v>5545</v>
      </c>
      <c r="I1311" s="11">
        <v>5545</v>
      </c>
    </row>
    <row r="1312" customHeight="1" spans="2:9">
      <c r="B1312" s="11">
        <v>2900</v>
      </c>
      <c r="C1312" s="11">
        <v>2900</v>
      </c>
      <c r="E1312" s="11">
        <v>4196</v>
      </c>
      <c r="F1312" s="11">
        <v>4196</v>
      </c>
      <c r="H1312" s="11">
        <v>5546</v>
      </c>
      <c r="I1312" s="11">
        <v>5546</v>
      </c>
    </row>
    <row r="1313" customHeight="1" spans="2:9">
      <c r="B1313" s="11">
        <v>2901</v>
      </c>
      <c r="C1313" s="11">
        <v>2901</v>
      </c>
      <c r="E1313" s="11">
        <v>4197</v>
      </c>
      <c r="F1313" s="11">
        <v>4197</v>
      </c>
      <c r="H1313" s="11">
        <v>5547</v>
      </c>
      <c r="I1313" s="11">
        <v>5547</v>
      </c>
    </row>
    <row r="1314" customHeight="1" spans="2:9">
      <c r="B1314" s="11">
        <v>2902</v>
      </c>
      <c r="C1314" s="11">
        <v>2902</v>
      </c>
      <c r="E1314" s="11">
        <v>4198</v>
      </c>
      <c r="F1314" s="11">
        <v>4198</v>
      </c>
      <c r="H1314" s="11">
        <v>5548</v>
      </c>
      <c r="I1314" s="11">
        <v>5548</v>
      </c>
    </row>
    <row r="1315" customHeight="1" spans="2:9">
      <c r="B1315" s="11">
        <v>2903</v>
      </c>
      <c r="C1315" s="11">
        <v>2903</v>
      </c>
      <c r="E1315" s="11">
        <v>4199</v>
      </c>
      <c r="F1315" s="11">
        <v>4199</v>
      </c>
      <c r="H1315" s="11">
        <v>5549</v>
      </c>
      <c r="I1315" s="11">
        <v>5549</v>
      </c>
    </row>
    <row r="1316" customHeight="1" spans="2:9">
      <c r="B1316" s="11">
        <v>2904</v>
      </c>
      <c r="C1316" s="11">
        <v>2904</v>
      </c>
      <c r="E1316" s="11">
        <v>4200</v>
      </c>
      <c r="F1316" s="11">
        <v>4200</v>
      </c>
      <c r="H1316" s="11">
        <v>5550</v>
      </c>
      <c r="I1316" s="11">
        <v>5550</v>
      </c>
    </row>
    <row r="1317" customHeight="1" spans="2:9">
      <c r="B1317" s="11">
        <v>2905</v>
      </c>
      <c r="C1317" s="11">
        <v>2905</v>
      </c>
      <c r="E1317" s="11">
        <v>4201</v>
      </c>
      <c r="F1317" s="11">
        <v>4201</v>
      </c>
      <c r="H1317" s="11">
        <v>5551</v>
      </c>
      <c r="I1317" s="11">
        <v>5551</v>
      </c>
    </row>
    <row r="1318" customHeight="1" spans="2:9">
      <c r="B1318" s="11">
        <v>2906</v>
      </c>
      <c r="C1318" s="11">
        <v>2906</v>
      </c>
      <c r="E1318" s="11">
        <v>4202</v>
      </c>
      <c r="F1318" s="11">
        <v>4202</v>
      </c>
      <c r="H1318" s="11">
        <v>5552</v>
      </c>
      <c r="I1318" s="11">
        <v>5552</v>
      </c>
    </row>
    <row r="1319" customHeight="1" spans="2:9">
      <c r="B1319" s="11">
        <v>2907</v>
      </c>
      <c r="C1319" s="11">
        <v>2907</v>
      </c>
      <c r="E1319" s="11">
        <v>4203</v>
      </c>
      <c r="F1319" s="11">
        <v>4203</v>
      </c>
      <c r="H1319" s="11">
        <v>5553</v>
      </c>
      <c r="I1319" s="11">
        <v>5553</v>
      </c>
    </row>
    <row r="1320" customHeight="1" spans="2:9">
      <c r="B1320" s="11">
        <v>2908</v>
      </c>
      <c r="C1320" s="11">
        <v>2908</v>
      </c>
      <c r="E1320" s="11">
        <v>4204</v>
      </c>
      <c r="F1320" s="11">
        <v>4204</v>
      </c>
      <c r="H1320" s="11">
        <v>5554</v>
      </c>
      <c r="I1320" s="11">
        <v>5554</v>
      </c>
    </row>
    <row r="1321" customHeight="1" spans="2:9">
      <c r="B1321" s="11">
        <v>2909</v>
      </c>
      <c r="C1321" s="11">
        <v>2909</v>
      </c>
      <c r="E1321" s="11">
        <v>4500</v>
      </c>
      <c r="F1321" s="11">
        <v>4500</v>
      </c>
      <c r="H1321" s="11">
        <v>5555</v>
      </c>
      <c r="I1321" s="11">
        <v>5555</v>
      </c>
    </row>
    <row r="1322" customHeight="1" spans="2:9">
      <c r="B1322" s="11">
        <v>2910</v>
      </c>
      <c r="C1322" s="11">
        <v>2910</v>
      </c>
      <c r="E1322" s="11">
        <v>4501</v>
      </c>
      <c r="F1322" s="11">
        <v>4501</v>
      </c>
      <c r="H1322" s="11">
        <v>5556</v>
      </c>
      <c r="I1322" s="11">
        <v>5556</v>
      </c>
    </row>
    <row r="1323" customHeight="1" spans="2:9">
      <c r="B1323" s="11">
        <v>2911</v>
      </c>
      <c r="C1323" s="11">
        <v>2911</v>
      </c>
      <c r="E1323" s="11">
        <v>4502</v>
      </c>
      <c r="F1323" s="11">
        <v>4502</v>
      </c>
      <c r="H1323" s="11">
        <v>5557</v>
      </c>
      <c r="I1323" s="11">
        <v>5557</v>
      </c>
    </row>
    <row r="1324" customHeight="1" spans="2:9">
      <c r="B1324" s="11">
        <v>2912</v>
      </c>
      <c r="C1324" s="11">
        <v>2912</v>
      </c>
      <c r="E1324" s="11">
        <v>4503</v>
      </c>
      <c r="F1324" s="11">
        <v>4503</v>
      </c>
      <c r="H1324" s="11">
        <v>5558</v>
      </c>
      <c r="I1324" s="11">
        <v>5558</v>
      </c>
    </row>
    <row r="1325" customHeight="1" spans="2:9">
      <c r="B1325" s="11">
        <v>2913</v>
      </c>
      <c r="C1325" s="11">
        <v>2913</v>
      </c>
      <c r="E1325" s="11">
        <v>4504</v>
      </c>
      <c r="F1325" s="11">
        <v>4504</v>
      </c>
      <c r="H1325" s="11">
        <v>5559</v>
      </c>
      <c r="I1325" s="11">
        <v>5559</v>
      </c>
    </row>
    <row r="1326" customHeight="1" spans="2:9">
      <c r="B1326" s="11">
        <v>2914</v>
      </c>
      <c r="C1326" s="11">
        <v>2914</v>
      </c>
      <c r="E1326" s="11">
        <v>4505</v>
      </c>
      <c r="F1326" s="11">
        <v>4505</v>
      </c>
      <c r="H1326" s="11">
        <v>5560</v>
      </c>
      <c r="I1326" s="11">
        <v>5560</v>
      </c>
    </row>
    <row r="1327" customHeight="1" spans="2:9">
      <c r="B1327" s="11">
        <v>2915</v>
      </c>
      <c r="C1327" s="11">
        <v>2915</v>
      </c>
      <c r="E1327" s="11">
        <v>4506</v>
      </c>
      <c r="F1327" s="11">
        <v>4506</v>
      </c>
      <c r="H1327" s="11">
        <v>5561</v>
      </c>
      <c r="I1327" s="11">
        <v>5561</v>
      </c>
    </row>
    <row r="1328" customHeight="1" spans="2:9">
      <c r="B1328" s="11">
        <v>2916</v>
      </c>
      <c r="C1328" s="11">
        <v>2916</v>
      </c>
      <c r="E1328" s="11">
        <v>4507</v>
      </c>
      <c r="F1328" s="11">
        <v>4507</v>
      </c>
      <c r="H1328" s="11">
        <v>5562</v>
      </c>
      <c r="I1328" s="11">
        <v>5562</v>
      </c>
    </row>
    <row r="1329" customHeight="1" spans="2:9">
      <c r="B1329" s="11">
        <v>2917</v>
      </c>
      <c r="C1329" s="11">
        <v>2917</v>
      </c>
      <c r="E1329" s="11">
        <v>4508</v>
      </c>
      <c r="F1329" s="11">
        <v>4508</v>
      </c>
      <c r="H1329" s="11">
        <v>5563</v>
      </c>
      <c r="I1329" s="11">
        <v>5563</v>
      </c>
    </row>
    <row r="1330" customHeight="1" spans="2:9">
      <c r="B1330" s="11">
        <v>2918</v>
      </c>
      <c r="C1330" s="11">
        <v>2918</v>
      </c>
      <c r="E1330" s="11">
        <v>4509</v>
      </c>
      <c r="F1330" s="11">
        <v>4509</v>
      </c>
      <c r="H1330" s="11">
        <v>5564</v>
      </c>
      <c r="I1330" s="11">
        <v>5564</v>
      </c>
    </row>
    <row r="1331" customHeight="1" spans="2:9">
      <c r="B1331" s="11">
        <v>2919</v>
      </c>
      <c r="C1331" s="11">
        <v>2919</v>
      </c>
      <c r="E1331" s="11">
        <v>4510</v>
      </c>
      <c r="F1331" s="11">
        <v>4510</v>
      </c>
      <c r="H1331" s="11">
        <v>5565</v>
      </c>
      <c r="I1331" s="11">
        <v>5565</v>
      </c>
    </row>
    <row r="1332" customHeight="1" spans="2:9">
      <c r="B1332" s="11">
        <v>2920</v>
      </c>
      <c r="C1332" s="11">
        <v>2920</v>
      </c>
      <c r="E1332" s="11">
        <v>4511</v>
      </c>
      <c r="F1332" s="11">
        <v>4511</v>
      </c>
      <c r="H1332" s="11">
        <v>5566</v>
      </c>
      <c r="I1332" s="11">
        <v>5566</v>
      </c>
    </row>
    <row r="1333" customHeight="1" spans="2:9">
      <c r="B1333" s="11">
        <v>2708</v>
      </c>
      <c r="C1333" s="11">
        <v>2708</v>
      </c>
      <c r="E1333" s="11">
        <v>4512</v>
      </c>
      <c r="F1333" s="11">
        <v>4512</v>
      </c>
      <c r="H1333" s="11">
        <v>5567</v>
      </c>
      <c r="I1333" s="11">
        <v>5567</v>
      </c>
    </row>
    <row r="1334" customHeight="1" spans="2:9">
      <c r="B1334" s="11">
        <v>2709</v>
      </c>
      <c r="C1334" s="11">
        <v>2709</v>
      </c>
      <c r="E1334" s="11">
        <v>4513</v>
      </c>
      <c r="F1334" s="11">
        <v>4513</v>
      </c>
      <c r="H1334" s="11">
        <v>5568</v>
      </c>
      <c r="I1334" s="11">
        <v>5568</v>
      </c>
    </row>
    <row r="1335" customHeight="1" spans="2:9">
      <c r="B1335" s="11">
        <v>2640</v>
      </c>
      <c r="C1335" s="11">
        <v>2640</v>
      </c>
      <c r="E1335" s="11">
        <v>4514</v>
      </c>
      <c r="F1335" s="11">
        <v>4514</v>
      </c>
      <c r="H1335" s="11">
        <v>5569</v>
      </c>
      <c r="I1335" s="11">
        <v>5569</v>
      </c>
    </row>
    <row r="1336" customHeight="1" spans="2:9">
      <c r="B1336" s="11">
        <v>2641</v>
      </c>
      <c r="C1336" s="11">
        <v>2641</v>
      </c>
      <c r="E1336" s="11">
        <v>4515</v>
      </c>
      <c r="F1336" s="11">
        <v>4515</v>
      </c>
      <c r="H1336" s="11">
        <v>5570</v>
      </c>
      <c r="I1336" s="11">
        <v>5570</v>
      </c>
    </row>
    <row r="1337" customHeight="1" spans="2:9">
      <c r="B1337" s="11">
        <v>2485</v>
      </c>
      <c r="C1337" s="11">
        <v>2485</v>
      </c>
      <c r="E1337" s="11">
        <v>4516</v>
      </c>
      <c r="F1337" s="11">
        <v>4516</v>
      </c>
      <c r="H1337" s="11">
        <v>5571</v>
      </c>
      <c r="I1337" s="11">
        <v>5571</v>
      </c>
    </row>
    <row r="1338" customHeight="1" spans="2:9">
      <c r="B1338" s="11">
        <v>2486</v>
      </c>
      <c r="C1338" s="11">
        <v>2486</v>
      </c>
      <c r="E1338" s="11">
        <v>4517</v>
      </c>
      <c r="F1338" s="11">
        <v>4517</v>
      </c>
      <c r="H1338" s="11">
        <v>5572</v>
      </c>
      <c r="I1338" s="11">
        <v>5572</v>
      </c>
    </row>
    <row r="1339" customHeight="1" spans="2:9">
      <c r="B1339" s="11">
        <v>2282</v>
      </c>
      <c r="C1339" s="11">
        <v>2282</v>
      </c>
      <c r="E1339" s="11">
        <v>4518</v>
      </c>
      <c r="F1339" s="11">
        <v>4518</v>
      </c>
      <c r="H1339" s="11">
        <v>5573</v>
      </c>
      <c r="I1339" s="11">
        <v>5573</v>
      </c>
    </row>
    <row r="1340" customHeight="1" spans="2:9">
      <c r="B1340" s="11">
        <v>2283</v>
      </c>
      <c r="C1340" s="11">
        <v>2283</v>
      </c>
      <c r="E1340" s="11">
        <v>4519</v>
      </c>
      <c r="F1340" s="11">
        <v>4519</v>
      </c>
      <c r="H1340" s="11">
        <v>5574</v>
      </c>
      <c r="I1340" s="11">
        <v>5574</v>
      </c>
    </row>
    <row r="1341" customHeight="1" spans="2:9">
      <c r="B1341" s="11">
        <v>2284</v>
      </c>
      <c r="C1341" s="11">
        <v>2284</v>
      </c>
      <c r="E1341" s="11">
        <v>4520</v>
      </c>
      <c r="F1341" s="11">
        <v>4520</v>
      </c>
      <c r="H1341" s="11">
        <v>5575</v>
      </c>
      <c r="I1341" s="11">
        <v>5575</v>
      </c>
    </row>
    <row r="1342" customHeight="1" spans="2:9">
      <c r="B1342" s="11">
        <v>2285</v>
      </c>
      <c r="C1342" s="11">
        <v>2285</v>
      </c>
      <c r="E1342" s="11">
        <v>4521</v>
      </c>
      <c r="F1342" s="11">
        <v>4521</v>
      </c>
      <c r="H1342" s="11">
        <v>5576</v>
      </c>
      <c r="I1342" s="11">
        <v>5576</v>
      </c>
    </row>
    <row r="1343" customHeight="1" spans="2:9">
      <c r="B1343" s="11">
        <v>2286</v>
      </c>
      <c r="C1343" s="11">
        <v>2286</v>
      </c>
      <c r="E1343" s="11">
        <v>4522</v>
      </c>
      <c r="F1343" s="11">
        <v>4522</v>
      </c>
      <c r="H1343" s="11">
        <v>5577</v>
      </c>
      <c r="I1343" s="11">
        <v>5577</v>
      </c>
    </row>
    <row r="1344" customHeight="1" spans="2:9">
      <c r="B1344" s="11">
        <v>2287</v>
      </c>
      <c r="C1344" s="11">
        <v>2287</v>
      </c>
      <c r="E1344" s="11">
        <v>4523</v>
      </c>
      <c r="F1344" s="11">
        <v>4523</v>
      </c>
      <c r="H1344" s="11">
        <v>5578</v>
      </c>
      <c r="I1344" s="11">
        <v>5578</v>
      </c>
    </row>
    <row r="1345" customHeight="1" spans="2:9">
      <c r="B1345" s="11">
        <v>2288</v>
      </c>
      <c r="C1345" s="11">
        <v>2288</v>
      </c>
      <c r="E1345" s="11">
        <v>4524</v>
      </c>
      <c r="F1345" s="11">
        <v>4524</v>
      </c>
      <c r="H1345" s="11">
        <v>5579</v>
      </c>
      <c r="I1345" s="11">
        <v>5579</v>
      </c>
    </row>
    <row r="1346" customHeight="1" spans="2:9">
      <c r="B1346" s="11">
        <v>2289</v>
      </c>
      <c r="C1346" s="11">
        <v>2289</v>
      </c>
      <c r="E1346" s="11">
        <v>4525</v>
      </c>
      <c r="F1346" s="11">
        <v>4525</v>
      </c>
      <c r="H1346" s="11">
        <v>5580</v>
      </c>
      <c r="I1346" s="11">
        <v>5580</v>
      </c>
    </row>
    <row r="1347" customHeight="1" spans="2:9">
      <c r="B1347" s="11">
        <v>2290</v>
      </c>
      <c r="C1347" s="11">
        <v>2290</v>
      </c>
      <c r="E1347" s="11">
        <v>4526</v>
      </c>
      <c r="F1347" s="11">
        <v>4526</v>
      </c>
      <c r="H1347" s="11">
        <v>5581</v>
      </c>
      <c r="I1347" s="11">
        <v>5581</v>
      </c>
    </row>
    <row r="1348" customHeight="1" spans="2:9">
      <c r="B1348" s="11">
        <v>2291</v>
      </c>
      <c r="C1348" s="11">
        <v>2291</v>
      </c>
      <c r="E1348" s="11">
        <v>4527</v>
      </c>
      <c r="F1348" s="11">
        <v>4527</v>
      </c>
      <c r="H1348" s="11">
        <v>5582</v>
      </c>
      <c r="I1348" s="11">
        <v>5582</v>
      </c>
    </row>
    <row r="1349" customHeight="1" spans="2:9">
      <c r="B1349" s="11">
        <v>2292</v>
      </c>
      <c r="C1349" s="11">
        <v>2292</v>
      </c>
      <c r="E1349" s="11">
        <v>4528</v>
      </c>
      <c r="F1349" s="11">
        <v>4528</v>
      </c>
      <c r="H1349" s="11">
        <v>5583</v>
      </c>
      <c r="I1349" s="11">
        <v>5583</v>
      </c>
    </row>
    <row r="1350" customHeight="1" spans="2:9">
      <c r="B1350" s="11">
        <v>2293</v>
      </c>
      <c r="C1350" s="11">
        <v>2293</v>
      </c>
      <c r="E1350" s="11">
        <v>4529</v>
      </c>
      <c r="F1350" s="11">
        <v>4529</v>
      </c>
      <c r="H1350" s="11">
        <v>5584</v>
      </c>
      <c r="I1350" s="11">
        <v>5584</v>
      </c>
    </row>
    <row r="1351" customHeight="1" spans="2:9">
      <c r="B1351" s="11">
        <v>2294</v>
      </c>
      <c r="C1351" s="11">
        <v>2294</v>
      </c>
      <c r="E1351" s="11">
        <v>4530</v>
      </c>
      <c r="F1351" s="11">
        <v>4530</v>
      </c>
      <c r="H1351" s="11">
        <v>5585</v>
      </c>
      <c r="I1351" s="11">
        <v>5585</v>
      </c>
    </row>
    <row r="1352" customHeight="1" spans="2:9">
      <c r="B1352" s="11">
        <v>2295</v>
      </c>
      <c r="C1352" s="11">
        <v>2295</v>
      </c>
      <c r="E1352" s="11">
        <v>4531</v>
      </c>
      <c r="F1352" s="11">
        <v>4531</v>
      </c>
      <c r="H1352" s="11">
        <v>5586</v>
      </c>
      <c r="I1352" s="11">
        <v>5586</v>
      </c>
    </row>
    <row r="1353" customHeight="1" spans="2:9">
      <c r="B1353" s="11">
        <v>2296</v>
      </c>
      <c r="C1353" s="11">
        <v>2296</v>
      </c>
      <c r="E1353" s="11">
        <v>4532</v>
      </c>
      <c r="F1353" s="11">
        <v>4532</v>
      </c>
      <c r="H1353" s="11">
        <v>5587</v>
      </c>
      <c r="I1353" s="11">
        <v>5587</v>
      </c>
    </row>
    <row r="1354" customHeight="1" spans="2:9">
      <c r="B1354" s="11">
        <v>2297</v>
      </c>
      <c r="C1354" s="11">
        <v>2297</v>
      </c>
      <c r="E1354" s="11">
        <v>4533</v>
      </c>
      <c r="F1354" s="11">
        <v>4533</v>
      </c>
      <c r="H1354" s="11">
        <v>5588</v>
      </c>
      <c r="I1354" s="11">
        <v>5588</v>
      </c>
    </row>
    <row r="1355" customHeight="1" spans="2:9">
      <c r="B1355" s="11">
        <v>2298</v>
      </c>
      <c r="C1355" s="11">
        <v>2298</v>
      </c>
      <c r="E1355" s="11">
        <v>4534</v>
      </c>
      <c r="F1355" s="11">
        <v>4534</v>
      </c>
      <c r="H1355" s="11">
        <v>5589</v>
      </c>
      <c r="I1355" s="11">
        <v>5589</v>
      </c>
    </row>
    <row r="1356" customHeight="1" spans="2:9">
      <c r="B1356" s="11">
        <v>2299</v>
      </c>
      <c r="C1356" s="11">
        <v>2299</v>
      </c>
      <c r="E1356" s="11">
        <v>4535</v>
      </c>
      <c r="F1356" s="11">
        <v>4535</v>
      </c>
      <c r="H1356" s="11">
        <v>5590</v>
      </c>
      <c r="I1356" s="11">
        <v>5590</v>
      </c>
    </row>
    <row r="1357" customHeight="1" spans="2:9">
      <c r="B1357" s="11">
        <v>2300</v>
      </c>
      <c r="C1357" s="11">
        <v>2300</v>
      </c>
      <c r="E1357" s="11">
        <v>4536</v>
      </c>
      <c r="F1357" s="11">
        <v>4536</v>
      </c>
      <c r="H1357" s="11">
        <v>5591</v>
      </c>
      <c r="I1357" s="11">
        <v>5591</v>
      </c>
    </row>
    <row r="1358" customHeight="1" spans="2:9">
      <c r="B1358" s="11">
        <v>2301</v>
      </c>
      <c r="C1358" s="11">
        <v>2301</v>
      </c>
      <c r="E1358" s="11">
        <v>4537</v>
      </c>
      <c r="F1358" s="11">
        <v>4537</v>
      </c>
      <c r="H1358" s="11">
        <v>5592</v>
      </c>
      <c r="I1358" s="11">
        <v>5592</v>
      </c>
    </row>
    <row r="1359" customHeight="1" spans="2:9">
      <c r="B1359" s="11">
        <v>2302</v>
      </c>
      <c r="C1359" s="11">
        <v>2302</v>
      </c>
      <c r="E1359" s="11">
        <v>4538</v>
      </c>
      <c r="F1359" s="11">
        <v>4538</v>
      </c>
      <c r="H1359" s="11">
        <v>5593</v>
      </c>
      <c r="I1359" s="11">
        <v>5593</v>
      </c>
    </row>
    <row r="1360" customHeight="1" spans="2:9">
      <c r="B1360" s="11">
        <v>2303</v>
      </c>
      <c r="C1360" s="11">
        <v>2303</v>
      </c>
      <c r="E1360" s="11">
        <v>4539</v>
      </c>
      <c r="F1360" s="11">
        <v>4539</v>
      </c>
      <c r="H1360" s="11">
        <v>5594</v>
      </c>
      <c r="I1360" s="11">
        <v>5594</v>
      </c>
    </row>
    <row r="1361" customHeight="1" spans="2:9">
      <c r="B1361" s="11">
        <v>2304</v>
      </c>
      <c r="C1361" s="11">
        <v>2304</v>
      </c>
      <c r="E1361" s="11">
        <v>4540</v>
      </c>
      <c r="F1361" s="11">
        <v>4540</v>
      </c>
      <c r="H1361" s="11">
        <v>5595</v>
      </c>
      <c r="I1361" s="11">
        <v>5595</v>
      </c>
    </row>
    <row r="1362" customHeight="1" spans="2:9">
      <c r="B1362" s="11">
        <v>2305</v>
      </c>
      <c r="C1362" s="11">
        <v>2305</v>
      </c>
      <c r="E1362" s="11">
        <v>4541</v>
      </c>
      <c r="F1362" s="11">
        <v>4541</v>
      </c>
      <c r="H1362" s="11">
        <v>5596</v>
      </c>
      <c r="I1362" s="11">
        <v>5596</v>
      </c>
    </row>
    <row r="1363" customHeight="1" spans="2:9">
      <c r="B1363" s="11">
        <v>2306</v>
      </c>
      <c r="C1363" s="11">
        <v>2306</v>
      </c>
      <c r="E1363" s="11">
        <v>4542</v>
      </c>
      <c r="F1363" s="11">
        <v>4542</v>
      </c>
      <c r="H1363" s="11">
        <v>5597</v>
      </c>
      <c r="I1363" s="11">
        <v>5597</v>
      </c>
    </row>
    <row r="1364" customHeight="1" spans="2:9">
      <c r="B1364" s="11">
        <v>2307</v>
      </c>
      <c r="C1364" s="11">
        <v>2307</v>
      </c>
      <c r="E1364" s="11">
        <v>4543</v>
      </c>
      <c r="F1364" s="11">
        <v>4543</v>
      </c>
      <c r="H1364" s="11">
        <v>5598</v>
      </c>
      <c r="I1364" s="11">
        <v>5598</v>
      </c>
    </row>
    <row r="1365" customHeight="1" spans="2:9">
      <c r="B1365" s="11">
        <v>2308</v>
      </c>
      <c r="C1365" s="11">
        <v>2308</v>
      </c>
      <c r="E1365" s="11">
        <v>4544</v>
      </c>
      <c r="F1365" s="11">
        <v>4544</v>
      </c>
      <c r="H1365" s="11">
        <v>5599</v>
      </c>
      <c r="I1365" s="11">
        <v>5599</v>
      </c>
    </row>
    <row r="1366" customHeight="1" spans="2:9">
      <c r="B1366" s="11">
        <v>2309</v>
      </c>
      <c r="C1366" s="11">
        <v>2309</v>
      </c>
      <c r="E1366" s="11">
        <v>4545</v>
      </c>
      <c r="F1366" s="11">
        <v>4545</v>
      </c>
      <c r="H1366" s="11">
        <v>5600</v>
      </c>
      <c r="I1366" s="11">
        <v>5600</v>
      </c>
    </row>
    <row r="1367" customHeight="1" spans="2:9">
      <c r="B1367" s="11">
        <v>2310</v>
      </c>
      <c r="C1367" s="11">
        <v>2310</v>
      </c>
      <c r="E1367" s="11">
        <v>4546</v>
      </c>
      <c r="F1367" s="11">
        <v>4546</v>
      </c>
      <c r="H1367" s="11">
        <v>5601</v>
      </c>
      <c r="I1367" s="11">
        <v>5601</v>
      </c>
    </row>
    <row r="1368" customHeight="1" spans="2:9">
      <c r="B1368" s="11">
        <v>2600</v>
      </c>
      <c r="C1368" s="11">
        <v>2600</v>
      </c>
      <c r="E1368" s="11">
        <v>4547</v>
      </c>
      <c r="F1368" s="11">
        <v>4547</v>
      </c>
      <c r="H1368" s="11">
        <v>5602</v>
      </c>
      <c r="I1368" s="11">
        <v>5602</v>
      </c>
    </row>
    <row r="1369" customHeight="1" spans="2:9">
      <c r="B1369" s="11">
        <v>2601</v>
      </c>
      <c r="C1369" s="11">
        <v>2601</v>
      </c>
      <c r="E1369" s="11">
        <v>4548</v>
      </c>
      <c r="F1369" s="11">
        <v>4548</v>
      </c>
      <c r="H1369" s="11">
        <v>5603</v>
      </c>
      <c r="I1369" s="11">
        <v>5603</v>
      </c>
    </row>
    <row r="1370" customHeight="1" spans="2:9">
      <c r="B1370" s="11">
        <v>2602</v>
      </c>
      <c r="C1370" s="11">
        <v>2602</v>
      </c>
      <c r="E1370" s="11">
        <v>4549</v>
      </c>
      <c r="F1370" s="11">
        <v>4549</v>
      </c>
      <c r="H1370" s="11">
        <v>5604</v>
      </c>
      <c r="I1370" s="11">
        <v>5604</v>
      </c>
    </row>
    <row r="1371" customHeight="1" spans="2:9">
      <c r="B1371" s="11">
        <v>2603</v>
      </c>
      <c r="C1371" s="11">
        <v>2603</v>
      </c>
      <c r="E1371" s="11">
        <v>4133</v>
      </c>
      <c r="F1371" s="11">
        <v>4133</v>
      </c>
      <c r="H1371" s="11">
        <v>5605</v>
      </c>
      <c r="I1371" s="11">
        <v>5605</v>
      </c>
    </row>
    <row r="1372" customHeight="1" spans="2:9">
      <c r="B1372" s="11">
        <v>2604</v>
      </c>
      <c r="C1372" s="11">
        <v>2604</v>
      </c>
      <c r="E1372" s="11">
        <v>4134</v>
      </c>
      <c r="F1372" s="11">
        <v>4134</v>
      </c>
      <c r="H1372" s="11">
        <v>5606</v>
      </c>
      <c r="I1372" s="11">
        <v>5606</v>
      </c>
    </row>
    <row r="1373" customHeight="1" spans="2:9">
      <c r="B1373" s="11">
        <v>2605</v>
      </c>
      <c r="C1373" s="11">
        <v>2605</v>
      </c>
      <c r="E1373" s="11">
        <v>4135</v>
      </c>
      <c r="F1373" s="11">
        <v>4135</v>
      </c>
      <c r="H1373" s="11">
        <v>5607</v>
      </c>
      <c r="I1373" s="11">
        <v>5607</v>
      </c>
    </row>
    <row r="1374" customHeight="1" spans="2:9">
      <c r="B1374" s="11">
        <v>2606</v>
      </c>
      <c r="C1374" s="11">
        <v>2606</v>
      </c>
      <c r="E1374" s="11">
        <v>4136</v>
      </c>
      <c r="F1374" s="11">
        <v>4136</v>
      </c>
      <c r="H1374" s="11">
        <v>5608</v>
      </c>
      <c r="I1374" s="11">
        <v>5608</v>
      </c>
    </row>
    <row r="1375" customHeight="1" spans="2:9">
      <c r="B1375" s="11">
        <v>2607</v>
      </c>
      <c r="C1375" s="11">
        <v>2607</v>
      </c>
      <c r="E1375" s="11">
        <v>4137</v>
      </c>
      <c r="F1375" s="11">
        <v>4137</v>
      </c>
      <c r="H1375" s="11">
        <v>5609</v>
      </c>
      <c r="I1375" s="11">
        <v>5609</v>
      </c>
    </row>
    <row r="1376" customHeight="1" spans="2:9">
      <c r="B1376" s="11">
        <v>2608</v>
      </c>
      <c r="C1376" s="11">
        <v>2608</v>
      </c>
      <c r="E1376" s="11">
        <v>4138</v>
      </c>
      <c r="F1376" s="11">
        <v>4138</v>
      </c>
      <c r="H1376" s="11">
        <v>5610</v>
      </c>
      <c r="I1376" s="11">
        <v>5610</v>
      </c>
    </row>
    <row r="1377" customHeight="1" spans="2:9">
      <c r="B1377" s="11">
        <v>2609</v>
      </c>
      <c r="C1377" s="11">
        <v>2609</v>
      </c>
      <c r="E1377" s="11">
        <v>4139</v>
      </c>
      <c r="F1377" s="11">
        <v>4139</v>
      </c>
      <c r="H1377" s="11">
        <v>5611</v>
      </c>
      <c r="I1377" s="11">
        <v>5611</v>
      </c>
    </row>
    <row r="1378" customHeight="1" spans="2:9">
      <c r="B1378" s="11">
        <v>2610</v>
      </c>
      <c r="C1378" s="11">
        <v>2610</v>
      </c>
      <c r="E1378" s="11">
        <v>4140</v>
      </c>
      <c r="F1378" s="11">
        <v>4140</v>
      </c>
      <c r="H1378" s="11">
        <v>5612</v>
      </c>
      <c r="I1378" s="11">
        <v>5612</v>
      </c>
    </row>
    <row r="1379" customHeight="1" spans="2:9">
      <c r="B1379" s="11">
        <v>2611</v>
      </c>
      <c r="C1379" s="11">
        <v>2611</v>
      </c>
      <c r="E1379" s="11">
        <v>4141</v>
      </c>
      <c r="F1379" s="11">
        <v>4141</v>
      </c>
      <c r="H1379" s="11">
        <v>5613</v>
      </c>
      <c r="I1379" s="11">
        <v>5613</v>
      </c>
    </row>
    <row r="1380" customHeight="1" spans="2:9">
      <c r="B1380" s="11">
        <v>2612</v>
      </c>
      <c r="C1380" s="11">
        <v>2612</v>
      </c>
      <c r="E1380" s="11">
        <v>4142</v>
      </c>
      <c r="F1380" s="11">
        <v>4142</v>
      </c>
      <c r="H1380" s="11">
        <v>5614</v>
      </c>
      <c r="I1380" s="11">
        <v>5614</v>
      </c>
    </row>
    <row r="1381" customHeight="1" spans="2:9">
      <c r="B1381" s="11">
        <v>2613</v>
      </c>
      <c r="C1381" s="11">
        <v>2613</v>
      </c>
      <c r="E1381" s="11">
        <v>4143</v>
      </c>
      <c r="F1381" s="11">
        <v>4143</v>
      </c>
      <c r="H1381" s="11">
        <v>5615</v>
      </c>
      <c r="I1381" s="11">
        <v>5615</v>
      </c>
    </row>
    <row r="1382" customHeight="1" spans="2:9">
      <c r="B1382" s="11">
        <v>2614</v>
      </c>
      <c r="C1382" s="11">
        <v>2614</v>
      </c>
      <c r="E1382" s="11">
        <v>4144</v>
      </c>
      <c r="F1382" s="11">
        <v>4144</v>
      </c>
      <c r="H1382" s="11">
        <v>5616</v>
      </c>
      <c r="I1382" s="11">
        <v>5616</v>
      </c>
    </row>
    <row r="1383" customHeight="1" spans="2:9">
      <c r="B1383" s="11">
        <v>2615</v>
      </c>
      <c r="C1383" s="11">
        <v>2615</v>
      </c>
      <c r="E1383" s="11">
        <v>4145</v>
      </c>
      <c r="F1383" s="11">
        <v>4145</v>
      </c>
      <c r="H1383" s="11">
        <v>5617</v>
      </c>
      <c r="I1383" s="11">
        <v>5617</v>
      </c>
    </row>
    <row r="1384" customHeight="1" spans="2:9">
      <c r="B1384" s="11">
        <v>2616</v>
      </c>
      <c r="C1384" s="11">
        <v>2616</v>
      </c>
      <c r="E1384" s="11">
        <v>4146</v>
      </c>
      <c r="F1384" s="11">
        <v>4146</v>
      </c>
      <c r="H1384" s="11">
        <v>5618</v>
      </c>
      <c r="I1384" s="11">
        <v>5618</v>
      </c>
    </row>
    <row r="1385" customHeight="1" spans="2:9">
      <c r="B1385" s="11">
        <v>2617</v>
      </c>
      <c r="C1385" s="11">
        <v>2617</v>
      </c>
      <c r="E1385" s="11">
        <v>4147</v>
      </c>
      <c r="F1385" s="11">
        <v>4147</v>
      </c>
      <c r="H1385" s="11">
        <v>5619</v>
      </c>
      <c r="I1385" s="11">
        <v>5619</v>
      </c>
    </row>
    <row r="1386" customHeight="1" spans="2:9">
      <c r="B1386" s="11">
        <v>2618</v>
      </c>
      <c r="C1386" s="11">
        <v>2618</v>
      </c>
      <c r="E1386" s="11">
        <v>4148</v>
      </c>
      <c r="F1386" s="11">
        <v>4148</v>
      </c>
      <c r="H1386" s="11">
        <v>5620</v>
      </c>
      <c r="I1386" s="11">
        <v>5620</v>
      </c>
    </row>
    <row r="1387" customHeight="1" spans="2:9">
      <c r="B1387" s="11">
        <v>2619</v>
      </c>
      <c r="C1387" s="11">
        <v>2619</v>
      </c>
      <c r="E1387" s="11">
        <v>4149</v>
      </c>
      <c r="F1387" s="11">
        <v>4149</v>
      </c>
      <c r="H1387" s="11">
        <v>5621</v>
      </c>
      <c r="I1387" s="11">
        <v>5621</v>
      </c>
    </row>
    <row r="1388" customHeight="1" spans="2:9">
      <c r="B1388" s="11">
        <v>2620</v>
      </c>
      <c r="C1388" s="11">
        <v>2620</v>
      </c>
      <c r="E1388" s="11">
        <v>4150</v>
      </c>
      <c r="F1388" s="11">
        <v>4150</v>
      </c>
      <c r="H1388" s="11">
        <v>5622</v>
      </c>
      <c r="I1388" s="11">
        <v>5622</v>
      </c>
    </row>
    <row r="1389" customHeight="1" spans="2:9">
      <c r="B1389" s="11">
        <v>3140</v>
      </c>
      <c r="C1389" s="11">
        <v>3140</v>
      </c>
      <c r="E1389" s="11">
        <v>4270</v>
      </c>
      <c r="F1389" s="11">
        <v>4270</v>
      </c>
      <c r="H1389" s="11">
        <v>5623</v>
      </c>
      <c r="I1389" s="11">
        <v>5623</v>
      </c>
    </row>
    <row r="1390" customHeight="1" spans="2:9">
      <c r="B1390" s="11">
        <v>3141</v>
      </c>
      <c r="C1390" s="11">
        <v>3141</v>
      </c>
      <c r="E1390" s="11">
        <v>4271</v>
      </c>
      <c r="F1390" s="11">
        <v>4271</v>
      </c>
      <c r="H1390" s="11">
        <v>5624</v>
      </c>
      <c r="I1390" s="11">
        <v>5624</v>
      </c>
    </row>
    <row r="1391" customHeight="1" spans="2:9">
      <c r="B1391" s="11">
        <v>3142</v>
      </c>
      <c r="C1391" s="11">
        <v>3142</v>
      </c>
      <c r="E1391" s="11">
        <v>4272</v>
      </c>
      <c r="F1391" s="11">
        <v>4272</v>
      </c>
      <c r="H1391" s="11">
        <v>5625</v>
      </c>
      <c r="I1391" s="11">
        <v>5625</v>
      </c>
    </row>
    <row r="1392" customHeight="1" spans="2:9">
      <c r="B1392" s="11">
        <v>3143</v>
      </c>
      <c r="C1392" s="11">
        <v>3143</v>
      </c>
      <c r="E1392" s="11">
        <v>4273</v>
      </c>
      <c r="F1392" s="11">
        <v>4273</v>
      </c>
      <c r="H1392" s="11">
        <v>5626</v>
      </c>
      <c r="I1392" s="11">
        <v>5626</v>
      </c>
    </row>
    <row r="1393" customHeight="1" spans="2:9">
      <c r="B1393" s="11">
        <v>3144</v>
      </c>
      <c r="C1393" s="11">
        <v>3144</v>
      </c>
      <c r="E1393" s="11">
        <v>4274</v>
      </c>
      <c r="F1393" s="11">
        <v>4274</v>
      </c>
      <c r="H1393" s="11">
        <v>5627</v>
      </c>
      <c r="I1393" s="11">
        <v>5627</v>
      </c>
    </row>
    <row r="1394" customHeight="1" spans="2:9">
      <c r="B1394" s="11">
        <v>3145</v>
      </c>
      <c r="C1394" s="11">
        <v>3145</v>
      </c>
      <c r="E1394" s="11">
        <v>4275</v>
      </c>
      <c r="F1394" s="11">
        <v>4275</v>
      </c>
      <c r="H1394" s="11">
        <v>5628</v>
      </c>
      <c r="I1394" s="11">
        <v>5628</v>
      </c>
    </row>
    <row r="1395" customHeight="1" spans="2:9">
      <c r="B1395" s="11">
        <v>3146</v>
      </c>
      <c r="C1395" s="11">
        <v>3146</v>
      </c>
      <c r="E1395" s="11">
        <v>4276</v>
      </c>
      <c r="F1395" s="11">
        <v>4276</v>
      </c>
      <c r="H1395" s="11">
        <v>5629</v>
      </c>
      <c r="I1395" s="11">
        <v>5629</v>
      </c>
    </row>
    <row r="1396" customHeight="1" spans="2:9">
      <c r="B1396" s="11">
        <v>3147</v>
      </c>
      <c r="C1396" s="11">
        <v>3147</v>
      </c>
      <c r="E1396" s="11">
        <v>4277</v>
      </c>
      <c r="F1396" s="11">
        <v>4277</v>
      </c>
      <c r="H1396" s="11">
        <v>5630</v>
      </c>
      <c r="I1396" s="11">
        <v>5630</v>
      </c>
    </row>
    <row r="1397" customHeight="1" spans="2:9">
      <c r="B1397" s="11">
        <v>3148</v>
      </c>
      <c r="C1397" s="11">
        <v>3148</v>
      </c>
      <c r="E1397" s="11">
        <v>4278</v>
      </c>
      <c r="F1397" s="11">
        <v>4278</v>
      </c>
      <c r="H1397" s="11">
        <v>5631</v>
      </c>
      <c r="I1397" s="11">
        <v>5631</v>
      </c>
    </row>
    <row r="1398" customHeight="1" spans="2:9">
      <c r="B1398" s="11">
        <v>3149</v>
      </c>
      <c r="C1398" s="11">
        <v>3149</v>
      </c>
      <c r="E1398" s="11">
        <v>4279</v>
      </c>
      <c r="F1398" s="11">
        <v>4279</v>
      </c>
      <c r="H1398" s="11">
        <v>5632</v>
      </c>
      <c r="I1398" s="11">
        <v>5632</v>
      </c>
    </row>
    <row r="1399" customHeight="1" spans="2:9">
      <c r="B1399" s="11">
        <v>3150</v>
      </c>
      <c r="C1399" s="11">
        <v>3150</v>
      </c>
      <c r="E1399" s="11">
        <v>4280</v>
      </c>
      <c r="F1399" s="11">
        <v>4280</v>
      </c>
      <c r="H1399" s="11">
        <v>5633</v>
      </c>
      <c r="I1399" s="11">
        <v>5633</v>
      </c>
    </row>
    <row r="1400" customHeight="1" spans="2:9">
      <c r="B1400" s="11">
        <v>3151</v>
      </c>
      <c r="C1400" s="11">
        <v>3151</v>
      </c>
      <c r="E1400" s="11">
        <v>4281</v>
      </c>
      <c r="F1400" s="11">
        <v>4281</v>
      </c>
      <c r="H1400" s="11">
        <v>5634</v>
      </c>
      <c r="I1400" s="11">
        <v>5634</v>
      </c>
    </row>
    <row r="1401" customHeight="1" spans="2:9">
      <c r="B1401" s="11">
        <v>3152</v>
      </c>
      <c r="C1401" s="11">
        <v>3152</v>
      </c>
      <c r="E1401" s="11">
        <v>4282</v>
      </c>
      <c r="F1401" s="11">
        <v>4282</v>
      </c>
      <c r="H1401" s="11">
        <v>5635</v>
      </c>
      <c r="I1401" s="11">
        <v>5635</v>
      </c>
    </row>
    <row r="1402" customHeight="1" spans="2:9">
      <c r="B1402" s="11">
        <v>3153</v>
      </c>
      <c r="C1402" s="11">
        <v>3153</v>
      </c>
      <c r="E1402" s="11">
        <v>4283</v>
      </c>
      <c r="F1402" s="11">
        <v>4283</v>
      </c>
      <c r="H1402" s="11">
        <v>5636</v>
      </c>
      <c r="I1402" s="11">
        <v>5636</v>
      </c>
    </row>
    <row r="1403" customHeight="1" spans="2:9">
      <c r="B1403" s="11">
        <v>3154</v>
      </c>
      <c r="C1403" s="11">
        <v>3154</v>
      </c>
      <c r="E1403" s="11">
        <v>4284</v>
      </c>
      <c r="F1403" s="11">
        <v>4284</v>
      </c>
      <c r="H1403" s="11">
        <v>5637</v>
      </c>
      <c r="I1403" s="11">
        <v>5637</v>
      </c>
    </row>
    <row r="1404" customHeight="1" spans="2:9">
      <c r="B1404" s="11">
        <v>3155</v>
      </c>
      <c r="C1404" s="11">
        <v>3155</v>
      </c>
      <c r="E1404" s="11">
        <v>4285</v>
      </c>
      <c r="F1404" s="11">
        <v>4285</v>
      </c>
      <c r="H1404" s="11">
        <v>5638</v>
      </c>
      <c r="I1404" s="11">
        <v>5638</v>
      </c>
    </row>
    <row r="1405" customHeight="1" spans="2:9">
      <c r="B1405" s="11">
        <v>3156</v>
      </c>
      <c r="C1405" s="11">
        <v>3156</v>
      </c>
      <c r="E1405" s="11">
        <v>4286</v>
      </c>
      <c r="F1405" s="11">
        <v>4286</v>
      </c>
      <c r="H1405" s="11">
        <v>5639</v>
      </c>
      <c r="I1405" s="11">
        <v>5639</v>
      </c>
    </row>
    <row r="1406" customHeight="1" spans="2:9">
      <c r="B1406" s="11">
        <v>3157</v>
      </c>
      <c r="C1406" s="11">
        <v>3157</v>
      </c>
      <c r="E1406" s="11">
        <v>4287</v>
      </c>
      <c r="F1406" s="11">
        <v>4287</v>
      </c>
      <c r="H1406" s="11">
        <v>5640</v>
      </c>
      <c r="I1406" s="11">
        <v>5640</v>
      </c>
    </row>
    <row r="1407" customHeight="1" spans="2:9">
      <c r="B1407" s="11">
        <v>3158</v>
      </c>
      <c r="C1407" s="11">
        <v>3158</v>
      </c>
      <c r="E1407" s="11">
        <v>4288</v>
      </c>
      <c r="F1407" s="11">
        <v>4288</v>
      </c>
      <c r="H1407" s="11">
        <v>5641</v>
      </c>
      <c r="I1407" s="11">
        <v>5641</v>
      </c>
    </row>
    <row r="1408" customHeight="1" spans="2:9">
      <c r="B1408" s="11">
        <v>3159</v>
      </c>
      <c r="C1408" s="11">
        <v>3159</v>
      </c>
      <c r="E1408" s="11">
        <v>4289</v>
      </c>
      <c r="F1408" s="11">
        <v>4289</v>
      </c>
      <c r="H1408" s="11">
        <v>5642</v>
      </c>
      <c r="I1408" s="11">
        <v>5642</v>
      </c>
    </row>
    <row r="1409" customHeight="1" spans="2:9">
      <c r="B1409" s="11">
        <v>3160</v>
      </c>
      <c r="C1409" s="11">
        <v>3160</v>
      </c>
      <c r="E1409" s="11">
        <v>4290</v>
      </c>
      <c r="F1409" s="11">
        <v>4290</v>
      </c>
      <c r="H1409" s="11">
        <v>5643</v>
      </c>
      <c r="I1409" s="11">
        <v>5643</v>
      </c>
    </row>
    <row r="1410" customHeight="1" spans="2:9">
      <c r="B1410" s="11">
        <v>3161</v>
      </c>
      <c r="C1410" s="11">
        <v>3161</v>
      </c>
      <c r="E1410" s="11">
        <v>4291</v>
      </c>
      <c r="F1410" s="11">
        <v>4291</v>
      </c>
      <c r="H1410" s="11">
        <v>5644</v>
      </c>
      <c r="I1410" s="11">
        <v>5644</v>
      </c>
    </row>
    <row r="1411" customHeight="1" spans="2:9">
      <c r="B1411" s="11">
        <v>3162</v>
      </c>
      <c r="C1411" s="11">
        <v>3162</v>
      </c>
      <c r="E1411" s="11">
        <v>4292</v>
      </c>
      <c r="F1411" s="11">
        <v>4292</v>
      </c>
      <c r="H1411" s="11">
        <v>5645</v>
      </c>
      <c r="I1411" s="11">
        <v>5645</v>
      </c>
    </row>
    <row r="1412" customHeight="1" spans="2:9">
      <c r="B1412" s="11">
        <v>3163</v>
      </c>
      <c r="C1412" s="11">
        <v>3163</v>
      </c>
      <c r="E1412" s="11">
        <v>4293</v>
      </c>
      <c r="F1412" s="11">
        <v>4293</v>
      </c>
      <c r="H1412" s="11">
        <v>5646</v>
      </c>
      <c r="I1412" s="11">
        <v>5646</v>
      </c>
    </row>
    <row r="1413" customHeight="1" spans="2:9">
      <c r="B1413" s="11">
        <v>3164</v>
      </c>
      <c r="C1413" s="11">
        <v>3164</v>
      </c>
      <c r="E1413" s="11">
        <v>4294</v>
      </c>
      <c r="F1413" s="11">
        <v>4294</v>
      </c>
      <c r="H1413" s="11">
        <v>5647</v>
      </c>
      <c r="I1413" s="11">
        <v>5647</v>
      </c>
    </row>
    <row r="1414" customHeight="1" spans="2:9">
      <c r="B1414" s="11">
        <v>3165</v>
      </c>
      <c r="C1414" s="11">
        <v>3165</v>
      </c>
      <c r="E1414" s="11">
        <v>4295</v>
      </c>
      <c r="F1414" s="11">
        <v>4295</v>
      </c>
      <c r="H1414" s="11">
        <v>5648</v>
      </c>
      <c r="I1414" s="11">
        <v>5648</v>
      </c>
    </row>
    <row r="1415" customHeight="1" spans="2:9">
      <c r="B1415" s="11">
        <v>3166</v>
      </c>
      <c r="C1415" s="11">
        <v>3166</v>
      </c>
      <c r="E1415" s="11">
        <v>4296</v>
      </c>
      <c r="F1415" s="11">
        <v>4296</v>
      </c>
      <c r="H1415" s="11">
        <v>5649</v>
      </c>
      <c r="I1415" s="11">
        <v>5649</v>
      </c>
    </row>
    <row r="1416" customHeight="1" spans="2:9">
      <c r="B1416" s="11">
        <v>3167</v>
      </c>
      <c r="C1416" s="11">
        <v>3167</v>
      </c>
      <c r="E1416" s="11">
        <v>4297</v>
      </c>
      <c r="F1416" s="11">
        <v>4297</v>
      </c>
      <c r="H1416" s="11">
        <v>5650</v>
      </c>
      <c r="I1416" s="11">
        <v>5650</v>
      </c>
    </row>
    <row r="1417" customHeight="1" spans="2:9">
      <c r="B1417" s="11">
        <v>3168</v>
      </c>
      <c r="C1417" s="11">
        <v>3168</v>
      </c>
      <c r="E1417" s="11">
        <v>4298</v>
      </c>
      <c r="F1417" s="11">
        <v>4298</v>
      </c>
      <c r="H1417" s="11">
        <v>5651</v>
      </c>
      <c r="I1417" s="11">
        <v>5651</v>
      </c>
    </row>
    <row r="1418" customHeight="1" spans="2:9">
      <c r="B1418" s="11">
        <v>3169</v>
      </c>
      <c r="C1418" s="11">
        <v>3169</v>
      </c>
      <c r="E1418" s="11">
        <v>4299</v>
      </c>
      <c r="F1418" s="11">
        <v>4299</v>
      </c>
      <c r="H1418" s="11">
        <v>5652</v>
      </c>
      <c r="I1418" s="11">
        <v>5652</v>
      </c>
    </row>
    <row r="1419" customHeight="1" spans="2:9">
      <c r="B1419" s="11">
        <v>3170</v>
      </c>
      <c r="C1419" s="11">
        <v>3170</v>
      </c>
      <c r="E1419" s="11">
        <v>4226</v>
      </c>
      <c r="F1419" s="11">
        <v>4226</v>
      </c>
      <c r="H1419" s="11">
        <v>5653</v>
      </c>
      <c r="I1419" s="11">
        <v>5653</v>
      </c>
    </row>
    <row r="1420" customHeight="1" spans="2:9">
      <c r="B1420" s="11">
        <v>3171</v>
      </c>
      <c r="C1420" s="11">
        <v>3171</v>
      </c>
      <c r="E1420" s="11">
        <v>4227</v>
      </c>
      <c r="F1420" s="11">
        <v>4227</v>
      </c>
      <c r="H1420" s="11">
        <v>5654</v>
      </c>
      <c r="I1420" s="11">
        <v>5654</v>
      </c>
    </row>
    <row r="1421" customHeight="1" spans="2:9">
      <c r="B1421" s="11">
        <v>3172</v>
      </c>
      <c r="C1421" s="11">
        <v>3172</v>
      </c>
      <c r="E1421" s="11">
        <v>4228</v>
      </c>
      <c r="F1421" s="11">
        <v>4228</v>
      </c>
      <c r="H1421" s="11">
        <v>5655</v>
      </c>
      <c r="I1421" s="11">
        <v>5655</v>
      </c>
    </row>
    <row r="1422" customHeight="1" spans="2:9">
      <c r="B1422" s="11">
        <v>3173</v>
      </c>
      <c r="C1422" s="11">
        <v>3173</v>
      </c>
      <c r="E1422" s="11">
        <v>4229</v>
      </c>
      <c r="F1422" s="11">
        <v>4229</v>
      </c>
      <c r="H1422" s="11">
        <v>5656</v>
      </c>
      <c r="I1422" s="11">
        <v>5656</v>
      </c>
    </row>
    <row r="1423" customHeight="1" spans="2:9">
      <c r="B1423" s="11">
        <v>3174</v>
      </c>
      <c r="C1423" s="11">
        <v>3174</v>
      </c>
      <c r="E1423" s="11">
        <v>4230</v>
      </c>
      <c r="F1423" s="11">
        <v>4230</v>
      </c>
      <c r="H1423" s="11">
        <v>5657</v>
      </c>
      <c r="I1423" s="11">
        <v>5657</v>
      </c>
    </row>
    <row r="1424" customHeight="1" spans="2:9">
      <c r="B1424" s="11">
        <v>3175</v>
      </c>
      <c r="C1424" s="11">
        <v>3175</v>
      </c>
      <c r="E1424" s="11">
        <v>4231</v>
      </c>
      <c r="F1424" s="11">
        <v>4231</v>
      </c>
      <c r="H1424" s="11">
        <v>5658</v>
      </c>
      <c r="I1424" s="11">
        <v>5658</v>
      </c>
    </row>
    <row r="1425" customHeight="1" spans="2:9">
      <c r="B1425" s="11">
        <v>3176</v>
      </c>
      <c r="C1425" s="11">
        <v>3176</v>
      </c>
      <c r="E1425" s="11">
        <v>4232</v>
      </c>
      <c r="F1425" s="11">
        <v>4232</v>
      </c>
      <c r="H1425" s="11">
        <v>5659</v>
      </c>
      <c r="I1425" s="11">
        <v>5659</v>
      </c>
    </row>
    <row r="1426" customHeight="1" spans="2:9">
      <c r="B1426" s="11">
        <v>3177</v>
      </c>
      <c r="C1426" s="11">
        <v>3177</v>
      </c>
      <c r="E1426" s="11">
        <v>4233</v>
      </c>
      <c r="F1426" s="11">
        <v>4233</v>
      </c>
      <c r="H1426" s="11">
        <v>5660</v>
      </c>
      <c r="I1426" s="11">
        <v>5660</v>
      </c>
    </row>
    <row r="1427" customHeight="1" spans="2:9">
      <c r="B1427" s="11">
        <v>3178</v>
      </c>
      <c r="C1427" s="11">
        <v>3178</v>
      </c>
      <c r="E1427" s="11">
        <v>4234</v>
      </c>
      <c r="F1427" s="11">
        <v>4234</v>
      </c>
      <c r="H1427" s="11">
        <v>5661</v>
      </c>
      <c r="I1427" s="11">
        <v>5661</v>
      </c>
    </row>
    <row r="1428" customHeight="1" spans="2:9">
      <c r="B1428" s="11">
        <v>3179</v>
      </c>
      <c r="C1428" s="11">
        <v>3179</v>
      </c>
      <c r="E1428" s="11">
        <v>4235</v>
      </c>
      <c r="F1428" s="11">
        <v>4235</v>
      </c>
      <c r="H1428" s="11">
        <v>5662</v>
      </c>
      <c r="I1428" s="11">
        <v>5662</v>
      </c>
    </row>
    <row r="1429" customHeight="1" spans="2:9">
      <c r="B1429" s="11">
        <v>3180</v>
      </c>
      <c r="C1429" s="11">
        <v>3180</v>
      </c>
      <c r="E1429" s="11">
        <v>4236</v>
      </c>
      <c r="F1429" s="11">
        <v>4236</v>
      </c>
      <c r="H1429" s="11">
        <v>5663</v>
      </c>
      <c r="I1429" s="11">
        <v>5663</v>
      </c>
    </row>
    <row r="1430" customHeight="1" spans="2:9">
      <c r="B1430" s="11">
        <v>3181</v>
      </c>
      <c r="C1430" s="11">
        <v>3181</v>
      </c>
      <c r="E1430" s="11">
        <v>4237</v>
      </c>
      <c r="F1430" s="11">
        <v>4237</v>
      </c>
      <c r="H1430" s="11">
        <v>5664</v>
      </c>
      <c r="I1430" s="11">
        <v>5664</v>
      </c>
    </row>
    <row r="1431" customHeight="1" spans="2:9">
      <c r="B1431" s="11">
        <v>3182</v>
      </c>
      <c r="C1431" s="11">
        <v>3182</v>
      </c>
      <c r="E1431" s="11">
        <v>4238</v>
      </c>
      <c r="F1431" s="11">
        <v>4238</v>
      </c>
      <c r="H1431" s="11">
        <v>5665</v>
      </c>
      <c r="I1431" s="11">
        <v>5665</v>
      </c>
    </row>
    <row r="1432" customHeight="1" spans="2:9">
      <c r="B1432" s="11">
        <v>3183</v>
      </c>
      <c r="C1432" s="11">
        <v>3183</v>
      </c>
      <c r="E1432" s="11">
        <v>4239</v>
      </c>
      <c r="F1432" s="11">
        <v>4239</v>
      </c>
      <c r="H1432" s="11">
        <v>5666</v>
      </c>
      <c r="I1432" s="11">
        <v>5666</v>
      </c>
    </row>
    <row r="1433" customHeight="1" spans="2:9">
      <c r="B1433" s="11">
        <v>3184</v>
      </c>
      <c r="C1433" s="11">
        <v>3184</v>
      </c>
      <c r="E1433" s="11">
        <v>4240</v>
      </c>
      <c r="F1433" s="11">
        <v>4240</v>
      </c>
      <c r="H1433" s="11">
        <v>5667</v>
      </c>
      <c r="I1433" s="11">
        <v>5667</v>
      </c>
    </row>
    <row r="1434" customHeight="1" spans="2:9">
      <c r="B1434" s="11">
        <v>3185</v>
      </c>
      <c r="C1434" s="11">
        <v>3185</v>
      </c>
      <c r="E1434" s="11">
        <v>4241</v>
      </c>
      <c r="F1434" s="11">
        <v>4241</v>
      </c>
      <c r="H1434" s="11">
        <v>5668</v>
      </c>
      <c r="I1434" s="11">
        <v>5668</v>
      </c>
    </row>
    <row r="1435" customHeight="1" spans="2:9">
      <c r="B1435" s="11">
        <v>3186</v>
      </c>
      <c r="C1435" s="11">
        <v>3186</v>
      </c>
      <c r="E1435" s="11">
        <v>4242</v>
      </c>
      <c r="F1435" s="11">
        <v>4242</v>
      </c>
      <c r="H1435" s="11">
        <v>5669</v>
      </c>
      <c r="I1435" s="11">
        <v>5669</v>
      </c>
    </row>
    <row r="1436" customHeight="1" spans="2:9">
      <c r="B1436" s="11">
        <v>3187</v>
      </c>
      <c r="C1436" s="11">
        <v>3187</v>
      </c>
      <c r="E1436" s="11">
        <v>4243</v>
      </c>
      <c r="F1436" s="11">
        <v>4243</v>
      </c>
      <c r="H1436" s="11">
        <v>5670</v>
      </c>
      <c r="I1436" s="11">
        <v>5670</v>
      </c>
    </row>
    <row r="1437" customHeight="1" spans="2:9">
      <c r="B1437" s="11">
        <v>3188</v>
      </c>
      <c r="C1437" s="11">
        <v>3188</v>
      </c>
      <c r="E1437" s="11">
        <v>4244</v>
      </c>
      <c r="F1437" s="11">
        <v>4244</v>
      </c>
      <c r="H1437" s="11">
        <v>5671</v>
      </c>
      <c r="I1437" s="11">
        <v>5671</v>
      </c>
    </row>
    <row r="1438" customHeight="1" spans="2:9">
      <c r="B1438" s="11">
        <v>3189</v>
      </c>
      <c r="C1438" s="11">
        <v>3189</v>
      </c>
      <c r="E1438" s="11">
        <v>4245</v>
      </c>
      <c r="F1438" s="11">
        <v>4245</v>
      </c>
      <c r="H1438" s="11">
        <v>5672</v>
      </c>
      <c r="I1438" s="11">
        <v>5672</v>
      </c>
    </row>
    <row r="1439" customHeight="1" spans="2:9">
      <c r="B1439" s="11">
        <v>3190</v>
      </c>
      <c r="C1439" s="11">
        <v>3190</v>
      </c>
      <c r="E1439" s="11">
        <v>4246</v>
      </c>
      <c r="F1439" s="11">
        <v>4246</v>
      </c>
      <c r="H1439" s="11">
        <v>5673</v>
      </c>
      <c r="I1439" s="11">
        <v>5673</v>
      </c>
    </row>
    <row r="1440" customHeight="1" spans="2:9">
      <c r="B1440" s="11">
        <v>3191</v>
      </c>
      <c r="C1440" s="11">
        <v>3191</v>
      </c>
      <c r="E1440" s="11">
        <v>4247</v>
      </c>
      <c r="F1440" s="11">
        <v>4247</v>
      </c>
      <c r="H1440" s="11">
        <v>5674</v>
      </c>
      <c r="I1440" s="11">
        <v>5674</v>
      </c>
    </row>
    <row r="1441" customHeight="1" spans="2:9">
      <c r="B1441" s="11">
        <v>3192</v>
      </c>
      <c r="C1441" s="11">
        <v>3192</v>
      </c>
      <c r="E1441" s="11">
        <v>4248</v>
      </c>
      <c r="F1441" s="11">
        <v>4248</v>
      </c>
      <c r="H1441" s="11">
        <v>5675</v>
      </c>
      <c r="I1441" s="11">
        <v>5675</v>
      </c>
    </row>
    <row r="1442" customHeight="1" spans="2:9">
      <c r="B1442" s="11">
        <v>3193</v>
      </c>
      <c r="C1442" s="11">
        <v>3193</v>
      </c>
      <c r="E1442" s="11">
        <v>4249</v>
      </c>
      <c r="F1442" s="11">
        <v>4249</v>
      </c>
      <c r="H1442" s="11">
        <v>5676</v>
      </c>
      <c r="I1442" s="11">
        <v>5676</v>
      </c>
    </row>
    <row r="1443" customHeight="1" spans="2:9">
      <c r="B1443" s="11">
        <v>3194</v>
      </c>
      <c r="C1443" s="11">
        <v>3194</v>
      </c>
      <c r="E1443" s="11">
        <v>4250</v>
      </c>
      <c r="F1443" s="11">
        <v>4250</v>
      </c>
      <c r="H1443" s="11">
        <v>5677</v>
      </c>
      <c r="I1443" s="11">
        <v>5677</v>
      </c>
    </row>
    <row r="1444" customHeight="1" spans="2:9">
      <c r="B1444" s="11">
        <v>3195</v>
      </c>
      <c r="C1444" s="11">
        <v>3195</v>
      </c>
      <c r="E1444" s="11">
        <v>4251</v>
      </c>
      <c r="F1444" s="11">
        <v>4251</v>
      </c>
      <c r="H1444" s="11">
        <v>5678</v>
      </c>
      <c r="I1444" s="11">
        <v>5678</v>
      </c>
    </row>
    <row r="1445" customHeight="1" spans="2:9">
      <c r="B1445" s="11">
        <v>3196</v>
      </c>
      <c r="C1445" s="11">
        <v>3196</v>
      </c>
      <c r="E1445" s="11">
        <v>4252</v>
      </c>
      <c r="F1445" s="11">
        <v>4252</v>
      </c>
      <c r="H1445" s="11">
        <v>5679</v>
      </c>
      <c r="I1445" s="11">
        <v>5679</v>
      </c>
    </row>
    <row r="1446" customHeight="1" spans="2:9">
      <c r="B1446" s="11">
        <v>3197</v>
      </c>
      <c r="C1446" s="11">
        <v>3197</v>
      </c>
      <c r="E1446" s="11">
        <v>4253</v>
      </c>
      <c r="F1446" s="11">
        <v>4253</v>
      </c>
      <c r="H1446" s="11">
        <v>5680</v>
      </c>
      <c r="I1446" s="11">
        <v>5680</v>
      </c>
    </row>
    <row r="1447" customHeight="1" spans="2:9">
      <c r="B1447" s="11">
        <v>3198</v>
      </c>
      <c r="C1447" s="11">
        <v>3198</v>
      </c>
      <c r="E1447" s="11">
        <v>4254</v>
      </c>
      <c r="F1447" s="11">
        <v>4254</v>
      </c>
      <c r="H1447" s="11">
        <v>5681</v>
      </c>
      <c r="I1447" s="11">
        <v>5681</v>
      </c>
    </row>
    <row r="1448" customHeight="1" spans="2:9">
      <c r="B1448" s="11">
        <v>3199</v>
      </c>
      <c r="C1448" s="11">
        <v>3199</v>
      </c>
      <c r="E1448" s="11">
        <v>4255</v>
      </c>
      <c r="F1448" s="11">
        <v>4255</v>
      </c>
      <c r="H1448" s="11">
        <v>5682</v>
      </c>
      <c r="I1448" s="11">
        <v>5682</v>
      </c>
    </row>
    <row r="1449" customHeight="1" spans="2:9">
      <c r="B1449" s="11">
        <v>3200</v>
      </c>
      <c r="C1449" s="11">
        <v>3200</v>
      </c>
      <c r="E1449" s="11">
        <v>4256</v>
      </c>
      <c r="F1449" s="11">
        <v>4256</v>
      </c>
      <c r="H1449" s="11">
        <v>5683</v>
      </c>
      <c r="I1449" s="11">
        <v>5683</v>
      </c>
    </row>
    <row r="1450" customHeight="1" spans="2:9">
      <c r="B1450" s="11">
        <v>3201</v>
      </c>
      <c r="C1450" s="11">
        <v>3201</v>
      </c>
      <c r="E1450" s="11">
        <v>4257</v>
      </c>
      <c r="F1450" s="11">
        <v>4257</v>
      </c>
      <c r="H1450" s="11">
        <v>5684</v>
      </c>
      <c r="I1450" s="11">
        <v>5684</v>
      </c>
    </row>
    <row r="1451" customHeight="1" spans="2:9">
      <c r="B1451" s="11">
        <v>3202</v>
      </c>
      <c r="C1451" s="11">
        <v>3202</v>
      </c>
      <c r="E1451" s="11">
        <v>4258</v>
      </c>
      <c r="F1451" s="11">
        <v>4258</v>
      </c>
      <c r="H1451" s="11">
        <v>5685</v>
      </c>
      <c r="I1451" s="11">
        <v>5685</v>
      </c>
    </row>
    <row r="1452" customHeight="1" spans="2:9">
      <c r="B1452" s="11">
        <v>3203</v>
      </c>
      <c r="C1452" s="11">
        <v>3203</v>
      </c>
      <c r="E1452" s="11">
        <v>4259</v>
      </c>
      <c r="F1452" s="11">
        <v>4259</v>
      </c>
      <c r="H1452" s="11">
        <v>5686</v>
      </c>
      <c r="I1452" s="11">
        <v>5686</v>
      </c>
    </row>
    <row r="1453" customHeight="1" spans="2:9">
      <c r="B1453" s="11">
        <v>3204</v>
      </c>
      <c r="C1453" s="11">
        <v>3204</v>
      </c>
      <c r="E1453" s="11">
        <v>4260</v>
      </c>
      <c r="F1453" s="11">
        <v>4260</v>
      </c>
      <c r="H1453" s="11">
        <v>5687</v>
      </c>
      <c r="I1453" s="11">
        <v>5687</v>
      </c>
    </row>
    <row r="1454" customHeight="1" spans="2:9">
      <c r="B1454" s="11">
        <v>3205</v>
      </c>
      <c r="C1454" s="11">
        <v>3205</v>
      </c>
      <c r="E1454" s="11">
        <v>4261</v>
      </c>
      <c r="F1454" s="11">
        <v>4261</v>
      </c>
      <c r="H1454" s="11">
        <v>5688</v>
      </c>
      <c r="I1454" s="11">
        <v>5688</v>
      </c>
    </row>
    <row r="1455" customHeight="1" spans="2:9">
      <c r="B1455" s="11">
        <v>3206</v>
      </c>
      <c r="C1455" s="11">
        <v>3206</v>
      </c>
      <c r="E1455" s="11">
        <v>4262</v>
      </c>
      <c r="F1455" s="11">
        <v>4262</v>
      </c>
      <c r="H1455" s="11">
        <v>5689</v>
      </c>
      <c r="I1455" s="11">
        <v>5689</v>
      </c>
    </row>
    <row r="1456" customHeight="1" spans="2:9">
      <c r="B1456" s="11">
        <v>3207</v>
      </c>
      <c r="C1456" s="11">
        <v>3207</v>
      </c>
      <c r="E1456" s="11">
        <v>4263</v>
      </c>
      <c r="F1456" s="11">
        <v>4263</v>
      </c>
      <c r="H1456" s="11">
        <v>5690</v>
      </c>
      <c r="I1456" s="11">
        <v>5690</v>
      </c>
    </row>
    <row r="1457" customHeight="1" spans="2:9">
      <c r="B1457" s="11">
        <v>3208</v>
      </c>
      <c r="C1457" s="11">
        <v>3208</v>
      </c>
      <c r="E1457" s="11">
        <v>4264</v>
      </c>
      <c r="F1457" s="11">
        <v>4264</v>
      </c>
      <c r="H1457" s="11">
        <v>5691</v>
      </c>
      <c r="I1457" s="11">
        <v>5691</v>
      </c>
    </row>
    <row r="1458" customHeight="1" spans="2:9">
      <c r="B1458" s="11">
        <v>3209</v>
      </c>
      <c r="C1458" s="11">
        <v>3209</v>
      </c>
      <c r="E1458" s="11">
        <v>4265</v>
      </c>
      <c r="F1458" s="11">
        <v>4265</v>
      </c>
      <c r="H1458" s="11">
        <v>5692</v>
      </c>
      <c r="I1458" s="11">
        <v>5692</v>
      </c>
    </row>
    <row r="1459" customHeight="1" spans="2:9">
      <c r="B1459" s="11">
        <v>3210</v>
      </c>
      <c r="C1459" s="11">
        <v>3210</v>
      </c>
      <c r="E1459" s="11">
        <v>4266</v>
      </c>
      <c r="F1459" s="11">
        <v>4266</v>
      </c>
      <c r="H1459" s="11">
        <v>5693</v>
      </c>
      <c r="I1459" s="11">
        <v>5693</v>
      </c>
    </row>
    <row r="1460" customHeight="1" spans="2:9">
      <c r="B1460" s="11">
        <v>3064</v>
      </c>
      <c r="C1460" s="11">
        <v>3064</v>
      </c>
      <c r="E1460" s="11">
        <v>4267</v>
      </c>
      <c r="F1460" s="11">
        <v>4267</v>
      </c>
      <c r="H1460" s="11">
        <v>5694</v>
      </c>
      <c r="I1460" s="11">
        <v>5694</v>
      </c>
    </row>
    <row r="1461" customHeight="1" spans="2:9">
      <c r="B1461" s="11">
        <v>3065</v>
      </c>
      <c r="C1461" s="11">
        <v>3065</v>
      </c>
      <c r="E1461" s="11">
        <v>4268</v>
      </c>
      <c r="F1461" s="11">
        <v>4268</v>
      </c>
      <c r="H1461" s="11">
        <v>5695</v>
      </c>
      <c r="I1461" s="11">
        <v>5695</v>
      </c>
    </row>
    <row r="1462" customHeight="1" spans="2:9">
      <c r="B1462" s="11">
        <v>3066</v>
      </c>
      <c r="C1462" s="11">
        <v>3066</v>
      </c>
      <c r="E1462" s="11">
        <v>4269</v>
      </c>
      <c r="F1462" s="11">
        <v>4269</v>
      </c>
      <c r="H1462" s="11">
        <v>5696</v>
      </c>
      <c r="I1462" s="11">
        <v>5696</v>
      </c>
    </row>
    <row r="1463" customHeight="1" spans="2:9">
      <c r="B1463" s="11">
        <v>3067</v>
      </c>
      <c r="C1463" s="11">
        <v>3067</v>
      </c>
      <c r="E1463" s="11">
        <v>5131</v>
      </c>
      <c r="F1463" s="11">
        <v>5131</v>
      </c>
      <c r="H1463" s="11">
        <v>5697</v>
      </c>
      <c r="I1463" s="11">
        <v>5697</v>
      </c>
    </row>
    <row r="1464" customHeight="1" spans="2:9">
      <c r="B1464" s="11">
        <v>3068</v>
      </c>
      <c r="C1464" s="11">
        <v>3068</v>
      </c>
      <c r="E1464" s="11">
        <v>5132</v>
      </c>
      <c r="F1464" s="11">
        <v>5132</v>
      </c>
      <c r="H1464" s="11">
        <v>5698</v>
      </c>
      <c r="I1464" s="11">
        <v>5698</v>
      </c>
    </row>
    <row r="1465" customHeight="1" spans="2:9">
      <c r="B1465" s="11">
        <v>3069</v>
      </c>
      <c r="C1465" s="11">
        <v>3069</v>
      </c>
      <c r="E1465" s="11">
        <v>5133</v>
      </c>
      <c r="F1465" s="11">
        <v>5133</v>
      </c>
      <c r="H1465" s="11">
        <v>5699</v>
      </c>
      <c r="I1465" s="11">
        <v>5699</v>
      </c>
    </row>
    <row r="1466" customHeight="1" spans="2:9">
      <c r="B1466" s="11">
        <v>3070</v>
      </c>
      <c r="C1466" s="11">
        <v>3070</v>
      </c>
      <c r="E1466" s="11">
        <v>5134</v>
      </c>
      <c r="F1466" s="11">
        <v>5134</v>
      </c>
      <c r="H1466" s="11">
        <v>5700</v>
      </c>
      <c r="I1466" s="11">
        <v>5700</v>
      </c>
    </row>
    <row r="1467" customHeight="1" spans="2:9">
      <c r="B1467" s="11">
        <v>3071</v>
      </c>
      <c r="C1467" s="11">
        <v>3071</v>
      </c>
      <c r="E1467" s="11">
        <v>5135</v>
      </c>
      <c r="F1467" s="11">
        <v>5135</v>
      </c>
      <c r="H1467" s="11">
        <v>5701</v>
      </c>
      <c r="I1467" s="11">
        <v>5701</v>
      </c>
    </row>
    <row r="1468" customHeight="1" spans="2:9">
      <c r="B1468" s="11">
        <v>3072</v>
      </c>
      <c r="C1468" s="11">
        <v>3072</v>
      </c>
      <c r="E1468" s="11">
        <v>5136</v>
      </c>
      <c r="F1468" s="11">
        <v>5136</v>
      </c>
      <c r="H1468" s="11">
        <v>5702</v>
      </c>
      <c r="I1468" s="11">
        <v>5702</v>
      </c>
    </row>
    <row r="1469" customHeight="1" spans="2:9">
      <c r="B1469" s="11">
        <v>3073</v>
      </c>
      <c r="C1469" s="11">
        <v>3073</v>
      </c>
      <c r="E1469" s="11">
        <v>5137</v>
      </c>
      <c r="F1469" s="11">
        <v>5137</v>
      </c>
      <c r="H1469" s="11">
        <v>5703</v>
      </c>
      <c r="I1469" s="11">
        <v>5703</v>
      </c>
    </row>
    <row r="1470" customHeight="1" spans="2:9">
      <c r="B1470" s="11">
        <v>3074</v>
      </c>
      <c r="C1470" s="11">
        <v>3074</v>
      </c>
      <c r="E1470" s="11">
        <v>5138</v>
      </c>
      <c r="F1470" s="11">
        <v>5138</v>
      </c>
      <c r="H1470" s="11">
        <v>5704</v>
      </c>
      <c r="I1470" s="11">
        <v>5704</v>
      </c>
    </row>
    <row r="1471" customHeight="1" spans="2:9">
      <c r="B1471" s="11">
        <v>3075</v>
      </c>
      <c r="C1471" s="11">
        <v>3075</v>
      </c>
      <c r="E1471" s="11">
        <v>5139</v>
      </c>
      <c r="F1471" s="11">
        <v>5139</v>
      </c>
      <c r="H1471" s="11">
        <v>5705</v>
      </c>
      <c r="I1471" s="11">
        <v>5705</v>
      </c>
    </row>
    <row r="1472" customHeight="1" spans="2:9">
      <c r="B1472" s="11">
        <v>3076</v>
      </c>
      <c r="C1472" s="11">
        <v>3076</v>
      </c>
      <c r="E1472" s="11">
        <v>5140</v>
      </c>
      <c r="F1472" s="11">
        <v>5140</v>
      </c>
      <c r="H1472" s="11">
        <v>5706</v>
      </c>
      <c r="I1472" s="11">
        <v>5706</v>
      </c>
    </row>
    <row r="1473" customHeight="1" spans="2:9">
      <c r="B1473" s="11">
        <v>3077</v>
      </c>
      <c r="C1473" s="11">
        <v>3077</v>
      </c>
      <c r="E1473" s="11">
        <v>5141</v>
      </c>
      <c r="F1473" s="11">
        <v>5141</v>
      </c>
      <c r="H1473" s="11">
        <v>5707</v>
      </c>
      <c r="I1473" s="11">
        <v>5707</v>
      </c>
    </row>
    <row r="1474" customHeight="1" spans="2:9">
      <c r="B1474" s="11">
        <v>3078</v>
      </c>
      <c r="C1474" s="11">
        <v>3078</v>
      </c>
      <c r="E1474" s="11">
        <v>5142</v>
      </c>
      <c r="F1474" s="11">
        <v>5142</v>
      </c>
      <c r="H1474" s="11">
        <v>5708</v>
      </c>
      <c r="I1474" s="11">
        <v>5708</v>
      </c>
    </row>
    <row r="1475" customHeight="1" spans="2:9">
      <c r="B1475" s="11">
        <v>3079</v>
      </c>
      <c r="C1475" s="11">
        <v>3079</v>
      </c>
      <c r="E1475" s="11">
        <v>5143</v>
      </c>
      <c r="F1475" s="11">
        <v>5143</v>
      </c>
      <c r="H1475" s="11">
        <v>5709</v>
      </c>
      <c r="I1475" s="11">
        <v>5709</v>
      </c>
    </row>
    <row r="1476" customHeight="1" spans="2:9">
      <c r="B1476" s="11">
        <v>3080</v>
      </c>
      <c r="C1476" s="11">
        <v>3080</v>
      </c>
      <c r="E1476" s="11">
        <v>5144</v>
      </c>
      <c r="F1476" s="11">
        <v>5144</v>
      </c>
      <c r="H1476" s="11">
        <v>5710</v>
      </c>
      <c r="I1476" s="11">
        <v>5710</v>
      </c>
    </row>
    <row r="1477" customHeight="1" spans="2:9">
      <c r="B1477" s="11">
        <v>3081</v>
      </c>
      <c r="C1477" s="11">
        <v>3081</v>
      </c>
      <c r="E1477" s="11">
        <v>5145</v>
      </c>
      <c r="F1477" s="11">
        <v>5145</v>
      </c>
      <c r="H1477" s="11">
        <v>5711</v>
      </c>
      <c r="I1477" s="11">
        <v>5711</v>
      </c>
    </row>
    <row r="1478" customHeight="1" spans="2:9">
      <c r="B1478" s="11">
        <v>3082</v>
      </c>
      <c r="C1478" s="11">
        <v>3082</v>
      </c>
      <c r="E1478" s="11">
        <v>5146</v>
      </c>
      <c r="F1478" s="11">
        <v>5146</v>
      </c>
      <c r="H1478" s="11">
        <v>5712</v>
      </c>
      <c r="I1478" s="11">
        <v>5712</v>
      </c>
    </row>
    <row r="1479" customHeight="1" spans="2:9">
      <c r="B1479" s="11">
        <v>3083</v>
      </c>
      <c r="C1479" s="11">
        <v>3083</v>
      </c>
      <c r="E1479" s="11">
        <v>5147</v>
      </c>
      <c r="F1479" s="11">
        <v>5147</v>
      </c>
      <c r="H1479" s="11">
        <v>5713</v>
      </c>
      <c r="I1479" s="11">
        <v>5713</v>
      </c>
    </row>
    <row r="1480" customHeight="1" spans="2:9">
      <c r="B1480" s="11">
        <v>3084</v>
      </c>
      <c r="C1480" s="11">
        <v>3084</v>
      </c>
      <c r="E1480" s="11">
        <v>5148</v>
      </c>
      <c r="F1480" s="11">
        <v>5148</v>
      </c>
      <c r="H1480" s="11">
        <v>5714</v>
      </c>
      <c r="I1480" s="11">
        <v>5714</v>
      </c>
    </row>
    <row r="1481" customHeight="1" spans="2:9">
      <c r="B1481" s="11">
        <v>3085</v>
      </c>
      <c r="C1481" s="11">
        <v>3085</v>
      </c>
      <c r="E1481" s="11">
        <v>5149</v>
      </c>
      <c r="F1481" s="11">
        <v>5149</v>
      </c>
      <c r="H1481" s="11">
        <v>5715</v>
      </c>
      <c r="I1481" s="11">
        <v>5715</v>
      </c>
    </row>
    <row r="1482" customHeight="1" spans="2:9">
      <c r="B1482" s="11">
        <v>3086</v>
      </c>
      <c r="C1482" s="11">
        <v>3086</v>
      </c>
      <c r="E1482" s="11">
        <v>5150</v>
      </c>
      <c r="F1482" s="11">
        <v>5150</v>
      </c>
      <c r="H1482" s="11">
        <v>5716</v>
      </c>
      <c r="I1482" s="11">
        <v>5716</v>
      </c>
    </row>
    <row r="1483" customHeight="1" spans="2:9">
      <c r="B1483" s="11">
        <v>3087</v>
      </c>
      <c r="C1483" s="11">
        <v>3087</v>
      </c>
      <c r="E1483" s="11">
        <v>5151</v>
      </c>
      <c r="F1483" s="11">
        <v>5151</v>
      </c>
      <c r="H1483" s="11">
        <v>5717</v>
      </c>
      <c r="I1483" s="11">
        <v>5717</v>
      </c>
    </row>
    <row r="1484" customHeight="1" spans="2:9">
      <c r="B1484" s="11">
        <v>3088</v>
      </c>
      <c r="C1484" s="11">
        <v>3088</v>
      </c>
      <c r="E1484" s="11">
        <v>5152</v>
      </c>
      <c r="F1484" s="11">
        <v>5152</v>
      </c>
      <c r="H1484" s="11">
        <v>5718</v>
      </c>
      <c r="I1484" s="11">
        <v>5718</v>
      </c>
    </row>
    <row r="1485" customHeight="1" spans="2:9">
      <c r="B1485" s="11">
        <v>3089</v>
      </c>
      <c r="C1485" s="11">
        <v>3089</v>
      </c>
      <c r="E1485" s="11">
        <v>5153</v>
      </c>
      <c r="F1485" s="11">
        <v>5153</v>
      </c>
      <c r="H1485" s="11">
        <v>5719</v>
      </c>
      <c r="I1485" s="11">
        <v>5719</v>
      </c>
    </row>
    <row r="1486" customHeight="1" spans="2:9">
      <c r="B1486" s="11">
        <v>3090</v>
      </c>
      <c r="C1486" s="11">
        <v>3090</v>
      </c>
      <c r="E1486" s="11">
        <v>5154</v>
      </c>
      <c r="F1486" s="11">
        <v>5154</v>
      </c>
      <c r="H1486" s="11">
        <v>5720</v>
      </c>
      <c r="I1486" s="11">
        <v>5720</v>
      </c>
    </row>
    <row r="1487" customHeight="1" spans="2:9">
      <c r="B1487" s="11">
        <v>3091</v>
      </c>
      <c r="C1487" s="11">
        <v>3091</v>
      </c>
      <c r="E1487" s="11">
        <v>5155</v>
      </c>
      <c r="F1487" s="11">
        <v>5155</v>
      </c>
      <c r="H1487" s="11">
        <v>5721</v>
      </c>
      <c r="I1487" s="11">
        <v>5721</v>
      </c>
    </row>
    <row r="1488" customHeight="1" spans="2:9">
      <c r="B1488" s="11">
        <v>3092</v>
      </c>
      <c r="C1488" s="11">
        <v>3092</v>
      </c>
      <c r="E1488" s="11">
        <v>5156</v>
      </c>
      <c r="F1488" s="11">
        <v>5156</v>
      </c>
      <c r="H1488" s="11">
        <v>5722</v>
      </c>
      <c r="I1488" s="11">
        <v>5722</v>
      </c>
    </row>
    <row r="1489" customHeight="1" spans="2:9">
      <c r="B1489" s="11">
        <v>3093</v>
      </c>
      <c r="C1489" s="11">
        <v>3093</v>
      </c>
      <c r="E1489" s="11">
        <v>5157</v>
      </c>
      <c r="F1489" s="11">
        <v>5157</v>
      </c>
      <c r="H1489" s="11">
        <v>5723</v>
      </c>
      <c r="I1489" s="11">
        <v>5723</v>
      </c>
    </row>
    <row r="1490" customHeight="1" spans="2:9">
      <c r="B1490" s="11">
        <v>3094</v>
      </c>
      <c r="C1490" s="11">
        <v>3094</v>
      </c>
      <c r="E1490" s="11">
        <v>5170</v>
      </c>
      <c r="F1490" s="11">
        <v>5170</v>
      </c>
      <c r="H1490" s="11">
        <v>5724</v>
      </c>
      <c r="I1490" s="11">
        <v>5724</v>
      </c>
    </row>
    <row r="1491" customHeight="1" spans="2:9">
      <c r="B1491" s="11">
        <v>3095</v>
      </c>
      <c r="C1491" s="11">
        <v>3095</v>
      </c>
      <c r="E1491" s="11">
        <v>5171</v>
      </c>
      <c r="F1491" s="11">
        <v>5171</v>
      </c>
      <c r="H1491" s="11">
        <v>5725</v>
      </c>
      <c r="I1491" s="11">
        <v>5725</v>
      </c>
    </row>
    <row r="1492" customHeight="1" spans="2:9">
      <c r="B1492" s="11">
        <v>3096</v>
      </c>
      <c r="C1492" s="11">
        <v>3096</v>
      </c>
      <c r="E1492" s="11">
        <v>5172</v>
      </c>
      <c r="F1492" s="11">
        <v>5172</v>
      </c>
      <c r="H1492" s="11">
        <v>5726</v>
      </c>
      <c r="I1492" s="11">
        <v>5726</v>
      </c>
    </row>
    <row r="1493" customHeight="1" spans="2:9">
      <c r="B1493" s="11">
        <v>3097</v>
      </c>
      <c r="C1493" s="11">
        <v>3097</v>
      </c>
      <c r="E1493" s="11">
        <v>5173</v>
      </c>
      <c r="F1493" s="11">
        <v>5173</v>
      </c>
      <c r="H1493" s="11">
        <v>5727</v>
      </c>
      <c r="I1493" s="11">
        <v>5727</v>
      </c>
    </row>
    <row r="1494" customHeight="1" spans="2:9">
      <c r="B1494" s="11">
        <v>3098</v>
      </c>
      <c r="C1494" s="11">
        <v>3098</v>
      </c>
      <c r="E1494" s="11">
        <v>5174</v>
      </c>
      <c r="F1494" s="11">
        <v>5174</v>
      </c>
      <c r="H1494" s="11">
        <v>5728</v>
      </c>
      <c r="I1494" s="11">
        <v>5728</v>
      </c>
    </row>
    <row r="1495" customHeight="1" spans="2:9">
      <c r="B1495" s="11">
        <v>9999</v>
      </c>
      <c r="C1495" s="11">
        <v>9999</v>
      </c>
      <c r="E1495" s="11">
        <v>5175</v>
      </c>
      <c r="F1495" s="11">
        <v>5175</v>
      </c>
      <c r="H1495" s="11">
        <v>5729</v>
      </c>
      <c r="I1495" s="11">
        <v>5729</v>
      </c>
    </row>
    <row r="1496" customHeight="1" spans="2:9">
      <c r="B1496" s="11">
        <v>3800</v>
      </c>
      <c r="C1496" s="11">
        <v>3800</v>
      </c>
      <c r="E1496" s="11">
        <v>5176</v>
      </c>
      <c r="F1496" s="11">
        <v>5176</v>
      </c>
      <c r="H1496" s="11">
        <v>5730</v>
      </c>
      <c r="I1496" s="11">
        <v>5730</v>
      </c>
    </row>
    <row r="1497" customHeight="1" spans="2:9">
      <c r="B1497" s="11">
        <v>3801</v>
      </c>
      <c r="C1497" s="11">
        <v>3801</v>
      </c>
      <c r="E1497" s="11">
        <v>5177</v>
      </c>
      <c r="F1497" s="11">
        <v>5177</v>
      </c>
      <c r="H1497" s="11">
        <v>5731</v>
      </c>
      <c r="I1497" s="11">
        <v>5731</v>
      </c>
    </row>
    <row r="1498" customHeight="1" spans="2:9">
      <c r="B1498" s="11">
        <v>3101</v>
      </c>
      <c r="C1498" s="11">
        <v>3101</v>
      </c>
      <c r="E1498" s="11">
        <v>5178</v>
      </c>
      <c r="F1498" s="11">
        <v>5178</v>
      </c>
      <c r="H1498" s="11">
        <v>5732</v>
      </c>
      <c r="I1498" s="11">
        <v>5732</v>
      </c>
    </row>
    <row r="1499" customHeight="1" spans="2:9">
      <c r="B1499" s="11">
        <v>3102</v>
      </c>
      <c r="C1499" s="11">
        <v>3102</v>
      </c>
      <c r="E1499" s="11">
        <v>5179</v>
      </c>
      <c r="F1499" s="11">
        <v>5179</v>
      </c>
      <c r="H1499" s="11">
        <v>5733</v>
      </c>
      <c r="I1499" s="11">
        <v>5733</v>
      </c>
    </row>
    <row r="1500" customHeight="1" spans="2:9">
      <c r="B1500" s="11">
        <v>3103</v>
      </c>
      <c r="C1500" s="11">
        <v>3103</v>
      </c>
      <c r="E1500" s="11">
        <v>5180</v>
      </c>
      <c r="F1500" s="11">
        <v>5180</v>
      </c>
      <c r="H1500" s="11">
        <v>5734</v>
      </c>
      <c r="I1500" s="11">
        <v>5734</v>
      </c>
    </row>
    <row r="1501" customHeight="1" spans="2:9">
      <c r="B1501" s="11">
        <v>3104</v>
      </c>
      <c r="C1501" s="11">
        <v>3104</v>
      </c>
      <c r="E1501" s="11">
        <v>5181</v>
      </c>
      <c r="F1501" s="11">
        <v>5181</v>
      </c>
      <c r="H1501" s="11">
        <v>5735</v>
      </c>
      <c r="I1501" s="11">
        <v>5735</v>
      </c>
    </row>
    <row r="1502" customHeight="1" spans="2:9">
      <c r="B1502" s="11">
        <v>3105</v>
      </c>
      <c r="C1502" s="11">
        <v>3105</v>
      </c>
      <c r="E1502" s="11">
        <v>5182</v>
      </c>
      <c r="F1502" s="11">
        <v>5182</v>
      </c>
      <c r="H1502" s="11">
        <v>5736</v>
      </c>
      <c r="I1502" s="11">
        <v>5736</v>
      </c>
    </row>
    <row r="1503" customHeight="1" spans="2:9">
      <c r="B1503" s="11">
        <v>3106</v>
      </c>
      <c r="C1503" s="11">
        <v>3106</v>
      </c>
      <c r="E1503" s="11">
        <v>5183</v>
      </c>
      <c r="F1503" s="11">
        <v>5183</v>
      </c>
      <c r="H1503" s="11">
        <v>5737</v>
      </c>
      <c r="I1503" s="11">
        <v>5737</v>
      </c>
    </row>
    <row r="1504" customHeight="1" spans="2:9">
      <c r="B1504" s="11">
        <v>3107</v>
      </c>
      <c r="C1504" s="11">
        <v>3107</v>
      </c>
      <c r="E1504" s="11">
        <v>5184</v>
      </c>
      <c r="F1504" s="11">
        <v>5184</v>
      </c>
      <c r="H1504" s="11">
        <v>5738</v>
      </c>
      <c r="I1504" s="11">
        <v>5738</v>
      </c>
    </row>
    <row r="1505" customHeight="1" spans="2:9">
      <c r="B1505" s="11">
        <v>3108</v>
      </c>
      <c r="C1505" s="11">
        <v>3108</v>
      </c>
      <c r="E1505" s="11">
        <v>5185</v>
      </c>
      <c r="F1505" s="11">
        <v>5185</v>
      </c>
      <c r="H1505" s="11">
        <v>5739</v>
      </c>
      <c r="I1505" s="11">
        <v>5739</v>
      </c>
    </row>
    <row r="1506" customHeight="1" spans="2:9">
      <c r="B1506" s="11">
        <v>3109</v>
      </c>
      <c r="C1506" s="11">
        <v>3109</v>
      </c>
      <c r="E1506" s="11">
        <v>5186</v>
      </c>
      <c r="F1506" s="11">
        <v>5186</v>
      </c>
      <c r="H1506" s="11">
        <v>5740</v>
      </c>
      <c r="I1506" s="11">
        <v>5740</v>
      </c>
    </row>
    <row r="1507" customHeight="1" spans="2:9">
      <c r="B1507" s="11">
        <v>3110</v>
      </c>
      <c r="C1507" s="11">
        <v>3110</v>
      </c>
      <c r="E1507" s="11">
        <v>5187</v>
      </c>
      <c r="F1507" s="11">
        <v>5187</v>
      </c>
      <c r="H1507" s="11">
        <v>5741</v>
      </c>
      <c r="I1507" s="11">
        <v>5741</v>
      </c>
    </row>
    <row r="1508" customHeight="1" spans="2:9">
      <c r="B1508" s="11">
        <v>3111</v>
      </c>
      <c r="C1508" s="11">
        <v>3111</v>
      </c>
      <c r="E1508" s="11">
        <v>5188</v>
      </c>
      <c r="F1508" s="11">
        <v>5188</v>
      </c>
      <c r="H1508" s="11">
        <v>5742</v>
      </c>
      <c r="I1508" s="11">
        <v>5742</v>
      </c>
    </row>
    <row r="1509" customHeight="1" spans="2:9">
      <c r="B1509" s="11">
        <v>3112</v>
      </c>
      <c r="C1509" s="11">
        <v>3112</v>
      </c>
      <c r="E1509" s="11">
        <v>5189</v>
      </c>
      <c r="F1509" s="11">
        <v>5189</v>
      </c>
      <c r="H1509" s="11">
        <v>5743</v>
      </c>
      <c r="I1509" s="11">
        <v>5743</v>
      </c>
    </row>
    <row r="1510" customHeight="1" spans="2:9">
      <c r="B1510" s="11">
        <v>3113</v>
      </c>
      <c r="C1510" s="11">
        <v>3113</v>
      </c>
      <c r="E1510" s="11">
        <v>5190</v>
      </c>
      <c r="F1510" s="11">
        <v>5190</v>
      </c>
      <c r="H1510" s="11">
        <v>5744</v>
      </c>
      <c r="I1510" s="11">
        <v>5744</v>
      </c>
    </row>
    <row r="1511" customHeight="1" spans="2:9">
      <c r="B1511" s="11">
        <v>3114</v>
      </c>
      <c r="C1511" s="11">
        <v>3114</v>
      </c>
      <c r="E1511" s="11">
        <v>5191</v>
      </c>
      <c r="F1511" s="11">
        <v>5191</v>
      </c>
      <c r="H1511" s="11">
        <v>5745</v>
      </c>
      <c r="I1511" s="11">
        <v>5745</v>
      </c>
    </row>
    <row r="1512" customHeight="1" spans="2:9">
      <c r="B1512" s="11">
        <v>3115</v>
      </c>
      <c r="C1512" s="11">
        <v>3115</v>
      </c>
      <c r="E1512" s="11">
        <v>5192</v>
      </c>
      <c r="F1512" s="11">
        <v>5192</v>
      </c>
      <c r="H1512" s="11">
        <v>5746</v>
      </c>
      <c r="I1512" s="11">
        <v>5746</v>
      </c>
    </row>
    <row r="1513" customHeight="1" spans="2:9">
      <c r="B1513" s="11">
        <v>3116</v>
      </c>
      <c r="C1513" s="11">
        <v>3116</v>
      </c>
      <c r="E1513" s="11">
        <v>5193</v>
      </c>
      <c r="F1513" s="11">
        <v>5193</v>
      </c>
      <c r="H1513" s="11">
        <v>5747</v>
      </c>
      <c r="I1513" s="11">
        <v>5747</v>
      </c>
    </row>
    <row r="1514" customHeight="1" spans="2:9">
      <c r="B1514" s="11">
        <v>3117</v>
      </c>
      <c r="C1514" s="11">
        <v>3117</v>
      </c>
      <c r="E1514" s="11">
        <v>5194</v>
      </c>
      <c r="F1514" s="11">
        <v>5194</v>
      </c>
      <c r="H1514" s="11">
        <v>5748</v>
      </c>
      <c r="I1514" s="11">
        <v>5748</v>
      </c>
    </row>
    <row r="1515" customHeight="1" spans="2:9">
      <c r="B1515" s="11">
        <v>3118</v>
      </c>
      <c r="C1515" s="11">
        <v>3118</v>
      </c>
      <c r="E1515" s="11">
        <v>5195</v>
      </c>
      <c r="F1515" s="11">
        <v>5195</v>
      </c>
      <c r="H1515" s="11">
        <v>5749</v>
      </c>
      <c r="I1515" s="11">
        <v>5749</v>
      </c>
    </row>
    <row r="1516" customHeight="1" spans="2:9">
      <c r="B1516" s="11">
        <v>3119</v>
      </c>
      <c r="C1516" s="11">
        <v>3119</v>
      </c>
      <c r="E1516" s="11">
        <v>5196</v>
      </c>
      <c r="F1516" s="11">
        <v>5196</v>
      </c>
      <c r="H1516" s="11">
        <v>6000</v>
      </c>
      <c r="I1516" s="11">
        <v>6000</v>
      </c>
    </row>
    <row r="1517" customHeight="1" spans="2:9">
      <c r="B1517" s="11">
        <v>3120</v>
      </c>
      <c r="C1517" s="11">
        <v>3120</v>
      </c>
      <c r="E1517" s="11">
        <v>5197</v>
      </c>
      <c r="F1517" s="11">
        <v>5197</v>
      </c>
      <c r="H1517" s="11">
        <v>6001</v>
      </c>
      <c r="I1517" s="11">
        <v>6001</v>
      </c>
    </row>
    <row r="1518" customHeight="1" spans="2:9">
      <c r="B1518" s="11">
        <v>3121</v>
      </c>
      <c r="C1518" s="11">
        <v>3121</v>
      </c>
      <c r="E1518" s="11">
        <v>5198</v>
      </c>
      <c r="F1518" s="11">
        <v>5198</v>
      </c>
      <c r="H1518" s="11">
        <v>6002</v>
      </c>
      <c r="I1518" s="11">
        <v>6002</v>
      </c>
    </row>
    <row r="1519" customHeight="1" spans="2:9">
      <c r="B1519" s="11">
        <v>3122</v>
      </c>
      <c r="C1519" s="11">
        <v>3122</v>
      </c>
      <c r="E1519" s="11">
        <v>5199</v>
      </c>
      <c r="F1519" s="11">
        <v>5199</v>
      </c>
      <c r="H1519" s="11">
        <v>6003</v>
      </c>
      <c r="I1519" s="11">
        <v>6003</v>
      </c>
    </row>
    <row r="1520" customHeight="1" spans="2:9">
      <c r="B1520" s="11">
        <v>3123</v>
      </c>
      <c r="C1520" s="11">
        <v>3123</v>
      </c>
      <c r="E1520" s="11">
        <v>5200</v>
      </c>
      <c r="F1520" s="11">
        <v>5200</v>
      </c>
      <c r="H1520" s="11">
        <v>6004</v>
      </c>
      <c r="I1520" s="11">
        <v>6004</v>
      </c>
    </row>
    <row r="1521" customHeight="1" spans="2:9">
      <c r="B1521" s="11">
        <v>3124</v>
      </c>
      <c r="C1521" s="11">
        <v>3124</v>
      </c>
      <c r="E1521" s="11">
        <v>4225</v>
      </c>
      <c r="F1521" s="11">
        <v>4225</v>
      </c>
      <c r="H1521" s="11">
        <v>6005</v>
      </c>
      <c r="I1521" s="11">
        <v>6005</v>
      </c>
    </row>
    <row r="1522" customHeight="1" spans="2:9">
      <c r="B1522" s="11">
        <v>3125</v>
      </c>
      <c r="C1522" s="11">
        <v>3125</v>
      </c>
      <c r="E1522" s="11">
        <v>5800</v>
      </c>
      <c r="F1522" s="11">
        <v>5800</v>
      </c>
      <c r="H1522" s="11">
        <v>6006</v>
      </c>
      <c r="I1522" s="11">
        <v>6006</v>
      </c>
    </row>
    <row r="1523" customHeight="1" spans="2:9">
      <c r="B1523" s="11">
        <v>3126</v>
      </c>
      <c r="C1523" s="11">
        <v>3126</v>
      </c>
      <c r="E1523" s="11">
        <v>5801</v>
      </c>
      <c r="F1523" s="11">
        <v>5801</v>
      </c>
      <c r="H1523" s="11">
        <v>6007</v>
      </c>
      <c r="I1523" s="11">
        <v>6007</v>
      </c>
    </row>
    <row r="1524" customHeight="1" spans="2:9">
      <c r="B1524" s="11">
        <v>3127</v>
      </c>
      <c r="C1524" s="11">
        <v>3127</v>
      </c>
      <c r="E1524" s="11">
        <v>5802</v>
      </c>
      <c r="F1524" s="11">
        <v>5802</v>
      </c>
      <c r="H1524" s="11">
        <v>6008</v>
      </c>
      <c r="I1524" s="11">
        <v>6008</v>
      </c>
    </row>
    <row r="1525" customHeight="1" spans="2:9">
      <c r="B1525" s="11">
        <v>3128</v>
      </c>
      <c r="C1525" s="11">
        <v>3128</v>
      </c>
      <c r="E1525" s="11">
        <v>5803</v>
      </c>
      <c r="F1525" s="11">
        <v>5803</v>
      </c>
      <c r="H1525" s="11">
        <v>6009</v>
      </c>
      <c r="I1525" s="11">
        <v>6009</v>
      </c>
    </row>
    <row r="1526" customHeight="1" spans="2:9">
      <c r="B1526" s="11">
        <v>3129</v>
      </c>
      <c r="C1526" s="11">
        <v>3129</v>
      </c>
      <c r="E1526" s="11">
        <v>5804</v>
      </c>
      <c r="F1526" s="11">
        <v>5804</v>
      </c>
      <c r="H1526" s="11">
        <v>6010</v>
      </c>
      <c r="I1526" s="11">
        <v>6010</v>
      </c>
    </row>
    <row r="1527" customHeight="1" spans="2:9">
      <c r="B1527" s="11">
        <v>3130</v>
      </c>
      <c r="C1527" s="11">
        <v>3130</v>
      </c>
      <c r="E1527" s="11">
        <v>5805</v>
      </c>
      <c r="F1527" s="11">
        <v>5805</v>
      </c>
      <c r="H1527" s="11">
        <v>6011</v>
      </c>
      <c r="I1527" s="11">
        <v>6011</v>
      </c>
    </row>
    <row r="1528" customHeight="1" spans="2:9">
      <c r="B1528" s="11">
        <v>3131</v>
      </c>
      <c r="C1528" s="11">
        <v>3131</v>
      </c>
      <c r="E1528" s="11">
        <v>5806</v>
      </c>
      <c r="F1528" s="11">
        <v>5806</v>
      </c>
      <c r="H1528" s="11">
        <v>6012</v>
      </c>
      <c r="I1528" s="11">
        <v>6012</v>
      </c>
    </row>
    <row r="1529" customHeight="1" spans="2:9">
      <c r="B1529" s="11">
        <v>3132</v>
      </c>
      <c r="C1529" s="11">
        <v>3132</v>
      </c>
      <c r="E1529" s="11">
        <v>5807</v>
      </c>
      <c r="F1529" s="11">
        <v>5807</v>
      </c>
      <c r="H1529" s="11">
        <v>6013</v>
      </c>
      <c r="I1529" s="11">
        <v>6013</v>
      </c>
    </row>
    <row r="1530" customHeight="1" spans="2:9">
      <c r="B1530" s="11">
        <v>3133</v>
      </c>
      <c r="C1530" s="11">
        <v>3133</v>
      </c>
      <c r="E1530" s="11">
        <v>5808</v>
      </c>
      <c r="F1530" s="11">
        <v>5808</v>
      </c>
      <c r="H1530" s="11">
        <v>6014</v>
      </c>
      <c r="I1530" s="11">
        <v>6014</v>
      </c>
    </row>
    <row r="1531" customHeight="1" spans="2:9">
      <c r="B1531" s="11">
        <v>3134</v>
      </c>
      <c r="C1531" s="11">
        <v>3134</v>
      </c>
      <c r="E1531" s="11">
        <v>5809</v>
      </c>
      <c r="F1531" s="11">
        <v>5809</v>
      </c>
      <c r="H1531" s="11">
        <v>6015</v>
      </c>
      <c r="I1531" s="11">
        <v>6015</v>
      </c>
    </row>
    <row r="1532" customHeight="1" spans="2:9">
      <c r="B1532" s="11">
        <v>3135</v>
      </c>
      <c r="C1532" s="11">
        <v>3135</v>
      </c>
      <c r="E1532" s="11">
        <v>5810</v>
      </c>
      <c r="F1532" s="11">
        <v>5810</v>
      </c>
      <c r="H1532" s="11">
        <v>6016</v>
      </c>
      <c r="I1532" s="11">
        <v>6016</v>
      </c>
    </row>
    <row r="1533" customHeight="1" spans="2:9">
      <c r="B1533" s="11">
        <v>3136</v>
      </c>
      <c r="C1533" s="11">
        <v>3136</v>
      </c>
      <c r="E1533" s="11">
        <v>5811</v>
      </c>
      <c r="F1533" s="11">
        <v>5811</v>
      </c>
      <c r="H1533" s="11">
        <v>6017</v>
      </c>
      <c r="I1533" s="11">
        <v>6017</v>
      </c>
    </row>
    <row r="1534" customHeight="1" spans="2:9">
      <c r="B1534" s="11">
        <v>3137</v>
      </c>
      <c r="C1534" s="11">
        <v>3137</v>
      </c>
      <c r="E1534" s="11">
        <v>5812</v>
      </c>
      <c r="F1534" s="11">
        <v>5812</v>
      </c>
      <c r="H1534" s="11">
        <v>6018</v>
      </c>
      <c r="I1534" s="11">
        <v>6018</v>
      </c>
    </row>
    <row r="1535" customHeight="1" spans="2:9">
      <c r="B1535" s="11">
        <v>3138</v>
      </c>
      <c r="C1535" s="11">
        <v>3138</v>
      </c>
      <c r="E1535" s="11">
        <v>5813</v>
      </c>
      <c r="F1535" s="11">
        <v>5813</v>
      </c>
      <c r="H1535" s="11">
        <v>6019</v>
      </c>
      <c r="I1535" s="11">
        <v>6019</v>
      </c>
    </row>
    <row r="1536" customHeight="1" spans="2:9">
      <c r="B1536" s="11">
        <v>3000</v>
      </c>
      <c r="C1536" s="11">
        <v>3000</v>
      </c>
      <c r="E1536" s="11">
        <v>5814</v>
      </c>
      <c r="F1536" s="11">
        <v>5814</v>
      </c>
      <c r="H1536" s="11">
        <v>6020</v>
      </c>
      <c r="I1536" s="11">
        <v>6020</v>
      </c>
    </row>
    <row r="1537" customHeight="1" spans="2:9">
      <c r="B1537" s="11">
        <v>3001</v>
      </c>
      <c r="C1537" s="11">
        <v>3001</v>
      </c>
      <c r="E1537" s="11">
        <v>5815</v>
      </c>
      <c r="F1537" s="11">
        <v>5815</v>
      </c>
      <c r="H1537" s="11">
        <v>6021</v>
      </c>
      <c r="I1537" s="11">
        <v>6021</v>
      </c>
    </row>
    <row r="1538" customHeight="1" spans="2:9">
      <c r="B1538" s="11">
        <v>3002</v>
      </c>
      <c r="C1538" s="11">
        <v>3002</v>
      </c>
      <c r="E1538" s="11">
        <v>5816</v>
      </c>
      <c r="F1538" s="11">
        <v>5816</v>
      </c>
      <c r="H1538" s="11">
        <v>6022</v>
      </c>
      <c r="I1538" s="11">
        <v>6022</v>
      </c>
    </row>
    <row r="1539" customHeight="1" spans="2:9">
      <c r="B1539" s="11">
        <v>3003</v>
      </c>
      <c r="C1539" s="11">
        <v>3003</v>
      </c>
      <c r="E1539" s="11">
        <v>5817</v>
      </c>
      <c r="F1539" s="11">
        <v>5817</v>
      </c>
      <c r="H1539" s="11">
        <v>6023</v>
      </c>
      <c r="I1539" s="11">
        <v>6023</v>
      </c>
    </row>
    <row r="1540" customHeight="1" spans="2:9">
      <c r="B1540" s="11">
        <v>3004</v>
      </c>
      <c r="C1540" s="11">
        <v>3004</v>
      </c>
      <c r="E1540" s="11">
        <v>5818</v>
      </c>
      <c r="F1540" s="11">
        <v>5818</v>
      </c>
      <c r="H1540" s="11">
        <v>6024</v>
      </c>
      <c r="I1540" s="11">
        <v>6024</v>
      </c>
    </row>
    <row r="1541" customHeight="1" spans="2:9">
      <c r="B1541" s="11">
        <v>3005</v>
      </c>
      <c r="C1541" s="11">
        <v>3005</v>
      </c>
      <c r="E1541" s="11">
        <v>5819</v>
      </c>
      <c r="F1541" s="11">
        <v>5819</v>
      </c>
      <c r="H1541" s="11">
        <v>6025</v>
      </c>
      <c r="I1541" s="11">
        <v>6025</v>
      </c>
    </row>
    <row r="1542" customHeight="1" spans="2:9">
      <c r="B1542" s="11">
        <v>3006</v>
      </c>
      <c r="C1542" s="11">
        <v>3006</v>
      </c>
      <c r="E1542" s="11">
        <v>5820</v>
      </c>
      <c r="F1542" s="11">
        <v>5820</v>
      </c>
      <c r="H1542" s="11">
        <v>6026</v>
      </c>
      <c r="I1542" s="11">
        <v>6026</v>
      </c>
    </row>
    <row r="1543" customHeight="1" spans="2:9">
      <c r="B1543" s="11">
        <v>3007</v>
      </c>
      <c r="C1543" s="11">
        <v>3007</v>
      </c>
      <c r="E1543" s="11">
        <v>5821</v>
      </c>
      <c r="F1543" s="11">
        <v>5821</v>
      </c>
      <c r="H1543" s="11">
        <v>6027</v>
      </c>
      <c r="I1543" s="11">
        <v>6027</v>
      </c>
    </row>
    <row r="1544" customHeight="1" spans="2:9">
      <c r="B1544" s="11">
        <v>3008</v>
      </c>
      <c r="C1544" s="11">
        <v>3008</v>
      </c>
      <c r="E1544" s="11">
        <v>5822</v>
      </c>
      <c r="F1544" s="11">
        <v>5822</v>
      </c>
      <c r="H1544" s="11">
        <v>6028</v>
      </c>
      <c r="I1544" s="11">
        <v>6028</v>
      </c>
    </row>
    <row r="1545" customHeight="1" spans="2:9">
      <c r="B1545" s="11">
        <v>3009</v>
      </c>
      <c r="C1545" s="11">
        <v>3009</v>
      </c>
      <c r="E1545" s="11">
        <v>5823</v>
      </c>
      <c r="F1545" s="11">
        <v>5823</v>
      </c>
      <c r="H1545" s="11">
        <v>6029</v>
      </c>
      <c r="I1545" s="11">
        <v>6029</v>
      </c>
    </row>
    <row r="1546" customHeight="1" spans="2:9">
      <c r="B1546" s="11">
        <v>3010</v>
      </c>
      <c r="C1546" s="11">
        <v>3010</v>
      </c>
      <c r="E1546" s="11">
        <v>5824</v>
      </c>
      <c r="F1546" s="11">
        <v>5824</v>
      </c>
      <c r="H1546" s="11">
        <v>6030</v>
      </c>
      <c r="I1546" s="11">
        <v>6030</v>
      </c>
    </row>
    <row r="1547" customHeight="1" spans="2:9">
      <c r="B1547" s="11">
        <v>3011</v>
      </c>
      <c r="C1547" s="11">
        <v>3011</v>
      </c>
      <c r="E1547" s="11">
        <v>5825</v>
      </c>
      <c r="F1547" s="11">
        <v>5825</v>
      </c>
      <c r="H1547" s="11">
        <v>6090</v>
      </c>
      <c r="I1547" s="11">
        <v>6090</v>
      </c>
    </row>
    <row r="1548" customHeight="1" spans="2:9">
      <c r="B1548" s="11">
        <v>3012</v>
      </c>
      <c r="C1548" s="11">
        <v>3012</v>
      </c>
      <c r="E1548" s="11">
        <v>5826</v>
      </c>
      <c r="F1548" s="11">
        <v>5826</v>
      </c>
      <c r="H1548" s="11">
        <v>6091</v>
      </c>
      <c r="I1548" s="11">
        <v>6091</v>
      </c>
    </row>
    <row r="1549" customHeight="1" spans="2:9">
      <c r="B1549" s="11">
        <v>3013</v>
      </c>
      <c r="C1549" s="11">
        <v>3013</v>
      </c>
      <c r="E1549" s="11">
        <v>5827</v>
      </c>
      <c r="F1549" s="11">
        <v>5827</v>
      </c>
      <c r="H1549" s="11">
        <v>6092</v>
      </c>
      <c r="I1549" s="11">
        <v>6092</v>
      </c>
    </row>
    <row r="1550" customHeight="1" spans="2:9">
      <c r="B1550" s="11">
        <v>3014</v>
      </c>
      <c r="C1550" s="11">
        <v>3014</v>
      </c>
      <c r="E1550" s="11">
        <v>5828</v>
      </c>
      <c r="F1550" s="11">
        <v>5828</v>
      </c>
      <c r="H1550" s="11">
        <v>6093</v>
      </c>
      <c r="I1550" s="11">
        <v>6093</v>
      </c>
    </row>
    <row r="1551" customHeight="1" spans="2:9">
      <c r="B1551" s="11">
        <v>3015</v>
      </c>
      <c r="C1551" s="11">
        <v>3015</v>
      </c>
      <c r="E1551" s="11">
        <v>5829</v>
      </c>
      <c r="F1551" s="11">
        <v>5829</v>
      </c>
      <c r="H1551" s="11">
        <v>6094</v>
      </c>
      <c r="I1551" s="11">
        <v>6094</v>
      </c>
    </row>
    <row r="1552" customHeight="1" spans="2:9">
      <c r="B1552" s="11">
        <v>3016</v>
      </c>
      <c r="C1552" s="11">
        <v>3016</v>
      </c>
      <c r="E1552" s="11">
        <v>5830</v>
      </c>
      <c r="F1552" s="11">
        <v>5830</v>
      </c>
      <c r="H1552" s="11">
        <v>6095</v>
      </c>
      <c r="I1552" s="11">
        <v>6095</v>
      </c>
    </row>
    <row r="1553" customHeight="1" spans="2:9">
      <c r="B1553" s="11">
        <v>3017</v>
      </c>
      <c r="C1553" s="11">
        <v>3017</v>
      </c>
      <c r="E1553" s="11">
        <v>5831</v>
      </c>
      <c r="F1553" s="11">
        <v>5831</v>
      </c>
      <c r="H1553" s="11">
        <v>6096</v>
      </c>
      <c r="I1553" s="11">
        <v>6096</v>
      </c>
    </row>
    <row r="1554" customHeight="1" spans="2:9">
      <c r="B1554" s="11">
        <v>3018</v>
      </c>
      <c r="C1554" s="11">
        <v>3018</v>
      </c>
      <c r="E1554" s="11">
        <v>5832</v>
      </c>
      <c r="F1554" s="11">
        <v>5832</v>
      </c>
      <c r="H1554" s="11">
        <v>6097</v>
      </c>
      <c r="I1554" s="11">
        <v>6097</v>
      </c>
    </row>
    <row r="1555" customHeight="1" spans="2:9">
      <c r="B1555" s="11">
        <v>3019</v>
      </c>
      <c r="C1555" s="11">
        <v>3019</v>
      </c>
      <c r="E1555" s="11">
        <v>5833</v>
      </c>
      <c r="F1555" s="11">
        <v>5833</v>
      </c>
      <c r="H1555" s="11">
        <v>6098</v>
      </c>
      <c r="I1555" s="11">
        <v>6098</v>
      </c>
    </row>
    <row r="1556" customHeight="1" spans="2:9">
      <c r="B1556" s="11">
        <v>3020</v>
      </c>
      <c r="C1556" s="11">
        <v>3020</v>
      </c>
      <c r="E1556" s="11">
        <v>5834</v>
      </c>
      <c r="F1556" s="11">
        <v>5834</v>
      </c>
      <c r="H1556" s="11">
        <v>6099</v>
      </c>
      <c r="I1556" s="11">
        <v>6099</v>
      </c>
    </row>
    <row r="1557" customHeight="1" spans="2:9">
      <c r="B1557" s="11">
        <v>3021</v>
      </c>
      <c r="C1557" s="11">
        <v>3021</v>
      </c>
      <c r="E1557" s="11">
        <v>5835</v>
      </c>
      <c r="F1557" s="11">
        <v>5835</v>
      </c>
      <c r="H1557" s="11">
        <v>6100</v>
      </c>
      <c r="I1557" s="11">
        <v>6100</v>
      </c>
    </row>
    <row r="1558" customHeight="1" spans="2:9">
      <c r="B1558" s="11">
        <v>3022</v>
      </c>
      <c r="C1558" s="11">
        <v>3022</v>
      </c>
      <c r="E1558" s="11">
        <v>5836</v>
      </c>
      <c r="F1558" s="11">
        <v>5836</v>
      </c>
      <c r="H1558" s="11">
        <v>6101</v>
      </c>
      <c r="I1558" s="11">
        <v>6101</v>
      </c>
    </row>
    <row r="1559" customHeight="1" spans="2:9">
      <c r="B1559" s="11">
        <v>3023</v>
      </c>
      <c r="C1559" s="11">
        <v>3023</v>
      </c>
      <c r="E1559" s="11">
        <v>5837</v>
      </c>
      <c r="F1559" s="11">
        <v>5837</v>
      </c>
      <c r="H1559" s="11">
        <v>6102</v>
      </c>
      <c r="I1559" s="11">
        <v>6102</v>
      </c>
    </row>
    <row r="1560" customHeight="1" spans="2:9">
      <c r="B1560" s="11">
        <v>3024</v>
      </c>
      <c r="C1560" s="11">
        <v>3024</v>
      </c>
      <c r="E1560" s="11">
        <v>5838</v>
      </c>
      <c r="F1560" s="11">
        <v>5838</v>
      </c>
      <c r="H1560" s="11">
        <v>6103</v>
      </c>
      <c r="I1560" s="11">
        <v>6103</v>
      </c>
    </row>
    <row r="1561" customHeight="1" spans="2:9">
      <c r="B1561" s="11">
        <v>3025</v>
      </c>
      <c r="C1561" s="11">
        <v>3025</v>
      </c>
      <c r="E1561" s="11">
        <v>5839</v>
      </c>
      <c r="F1561" s="11">
        <v>5839</v>
      </c>
      <c r="H1561" s="11">
        <v>6104</v>
      </c>
      <c r="I1561" s="11">
        <v>6104</v>
      </c>
    </row>
    <row r="1562" customHeight="1" spans="2:9">
      <c r="B1562" s="11">
        <v>3026</v>
      </c>
      <c r="C1562" s="11">
        <v>3026</v>
      </c>
      <c r="E1562" s="11">
        <v>5840</v>
      </c>
      <c r="F1562" s="11">
        <v>5840</v>
      </c>
      <c r="H1562" s="11">
        <v>6105</v>
      </c>
      <c r="I1562" s="11">
        <v>6105</v>
      </c>
    </row>
    <row r="1563" customHeight="1" spans="2:9">
      <c r="B1563" s="11">
        <v>3027</v>
      </c>
      <c r="C1563" s="11">
        <v>3027</v>
      </c>
      <c r="E1563" s="11">
        <v>5841</v>
      </c>
      <c r="F1563" s="11">
        <v>5841</v>
      </c>
      <c r="H1563" s="11">
        <v>6106</v>
      </c>
      <c r="I1563" s="11">
        <v>6106</v>
      </c>
    </row>
    <row r="1564" customHeight="1" spans="2:9">
      <c r="B1564" s="11">
        <v>3028</v>
      </c>
      <c r="C1564" s="11">
        <v>3028</v>
      </c>
      <c r="E1564" s="11">
        <v>5842</v>
      </c>
      <c r="F1564" s="11">
        <v>5842</v>
      </c>
      <c r="H1564" s="11">
        <v>6107</v>
      </c>
      <c r="I1564" s="11">
        <v>6107</v>
      </c>
    </row>
    <row r="1565" customHeight="1" spans="2:9">
      <c r="B1565" s="11">
        <v>3029</v>
      </c>
      <c r="C1565" s="11">
        <v>3029</v>
      </c>
      <c r="E1565" s="11">
        <v>5843</v>
      </c>
      <c r="F1565" s="11">
        <v>5843</v>
      </c>
      <c r="H1565" s="11">
        <v>6108</v>
      </c>
      <c r="I1565" s="11">
        <v>6108</v>
      </c>
    </row>
    <row r="1566" customHeight="1" spans="2:9">
      <c r="B1566" s="11">
        <v>3030</v>
      </c>
      <c r="C1566" s="11">
        <v>3030</v>
      </c>
      <c r="E1566" s="11">
        <v>5844</v>
      </c>
      <c r="F1566" s="11">
        <v>5844</v>
      </c>
      <c r="H1566" s="11">
        <v>6109</v>
      </c>
      <c r="I1566" s="11">
        <v>6109</v>
      </c>
    </row>
    <row r="1567" customHeight="1" spans="2:9">
      <c r="B1567" s="11">
        <v>3031</v>
      </c>
      <c r="C1567" s="11">
        <v>3031</v>
      </c>
      <c r="E1567" s="11">
        <v>5845</v>
      </c>
      <c r="F1567" s="11">
        <v>5845</v>
      </c>
      <c r="H1567" s="11">
        <v>6110</v>
      </c>
      <c r="I1567" s="11">
        <v>6110</v>
      </c>
    </row>
    <row r="1568" customHeight="1" spans="2:9">
      <c r="B1568" s="11">
        <v>3032</v>
      </c>
      <c r="C1568" s="11">
        <v>3032</v>
      </c>
      <c r="E1568" s="11">
        <v>5846</v>
      </c>
      <c r="F1568" s="11">
        <v>5846</v>
      </c>
      <c r="H1568" s="11">
        <v>6050</v>
      </c>
      <c r="I1568" s="11">
        <v>6050</v>
      </c>
    </row>
    <row r="1569" customHeight="1" spans="2:9">
      <c r="B1569" s="11">
        <v>3033</v>
      </c>
      <c r="C1569" s="11">
        <v>3033</v>
      </c>
      <c r="E1569" s="11">
        <v>5847</v>
      </c>
      <c r="F1569" s="11">
        <v>5847</v>
      </c>
      <c r="H1569" s="11">
        <v>6051</v>
      </c>
      <c r="I1569" s="11">
        <v>6051</v>
      </c>
    </row>
    <row r="1570" customHeight="1" spans="2:9">
      <c r="B1570" s="11">
        <v>3034</v>
      </c>
      <c r="C1570" s="11">
        <v>3034</v>
      </c>
      <c r="E1570" s="11">
        <v>5848</v>
      </c>
      <c r="F1570" s="11">
        <v>5848</v>
      </c>
      <c r="H1570" s="11">
        <v>6052</v>
      </c>
      <c r="I1570" s="11">
        <v>6052</v>
      </c>
    </row>
    <row r="1571" customHeight="1" spans="2:9">
      <c r="B1571" s="11">
        <v>3035</v>
      </c>
      <c r="C1571" s="11">
        <v>3035</v>
      </c>
      <c r="E1571" s="11">
        <v>5849</v>
      </c>
      <c r="F1571" s="11">
        <v>5849</v>
      </c>
      <c r="H1571" s="11">
        <v>6053</v>
      </c>
      <c r="I1571" s="11">
        <v>6053</v>
      </c>
    </row>
    <row r="1572" customHeight="1" spans="2:9">
      <c r="B1572" s="11">
        <v>3036</v>
      </c>
      <c r="C1572" s="11">
        <v>3036</v>
      </c>
      <c r="E1572" s="11">
        <v>5850</v>
      </c>
      <c r="F1572" s="11">
        <v>5850</v>
      </c>
      <c r="H1572" s="11">
        <v>6054</v>
      </c>
      <c r="I1572" s="11">
        <v>6054</v>
      </c>
    </row>
    <row r="1573" customHeight="1" spans="2:9">
      <c r="B1573" s="11">
        <v>3037</v>
      </c>
      <c r="C1573" s="11">
        <v>3037</v>
      </c>
      <c r="E1573" s="11">
        <v>5851</v>
      </c>
      <c r="F1573" s="11">
        <v>5851</v>
      </c>
      <c r="H1573" s="11">
        <v>6055</v>
      </c>
      <c r="I1573" s="11">
        <v>6055</v>
      </c>
    </row>
    <row r="1574" customHeight="1" spans="2:9">
      <c r="B1574" s="11">
        <v>3038</v>
      </c>
      <c r="C1574" s="11">
        <v>3038</v>
      </c>
      <c r="E1574" s="11">
        <v>5852</v>
      </c>
      <c r="F1574" s="11">
        <v>5852</v>
      </c>
      <c r="H1574" s="11">
        <v>6056</v>
      </c>
      <c r="I1574" s="11">
        <v>6056</v>
      </c>
    </row>
    <row r="1575" customHeight="1" spans="2:9">
      <c r="B1575" s="11">
        <v>3039</v>
      </c>
      <c r="C1575" s="11">
        <v>3039</v>
      </c>
      <c r="E1575" s="11">
        <v>5853</v>
      </c>
      <c r="F1575" s="11">
        <v>5853</v>
      </c>
      <c r="H1575" s="11">
        <v>6057</v>
      </c>
      <c r="I1575" s="11">
        <v>6057</v>
      </c>
    </row>
    <row r="1576" customHeight="1" spans="2:9">
      <c r="B1576" s="11">
        <v>3040</v>
      </c>
      <c r="C1576" s="11">
        <v>3040</v>
      </c>
      <c r="E1576" s="11">
        <v>5854</v>
      </c>
      <c r="F1576" s="11">
        <v>5854</v>
      </c>
      <c r="H1576" s="11">
        <v>6058</v>
      </c>
      <c r="I1576" s="11">
        <v>6058</v>
      </c>
    </row>
    <row r="1577" customHeight="1" spans="2:9">
      <c r="B1577" s="11">
        <v>3041</v>
      </c>
      <c r="C1577" s="11">
        <v>3041</v>
      </c>
      <c r="E1577" s="11">
        <v>5855</v>
      </c>
      <c r="F1577" s="11">
        <v>5855</v>
      </c>
      <c r="H1577" s="11">
        <v>6059</v>
      </c>
      <c r="I1577" s="11">
        <v>6059</v>
      </c>
    </row>
    <row r="1578" customHeight="1" spans="2:9">
      <c r="B1578" s="11">
        <v>3042</v>
      </c>
      <c r="C1578" s="11">
        <v>3042</v>
      </c>
      <c r="E1578" s="11">
        <v>5856</v>
      </c>
      <c r="F1578" s="11">
        <v>5856</v>
      </c>
      <c r="H1578" s="11">
        <v>6060</v>
      </c>
      <c r="I1578" s="11">
        <v>6060</v>
      </c>
    </row>
    <row r="1579" customHeight="1" spans="2:9">
      <c r="B1579" s="11">
        <v>3043</v>
      </c>
      <c r="C1579" s="11">
        <v>3043</v>
      </c>
      <c r="E1579" s="11">
        <v>5857</v>
      </c>
      <c r="F1579" s="11">
        <v>5857</v>
      </c>
      <c r="H1579" s="11">
        <v>6061</v>
      </c>
      <c r="I1579" s="11">
        <v>6061</v>
      </c>
    </row>
    <row r="1580" customHeight="1" spans="2:9">
      <c r="B1580" s="11">
        <v>3044</v>
      </c>
      <c r="C1580" s="11">
        <v>3044</v>
      </c>
      <c r="E1580" s="11">
        <v>5858</v>
      </c>
      <c r="F1580" s="11">
        <v>5858</v>
      </c>
      <c r="H1580" s="11">
        <v>6062</v>
      </c>
      <c r="I1580" s="11">
        <v>6062</v>
      </c>
    </row>
    <row r="1581" customHeight="1" spans="2:9">
      <c r="B1581" s="11">
        <v>3045</v>
      </c>
      <c r="C1581" s="11">
        <v>3045</v>
      </c>
      <c r="E1581" s="11">
        <v>5859</v>
      </c>
      <c r="F1581" s="11">
        <v>5859</v>
      </c>
      <c r="H1581" s="11">
        <v>6063</v>
      </c>
      <c r="I1581" s="11">
        <v>6063</v>
      </c>
    </row>
    <row r="1582" customHeight="1" spans="2:9">
      <c r="B1582" s="11">
        <v>3046</v>
      </c>
      <c r="C1582" s="11">
        <v>3046</v>
      </c>
      <c r="E1582" s="11">
        <v>5860</v>
      </c>
      <c r="F1582" s="11">
        <v>5860</v>
      </c>
      <c r="H1582" s="11">
        <v>6064</v>
      </c>
      <c r="I1582" s="11">
        <v>6064</v>
      </c>
    </row>
    <row r="1583" customHeight="1" spans="2:9">
      <c r="B1583" s="11">
        <v>3047</v>
      </c>
      <c r="C1583" s="11">
        <v>3047</v>
      </c>
      <c r="E1583" s="11">
        <v>5861</v>
      </c>
      <c r="F1583" s="11">
        <v>5861</v>
      </c>
      <c r="H1583" s="11">
        <v>6065</v>
      </c>
      <c r="I1583" s="11">
        <v>6065</v>
      </c>
    </row>
    <row r="1584" customHeight="1" spans="2:9">
      <c r="B1584" s="11">
        <v>3048</v>
      </c>
      <c r="C1584" s="11">
        <v>3048</v>
      </c>
      <c r="E1584" s="11">
        <v>5862</v>
      </c>
      <c r="F1584" s="11">
        <v>5862</v>
      </c>
      <c r="H1584" s="11">
        <v>6066</v>
      </c>
      <c r="I1584" s="11">
        <v>6066</v>
      </c>
    </row>
    <row r="1585" customHeight="1" spans="2:9">
      <c r="B1585" s="11">
        <v>3049</v>
      </c>
      <c r="C1585" s="11">
        <v>3049</v>
      </c>
      <c r="E1585" s="11">
        <v>5863</v>
      </c>
      <c r="F1585" s="11">
        <v>5863</v>
      </c>
      <c r="H1585" s="11">
        <v>6031</v>
      </c>
      <c r="I1585" s="11">
        <v>6031</v>
      </c>
    </row>
    <row r="1586" customHeight="1" spans="2:9">
      <c r="B1586" s="11">
        <v>3050</v>
      </c>
      <c r="C1586" s="11">
        <v>3050</v>
      </c>
      <c r="E1586" s="11">
        <v>5864</v>
      </c>
      <c r="F1586" s="11">
        <v>5864</v>
      </c>
      <c r="H1586" s="11">
        <v>6032</v>
      </c>
      <c r="I1586" s="11">
        <v>6032</v>
      </c>
    </row>
    <row r="1587" customHeight="1" spans="2:9">
      <c r="B1587" s="11">
        <v>3051</v>
      </c>
      <c r="C1587" s="11">
        <v>3051</v>
      </c>
      <c r="E1587" s="11">
        <v>5865</v>
      </c>
      <c r="F1587" s="11">
        <v>5865</v>
      </c>
      <c r="H1587" s="11">
        <v>6033</v>
      </c>
      <c r="I1587" s="11">
        <v>6033</v>
      </c>
    </row>
    <row r="1588" customHeight="1" spans="2:9">
      <c r="B1588" s="11">
        <v>3052</v>
      </c>
      <c r="C1588" s="11">
        <v>3052</v>
      </c>
      <c r="E1588" s="11">
        <v>5866</v>
      </c>
      <c r="F1588" s="11">
        <v>5866</v>
      </c>
      <c r="H1588" s="11">
        <v>6034</v>
      </c>
      <c r="I1588" s="11">
        <v>6034</v>
      </c>
    </row>
    <row r="1589" customHeight="1" spans="2:9">
      <c r="B1589" s="11">
        <v>3053</v>
      </c>
      <c r="C1589" s="11">
        <v>3053</v>
      </c>
      <c r="E1589" s="11">
        <v>5867</v>
      </c>
      <c r="F1589" s="11">
        <v>5867</v>
      </c>
      <c r="H1589" s="11">
        <v>6035</v>
      </c>
      <c r="I1589" s="11">
        <v>6035</v>
      </c>
    </row>
    <row r="1590" customHeight="1" spans="2:9">
      <c r="B1590" s="11">
        <v>3054</v>
      </c>
      <c r="C1590" s="11">
        <v>3054</v>
      </c>
      <c r="E1590" s="11">
        <v>5868</v>
      </c>
      <c r="F1590" s="11">
        <v>5868</v>
      </c>
      <c r="H1590" s="11">
        <v>6037</v>
      </c>
      <c r="I1590" s="11">
        <v>6037</v>
      </c>
    </row>
    <row r="1591" customHeight="1" spans="2:9">
      <c r="B1591" s="11">
        <v>3055</v>
      </c>
      <c r="C1591" s="11">
        <v>3055</v>
      </c>
      <c r="E1591" s="11">
        <v>5869</v>
      </c>
      <c r="F1591" s="11">
        <v>5869</v>
      </c>
      <c r="H1591" s="11">
        <v>6038</v>
      </c>
      <c r="I1591" s="11">
        <v>6038</v>
      </c>
    </row>
    <row r="1592" customHeight="1" spans="2:9">
      <c r="B1592" s="11">
        <v>3056</v>
      </c>
      <c r="C1592" s="11">
        <v>3056</v>
      </c>
      <c r="E1592" s="11">
        <v>5870</v>
      </c>
      <c r="F1592" s="11">
        <v>5870</v>
      </c>
      <c r="H1592" s="11">
        <v>6039</v>
      </c>
      <c r="I1592" s="11">
        <v>6039</v>
      </c>
    </row>
    <row r="1593" customHeight="1" spans="2:9">
      <c r="B1593" s="11">
        <v>3057</v>
      </c>
      <c r="C1593" s="11">
        <v>3057</v>
      </c>
      <c r="E1593" s="11">
        <v>5871</v>
      </c>
      <c r="F1593" s="11">
        <v>5871</v>
      </c>
      <c r="H1593" s="11">
        <v>6040</v>
      </c>
      <c r="I1593" s="11">
        <v>6040</v>
      </c>
    </row>
    <row r="1594" customHeight="1" spans="2:9">
      <c r="B1594" s="11">
        <v>3058</v>
      </c>
      <c r="C1594" s="11">
        <v>3058</v>
      </c>
      <c r="E1594" s="11">
        <v>5872</v>
      </c>
      <c r="F1594" s="11">
        <v>5872</v>
      </c>
      <c r="H1594" s="11">
        <v>6041</v>
      </c>
      <c r="I1594" s="11">
        <v>6041</v>
      </c>
    </row>
    <row r="1595" customHeight="1" spans="2:9">
      <c r="B1595" s="11">
        <v>3059</v>
      </c>
      <c r="C1595" s="11">
        <v>3059</v>
      </c>
      <c r="E1595" s="11">
        <v>5873</v>
      </c>
      <c r="F1595" s="11">
        <v>5873</v>
      </c>
      <c r="H1595" s="11">
        <v>6042</v>
      </c>
      <c r="I1595" s="11">
        <v>6042</v>
      </c>
    </row>
    <row r="1596" customHeight="1" spans="2:9">
      <c r="B1596" s="11">
        <v>3060</v>
      </c>
      <c r="C1596" s="11">
        <v>3060</v>
      </c>
      <c r="E1596" s="11">
        <v>5874</v>
      </c>
      <c r="F1596" s="11">
        <v>5874</v>
      </c>
      <c r="H1596" s="11">
        <v>6043</v>
      </c>
      <c r="I1596" s="11">
        <v>6043</v>
      </c>
    </row>
    <row r="1597" customHeight="1" spans="2:9">
      <c r="B1597" s="11">
        <v>3061</v>
      </c>
      <c r="C1597" s="11">
        <v>3061</v>
      </c>
      <c r="E1597" s="11">
        <v>5875</v>
      </c>
      <c r="F1597" s="11">
        <v>5875</v>
      </c>
      <c r="H1597" s="11">
        <v>6044</v>
      </c>
      <c r="I1597" s="11">
        <v>6044</v>
      </c>
    </row>
    <row r="1598" customHeight="1" spans="2:9">
      <c r="B1598" s="11">
        <v>3062</v>
      </c>
      <c r="C1598" s="11">
        <v>3062</v>
      </c>
      <c r="E1598" s="11">
        <v>5876</v>
      </c>
      <c r="F1598" s="11">
        <v>5876</v>
      </c>
      <c r="H1598" s="11">
        <v>6045</v>
      </c>
      <c r="I1598" s="11">
        <v>6045</v>
      </c>
    </row>
    <row r="1599" customHeight="1" spans="2:9">
      <c r="B1599" s="11">
        <v>1936</v>
      </c>
      <c r="C1599" s="11">
        <v>1936</v>
      </c>
      <c r="E1599" s="11">
        <v>5877</v>
      </c>
      <c r="F1599" s="11">
        <v>5877</v>
      </c>
      <c r="H1599" s="11">
        <v>6046</v>
      </c>
      <c r="I1599" s="11">
        <v>6046</v>
      </c>
    </row>
    <row r="1600" customHeight="1" spans="2:9">
      <c r="B1600" s="11">
        <v>1937</v>
      </c>
      <c r="C1600" s="11">
        <v>1937</v>
      </c>
      <c r="E1600" s="11">
        <v>5878</v>
      </c>
      <c r="F1600" s="11">
        <v>5878</v>
      </c>
      <c r="H1600" s="11">
        <v>6047</v>
      </c>
      <c r="I1600" s="11">
        <v>6047</v>
      </c>
    </row>
    <row r="1601" customHeight="1" spans="2:9">
      <c r="B1601" s="11">
        <v>1938</v>
      </c>
      <c r="C1601" s="11">
        <v>1938</v>
      </c>
      <c r="E1601" s="11">
        <v>5879</v>
      </c>
      <c r="F1601" s="11">
        <v>5879</v>
      </c>
      <c r="H1601" s="11">
        <v>6048</v>
      </c>
      <c r="I1601" s="11">
        <v>6048</v>
      </c>
    </row>
    <row r="1602" customHeight="1" spans="2:9">
      <c r="B1602" s="11">
        <v>1939</v>
      </c>
      <c r="C1602" s="11">
        <v>1939</v>
      </c>
      <c r="E1602" s="11">
        <v>5880</v>
      </c>
      <c r="F1602" s="11">
        <v>5880</v>
      </c>
      <c r="H1602" s="11">
        <v>6049</v>
      </c>
      <c r="I1602" s="11">
        <v>6049</v>
      </c>
    </row>
    <row r="1603" customHeight="1" spans="2:9">
      <c r="B1603" s="11">
        <v>1940</v>
      </c>
      <c r="C1603" s="11">
        <v>1940</v>
      </c>
      <c r="E1603" s="11">
        <v>5881</v>
      </c>
      <c r="F1603" s="11">
        <v>5881</v>
      </c>
      <c r="H1603" s="11">
        <v>6067</v>
      </c>
      <c r="I1603" s="11">
        <v>6067</v>
      </c>
    </row>
    <row r="1604" customHeight="1" spans="2:9">
      <c r="B1604" s="11">
        <v>1941</v>
      </c>
      <c r="C1604" s="11">
        <v>1941</v>
      </c>
      <c r="E1604" s="11">
        <v>5882</v>
      </c>
      <c r="F1604" s="11">
        <v>5882</v>
      </c>
      <c r="H1604" s="11">
        <v>6068</v>
      </c>
      <c r="I1604" s="11">
        <v>6068</v>
      </c>
    </row>
    <row r="1605" customHeight="1" spans="2:9">
      <c r="B1605" s="11">
        <v>1942</v>
      </c>
      <c r="C1605" s="11">
        <v>1942</v>
      </c>
      <c r="E1605" s="11">
        <v>5883</v>
      </c>
      <c r="F1605" s="11">
        <v>5883</v>
      </c>
      <c r="H1605" s="11">
        <v>6070</v>
      </c>
      <c r="I1605" s="11">
        <v>6070</v>
      </c>
    </row>
    <row r="1606" customHeight="1" spans="2:9">
      <c r="B1606" s="11">
        <v>1943</v>
      </c>
      <c r="C1606" s="11">
        <v>1943</v>
      </c>
      <c r="E1606" s="11">
        <v>5884</v>
      </c>
      <c r="F1606" s="11">
        <v>5884</v>
      </c>
      <c r="H1606" s="11">
        <v>6071</v>
      </c>
      <c r="I1606" s="11">
        <v>6071</v>
      </c>
    </row>
    <row r="1607" customHeight="1" spans="2:9">
      <c r="B1607" s="11">
        <v>1944</v>
      </c>
      <c r="C1607" s="11">
        <v>1944</v>
      </c>
      <c r="E1607" s="11">
        <v>5885</v>
      </c>
      <c r="F1607" s="11">
        <v>5885</v>
      </c>
      <c r="H1607" s="11">
        <v>6072</v>
      </c>
      <c r="I1607" s="11">
        <v>6072</v>
      </c>
    </row>
    <row r="1608" customHeight="1" spans="2:9">
      <c r="B1608" s="11">
        <v>1945</v>
      </c>
      <c r="C1608" s="11">
        <v>1945</v>
      </c>
      <c r="E1608" s="11">
        <v>5886</v>
      </c>
      <c r="F1608" s="11">
        <v>5886</v>
      </c>
      <c r="H1608" s="11">
        <v>6073</v>
      </c>
      <c r="I1608" s="11">
        <v>6073</v>
      </c>
    </row>
    <row r="1609" customHeight="1" spans="2:9">
      <c r="B1609" s="11">
        <v>1946</v>
      </c>
      <c r="C1609" s="11">
        <v>1946</v>
      </c>
      <c r="E1609" s="11">
        <v>5887</v>
      </c>
      <c r="F1609" s="11">
        <v>5887</v>
      </c>
      <c r="H1609" s="11">
        <v>6074</v>
      </c>
      <c r="I1609" s="11">
        <v>6074</v>
      </c>
    </row>
    <row r="1610" customHeight="1" spans="2:9">
      <c r="B1610" s="11">
        <v>1947</v>
      </c>
      <c r="C1610" s="11">
        <v>1947</v>
      </c>
      <c r="E1610" s="11">
        <v>5888</v>
      </c>
      <c r="F1610" s="11">
        <v>5888</v>
      </c>
      <c r="H1610" s="11">
        <v>6075</v>
      </c>
      <c r="I1610" s="11">
        <v>6075</v>
      </c>
    </row>
    <row r="1611" customHeight="1" spans="2:9">
      <c r="B1611" s="11">
        <v>1948</v>
      </c>
      <c r="C1611" s="11">
        <v>1948</v>
      </c>
      <c r="E1611" s="11">
        <v>5889</v>
      </c>
      <c r="F1611" s="11">
        <v>5889</v>
      </c>
      <c r="H1611" s="11">
        <v>6077</v>
      </c>
      <c r="I1611" s="11">
        <v>6077</v>
      </c>
    </row>
    <row r="1612" customHeight="1" spans="2:9">
      <c r="B1612" s="11">
        <v>1949</v>
      </c>
      <c r="C1612" s="11">
        <v>1949</v>
      </c>
      <c r="E1612" s="11">
        <v>5890</v>
      </c>
      <c r="F1612" s="11">
        <v>5890</v>
      </c>
      <c r="H1612" s="11">
        <v>6078</v>
      </c>
      <c r="I1612" s="11">
        <v>6078</v>
      </c>
    </row>
    <row r="1613" customHeight="1" spans="2:9">
      <c r="B1613" s="11">
        <v>1950</v>
      </c>
      <c r="C1613" s="11">
        <v>1950</v>
      </c>
      <c r="E1613" s="11">
        <v>5891</v>
      </c>
      <c r="F1613" s="11">
        <v>5891</v>
      </c>
      <c r="H1613" s="11">
        <v>6079</v>
      </c>
      <c r="I1613" s="11">
        <v>6079</v>
      </c>
    </row>
    <row r="1614" customHeight="1" spans="2:9">
      <c r="B1614" s="11">
        <v>1951</v>
      </c>
      <c r="C1614" s="11">
        <v>1951</v>
      </c>
      <c r="E1614" s="11">
        <v>5892</v>
      </c>
      <c r="F1614" s="11">
        <v>5892</v>
      </c>
      <c r="H1614" s="11">
        <v>6080</v>
      </c>
      <c r="I1614" s="11">
        <v>6080</v>
      </c>
    </row>
    <row r="1615" customHeight="1" spans="2:9">
      <c r="B1615" s="11">
        <v>1952</v>
      </c>
      <c r="C1615" s="11">
        <v>1952</v>
      </c>
      <c r="E1615" s="11">
        <v>5893</v>
      </c>
      <c r="F1615" s="11">
        <v>5893</v>
      </c>
      <c r="H1615" s="11">
        <v>6081</v>
      </c>
      <c r="I1615" s="11">
        <v>6081</v>
      </c>
    </row>
    <row r="1616" customHeight="1" spans="2:9">
      <c r="B1616" s="11">
        <v>1953</v>
      </c>
      <c r="C1616" s="11">
        <v>1953</v>
      </c>
      <c r="E1616" s="11">
        <v>5894</v>
      </c>
      <c r="F1616" s="11">
        <v>5894</v>
      </c>
      <c r="H1616" s="11">
        <v>6082</v>
      </c>
      <c r="I1616" s="11">
        <v>6082</v>
      </c>
    </row>
    <row r="1617" customHeight="1" spans="2:9">
      <c r="B1617" s="11">
        <v>1954</v>
      </c>
      <c r="C1617" s="11">
        <v>1954</v>
      </c>
      <c r="E1617" s="11">
        <v>5895</v>
      </c>
      <c r="F1617" s="11">
        <v>5895</v>
      </c>
      <c r="H1617" s="11">
        <v>6083</v>
      </c>
      <c r="I1617" s="11">
        <v>6083</v>
      </c>
    </row>
    <row r="1618" customHeight="1" spans="2:9">
      <c r="B1618" s="11">
        <v>1955</v>
      </c>
      <c r="C1618" s="11">
        <v>1955</v>
      </c>
      <c r="E1618" s="11">
        <v>5896</v>
      </c>
      <c r="F1618" s="11">
        <v>5896</v>
      </c>
      <c r="H1618" s="11">
        <v>6084</v>
      </c>
      <c r="I1618" s="11">
        <v>6084</v>
      </c>
    </row>
    <row r="1619" customHeight="1" spans="2:9">
      <c r="B1619" s="11">
        <v>1956</v>
      </c>
      <c r="C1619" s="11">
        <v>1956</v>
      </c>
      <c r="E1619" s="11">
        <v>5897</v>
      </c>
      <c r="F1619" s="11">
        <v>5897</v>
      </c>
      <c r="H1619" s="11">
        <v>6085</v>
      </c>
      <c r="I1619" s="11">
        <v>6085</v>
      </c>
    </row>
    <row r="1620" customHeight="1" spans="2:9">
      <c r="B1620" s="11">
        <v>1957</v>
      </c>
      <c r="C1620" s="11">
        <v>1957</v>
      </c>
      <c r="E1620" s="11">
        <v>5898</v>
      </c>
      <c r="F1620" s="11">
        <v>5898</v>
      </c>
      <c r="H1620" s="11">
        <v>6086</v>
      </c>
      <c r="I1620" s="11">
        <v>6086</v>
      </c>
    </row>
    <row r="1621" customHeight="1" spans="2:9">
      <c r="B1621" s="11">
        <v>1958</v>
      </c>
      <c r="C1621" s="11">
        <v>1958</v>
      </c>
      <c r="E1621" s="11">
        <v>5899</v>
      </c>
      <c r="F1621" s="11">
        <v>5899</v>
      </c>
      <c r="H1621" s="11">
        <v>6087</v>
      </c>
      <c r="I1621" s="11">
        <v>6087</v>
      </c>
    </row>
    <row r="1622" customHeight="1" spans="2:9">
      <c r="B1622" s="11">
        <v>1959</v>
      </c>
      <c r="C1622" s="11">
        <v>1959</v>
      </c>
      <c r="E1622" s="11">
        <v>5900</v>
      </c>
      <c r="F1622" s="11">
        <v>5900</v>
      </c>
      <c r="H1622" s="11">
        <v>6088</v>
      </c>
      <c r="I1622" s="11">
        <v>6088</v>
      </c>
    </row>
    <row r="1623" customHeight="1" spans="2:9">
      <c r="B1623" s="11">
        <v>1960</v>
      </c>
      <c r="C1623" s="11">
        <v>1960</v>
      </c>
      <c r="E1623" s="11">
        <v>5901</v>
      </c>
      <c r="F1623" s="11">
        <v>5901</v>
      </c>
      <c r="H1623" s="11">
        <v>6089</v>
      </c>
      <c r="I1623" s="11">
        <v>6089</v>
      </c>
    </row>
    <row r="1624" customHeight="1" spans="2:9">
      <c r="B1624" s="11">
        <v>1961</v>
      </c>
      <c r="C1624" s="11">
        <v>1961</v>
      </c>
      <c r="E1624" s="11">
        <v>5902</v>
      </c>
      <c r="F1624" s="11">
        <v>5902</v>
      </c>
      <c r="H1624" s="11">
        <v>6111</v>
      </c>
      <c r="I1624" s="11">
        <v>6111</v>
      </c>
    </row>
    <row r="1625" customHeight="1" spans="2:9">
      <c r="B1625" s="11">
        <v>1962</v>
      </c>
      <c r="C1625" s="11">
        <v>1962</v>
      </c>
      <c r="E1625" s="11">
        <v>5903</v>
      </c>
      <c r="F1625" s="11">
        <v>5903</v>
      </c>
      <c r="H1625" s="11">
        <v>6161</v>
      </c>
      <c r="I1625" s="11">
        <v>6161</v>
      </c>
    </row>
    <row r="1626" customHeight="1" spans="2:9">
      <c r="B1626" s="11">
        <v>1963</v>
      </c>
      <c r="C1626" s="11">
        <v>1963</v>
      </c>
      <c r="E1626" s="11">
        <v>5904</v>
      </c>
      <c r="F1626" s="11">
        <v>5904</v>
      </c>
      <c r="H1626" s="11">
        <v>6181</v>
      </c>
      <c r="I1626" s="11">
        <v>6181</v>
      </c>
    </row>
    <row r="1627" customHeight="1" spans="2:9">
      <c r="B1627" s="11">
        <v>1964</v>
      </c>
      <c r="C1627" s="11">
        <v>1964</v>
      </c>
      <c r="E1627" s="11">
        <v>5905</v>
      </c>
      <c r="F1627" s="11">
        <v>5905</v>
      </c>
      <c r="H1627" s="11">
        <v>6991</v>
      </c>
      <c r="I1627" s="11">
        <v>6991</v>
      </c>
    </row>
    <row r="1628" customHeight="1" spans="2:9">
      <c r="B1628" s="11">
        <v>1965</v>
      </c>
      <c r="C1628" s="11">
        <v>1965</v>
      </c>
      <c r="E1628" s="11">
        <v>5906</v>
      </c>
      <c r="F1628" s="11">
        <v>5906</v>
      </c>
      <c r="H1628" s="11">
        <v>6121</v>
      </c>
      <c r="I1628" s="11">
        <v>6121</v>
      </c>
    </row>
    <row r="1629" customHeight="1" spans="2:9">
      <c r="B1629" s="11">
        <v>1966</v>
      </c>
      <c r="C1629" s="11">
        <v>1966</v>
      </c>
      <c r="E1629" s="11">
        <v>5907</v>
      </c>
      <c r="F1629" s="11">
        <v>5907</v>
      </c>
      <c r="H1629" s="11">
        <v>6122</v>
      </c>
      <c r="I1629" s="11">
        <v>6122</v>
      </c>
    </row>
    <row r="1630" customHeight="1" spans="2:9">
      <c r="B1630" s="11">
        <v>1967</v>
      </c>
      <c r="C1630" s="11">
        <v>1967</v>
      </c>
      <c r="E1630" s="11">
        <v>5908</v>
      </c>
      <c r="F1630" s="11">
        <v>5908</v>
      </c>
      <c r="H1630" s="11">
        <v>6123</v>
      </c>
      <c r="I1630" s="11">
        <v>6123</v>
      </c>
    </row>
    <row r="1631" customHeight="1" spans="2:9">
      <c r="B1631" s="11">
        <v>1968</v>
      </c>
      <c r="C1631" s="11">
        <v>1968</v>
      </c>
      <c r="E1631" s="11">
        <v>5909</v>
      </c>
      <c r="F1631" s="11">
        <v>5909</v>
      </c>
      <c r="H1631" s="11">
        <v>6124</v>
      </c>
      <c r="I1631" s="11">
        <v>6124</v>
      </c>
    </row>
    <row r="1632" customHeight="1" spans="2:9">
      <c r="B1632" s="11">
        <v>1969</v>
      </c>
      <c r="C1632" s="11">
        <v>1969</v>
      </c>
      <c r="E1632" s="11">
        <v>5910</v>
      </c>
      <c r="F1632" s="11">
        <v>5910</v>
      </c>
      <c r="H1632" s="11">
        <v>6125</v>
      </c>
      <c r="I1632" s="11">
        <v>6125</v>
      </c>
    </row>
    <row r="1633" customHeight="1" spans="2:9">
      <c r="B1633" s="11">
        <v>1970</v>
      </c>
      <c r="C1633" s="11">
        <v>1970</v>
      </c>
      <c r="E1633" s="11">
        <v>5911</v>
      </c>
      <c r="F1633" s="11">
        <v>5911</v>
      </c>
      <c r="H1633" s="11">
        <v>6126</v>
      </c>
      <c r="I1633" s="11">
        <v>6126</v>
      </c>
    </row>
    <row r="1634" customHeight="1" spans="2:9">
      <c r="B1634" s="11">
        <v>1971</v>
      </c>
      <c r="C1634" s="11">
        <v>1971</v>
      </c>
      <c r="E1634" s="11">
        <v>5912</v>
      </c>
      <c r="F1634" s="11">
        <v>5912</v>
      </c>
      <c r="H1634" s="11">
        <v>6127</v>
      </c>
      <c r="I1634" s="11">
        <v>6127</v>
      </c>
    </row>
    <row r="1635" customHeight="1" spans="2:9">
      <c r="B1635" s="11">
        <v>1972</v>
      </c>
      <c r="C1635" s="11">
        <v>1972</v>
      </c>
      <c r="E1635" s="11">
        <v>5913</v>
      </c>
      <c r="F1635" s="11">
        <v>5913</v>
      </c>
      <c r="H1635" s="11">
        <v>6128</v>
      </c>
      <c r="I1635" s="11">
        <v>6128</v>
      </c>
    </row>
    <row r="1636" customHeight="1" spans="2:9">
      <c r="B1636" s="11">
        <v>1973</v>
      </c>
      <c r="C1636" s="11">
        <v>1973</v>
      </c>
      <c r="E1636" s="11">
        <v>5914</v>
      </c>
      <c r="F1636" s="11">
        <v>5914</v>
      </c>
      <c r="H1636" s="11">
        <v>6129</v>
      </c>
      <c r="I1636" s="11">
        <v>6129</v>
      </c>
    </row>
    <row r="1637" customHeight="1" spans="2:9">
      <c r="B1637" s="11">
        <v>1974</v>
      </c>
      <c r="C1637" s="11">
        <v>1974</v>
      </c>
      <c r="E1637" s="11">
        <v>5915</v>
      </c>
      <c r="F1637" s="11">
        <v>5915</v>
      </c>
      <c r="H1637" s="11">
        <v>6130</v>
      </c>
      <c r="I1637" s="11">
        <v>6130</v>
      </c>
    </row>
    <row r="1638" customHeight="1" spans="2:9">
      <c r="B1638" s="11">
        <v>1975</v>
      </c>
      <c r="C1638" s="11">
        <v>1975</v>
      </c>
      <c r="E1638" s="11">
        <v>5916</v>
      </c>
      <c r="F1638" s="11">
        <v>5916</v>
      </c>
      <c r="H1638" s="11">
        <v>6131</v>
      </c>
      <c r="I1638" s="11">
        <v>6131</v>
      </c>
    </row>
    <row r="1639" customHeight="1" spans="2:9">
      <c r="B1639" s="11">
        <v>1976</v>
      </c>
      <c r="C1639" s="11">
        <v>1976</v>
      </c>
      <c r="E1639" s="11">
        <v>5917</v>
      </c>
      <c r="F1639" s="11">
        <v>5917</v>
      </c>
      <c r="H1639" s="11">
        <v>6132</v>
      </c>
      <c r="I1639" s="11">
        <v>6132</v>
      </c>
    </row>
    <row r="1640" customHeight="1" spans="2:9">
      <c r="B1640" s="11">
        <v>1977</v>
      </c>
      <c r="C1640" s="11">
        <v>1977</v>
      </c>
      <c r="E1640" s="11">
        <v>5918</v>
      </c>
      <c r="F1640" s="11">
        <v>5918</v>
      </c>
      <c r="H1640" s="11">
        <v>6133</v>
      </c>
      <c r="I1640" s="11">
        <v>6133</v>
      </c>
    </row>
    <row r="1641" customHeight="1" spans="2:9">
      <c r="B1641" s="11">
        <v>1978</v>
      </c>
      <c r="C1641" s="11">
        <v>1978</v>
      </c>
      <c r="E1641" s="11">
        <v>5919</v>
      </c>
      <c r="F1641" s="11">
        <v>5919</v>
      </c>
      <c r="H1641" s="11">
        <v>6134</v>
      </c>
      <c r="I1641" s="11">
        <v>6134</v>
      </c>
    </row>
    <row r="1642" customHeight="1" spans="2:9">
      <c r="B1642" s="11">
        <v>1979</v>
      </c>
      <c r="C1642" s="11">
        <v>1979</v>
      </c>
      <c r="E1642" s="11">
        <v>5920</v>
      </c>
      <c r="F1642" s="11">
        <v>5920</v>
      </c>
      <c r="H1642" s="11">
        <v>6135</v>
      </c>
      <c r="I1642" s="11">
        <v>6135</v>
      </c>
    </row>
    <row r="1643" customHeight="1" spans="2:9">
      <c r="B1643" s="11">
        <v>1980</v>
      </c>
      <c r="C1643" s="11">
        <v>1980</v>
      </c>
      <c r="E1643" s="11">
        <v>5921</v>
      </c>
      <c r="F1643" s="11">
        <v>5921</v>
      </c>
      <c r="H1643" s="11">
        <v>6136</v>
      </c>
      <c r="I1643" s="11">
        <v>6136</v>
      </c>
    </row>
    <row r="1644" customHeight="1" spans="2:9">
      <c r="B1644" s="11">
        <v>1981</v>
      </c>
      <c r="C1644" s="11">
        <v>1981</v>
      </c>
      <c r="E1644" s="11">
        <v>5922</v>
      </c>
      <c r="F1644" s="11">
        <v>5922</v>
      </c>
      <c r="H1644" s="11">
        <v>6137</v>
      </c>
      <c r="I1644" s="11">
        <v>6137</v>
      </c>
    </row>
    <row r="1645" customHeight="1" spans="2:9">
      <c r="B1645" s="11">
        <v>1982</v>
      </c>
      <c r="C1645" s="11">
        <v>1982</v>
      </c>
      <c r="E1645" s="11">
        <v>5923</v>
      </c>
      <c r="F1645" s="11">
        <v>5923</v>
      </c>
      <c r="H1645" s="11">
        <v>6138</v>
      </c>
      <c r="I1645" s="11">
        <v>6138</v>
      </c>
    </row>
    <row r="1646" customHeight="1" spans="2:9">
      <c r="B1646" s="11">
        <v>1983</v>
      </c>
      <c r="C1646" s="11">
        <v>1983</v>
      </c>
      <c r="E1646" s="11">
        <v>5924</v>
      </c>
      <c r="F1646" s="11">
        <v>5924</v>
      </c>
      <c r="H1646" s="11">
        <v>6139</v>
      </c>
      <c r="I1646" s="11">
        <v>6139</v>
      </c>
    </row>
    <row r="1647" customHeight="1" spans="2:9">
      <c r="B1647" s="11">
        <v>1984</v>
      </c>
      <c r="C1647" s="11">
        <v>1984</v>
      </c>
      <c r="E1647" s="11">
        <v>5925</v>
      </c>
      <c r="F1647" s="11">
        <v>5925</v>
      </c>
      <c r="H1647" s="11">
        <v>6140</v>
      </c>
      <c r="I1647" s="11">
        <v>6140</v>
      </c>
    </row>
    <row r="1648" customHeight="1" spans="2:9">
      <c r="B1648" s="11">
        <v>1985</v>
      </c>
      <c r="C1648" s="11">
        <v>1985</v>
      </c>
      <c r="E1648" s="11">
        <v>5926</v>
      </c>
      <c r="F1648" s="11">
        <v>5926</v>
      </c>
      <c r="H1648" s="11">
        <v>6141</v>
      </c>
      <c r="I1648" s="11">
        <v>6141</v>
      </c>
    </row>
    <row r="1649" customHeight="1" spans="2:9">
      <c r="B1649" s="11">
        <v>1986</v>
      </c>
      <c r="C1649" s="11">
        <v>1986</v>
      </c>
      <c r="E1649" s="11">
        <v>5927</v>
      </c>
      <c r="F1649" s="11">
        <v>5927</v>
      </c>
      <c r="H1649" s="11">
        <v>6142</v>
      </c>
      <c r="I1649" s="11">
        <v>6142</v>
      </c>
    </row>
    <row r="1650" customHeight="1" spans="2:9">
      <c r="B1650" s="11">
        <v>1987</v>
      </c>
      <c r="C1650" s="11">
        <v>1987</v>
      </c>
      <c r="E1650" s="11">
        <v>5928</v>
      </c>
      <c r="F1650" s="11">
        <v>5928</v>
      </c>
      <c r="H1650" s="11">
        <v>6143</v>
      </c>
      <c r="I1650" s="11">
        <v>6143</v>
      </c>
    </row>
    <row r="1651" customHeight="1" spans="2:9">
      <c r="B1651" s="11">
        <v>1988</v>
      </c>
      <c r="C1651" s="11">
        <v>1988</v>
      </c>
      <c r="E1651" s="11">
        <v>5929</v>
      </c>
      <c r="F1651" s="11">
        <v>5929</v>
      </c>
      <c r="H1651" s="11">
        <v>6144</v>
      </c>
      <c r="I1651" s="11">
        <v>6144</v>
      </c>
    </row>
    <row r="1652" customHeight="1" spans="2:9">
      <c r="B1652" s="11">
        <v>1989</v>
      </c>
      <c r="C1652" s="11">
        <v>1989</v>
      </c>
      <c r="E1652" s="11">
        <v>5930</v>
      </c>
      <c r="F1652" s="11">
        <v>5930</v>
      </c>
      <c r="H1652" s="11">
        <v>6145</v>
      </c>
      <c r="I1652" s="11">
        <v>6145</v>
      </c>
    </row>
    <row r="1653" customHeight="1" spans="2:9">
      <c r="B1653" s="11">
        <v>1990</v>
      </c>
      <c r="C1653" s="11">
        <v>1990</v>
      </c>
      <c r="E1653" s="11">
        <v>5931</v>
      </c>
      <c r="F1653" s="11">
        <v>5931</v>
      </c>
      <c r="H1653" s="11">
        <v>6146</v>
      </c>
      <c r="I1653" s="11">
        <v>6146</v>
      </c>
    </row>
    <row r="1654" customHeight="1" spans="2:9">
      <c r="B1654" s="11">
        <v>1991</v>
      </c>
      <c r="C1654" s="11">
        <v>1991</v>
      </c>
      <c r="E1654" s="11">
        <v>5932</v>
      </c>
      <c r="F1654" s="11">
        <v>5932</v>
      </c>
      <c r="H1654" s="11">
        <v>6176</v>
      </c>
      <c r="I1654" s="11">
        <v>6176</v>
      </c>
    </row>
    <row r="1655" customHeight="1" spans="2:9">
      <c r="B1655" s="11">
        <v>1992</v>
      </c>
      <c r="C1655" s="11">
        <v>1992</v>
      </c>
      <c r="E1655" s="11">
        <v>5933</v>
      </c>
      <c r="F1655" s="11">
        <v>5933</v>
      </c>
      <c r="H1655" s="11">
        <v>6177</v>
      </c>
      <c r="I1655" s="11">
        <v>6177</v>
      </c>
    </row>
    <row r="1656" customHeight="1" spans="2:9">
      <c r="B1656" s="11">
        <v>1993</v>
      </c>
      <c r="C1656" s="11">
        <v>1993</v>
      </c>
      <c r="E1656" s="11">
        <v>5934</v>
      </c>
      <c r="F1656" s="11">
        <v>5934</v>
      </c>
      <c r="H1656" s="11">
        <v>6178</v>
      </c>
      <c r="I1656" s="11">
        <v>6178</v>
      </c>
    </row>
    <row r="1657" customHeight="1" spans="2:9">
      <c r="B1657" s="11">
        <v>1994</v>
      </c>
      <c r="C1657" s="11">
        <v>1994</v>
      </c>
      <c r="E1657" s="11">
        <v>5935</v>
      </c>
      <c r="F1657" s="11">
        <v>5935</v>
      </c>
      <c r="H1657" s="11">
        <v>6179</v>
      </c>
      <c r="I1657" s="11">
        <v>6179</v>
      </c>
    </row>
    <row r="1658" customHeight="1" spans="2:9">
      <c r="B1658" s="11">
        <v>1995</v>
      </c>
      <c r="C1658" s="11">
        <v>1995</v>
      </c>
      <c r="E1658" s="11">
        <v>5936</v>
      </c>
      <c r="F1658" s="11">
        <v>5936</v>
      </c>
      <c r="H1658" s="11">
        <v>6207</v>
      </c>
      <c r="I1658" s="11">
        <v>6207</v>
      </c>
    </row>
    <row r="1659" customHeight="1" spans="2:9">
      <c r="B1659" s="11">
        <v>1996</v>
      </c>
      <c r="C1659" s="11">
        <v>1996</v>
      </c>
      <c r="E1659" s="11">
        <v>5937</v>
      </c>
      <c r="F1659" s="11">
        <v>5937</v>
      </c>
      <c r="H1659" s="11">
        <v>6208</v>
      </c>
      <c r="I1659" s="11">
        <v>6208</v>
      </c>
    </row>
    <row r="1660" customHeight="1" spans="2:9">
      <c r="B1660" s="11">
        <v>1997</v>
      </c>
      <c r="C1660" s="11">
        <v>1997</v>
      </c>
      <c r="E1660" s="11">
        <v>5938</v>
      </c>
      <c r="F1660" s="11">
        <v>5938</v>
      </c>
      <c r="H1660" s="11">
        <v>6209</v>
      </c>
      <c r="I1660" s="11">
        <v>6209</v>
      </c>
    </row>
    <row r="1661" customHeight="1" spans="2:9">
      <c r="B1661" s="11">
        <v>1998</v>
      </c>
      <c r="C1661" s="11">
        <v>1998</v>
      </c>
      <c r="E1661" s="11">
        <v>5939</v>
      </c>
      <c r="F1661" s="11">
        <v>5939</v>
      </c>
      <c r="H1661" s="11">
        <v>6211</v>
      </c>
      <c r="I1661" s="11">
        <v>6211</v>
      </c>
    </row>
    <row r="1662" customHeight="1" spans="2:9">
      <c r="B1662" s="11">
        <v>1999</v>
      </c>
      <c r="C1662" s="11">
        <v>1999</v>
      </c>
      <c r="E1662" s="11">
        <v>5940</v>
      </c>
      <c r="F1662" s="11">
        <v>5940</v>
      </c>
      <c r="H1662" s="11">
        <v>6212</v>
      </c>
      <c r="I1662" s="11">
        <v>6212</v>
      </c>
    </row>
    <row r="1663" customHeight="1" spans="2:9">
      <c r="B1663" s="11">
        <v>3063</v>
      </c>
      <c r="C1663" s="11">
        <v>3063</v>
      </c>
      <c r="E1663" s="11">
        <v>5941</v>
      </c>
      <c r="F1663" s="11">
        <v>5941</v>
      </c>
      <c r="H1663" s="11">
        <v>6213</v>
      </c>
      <c r="I1663" s="11">
        <v>6213</v>
      </c>
    </row>
    <row r="1664" customHeight="1" spans="2:9">
      <c r="B1664" s="11">
        <v>3139</v>
      </c>
      <c r="C1664" s="11">
        <v>3139</v>
      </c>
      <c r="E1664" s="11">
        <v>5942</v>
      </c>
      <c r="F1664" s="11">
        <v>5942</v>
      </c>
      <c r="H1664" s="11">
        <v>6214</v>
      </c>
      <c r="I1664" s="11">
        <v>6214</v>
      </c>
    </row>
    <row r="1665" customHeight="1" spans="2:9">
      <c r="B1665" s="11">
        <v>3099</v>
      </c>
      <c r="C1665" s="11">
        <v>3099</v>
      </c>
      <c r="E1665" s="11">
        <v>5943</v>
      </c>
      <c r="F1665" s="11">
        <v>5943</v>
      </c>
      <c r="H1665" s="11">
        <v>6997</v>
      </c>
      <c r="I1665" s="11">
        <v>6997</v>
      </c>
    </row>
    <row r="1666" customHeight="1" spans="2:9">
      <c r="B1666" s="11">
        <v>3100</v>
      </c>
      <c r="C1666" s="11">
        <v>3100</v>
      </c>
      <c r="E1666" s="11">
        <v>5944</v>
      </c>
      <c r="F1666" s="11">
        <v>5944</v>
      </c>
      <c r="H1666" s="11">
        <v>6998</v>
      </c>
      <c r="I1666" s="11">
        <v>6998</v>
      </c>
    </row>
    <row r="1667" customHeight="1" spans="2:9">
      <c r="B1667" s="11">
        <v>3335</v>
      </c>
      <c r="C1667" s="11">
        <v>3335</v>
      </c>
      <c r="E1667" s="11">
        <v>5945</v>
      </c>
      <c r="F1667" s="11">
        <v>5945</v>
      </c>
      <c r="H1667" s="11">
        <v>6999</v>
      </c>
      <c r="I1667" s="11">
        <v>6999</v>
      </c>
    </row>
    <row r="1668" customHeight="1" spans="2:9">
      <c r="B1668" s="11">
        <v>3336</v>
      </c>
      <c r="C1668" s="11">
        <v>3336</v>
      </c>
      <c r="E1668" s="11">
        <v>5946</v>
      </c>
      <c r="F1668" s="11">
        <v>5946</v>
      </c>
      <c r="H1668" s="11">
        <v>7000</v>
      </c>
      <c r="I1668" s="11">
        <v>7000</v>
      </c>
    </row>
    <row r="1669" customHeight="1" spans="2:9">
      <c r="B1669" s="11">
        <v>3337</v>
      </c>
      <c r="C1669" s="11">
        <v>3337</v>
      </c>
      <c r="E1669" s="11">
        <v>5947</v>
      </c>
      <c r="F1669" s="11">
        <v>5947</v>
      </c>
      <c r="H1669" s="11">
        <v>7001</v>
      </c>
      <c r="I1669" s="11">
        <v>7001</v>
      </c>
    </row>
    <row r="1670" customHeight="1" spans="2:9">
      <c r="B1670" s="11">
        <v>3338</v>
      </c>
      <c r="C1670" s="11">
        <v>3338</v>
      </c>
      <c r="E1670" s="11">
        <v>5948</v>
      </c>
      <c r="F1670" s="11">
        <v>5948</v>
      </c>
      <c r="H1670" s="11">
        <v>7002</v>
      </c>
      <c r="I1670" s="11">
        <v>7002</v>
      </c>
    </row>
    <row r="1671" customHeight="1" spans="2:9">
      <c r="B1671" s="11">
        <v>3339</v>
      </c>
      <c r="C1671" s="11">
        <v>3339</v>
      </c>
      <c r="E1671" s="11">
        <v>5949</v>
      </c>
      <c r="F1671" s="11">
        <v>5949</v>
      </c>
      <c r="H1671" s="11">
        <v>7003</v>
      </c>
      <c r="I1671" s="11">
        <v>7003</v>
      </c>
    </row>
    <row r="1672" customHeight="1" spans="2:9">
      <c r="B1672" s="11">
        <v>3340</v>
      </c>
      <c r="C1672" s="11">
        <v>3340</v>
      </c>
      <c r="E1672" s="11">
        <v>5950</v>
      </c>
      <c r="F1672" s="11">
        <v>5950</v>
      </c>
      <c r="H1672" s="11">
        <v>7004</v>
      </c>
      <c r="I1672" s="11">
        <v>7004</v>
      </c>
    </row>
    <row r="1673" customHeight="1" spans="2:9">
      <c r="B1673" s="11">
        <v>3341</v>
      </c>
      <c r="C1673" s="11">
        <v>3341</v>
      </c>
      <c r="E1673" s="11">
        <v>5951</v>
      </c>
      <c r="F1673" s="11">
        <v>5951</v>
      </c>
      <c r="H1673" s="11">
        <v>7005</v>
      </c>
      <c r="I1673" s="11">
        <v>7005</v>
      </c>
    </row>
    <row r="1674" customHeight="1" spans="2:9">
      <c r="B1674" s="11">
        <v>3802</v>
      </c>
      <c r="C1674" s="11">
        <v>3802</v>
      </c>
      <c r="E1674" s="11">
        <v>5952</v>
      </c>
      <c r="F1674" s="11">
        <v>5952</v>
      </c>
      <c r="H1674" s="11">
        <v>7006</v>
      </c>
      <c r="I1674" s="11">
        <v>7006</v>
      </c>
    </row>
    <row r="1675" customHeight="1" spans="2:9">
      <c r="B1675" s="11">
        <v>3803</v>
      </c>
      <c r="C1675" s="11">
        <v>3803</v>
      </c>
      <c r="E1675" s="11">
        <v>5953</v>
      </c>
      <c r="F1675" s="11">
        <v>5953</v>
      </c>
      <c r="H1675" s="11">
        <v>7007</v>
      </c>
      <c r="I1675" s="11">
        <v>7007</v>
      </c>
    </row>
    <row r="1676" customHeight="1" spans="2:9">
      <c r="B1676" s="11">
        <v>3804</v>
      </c>
      <c r="C1676" s="11">
        <v>3804</v>
      </c>
      <c r="E1676" s="11">
        <v>5954</v>
      </c>
      <c r="F1676" s="11">
        <v>5954</v>
      </c>
      <c r="H1676" s="11">
        <v>7008</v>
      </c>
      <c r="I1676" s="11">
        <v>7008</v>
      </c>
    </row>
    <row r="1677" customHeight="1" spans="2:9">
      <c r="B1677" s="11">
        <v>3805</v>
      </c>
      <c r="C1677" s="11">
        <v>3805</v>
      </c>
      <c r="E1677" s="11">
        <v>5955</v>
      </c>
      <c r="F1677" s="11">
        <v>5955</v>
      </c>
      <c r="H1677" s="11">
        <v>7009</v>
      </c>
      <c r="I1677" s="11">
        <v>7009</v>
      </c>
    </row>
    <row r="1678" customHeight="1" spans="2:9">
      <c r="B1678" s="11">
        <v>3806</v>
      </c>
      <c r="C1678" s="11">
        <v>3806</v>
      </c>
      <c r="E1678" s="11">
        <v>5956</v>
      </c>
      <c r="F1678" s="11">
        <v>5956</v>
      </c>
      <c r="H1678" s="11">
        <v>7010</v>
      </c>
      <c r="I1678" s="11">
        <v>7010</v>
      </c>
    </row>
    <row r="1679" customHeight="1" spans="2:9">
      <c r="B1679" s="11">
        <v>3807</v>
      </c>
      <c r="C1679" s="11">
        <v>3807</v>
      </c>
      <c r="E1679" s="11">
        <v>5957</v>
      </c>
      <c r="F1679" s="11">
        <v>5957</v>
      </c>
      <c r="H1679" s="11">
        <v>7011</v>
      </c>
      <c r="I1679" s="11">
        <v>7011</v>
      </c>
    </row>
    <row r="1680" customHeight="1" spans="2:9">
      <c r="B1680" s="11">
        <v>3808</v>
      </c>
      <c r="C1680" s="11">
        <v>3808</v>
      </c>
      <c r="E1680" s="11">
        <v>5958</v>
      </c>
      <c r="F1680" s="11">
        <v>5958</v>
      </c>
      <c r="H1680" s="11">
        <v>7012</v>
      </c>
      <c r="I1680" s="11">
        <v>7012</v>
      </c>
    </row>
    <row r="1681" customHeight="1" spans="2:9">
      <c r="B1681" s="11">
        <v>3809</v>
      </c>
      <c r="C1681" s="11">
        <v>3809</v>
      </c>
      <c r="E1681" s="11">
        <v>5959</v>
      </c>
      <c r="F1681" s="11">
        <v>5959</v>
      </c>
      <c r="H1681" s="11">
        <v>7013</v>
      </c>
      <c r="I1681" s="11">
        <v>7013</v>
      </c>
    </row>
    <row r="1682" customHeight="1" spans="2:9">
      <c r="B1682" s="11">
        <v>3810</v>
      </c>
      <c r="C1682" s="11">
        <v>3810</v>
      </c>
      <c r="E1682" s="11">
        <v>5960</v>
      </c>
      <c r="F1682" s="11">
        <v>5960</v>
      </c>
      <c r="H1682" s="11">
        <v>7014</v>
      </c>
      <c r="I1682" s="11">
        <v>7014</v>
      </c>
    </row>
    <row r="1683" customHeight="1" spans="2:9">
      <c r="B1683" s="11">
        <v>3811</v>
      </c>
      <c r="C1683" s="11">
        <v>3811</v>
      </c>
      <c r="E1683" s="11">
        <v>5961</v>
      </c>
      <c r="F1683" s="11">
        <v>5961</v>
      </c>
      <c r="H1683" s="11">
        <v>7015</v>
      </c>
      <c r="I1683" s="11">
        <v>7015</v>
      </c>
    </row>
    <row r="1684" customHeight="1" spans="2:9">
      <c r="B1684" s="11">
        <v>3910</v>
      </c>
      <c r="C1684" s="11">
        <v>3910</v>
      </c>
      <c r="E1684" s="11">
        <v>5962</v>
      </c>
      <c r="F1684" s="11">
        <v>5962</v>
      </c>
      <c r="H1684" s="11">
        <v>7016</v>
      </c>
      <c r="I1684" s="11">
        <v>7016</v>
      </c>
    </row>
    <row r="1685" customHeight="1" spans="2:9">
      <c r="B1685" s="11">
        <v>3911</v>
      </c>
      <c r="C1685" s="11">
        <v>3911</v>
      </c>
      <c r="E1685" s="11">
        <v>5963</v>
      </c>
      <c r="F1685" s="11">
        <v>5963</v>
      </c>
      <c r="H1685" s="11">
        <v>7017</v>
      </c>
      <c r="I1685" s="11">
        <v>7017</v>
      </c>
    </row>
    <row r="1686" customHeight="1" spans="2:9">
      <c r="B1686" s="11">
        <v>3912</v>
      </c>
      <c r="C1686" s="11">
        <v>3912</v>
      </c>
      <c r="E1686" s="11">
        <v>5964</v>
      </c>
      <c r="F1686" s="11">
        <v>5964</v>
      </c>
      <c r="H1686" s="11">
        <v>7018</v>
      </c>
      <c r="I1686" s="11">
        <v>7018</v>
      </c>
    </row>
    <row r="1687" customHeight="1" spans="2:9">
      <c r="B1687" s="11">
        <v>3913</v>
      </c>
      <c r="C1687" s="11">
        <v>3913</v>
      </c>
      <c r="E1687" s="11">
        <v>5965</v>
      </c>
      <c r="F1687" s="11">
        <v>5965</v>
      </c>
      <c r="H1687" s="11">
        <v>7019</v>
      </c>
      <c r="I1687" s="11">
        <v>7019</v>
      </c>
    </row>
    <row r="1688" customHeight="1" spans="2:9">
      <c r="B1688" s="11">
        <v>3914</v>
      </c>
      <c r="C1688" s="11">
        <v>3914</v>
      </c>
      <c r="E1688" s="11">
        <v>5966</v>
      </c>
      <c r="F1688" s="11">
        <v>5966</v>
      </c>
      <c r="H1688" s="11">
        <v>7050</v>
      </c>
      <c r="I1688" s="11">
        <v>7050</v>
      </c>
    </row>
    <row r="1689" customHeight="1" spans="2:9">
      <c r="B1689" s="11">
        <v>3915</v>
      </c>
      <c r="C1689" s="11">
        <v>3915</v>
      </c>
      <c r="E1689" s="11">
        <v>5967</v>
      </c>
      <c r="F1689" s="11">
        <v>5967</v>
      </c>
      <c r="H1689" s="11">
        <v>7051</v>
      </c>
      <c r="I1689" s="11">
        <v>7051</v>
      </c>
    </row>
    <row r="1690" customHeight="1" spans="2:9">
      <c r="B1690" s="11">
        <v>3916</v>
      </c>
      <c r="C1690" s="11">
        <v>3916</v>
      </c>
      <c r="E1690" s="11">
        <v>5968</v>
      </c>
      <c r="F1690" s="11">
        <v>5968</v>
      </c>
      <c r="H1690" s="11">
        <v>7052</v>
      </c>
      <c r="I1690" s="11">
        <v>7052</v>
      </c>
    </row>
    <row r="1691" customHeight="1" spans="2:9">
      <c r="B1691" s="11">
        <v>3917</v>
      </c>
      <c r="C1691" s="11">
        <v>3917</v>
      </c>
      <c r="E1691" s="11">
        <v>5969</v>
      </c>
      <c r="F1691" s="11">
        <v>5969</v>
      </c>
      <c r="H1691" s="11">
        <v>7053</v>
      </c>
      <c r="I1691" s="11">
        <v>7053</v>
      </c>
    </row>
    <row r="1692" customHeight="1" spans="2:9">
      <c r="B1692" s="11">
        <v>3918</v>
      </c>
      <c r="C1692" s="11">
        <v>3918</v>
      </c>
      <c r="E1692" s="11">
        <v>5970</v>
      </c>
      <c r="F1692" s="11">
        <v>5970</v>
      </c>
      <c r="H1692" s="11">
        <v>7055</v>
      </c>
      <c r="I1692" s="11">
        <v>7055</v>
      </c>
    </row>
    <row r="1693" customHeight="1" spans="2:9">
      <c r="B1693" s="11">
        <v>3919</v>
      </c>
      <c r="C1693" s="11">
        <v>3919</v>
      </c>
      <c r="E1693" s="11">
        <v>5971</v>
      </c>
      <c r="F1693" s="11">
        <v>5971</v>
      </c>
      <c r="H1693" s="11">
        <v>7056</v>
      </c>
      <c r="I1693" s="11">
        <v>7056</v>
      </c>
    </row>
    <row r="1694" customHeight="1" spans="2:9">
      <c r="B1694" s="11">
        <v>3920</v>
      </c>
      <c r="C1694" s="11">
        <v>3920</v>
      </c>
      <c r="E1694" s="11">
        <v>5972</v>
      </c>
      <c r="F1694" s="11">
        <v>5972</v>
      </c>
      <c r="H1694" s="11">
        <v>7057</v>
      </c>
      <c r="I1694" s="11">
        <v>7057</v>
      </c>
    </row>
    <row r="1695" customHeight="1" spans="2:9">
      <c r="B1695" s="11">
        <v>3427</v>
      </c>
      <c r="C1695" s="11">
        <v>3427</v>
      </c>
      <c r="E1695" s="11">
        <v>5973</v>
      </c>
      <c r="F1695" s="11">
        <v>5973</v>
      </c>
      <c r="H1695" s="11">
        <v>7058</v>
      </c>
      <c r="I1695" s="11">
        <v>7058</v>
      </c>
    </row>
    <row r="1696" customHeight="1" spans="2:9">
      <c r="B1696" s="11">
        <v>3428</v>
      </c>
      <c r="C1696" s="11">
        <v>3428</v>
      </c>
      <c r="E1696" s="11">
        <v>5974</v>
      </c>
      <c r="F1696" s="11">
        <v>5974</v>
      </c>
      <c r="H1696" s="11">
        <v>7059</v>
      </c>
      <c r="I1696" s="11">
        <v>7059</v>
      </c>
    </row>
    <row r="1697" customHeight="1" spans="2:9">
      <c r="B1697" s="11">
        <v>3429</v>
      </c>
      <c r="C1697" s="11">
        <v>3429</v>
      </c>
      <c r="E1697" s="11">
        <v>5975</v>
      </c>
      <c r="F1697" s="11">
        <v>5975</v>
      </c>
      <c r="H1697" s="11">
        <v>7060</v>
      </c>
      <c r="I1697" s="11">
        <v>7060</v>
      </c>
    </row>
    <row r="1698" customHeight="1" spans="2:9">
      <c r="B1698" s="11">
        <v>3430</v>
      </c>
      <c r="C1698" s="11">
        <v>3430</v>
      </c>
      <c r="E1698" s="11">
        <v>5976</v>
      </c>
      <c r="F1698" s="11">
        <v>5976</v>
      </c>
      <c r="H1698" s="11">
        <v>7061</v>
      </c>
      <c r="I1698" s="11">
        <v>7061</v>
      </c>
    </row>
    <row r="1699" customHeight="1" spans="2:9">
      <c r="B1699" s="11">
        <v>3431</v>
      </c>
      <c r="C1699" s="11">
        <v>3431</v>
      </c>
      <c r="E1699" s="11">
        <v>5977</v>
      </c>
      <c r="F1699" s="11">
        <v>5977</v>
      </c>
      <c r="H1699" s="11">
        <v>7062</v>
      </c>
      <c r="I1699" s="11">
        <v>7062</v>
      </c>
    </row>
    <row r="1700" customHeight="1" spans="2:9">
      <c r="B1700" s="11">
        <v>3432</v>
      </c>
      <c r="C1700" s="11">
        <v>3432</v>
      </c>
      <c r="E1700" s="11">
        <v>5978</v>
      </c>
      <c r="F1700" s="11">
        <v>5978</v>
      </c>
      <c r="H1700" s="11">
        <v>7063</v>
      </c>
      <c r="I1700" s="11">
        <v>7063</v>
      </c>
    </row>
    <row r="1701" customHeight="1" spans="2:9">
      <c r="B1701" s="11">
        <v>3433</v>
      </c>
      <c r="C1701" s="11">
        <v>3433</v>
      </c>
      <c r="E1701" s="11">
        <v>5979</v>
      </c>
      <c r="F1701" s="11">
        <v>5979</v>
      </c>
      <c r="H1701" s="11">
        <v>7064</v>
      </c>
      <c r="I1701" s="11">
        <v>7064</v>
      </c>
    </row>
    <row r="1702" customHeight="1" spans="2:9">
      <c r="B1702" s="11">
        <v>3434</v>
      </c>
      <c r="C1702" s="11">
        <v>3434</v>
      </c>
      <c r="E1702" s="11">
        <v>5980</v>
      </c>
      <c r="F1702" s="11">
        <v>5980</v>
      </c>
      <c r="H1702" s="11">
        <v>7065</v>
      </c>
      <c r="I1702" s="11">
        <v>7065</v>
      </c>
    </row>
    <row r="1703" customHeight="1" spans="2:9">
      <c r="B1703" s="11">
        <v>3435</v>
      </c>
      <c r="C1703" s="11">
        <v>3435</v>
      </c>
      <c r="E1703" s="11">
        <v>5981</v>
      </c>
      <c r="F1703" s="11">
        <v>5981</v>
      </c>
      <c r="H1703" s="11">
        <v>7066</v>
      </c>
      <c r="I1703" s="11">
        <v>7066</v>
      </c>
    </row>
    <row r="1704" customHeight="1" spans="2:9">
      <c r="B1704" s="11">
        <v>3436</v>
      </c>
      <c r="C1704" s="11">
        <v>3436</v>
      </c>
      <c r="E1704" s="11">
        <v>5982</v>
      </c>
      <c r="F1704" s="11">
        <v>5982</v>
      </c>
      <c r="H1704" s="11">
        <v>7067</v>
      </c>
      <c r="I1704" s="11">
        <v>7067</v>
      </c>
    </row>
    <row r="1705" customHeight="1" spans="2:9">
      <c r="B1705" s="11">
        <v>3437</v>
      </c>
      <c r="C1705" s="11">
        <v>3437</v>
      </c>
      <c r="E1705" s="11">
        <v>5983</v>
      </c>
      <c r="F1705" s="11">
        <v>5983</v>
      </c>
      <c r="H1705" s="11">
        <v>7068</v>
      </c>
      <c r="I1705" s="11">
        <v>7068</v>
      </c>
    </row>
    <row r="1706" customHeight="1" spans="2:9">
      <c r="B1706" s="11">
        <v>3438</v>
      </c>
      <c r="C1706" s="11">
        <v>3438</v>
      </c>
      <c r="E1706" s="11">
        <v>5984</v>
      </c>
      <c r="F1706" s="11">
        <v>5984</v>
      </c>
      <c r="H1706" s="11">
        <v>7069</v>
      </c>
      <c r="I1706" s="11">
        <v>7069</v>
      </c>
    </row>
    <row r="1707" customHeight="1" spans="2:9">
      <c r="B1707" s="11">
        <v>3439</v>
      </c>
      <c r="C1707" s="11">
        <v>3439</v>
      </c>
      <c r="E1707" s="11">
        <v>5985</v>
      </c>
      <c r="F1707" s="11">
        <v>5985</v>
      </c>
      <c r="H1707" s="11">
        <v>7070</v>
      </c>
      <c r="I1707" s="11">
        <v>7070</v>
      </c>
    </row>
    <row r="1708" customHeight="1" spans="2:9">
      <c r="B1708" s="11">
        <v>3440</v>
      </c>
      <c r="C1708" s="11">
        <v>3440</v>
      </c>
      <c r="E1708" s="11">
        <v>5986</v>
      </c>
      <c r="F1708" s="11">
        <v>5986</v>
      </c>
      <c r="H1708" s="11">
        <v>7071</v>
      </c>
      <c r="I1708" s="11">
        <v>7071</v>
      </c>
    </row>
    <row r="1709" customHeight="1" spans="2:9">
      <c r="B1709" s="11">
        <v>3441</v>
      </c>
      <c r="C1709" s="11">
        <v>3441</v>
      </c>
      <c r="E1709" s="11">
        <v>5987</v>
      </c>
      <c r="F1709" s="11">
        <v>5987</v>
      </c>
      <c r="H1709" s="11">
        <v>7072</v>
      </c>
      <c r="I1709" s="11">
        <v>7072</v>
      </c>
    </row>
    <row r="1710" customHeight="1" spans="2:9">
      <c r="B1710" s="11">
        <v>3442</v>
      </c>
      <c r="C1710" s="11">
        <v>3442</v>
      </c>
      <c r="E1710" s="11">
        <v>5988</v>
      </c>
      <c r="F1710" s="11">
        <v>5988</v>
      </c>
      <c r="H1710" s="11">
        <v>7073</v>
      </c>
      <c r="I1710" s="11">
        <v>7073</v>
      </c>
    </row>
    <row r="1711" customHeight="1" spans="2:9">
      <c r="B1711" s="11">
        <v>3443</v>
      </c>
      <c r="C1711" s="11">
        <v>3443</v>
      </c>
      <c r="E1711" s="11">
        <v>5989</v>
      </c>
      <c r="F1711" s="11">
        <v>5989</v>
      </c>
      <c r="H1711" s="11">
        <v>7074</v>
      </c>
      <c r="I1711" s="11">
        <v>7074</v>
      </c>
    </row>
    <row r="1712" customHeight="1" spans="2:9">
      <c r="B1712" s="11">
        <v>3926</v>
      </c>
      <c r="C1712" s="11">
        <v>3926</v>
      </c>
      <c r="E1712" s="11">
        <v>5990</v>
      </c>
      <c r="F1712" s="11">
        <v>5990</v>
      </c>
      <c r="H1712" s="11">
        <v>7075</v>
      </c>
      <c r="I1712" s="11">
        <v>7075</v>
      </c>
    </row>
    <row r="1713" customHeight="1" spans="2:9">
      <c r="B1713" s="11">
        <v>3927</v>
      </c>
      <c r="C1713" s="11">
        <v>3927</v>
      </c>
      <c r="E1713" s="11">
        <v>5991</v>
      </c>
      <c r="F1713" s="11">
        <v>5991</v>
      </c>
      <c r="H1713" s="11">
        <v>7076</v>
      </c>
      <c r="I1713" s="11">
        <v>7076</v>
      </c>
    </row>
    <row r="1714" customHeight="1" spans="2:9">
      <c r="B1714" s="11">
        <v>3928</v>
      </c>
      <c r="C1714" s="11">
        <v>3928</v>
      </c>
      <c r="E1714" s="11">
        <v>5992</v>
      </c>
      <c r="F1714" s="11">
        <v>5992</v>
      </c>
      <c r="H1714" s="11">
        <v>7077</v>
      </c>
      <c r="I1714" s="11">
        <v>7077</v>
      </c>
    </row>
    <row r="1715" customHeight="1" spans="2:9">
      <c r="B1715" s="11">
        <v>3929</v>
      </c>
      <c r="C1715" s="11">
        <v>3929</v>
      </c>
      <c r="E1715" s="11">
        <v>5993</v>
      </c>
      <c r="F1715" s="11">
        <v>5993</v>
      </c>
      <c r="H1715" s="11">
        <v>7078</v>
      </c>
      <c r="I1715" s="11">
        <v>7078</v>
      </c>
    </row>
    <row r="1716" customHeight="1" spans="2:9">
      <c r="B1716" s="11">
        <v>3930</v>
      </c>
      <c r="C1716" s="11">
        <v>3930</v>
      </c>
      <c r="E1716" s="11">
        <v>5994</v>
      </c>
      <c r="F1716" s="11">
        <v>5994</v>
      </c>
      <c r="H1716" s="11">
        <v>7079</v>
      </c>
      <c r="I1716" s="11">
        <v>7079</v>
      </c>
    </row>
    <row r="1717" customHeight="1" spans="2:9">
      <c r="B1717" s="11">
        <v>3931</v>
      </c>
      <c r="C1717" s="11">
        <v>3931</v>
      </c>
      <c r="E1717" s="11">
        <v>5995</v>
      </c>
      <c r="F1717" s="11">
        <v>5995</v>
      </c>
      <c r="H1717" s="11">
        <v>7080</v>
      </c>
      <c r="I1717" s="11">
        <v>7080</v>
      </c>
    </row>
    <row r="1718" customHeight="1" spans="2:9">
      <c r="B1718" s="11">
        <v>3932</v>
      </c>
      <c r="C1718" s="11">
        <v>3932</v>
      </c>
      <c r="E1718" s="11">
        <v>5996</v>
      </c>
      <c r="F1718" s="11">
        <v>5996</v>
      </c>
      <c r="H1718" s="11">
        <v>7081</v>
      </c>
      <c r="I1718" s="11">
        <v>7081</v>
      </c>
    </row>
    <row r="1719" customHeight="1" spans="2:9">
      <c r="B1719" s="11">
        <v>3933</v>
      </c>
      <c r="C1719" s="11">
        <v>3933</v>
      </c>
      <c r="E1719" s="11">
        <v>5997</v>
      </c>
      <c r="F1719" s="11">
        <v>5997</v>
      </c>
      <c r="H1719" s="11">
        <v>7082</v>
      </c>
      <c r="I1719" s="11">
        <v>7082</v>
      </c>
    </row>
    <row r="1720" customHeight="1" spans="2:9">
      <c r="B1720" s="11">
        <v>3934</v>
      </c>
      <c r="C1720" s="11">
        <v>3934</v>
      </c>
      <c r="E1720" s="11">
        <v>5998</v>
      </c>
      <c r="F1720" s="11">
        <v>5998</v>
      </c>
      <c r="H1720" s="11">
        <v>7083</v>
      </c>
      <c r="I1720" s="11">
        <v>7083</v>
      </c>
    </row>
    <row r="1721" customHeight="1" spans="2:9">
      <c r="B1721" s="11">
        <v>3935</v>
      </c>
      <c r="C1721" s="11">
        <v>3935</v>
      </c>
      <c r="E1721" s="11">
        <v>5999</v>
      </c>
      <c r="F1721" s="11">
        <v>5999</v>
      </c>
      <c r="H1721" s="11">
        <v>7084</v>
      </c>
      <c r="I1721" s="11">
        <v>7084</v>
      </c>
    </row>
    <row r="1722" customHeight="1" spans="2:9">
      <c r="B1722" s="11">
        <v>3936</v>
      </c>
      <c r="C1722" s="11">
        <v>3936</v>
      </c>
      <c r="E1722" s="11">
        <v>4550</v>
      </c>
      <c r="F1722" s="11">
        <v>4550</v>
      </c>
      <c r="H1722" s="11">
        <v>7085</v>
      </c>
      <c r="I1722" s="11">
        <v>7085</v>
      </c>
    </row>
    <row r="1723" customHeight="1" spans="2:9">
      <c r="B1723" s="11">
        <v>3937</v>
      </c>
      <c r="C1723" s="11">
        <v>3937</v>
      </c>
      <c r="E1723" s="11">
        <v>4551</v>
      </c>
      <c r="F1723" s="11">
        <v>4551</v>
      </c>
      <c r="H1723" s="11">
        <v>7086</v>
      </c>
      <c r="I1723" s="11">
        <v>7086</v>
      </c>
    </row>
    <row r="1724" customHeight="1" spans="2:9">
      <c r="B1724" s="11">
        <v>3938</v>
      </c>
      <c r="C1724" s="11">
        <v>3938</v>
      </c>
      <c r="E1724" s="11">
        <v>4552</v>
      </c>
      <c r="F1724" s="11">
        <v>4552</v>
      </c>
      <c r="H1724" s="11">
        <v>7087</v>
      </c>
      <c r="I1724" s="11">
        <v>7087</v>
      </c>
    </row>
    <row r="1725" customHeight="1" spans="2:9">
      <c r="B1725" s="11">
        <v>3939</v>
      </c>
      <c r="C1725" s="11">
        <v>3939</v>
      </c>
      <c r="E1725" s="11">
        <v>4553</v>
      </c>
      <c r="F1725" s="11">
        <v>4553</v>
      </c>
      <c r="H1725" s="11">
        <v>7088</v>
      </c>
      <c r="I1725" s="11">
        <v>7088</v>
      </c>
    </row>
    <row r="1726" customHeight="1" spans="2:9">
      <c r="B1726" s="11">
        <v>3940</v>
      </c>
      <c r="C1726" s="11">
        <v>3940</v>
      </c>
      <c r="E1726" s="11">
        <v>4554</v>
      </c>
      <c r="F1726" s="11">
        <v>4554</v>
      </c>
      <c r="H1726" s="11">
        <v>7089</v>
      </c>
      <c r="I1726" s="11">
        <v>7089</v>
      </c>
    </row>
    <row r="1727" customHeight="1" spans="2:9">
      <c r="B1727" s="11">
        <v>3941</v>
      </c>
      <c r="C1727" s="11">
        <v>3941</v>
      </c>
      <c r="E1727" s="11">
        <v>4555</v>
      </c>
      <c r="F1727" s="11">
        <v>4555</v>
      </c>
      <c r="H1727" s="11">
        <v>7090</v>
      </c>
      <c r="I1727" s="11">
        <v>7090</v>
      </c>
    </row>
    <row r="1728" customHeight="1" spans="2:9">
      <c r="B1728" s="11">
        <v>3942</v>
      </c>
      <c r="C1728" s="11">
        <v>3942</v>
      </c>
      <c r="E1728" s="11">
        <v>4556</v>
      </c>
      <c r="F1728" s="11">
        <v>4556</v>
      </c>
      <c r="H1728" s="11">
        <v>7091</v>
      </c>
      <c r="I1728" s="11">
        <v>7091</v>
      </c>
    </row>
    <row r="1729" customHeight="1" spans="2:9">
      <c r="B1729" s="11">
        <v>3943</v>
      </c>
      <c r="C1729" s="11">
        <v>3943</v>
      </c>
      <c r="E1729" s="11">
        <v>4557</v>
      </c>
      <c r="F1729" s="11">
        <v>4557</v>
      </c>
      <c r="H1729" s="11">
        <v>7092</v>
      </c>
      <c r="I1729" s="11">
        <v>7092</v>
      </c>
    </row>
    <row r="1730" customHeight="1" spans="2:9">
      <c r="B1730" s="11">
        <v>3944</v>
      </c>
      <c r="C1730" s="11">
        <v>3944</v>
      </c>
      <c r="E1730" s="11">
        <v>4558</v>
      </c>
      <c r="F1730" s="11">
        <v>4558</v>
      </c>
      <c r="H1730" s="11">
        <v>7093</v>
      </c>
      <c r="I1730" s="11">
        <v>7093</v>
      </c>
    </row>
    <row r="1731" customHeight="1" spans="2:9">
      <c r="B1731" s="11">
        <v>3980</v>
      </c>
      <c r="C1731" s="11">
        <v>3980</v>
      </c>
      <c r="E1731" s="11">
        <v>4559</v>
      </c>
      <c r="F1731" s="11">
        <v>4559</v>
      </c>
      <c r="H1731" s="11">
        <v>7094</v>
      </c>
      <c r="I1731" s="11">
        <v>7094</v>
      </c>
    </row>
    <row r="1732" customHeight="1" spans="2:9">
      <c r="B1732" s="11">
        <v>3981</v>
      </c>
      <c r="C1732" s="11">
        <v>3981</v>
      </c>
      <c r="E1732" s="11">
        <v>4560</v>
      </c>
      <c r="F1732" s="11">
        <v>4560</v>
      </c>
      <c r="H1732" s="11">
        <v>7095</v>
      </c>
      <c r="I1732" s="11">
        <v>7095</v>
      </c>
    </row>
    <row r="1733" customHeight="1" spans="2:9">
      <c r="B1733" s="11">
        <v>3982</v>
      </c>
      <c r="C1733" s="11">
        <v>3982</v>
      </c>
      <c r="E1733" s="11">
        <v>4561</v>
      </c>
      <c r="F1733" s="11">
        <v>4561</v>
      </c>
      <c r="H1733" s="11">
        <v>7096</v>
      </c>
      <c r="I1733" s="11">
        <v>7096</v>
      </c>
    </row>
    <row r="1734" customHeight="1" spans="2:9">
      <c r="B1734" s="11">
        <v>3983</v>
      </c>
      <c r="C1734" s="11">
        <v>3983</v>
      </c>
      <c r="E1734" s="11">
        <v>4562</v>
      </c>
      <c r="F1734" s="11">
        <v>4562</v>
      </c>
      <c r="H1734" s="11">
        <v>7097</v>
      </c>
      <c r="I1734" s="11">
        <v>7097</v>
      </c>
    </row>
    <row r="1735" customHeight="1" spans="2:9">
      <c r="B1735" s="11">
        <v>3975</v>
      </c>
      <c r="C1735" s="11">
        <v>3975</v>
      </c>
      <c r="E1735" s="11">
        <v>4563</v>
      </c>
      <c r="F1735" s="11">
        <v>4563</v>
      </c>
      <c r="H1735" s="11">
        <v>7098</v>
      </c>
      <c r="I1735" s="11">
        <v>7098</v>
      </c>
    </row>
    <row r="1736" customHeight="1" spans="2:9">
      <c r="B1736" s="11">
        <v>3976</v>
      </c>
      <c r="C1736" s="11">
        <v>3976</v>
      </c>
      <c r="E1736" s="11">
        <v>4564</v>
      </c>
      <c r="F1736" s="11">
        <v>4564</v>
      </c>
      <c r="H1736" s="11">
        <v>7099</v>
      </c>
      <c r="I1736" s="11">
        <v>7099</v>
      </c>
    </row>
    <row r="1737" customHeight="1" spans="2:9">
      <c r="B1737" s="11">
        <v>3977</v>
      </c>
      <c r="C1737" s="11">
        <v>3977</v>
      </c>
      <c r="E1737" s="11">
        <v>4565</v>
      </c>
      <c r="F1737" s="11">
        <v>4565</v>
      </c>
      <c r="H1737" s="11">
        <v>7100</v>
      </c>
      <c r="I1737" s="11">
        <v>7100</v>
      </c>
    </row>
    <row r="1738" customHeight="1" spans="2:9">
      <c r="B1738" s="11">
        <v>3978</v>
      </c>
      <c r="C1738" s="11">
        <v>3978</v>
      </c>
      <c r="E1738" s="11">
        <v>4566</v>
      </c>
      <c r="F1738" s="11">
        <v>4566</v>
      </c>
      <c r="H1738" s="11">
        <v>7101</v>
      </c>
      <c r="I1738" s="11">
        <v>7101</v>
      </c>
    </row>
    <row r="1739" customHeight="1" spans="2:9">
      <c r="B1739" s="11">
        <v>3750</v>
      </c>
      <c r="C1739" s="11">
        <v>3750</v>
      </c>
      <c r="E1739" s="11">
        <v>4567</v>
      </c>
      <c r="F1739" s="11">
        <v>4567</v>
      </c>
      <c r="H1739" s="11">
        <v>7102</v>
      </c>
      <c r="I1739" s="11">
        <v>7102</v>
      </c>
    </row>
    <row r="1740" customHeight="1" spans="2:9">
      <c r="B1740" s="11">
        <v>3751</v>
      </c>
      <c r="C1740" s="11">
        <v>3751</v>
      </c>
      <c r="E1740" s="11">
        <v>4568</v>
      </c>
      <c r="F1740" s="11">
        <v>4568</v>
      </c>
      <c r="H1740" s="11">
        <v>7103</v>
      </c>
      <c r="I1740" s="11">
        <v>7103</v>
      </c>
    </row>
    <row r="1741" customHeight="1" spans="2:9">
      <c r="B1741" s="11">
        <v>3752</v>
      </c>
      <c r="C1741" s="11">
        <v>3752</v>
      </c>
      <c r="E1741" s="11">
        <v>4569</v>
      </c>
      <c r="F1741" s="11">
        <v>4569</v>
      </c>
      <c r="H1741" s="11">
        <v>7104</v>
      </c>
      <c r="I1741" s="11">
        <v>7104</v>
      </c>
    </row>
    <row r="1742" customHeight="1" spans="2:9">
      <c r="B1742" s="11">
        <v>3753</v>
      </c>
      <c r="C1742" s="11">
        <v>3753</v>
      </c>
      <c r="E1742" s="11">
        <v>4570</v>
      </c>
      <c r="F1742" s="11">
        <v>4570</v>
      </c>
      <c r="H1742" s="11">
        <v>7105</v>
      </c>
      <c r="I1742" s="11">
        <v>7105</v>
      </c>
    </row>
    <row r="1743" customHeight="1" spans="2:9">
      <c r="B1743" s="11">
        <v>3754</v>
      </c>
      <c r="C1743" s="11">
        <v>3754</v>
      </c>
      <c r="E1743" s="11">
        <v>4571</v>
      </c>
      <c r="F1743" s="11">
        <v>4571</v>
      </c>
      <c r="H1743" s="11">
        <v>7106</v>
      </c>
      <c r="I1743" s="11">
        <v>7106</v>
      </c>
    </row>
    <row r="1744" customHeight="1" spans="2:9">
      <c r="B1744" s="11">
        <v>3755</v>
      </c>
      <c r="C1744" s="11">
        <v>3755</v>
      </c>
      <c r="E1744" s="11">
        <v>4572</v>
      </c>
      <c r="F1744" s="11">
        <v>4572</v>
      </c>
      <c r="H1744" s="11">
        <v>7107</v>
      </c>
      <c r="I1744" s="11">
        <v>7107</v>
      </c>
    </row>
    <row r="1745" customHeight="1" spans="2:9">
      <c r="B1745" s="11">
        <v>3756</v>
      </c>
      <c r="C1745" s="11">
        <v>3756</v>
      </c>
      <c r="E1745" s="11">
        <v>4573</v>
      </c>
      <c r="F1745" s="11">
        <v>4573</v>
      </c>
      <c r="H1745" s="11">
        <v>7108</v>
      </c>
      <c r="I1745" s="11">
        <v>7108</v>
      </c>
    </row>
    <row r="1746" customHeight="1" spans="2:9">
      <c r="B1746" s="11">
        <v>3757</v>
      </c>
      <c r="C1746" s="11">
        <v>3757</v>
      </c>
      <c r="E1746" s="11">
        <v>4574</v>
      </c>
      <c r="F1746" s="11">
        <v>4574</v>
      </c>
      <c r="H1746" s="11">
        <v>7172</v>
      </c>
      <c r="I1746" s="11">
        <v>7172</v>
      </c>
    </row>
    <row r="1747" customHeight="1" spans="2:9">
      <c r="B1747" s="11">
        <v>3758</v>
      </c>
      <c r="C1747" s="11">
        <v>3758</v>
      </c>
      <c r="E1747" s="11">
        <v>4575</v>
      </c>
      <c r="F1747" s="11">
        <v>4575</v>
      </c>
      <c r="H1747" s="11">
        <v>7248</v>
      </c>
      <c r="I1747" s="11">
        <v>7248</v>
      </c>
    </row>
    <row r="1748" customHeight="1" spans="2:9">
      <c r="B1748" s="11">
        <v>3759</v>
      </c>
      <c r="C1748" s="11">
        <v>3759</v>
      </c>
      <c r="E1748" s="11">
        <v>4576</v>
      </c>
      <c r="F1748" s="11">
        <v>4576</v>
      </c>
      <c r="H1748" s="11">
        <v>7249</v>
      </c>
      <c r="I1748" s="11">
        <v>7249</v>
      </c>
    </row>
    <row r="1749" customHeight="1" spans="2:9">
      <c r="B1749" s="11">
        <v>3760</v>
      </c>
      <c r="C1749" s="11">
        <v>3760</v>
      </c>
      <c r="E1749" s="11">
        <v>4577</v>
      </c>
      <c r="F1749" s="11">
        <v>4577</v>
      </c>
      <c r="H1749" s="11">
        <v>7250</v>
      </c>
      <c r="I1749" s="11">
        <v>7250</v>
      </c>
    </row>
    <row r="1750" customHeight="1" spans="2:9">
      <c r="B1750" s="11">
        <v>3761</v>
      </c>
      <c r="C1750" s="11">
        <v>3761</v>
      </c>
      <c r="E1750" s="11">
        <v>4578</v>
      </c>
      <c r="F1750" s="11">
        <v>4578</v>
      </c>
      <c r="H1750" s="11">
        <v>7251</v>
      </c>
      <c r="I1750" s="11">
        <v>7251</v>
      </c>
    </row>
    <row r="1751" customHeight="1" spans="2:9">
      <c r="B1751" s="11">
        <v>3762</v>
      </c>
      <c r="C1751" s="11">
        <v>3762</v>
      </c>
      <c r="E1751" s="11">
        <v>4579</v>
      </c>
      <c r="F1751" s="11">
        <v>4579</v>
      </c>
      <c r="H1751" s="11">
        <v>7252</v>
      </c>
      <c r="I1751" s="11">
        <v>7252</v>
      </c>
    </row>
    <row r="1752" customHeight="1" spans="2:9">
      <c r="B1752" s="11">
        <v>3763</v>
      </c>
      <c r="C1752" s="11">
        <v>3763</v>
      </c>
      <c r="E1752" s="11">
        <v>5158</v>
      </c>
      <c r="F1752" s="11">
        <v>5158</v>
      </c>
      <c r="H1752" s="11">
        <v>7253</v>
      </c>
      <c r="I1752" s="11">
        <v>7253</v>
      </c>
    </row>
    <row r="1753" customHeight="1" spans="2:9">
      <c r="B1753" s="11">
        <v>3764</v>
      </c>
      <c r="C1753" s="11">
        <v>3764</v>
      </c>
      <c r="E1753" s="11">
        <v>5159</v>
      </c>
      <c r="F1753" s="11">
        <v>5159</v>
      </c>
      <c r="H1753" s="11">
        <v>7254</v>
      </c>
      <c r="I1753" s="11">
        <v>7254</v>
      </c>
    </row>
    <row r="1754" customHeight="1" spans="2:9">
      <c r="B1754" s="11">
        <v>3765</v>
      </c>
      <c r="C1754" s="11">
        <v>3765</v>
      </c>
      <c r="E1754" s="11">
        <v>5160</v>
      </c>
      <c r="F1754" s="11">
        <v>5160</v>
      </c>
      <c r="H1754" s="11">
        <v>7258</v>
      </c>
      <c r="I1754" s="11">
        <v>7258</v>
      </c>
    </row>
    <row r="1755" customHeight="1" spans="2:9">
      <c r="B1755" s="11">
        <v>3766</v>
      </c>
      <c r="C1755" s="11">
        <v>3766</v>
      </c>
      <c r="E1755" s="11">
        <v>5161</v>
      </c>
      <c r="F1755" s="11">
        <v>5161</v>
      </c>
      <c r="H1755" s="11">
        <v>7259</v>
      </c>
      <c r="I1755" s="11">
        <v>7259</v>
      </c>
    </row>
    <row r="1756" customHeight="1" spans="2:9">
      <c r="B1756" s="11">
        <v>3767</v>
      </c>
      <c r="C1756" s="11">
        <v>3767</v>
      </c>
      <c r="E1756" s="11">
        <v>5162</v>
      </c>
      <c r="F1756" s="11">
        <v>5162</v>
      </c>
      <c r="H1756" s="11">
        <v>7260</v>
      </c>
      <c r="I1756" s="11">
        <v>7260</v>
      </c>
    </row>
    <row r="1757" customHeight="1" spans="2:9">
      <c r="B1757" s="11">
        <v>3768</v>
      </c>
      <c r="C1757" s="11">
        <v>3768</v>
      </c>
      <c r="E1757" s="11">
        <v>5163</v>
      </c>
      <c r="F1757" s="11">
        <v>5163</v>
      </c>
      <c r="H1757" s="11">
        <v>7261</v>
      </c>
      <c r="I1757" s="11">
        <v>7261</v>
      </c>
    </row>
    <row r="1758" customHeight="1" spans="2:9">
      <c r="B1758" s="11">
        <v>3769</v>
      </c>
      <c r="C1758" s="11">
        <v>3769</v>
      </c>
      <c r="E1758" s="11">
        <v>5164</v>
      </c>
      <c r="F1758" s="11">
        <v>5164</v>
      </c>
      <c r="H1758" s="11">
        <v>7262</v>
      </c>
      <c r="I1758" s="11">
        <v>7262</v>
      </c>
    </row>
    <row r="1759" customHeight="1" spans="2:9">
      <c r="B1759" s="11">
        <v>3770</v>
      </c>
      <c r="C1759" s="11">
        <v>3770</v>
      </c>
      <c r="E1759" s="11">
        <v>5165</v>
      </c>
      <c r="F1759" s="11">
        <v>5165</v>
      </c>
      <c r="H1759" s="11">
        <v>7263</v>
      </c>
      <c r="I1759" s="11">
        <v>7263</v>
      </c>
    </row>
    <row r="1760" customHeight="1" spans="2:9">
      <c r="B1760" s="11">
        <v>3771</v>
      </c>
      <c r="C1760" s="11">
        <v>3771</v>
      </c>
      <c r="E1760" s="11">
        <v>5166</v>
      </c>
      <c r="F1760" s="11">
        <v>5166</v>
      </c>
      <c r="H1760" s="11">
        <v>7264</v>
      </c>
      <c r="I1760" s="11">
        <v>7264</v>
      </c>
    </row>
    <row r="1761" customHeight="1" spans="2:9">
      <c r="B1761" s="11">
        <v>3772</v>
      </c>
      <c r="C1761" s="11">
        <v>3772</v>
      </c>
      <c r="E1761" s="11">
        <v>5167</v>
      </c>
      <c r="F1761" s="11">
        <v>5167</v>
      </c>
      <c r="H1761" s="11">
        <v>7265</v>
      </c>
      <c r="I1761" s="11">
        <v>7265</v>
      </c>
    </row>
    <row r="1762" customHeight="1" spans="2:9">
      <c r="B1762" s="11">
        <v>3773</v>
      </c>
      <c r="C1762" s="11">
        <v>3773</v>
      </c>
      <c r="E1762" s="11">
        <v>5168</v>
      </c>
      <c r="F1762" s="11">
        <v>5168</v>
      </c>
      <c r="H1762" s="11">
        <v>7266</v>
      </c>
      <c r="I1762" s="11">
        <v>7266</v>
      </c>
    </row>
    <row r="1763" customHeight="1" spans="2:9">
      <c r="B1763" s="11">
        <v>3774</v>
      </c>
      <c r="C1763" s="11">
        <v>3774</v>
      </c>
      <c r="E1763" s="11">
        <v>5169</v>
      </c>
      <c r="F1763" s="11">
        <v>5169</v>
      </c>
      <c r="H1763" s="11">
        <v>7267</v>
      </c>
      <c r="I1763" s="11">
        <v>7267</v>
      </c>
    </row>
    <row r="1764" customHeight="1" spans="2:9">
      <c r="B1764" s="11">
        <v>3775</v>
      </c>
      <c r="C1764" s="11">
        <v>3775</v>
      </c>
      <c r="E1764" s="11">
        <v>5115</v>
      </c>
      <c r="F1764" s="11">
        <v>5115</v>
      </c>
      <c r="H1764" s="11">
        <v>7268</v>
      </c>
      <c r="I1764" s="11">
        <v>7268</v>
      </c>
    </row>
    <row r="1765" customHeight="1" spans="2:9">
      <c r="B1765" s="11">
        <v>3776</v>
      </c>
      <c r="C1765" s="11">
        <v>3776</v>
      </c>
      <c r="E1765" s="11">
        <v>5116</v>
      </c>
      <c r="F1765" s="11">
        <v>5116</v>
      </c>
      <c r="H1765" s="11">
        <v>7269</v>
      </c>
      <c r="I1765" s="11">
        <v>7269</v>
      </c>
    </row>
    <row r="1766" customHeight="1" spans="2:9">
      <c r="B1766" s="11">
        <v>3777</v>
      </c>
      <c r="C1766" s="11">
        <v>3777</v>
      </c>
      <c r="E1766" s="11">
        <v>5117</v>
      </c>
      <c r="F1766" s="11">
        <v>5117</v>
      </c>
      <c r="H1766" s="11">
        <v>7270</v>
      </c>
      <c r="I1766" s="11">
        <v>7270</v>
      </c>
    </row>
    <row r="1767" customHeight="1" spans="2:9">
      <c r="B1767" s="11">
        <v>3778</v>
      </c>
      <c r="C1767" s="11">
        <v>3778</v>
      </c>
      <c r="E1767" s="11">
        <v>4210</v>
      </c>
      <c r="F1767" s="11">
        <v>4210</v>
      </c>
      <c r="H1767" s="11">
        <v>7271</v>
      </c>
      <c r="I1767" s="11">
        <v>7271</v>
      </c>
    </row>
    <row r="1768" customHeight="1" spans="2:9">
      <c r="B1768" s="11">
        <v>3779</v>
      </c>
      <c r="C1768" s="11">
        <v>3779</v>
      </c>
      <c r="E1768" s="11">
        <v>4211</v>
      </c>
      <c r="F1768" s="11">
        <v>4211</v>
      </c>
      <c r="H1768" s="11">
        <v>7272</v>
      </c>
      <c r="I1768" s="11">
        <v>7272</v>
      </c>
    </row>
    <row r="1769" customHeight="1" spans="2:9">
      <c r="B1769" s="11">
        <v>3780</v>
      </c>
      <c r="C1769" s="11">
        <v>3780</v>
      </c>
      <c r="E1769" s="11">
        <v>4212</v>
      </c>
      <c r="F1769" s="11">
        <v>4212</v>
      </c>
      <c r="H1769" s="11">
        <v>7273</v>
      </c>
      <c r="I1769" s="11">
        <v>7273</v>
      </c>
    </row>
    <row r="1770" customHeight="1" spans="2:9">
      <c r="B1770" s="11">
        <v>3781</v>
      </c>
      <c r="C1770" s="11">
        <v>3781</v>
      </c>
      <c r="E1770" s="11">
        <v>4213</v>
      </c>
      <c r="F1770" s="11">
        <v>4213</v>
      </c>
      <c r="H1770" s="11">
        <v>7274</v>
      </c>
      <c r="I1770" s="11">
        <v>7274</v>
      </c>
    </row>
    <row r="1771" customHeight="1" spans="2:9">
      <c r="B1771" s="11">
        <v>3782</v>
      </c>
      <c r="C1771" s="11">
        <v>3782</v>
      </c>
      <c r="E1771" s="11">
        <v>4214</v>
      </c>
      <c r="F1771" s="11">
        <v>4214</v>
      </c>
      <c r="H1771" s="11">
        <v>7275</v>
      </c>
      <c r="I1771" s="11">
        <v>7275</v>
      </c>
    </row>
    <row r="1772" customHeight="1" spans="2:9">
      <c r="B1772" s="11">
        <v>3783</v>
      </c>
      <c r="C1772" s="11">
        <v>3783</v>
      </c>
      <c r="E1772" s="11">
        <v>4215</v>
      </c>
      <c r="F1772" s="11">
        <v>4215</v>
      </c>
      <c r="H1772" s="11">
        <v>7276</v>
      </c>
      <c r="I1772" s="11">
        <v>7276</v>
      </c>
    </row>
    <row r="1773" customHeight="1" spans="2:9">
      <c r="B1773" s="11">
        <v>3784</v>
      </c>
      <c r="C1773" s="11">
        <v>3784</v>
      </c>
      <c r="E1773" s="11">
        <v>4216</v>
      </c>
      <c r="F1773" s="11">
        <v>4216</v>
      </c>
      <c r="H1773" s="11">
        <v>7277</v>
      </c>
      <c r="I1773" s="11">
        <v>7277</v>
      </c>
    </row>
    <row r="1774" customHeight="1" spans="2:9">
      <c r="B1774" s="11">
        <v>3785</v>
      </c>
      <c r="C1774" s="11">
        <v>3785</v>
      </c>
      <c r="E1774" s="11">
        <v>4217</v>
      </c>
      <c r="F1774" s="11">
        <v>4217</v>
      </c>
      <c r="H1774" s="11">
        <v>7278</v>
      </c>
      <c r="I1774" s="11">
        <v>7278</v>
      </c>
    </row>
    <row r="1775" customHeight="1" spans="2:9">
      <c r="B1775" s="11">
        <v>3786</v>
      </c>
      <c r="C1775" s="11">
        <v>3786</v>
      </c>
      <c r="E1775" s="11">
        <v>4218</v>
      </c>
      <c r="F1775" s="11">
        <v>4218</v>
      </c>
      <c r="H1775" s="11">
        <v>7279</v>
      </c>
      <c r="I1775" s="11">
        <v>7279</v>
      </c>
    </row>
    <row r="1776" customHeight="1" spans="2:9">
      <c r="B1776" s="11">
        <v>3787</v>
      </c>
      <c r="C1776" s="11">
        <v>3787</v>
      </c>
      <c r="E1776" s="11">
        <v>4219</v>
      </c>
      <c r="F1776" s="11">
        <v>4219</v>
      </c>
      <c r="H1776" s="11">
        <v>7280</v>
      </c>
      <c r="I1776" s="11">
        <v>7280</v>
      </c>
    </row>
    <row r="1777" customHeight="1" spans="2:9">
      <c r="B1777" s="11">
        <v>3788</v>
      </c>
      <c r="C1777" s="11">
        <v>3788</v>
      </c>
      <c r="E1777" s="11">
        <v>4220</v>
      </c>
      <c r="F1777" s="11">
        <v>4220</v>
      </c>
      <c r="H1777" s="11">
        <v>7281</v>
      </c>
      <c r="I1777" s="11">
        <v>7281</v>
      </c>
    </row>
    <row r="1778" customHeight="1" spans="2:9">
      <c r="B1778" s="11">
        <v>3789</v>
      </c>
      <c r="C1778" s="11">
        <v>3789</v>
      </c>
      <c r="E1778" s="11">
        <v>4221</v>
      </c>
      <c r="F1778" s="11">
        <v>4221</v>
      </c>
      <c r="H1778" s="11">
        <v>7282</v>
      </c>
      <c r="I1778" s="11">
        <v>7282</v>
      </c>
    </row>
    <row r="1779" customHeight="1" spans="2:9">
      <c r="B1779" s="11">
        <v>3790</v>
      </c>
      <c r="C1779" s="11">
        <v>3790</v>
      </c>
      <c r="E1779" s="11">
        <v>4222</v>
      </c>
      <c r="F1779" s="11">
        <v>4222</v>
      </c>
      <c r="H1779" s="11">
        <v>7283</v>
      </c>
      <c r="I1779" s="11">
        <v>7283</v>
      </c>
    </row>
    <row r="1780" customHeight="1" spans="2:9">
      <c r="B1780" s="11">
        <v>3791</v>
      </c>
      <c r="C1780" s="11">
        <v>3791</v>
      </c>
      <c r="E1780" s="11">
        <v>4223</v>
      </c>
      <c r="F1780" s="11">
        <v>4223</v>
      </c>
      <c r="H1780" s="11">
        <v>7284</v>
      </c>
      <c r="I1780" s="11">
        <v>7284</v>
      </c>
    </row>
    <row r="1781" customHeight="1" spans="2:9">
      <c r="B1781" s="11">
        <v>3792</v>
      </c>
      <c r="C1781" s="11">
        <v>3792</v>
      </c>
      <c r="E1781" s="11">
        <v>4224</v>
      </c>
      <c r="F1781" s="11">
        <v>4224</v>
      </c>
      <c r="H1781" s="11">
        <v>7285</v>
      </c>
      <c r="I1781" s="11">
        <v>7285</v>
      </c>
    </row>
    <row r="1782" customHeight="1" spans="2:9">
      <c r="B1782" s="11">
        <v>3793</v>
      </c>
      <c r="C1782" s="11">
        <v>3793</v>
      </c>
      <c r="E1782" s="11">
        <v>4300</v>
      </c>
      <c r="F1782" s="11">
        <v>4300</v>
      </c>
      <c r="H1782" s="11">
        <v>7286</v>
      </c>
      <c r="I1782" s="11">
        <v>7286</v>
      </c>
    </row>
    <row r="1783" customHeight="1" spans="2:9">
      <c r="B1783" s="11">
        <v>3794</v>
      </c>
      <c r="C1783" s="11">
        <v>3794</v>
      </c>
      <c r="E1783" s="11">
        <v>4301</v>
      </c>
      <c r="F1783" s="11">
        <v>4301</v>
      </c>
      <c r="H1783" s="11">
        <v>7287</v>
      </c>
      <c r="I1783" s="11">
        <v>7287</v>
      </c>
    </row>
    <row r="1784" customHeight="1" spans="2:9">
      <c r="B1784" s="11">
        <v>3795</v>
      </c>
      <c r="C1784" s="11">
        <v>3795</v>
      </c>
      <c r="E1784" s="11">
        <v>4302</v>
      </c>
      <c r="F1784" s="11">
        <v>4302</v>
      </c>
      <c r="H1784" s="11">
        <v>7288</v>
      </c>
      <c r="I1784" s="11">
        <v>7288</v>
      </c>
    </row>
    <row r="1785" customHeight="1" spans="2:9">
      <c r="B1785" s="11">
        <v>3796</v>
      </c>
      <c r="C1785" s="11">
        <v>3796</v>
      </c>
      <c r="E1785" s="11">
        <v>4303</v>
      </c>
      <c r="F1785" s="11">
        <v>4303</v>
      </c>
      <c r="H1785" s="11">
        <v>7289</v>
      </c>
      <c r="I1785" s="11">
        <v>7289</v>
      </c>
    </row>
    <row r="1786" customHeight="1" spans="2:9">
      <c r="B1786" s="11">
        <v>3797</v>
      </c>
      <c r="C1786" s="11">
        <v>3797</v>
      </c>
      <c r="E1786" s="11">
        <v>4304</v>
      </c>
      <c r="F1786" s="11">
        <v>4304</v>
      </c>
      <c r="H1786" s="11">
        <v>7290</v>
      </c>
      <c r="I1786" s="11">
        <v>7290</v>
      </c>
    </row>
    <row r="1787" customHeight="1" spans="2:9">
      <c r="B1787" s="11">
        <v>3798</v>
      </c>
      <c r="C1787" s="11">
        <v>3798</v>
      </c>
      <c r="E1787" s="11">
        <v>4305</v>
      </c>
      <c r="F1787" s="11">
        <v>4305</v>
      </c>
      <c r="H1787" s="11">
        <v>7291</v>
      </c>
      <c r="I1787" s="11">
        <v>7291</v>
      </c>
    </row>
    <row r="1788" customHeight="1" spans="2:9">
      <c r="B1788" s="11">
        <v>3799</v>
      </c>
      <c r="C1788" s="11">
        <v>3799</v>
      </c>
      <c r="E1788" s="11">
        <v>4306</v>
      </c>
      <c r="F1788" s="11">
        <v>4306</v>
      </c>
      <c r="H1788" s="11">
        <v>7292</v>
      </c>
      <c r="I1788" s="11">
        <v>7292</v>
      </c>
    </row>
    <row r="1789" customHeight="1" spans="2:9">
      <c r="E1789" s="11">
        <v>4307</v>
      </c>
      <c r="F1789" s="11">
        <v>4307</v>
      </c>
      <c r="H1789" s="11">
        <v>7293</v>
      </c>
      <c r="I1789" s="11">
        <v>7293</v>
      </c>
    </row>
    <row r="1790" customHeight="1" spans="2:9">
      <c r="E1790" s="11">
        <v>4308</v>
      </c>
      <c r="F1790" s="11">
        <v>4308</v>
      </c>
      <c r="H1790" s="11">
        <v>7294</v>
      </c>
      <c r="I1790" s="11">
        <v>7294</v>
      </c>
    </row>
    <row r="1791" customHeight="1" spans="2:9">
      <c r="E1791" s="11">
        <v>5125</v>
      </c>
      <c r="F1791" s="11">
        <v>5125</v>
      </c>
      <c r="H1791" s="11">
        <v>7295</v>
      </c>
      <c r="I1791" s="11">
        <v>7295</v>
      </c>
    </row>
    <row r="1792" customHeight="1" spans="2:9">
      <c r="E1792" s="11">
        <v>5126</v>
      </c>
      <c r="F1792" s="11">
        <v>5126</v>
      </c>
      <c r="H1792" s="11">
        <v>7296</v>
      </c>
      <c r="I1792" s="11">
        <v>7296</v>
      </c>
    </row>
    <row r="1793" customHeight="1" spans="5:9">
      <c r="E1793" s="11">
        <v>5127</v>
      </c>
      <c r="F1793" s="11">
        <v>5127</v>
      </c>
      <c r="H1793" s="11">
        <v>7297</v>
      </c>
      <c r="I1793" s="11">
        <v>7297</v>
      </c>
    </row>
    <row r="1794" customHeight="1" spans="5:9">
      <c r="E1794" s="11">
        <v>5128</v>
      </c>
      <c r="F1794" s="11">
        <v>5128</v>
      </c>
      <c r="H1794" s="11">
        <v>7298</v>
      </c>
      <c r="I1794" s="11">
        <v>7298</v>
      </c>
    </row>
    <row r="1795" customHeight="1" spans="5:9">
      <c r="E1795" s="11">
        <v>5129</v>
      </c>
      <c r="F1795" s="11">
        <v>5129</v>
      </c>
      <c r="H1795" s="11">
        <v>7299</v>
      </c>
      <c r="I1795" s="11">
        <v>7299</v>
      </c>
    </row>
    <row r="1796" customHeight="1" spans="5:9">
      <c r="E1796" s="11">
        <v>5130</v>
      </c>
      <c r="F1796" s="11">
        <v>5130</v>
      </c>
      <c r="H1796" s="11">
        <v>7300</v>
      </c>
      <c r="I1796" s="11">
        <v>7300</v>
      </c>
    </row>
    <row r="1797" customHeight="1" spans="5:9">
      <c r="E1797" s="11">
        <v>5114</v>
      </c>
      <c r="F1797" s="11">
        <v>5114</v>
      </c>
      <c r="H1797" s="11">
        <v>7301</v>
      </c>
      <c r="I1797" s="11">
        <v>7301</v>
      </c>
    </row>
    <row r="1798" customHeight="1" spans="5:9">
      <c r="E1798" s="11">
        <v>5118</v>
      </c>
      <c r="F1798" s="11">
        <v>5118</v>
      </c>
      <c r="H1798" s="11">
        <v>7302</v>
      </c>
      <c r="I1798" s="11">
        <v>7302</v>
      </c>
    </row>
    <row r="1799" customHeight="1" spans="5:9">
      <c r="E1799" s="11">
        <v>5119</v>
      </c>
      <c r="F1799" s="11">
        <v>5119</v>
      </c>
      <c r="H1799" s="11">
        <v>7303</v>
      </c>
      <c r="I1799" s="11">
        <v>7303</v>
      </c>
    </row>
    <row r="1800" customHeight="1" spans="5:9">
      <c r="E1800" s="11">
        <v>5120</v>
      </c>
      <c r="F1800" s="11">
        <v>5120</v>
      </c>
      <c r="H1800" s="11">
        <v>7304</v>
      </c>
      <c r="I1800" s="11">
        <v>7304</v>
      </c>
    </row>
    <row r="1801" customHeight="1" spans="5:9">
      <c r="E1801" s="11">
        <v>5121</v>
      </c>
      <c r="F1801" s="11">
        <v>5121</v>
      </c>
      <c r="H1801" s="11">
        <v>7305</v>
      </c>
      <c r="I1801" s="11">
        <v>7305</v>
      </c>
    </row>
    <row r="1802" customHeight="1" spans="5:9">
      <c r="E1802" s="11">
        <v>5122</v>
      </c>
      <c r="F1802" s="11">
        <v>5122</v>
      </c>
      <c r="H1802" s="11">
        <v>7306</v>
      </c>
      <c r="I1802" s="11">
        <v>7306</v>
      </c>
    </row>
    <row r="1803" customHeight="1" spans="5:9">
      <c r="E1803" s="11">
        <v>5123</v>
      </c>
      <c r="F1803" s="11">
        <v>5123</v>
      </c>
      <c r="H1803" s="11">
        <v>7307</v>
      </c>
      <c r="I1803" s="11">
        <v>7307</v>
      </c>
    </row>
    <row r="1804" customHeight="1" spans="5:9">
      <c r="E1804" s="11">
        <v>5124</v>
      </c>
      <c r="F1804" s="11">
        <v>5124</v>
      </c>
      <c r="H1804" s="11">
        <v>7308</v>
      </c>
      <c r="I1804" s="11">
        <v>7308</v>
      </c>
    </row>
    <row r="1805" customHeight="1" spans="5:9">
      <c r="E1805" s="11">
        <v>5000</v>
      </c>
      <c r="F1805" s="11">
        <v>5000</v>
      </c>
      <c r="H1805" s="11">
        <v>7309</v>
      </c>
      <c r="I1805" s="11">
        <v>7309</v>
      </c>
    </row>
    <row r="1806" customHeight="1" spans="5:9">
      <c r="E1806" s="11">
        <v>5001</v>
      </c>
      <c r="F1806" s="11">
        <v>5001</v>
      </c>
      <c r="H1806" s="11">
        <v>7310</v>
      </c>
      <c r="I1806" s="11">
        <v>7310</v>
      </c>
    </row>
    <row r="1807" customHeight="1" spans="5:9">
      <c r="E1807" s="11">
        <v>5002</v>
      </c>
      <c r="F1807" s="11">
        <v>5002</v>
      </c>
      <c r="H1807" s="11">
        <v>7311</v>
      </c>
      <c r="I1807" s="11">
        <v>7311</v>
      </c>
    </row>
    <row r="1808" customHeight="1" spans="5:9">
      <c r="E1808" s="11">
        <v>5003</v>
      </c>
      <c r="F1808" s="11">
        <v>5003</v>
      </c>
      <c r="H1808" s="11">
        <v>7312</v>
      </c>
      <c r="I1808" s="11">
        <v>7312</v>
      </c>
    </row>
    <row r="1809" customHeight="1" spans="5:9">
      <c r="E1809" s="11">
        <v>5004</v>
      </c>
      <c r="F1809" s="11">
        <v>5004</v>
      </c>
      <c r="H1809" s="11">
        <v>7313</v>
      </c>
      <c r="I1809" s="11">
        <v>7313</v>
      </c>
    </row>
    <row r="1810" customHeight="1" spans="5:9">
      <c r="E1810" s="11">
        <v>5005</v>
      </c>
      <c r="F1810" s="11">
        <v>5005</v>
      </c>
      <c r="H1810" s="11">
        <v>7314</v>
      </c>
      <c r="I1810" s="11">
        <v>7314</v>
      </c>
    </row>
    <row r="1811" customHeight="1" spans="5:9">
      <c r="E1811" s="11">
        <v>5006</v>
      </c>
      <c r="F1811" s="11">
        <v>5006</v>
      </c>
      <c r="H1811" s="11">
        <v>7315</v>
      </c>
      <c r="I1811" s="11">
        <v>7315</v>
      </c>
    </row>
    <row r="1812" customHeight="1" spans="5:9">
      <c r="E1812" s="11">
        <v>5007</v>
      </c>
      <c r="F1812" s="11">
        <v>5007</v>
      </c>
      <c r="H1812" s="11">
        <v>7316</v>
      </c>
      <c r="I1812" s="11">
        <v>7316</v>
      </c>
    </row>
    <row r="1813" customHeight="1" spans="5:9">
      <c r="E1813" s="11">
        <v>5008</v>
      </c>
      <c r="F1813" s="11">
        <v>5008</v>
      </c>
      <c r="H1813" s="11">
        <v>7317</v>
      </c>
      <c r="I1813" s="11">
        <v>7317</v>
      </c>
    </row>
    <row r="1814" customHeight="1" spans="5:9">
      <c r="E1814" s="11">
        <v>5009</v>
      </c>
      <c r="F1814" s="11">
        <v>5009</v>
      </c>
      <c r="H1814" s="11">
        <v>7318</v>
      </c>
      <c r="I1814" s="11">
        <v>7318</v>
      </c>
    </row>
    <row r="1815" customHeight="1" spans="5:9">
      <c r="E1815" s="11">
        <v>5010</v>
      </c>
      <c r="F1815" s="11">
        <v>5010</v>
      </c>
      <c r="H1815" s="11">
        <v>7319</v>
      </c>
      <c r="I1815" s="11">
        <v>7319</v>
      </c>
    </row>
    <row r="1816" customHeight="1" spans="5:9">
      <c r="E1816" s="11">
        <v>5011</v>
      </c>
      <c r="F1816" s="11">
        <v>5011</v>
      </c>
      <c r="H1816" s="11">
        <v>7320</v>
      </c>
      <c r="I1816" s="11">
        <v>7320</v>
      </c>
    </row>
    <row r="1817" customHeight="1" spans="5:9">
      <c r="E1817" s="11">
        <v>5012</v>
      </c>
      <c r="F1817" s="11">
        <v>5012</v>
      </c>
      <c r="H1817" s="11">
        <v>7321</v>
      </c>
      <c r="I1817" s="11">
        <v>7321</v>
      </c>
    </row>
    <row r="1818" customHeight="1" spans="5:9">
      <c r="E1818" s="11">
        <v>5013</v>
      </c>
      <c r="F1818" s="11">
        <v>5013</v>
      </c>
      <c r="H1818" s="11">
        <v>7322</v>
      </c>
      <c r="I1818" s="11">
        <v>7322</v>
      </c>
    </row>
    <row r="1819" customHeight="1" spans="5:9">
      <c r="E1819" s="11">
        <v>5014</v>
      </c>
      <c r="F1819" s="11">
        <v>5014</v>
      </c>
      <c r="H1819" s="11">
        <v>7323</v>
      </c>
      <c r="I1819" s="11">
        <v>7323</v>
      </c>
    </row>
    <row r="1820" customHeight="1" spans="5:9">
      <c r="E1820" s="11">
        <v>5015</v>
      </c>
      <c r="F1820" s="11">
        <v>5015</v>
      </c>
      <c r="H1820" s="11">
        <v>7324</v>
      </c>
      <c r="I1820" s="11">
        <v>7324</v>
      </c>
    </row>
    <row r="1821" customHeight="1" spans="5:9">
      <c r="E1821" s="11">
        <v>5016</v>
      </c>
      <c r="F1821" s="11">
        <v>5016</v>
      </c>
      <c r="H1821" s="11">
        <v>7325</v>
      </c>
      <c r="I1821" s="11">
        <v>7325</v>
      </c>
    </row>
    <row r="1822" customHeight="1" spans="5:9">
      <c r="E1822" s="11">
        <v>5017</v>
      </c>
      <c r="F1822" s="11">
        <v>5017</v>
      </c>
      <c r="H1822" s="11">
        <v>7326</v>
      </c>
      <c r="I1822" s="11">
        <v>7326</v>
      </c>
    </row>
    <row r="1823" customHeight="1" spans="5:9">
      <c r="E1823" s="11">
        <v>5018</v>
      </c>
      <c r="F1823" s="11">
        <v>5018</v>
      </c>
      <c r="H1823" s="11">
        <v>7327</v>
      </c>
      <c r="I1823" s="11">
        <v>7327</v>
      </c>
    </row>
    <row r="1824" customHeight="1" spans="5:9">
      <c r="E1824" s="11">
        <v>5019</v>
      </c>
      <c r="F1824" s="11">
        <v>5019</v>
      </c>
      <c r="H1824" s="11">
        <v>7328</v>
      </c>
      <c r="I1824" s="11">
        <v>7328</v>
      </c>
    </row>
    <row r="1825" customHeight="1" spans="5:9">
      <c r="E1825" s="11">
        <v>5020</v>
      </c>
      <c r="F1825" s="11">
        <v>5020</v>
      </c>
      <c r="H1825" s="11">
        <v>7329</v>
      </c>
      <c r="I1825" s="11">
        <v>7329</v>
      </c>
    </row>
    <row r="1826" customHeight="1" spans="5:9">
      <c r="E1826" s="11">
        <v>5021</v>
      </c>
      <c r="F1826" s="11">
        <v>5021</v>
      </c>
      <c r="H1826" s="11">
        <v>7800</v>
      </c>
      <c r="I1826" s="11">
        <v>7800</v>
      </c>
    </row>
    <row r="1827" customHeight="1" spans="5:9">
      <c r="E1827" s="11">
        <v>5022</v>
      </c>
      <c r="F1827" s="11">
        <v>5022</v>
      </c>
      <c r="H1827" s="11">
        <v>7801</v>
      </c>
      <c r="I1827" s="11">
        <v>7801</v>
      </c>
    </row>
    <row r="1828" customHeight="1" spans="5:9">
      <c r="E1828" s="11">
        <v>5023</v>
      </c>
      <c r="F1828" s="11">
        <v>5023</v>
      </c>
      <c r="H1828" s="11">
        <v>7802</v>
      </c>
      <c r="I1828" s="11">
        <v>7802</v>
      </c>
    </row>
    <row r="1829" customHeight="1" spans="5:9">
      <c r="E1829" s="11">
        <v>5024</v>
      </c>
      <c r="F1829" s="11">
        <v>5024</v>
      </c>
      <c r="H1829" s="11">
        <v>7803</v>
      </c>
      <c r="I1829" s="11">
        <v>7803</v>
      </c>
    </row>
    <row r="1830" customHeight="1" spans="5:9">
      <c r="E1830" s="11">
        <v>5025</v>
      </c>
      <c r="F1830" s="11">
        <v>5025</v>
      </c>
      <c r="H1830" s="11">
        <v>7804</v>
      </c>
      <c r="I1830" s="11">
        <v>7804</v>
      </c>
    </row>
    <row r="1831" customHeight="1" spans="5:9">
      <c r="E1831" s="11">
        <v>5026</v>
      </c>
      <c r="F1831" s="11">
        <v>5026</v>
      </c>
      <c r="H1831" s="11">
        <v>7805</v>
      </c>
      <c r="I1831" s="11">
        <v>7805</v>
      </c>
    </row>
    <row r="1832" customHeight="1" spans="5:9">
      <c r="E1832" s="11">
        <v>5027</v>
      </c>
      <c r="F1832" s="11">
        <v>5027</v>
      </c>
      <c r="H1832" s="11">
        <v>7806</v>
      </c>
      <c r="I1832" s="11">
        <v>7806</v>
      </c>
    </row>
    <row r="1833" customHeight="1" spans="5:9">
      <c r="E1833" s="11">
        <v>5028</v>
      </c>
      <c r="F1833" s="11">
        <v>5028</v>
      </c>
      <c r="H1833" s="11">
        <v>7807</v>
      </c>
      <c r="I1833" s="11">
        <v>7807</v>
      </c>
    </row>
    <row r="1834" customHeight="1" spans="5:9">
      <c r="E1834" s="11">
        <v>5029</v>
      </c>
      <c r="F1834" s="11">
        <v>5029</v>
      </c>
      <c r="H1834" s="11">
        <v>7808</v>
      </c>
      <c r="I1834" s="11">
        <v>7808</v>
      </c>
    </row>
    <row r="1835" customHeight="1" spans="5:9">
      <c r="E1835" s="11">
        <v>5030</v>
      </c>
      <c r="F1835" s="11">
        <v>5030</v>
      </c>
      <c r="H1835" s="11">
        <v>7809</v>
      </c>
      <c r="I1835" s="11">
        <v>7809</v>
      </c>
    </row>
    <row r="1836" customHeight="1" spans="5:9">
      <c r="E1836" s="11">
        <v>5031</v>
      </c>
      <c r="F1836" s="11">
        <v>5031</v>
      </c>
      <c r="H1836" s="11">
        <v>7810</v>
      </c>
      <c r="I1836" s="11">
        <v>7810</v>
      </c>
    </row>
    <row r="1837" customHeight="1" spans="5:9">
      <c r="E1837" s="11">
        <v>5032</v>
      </c>
      <c r="F1837" s="11">
        <v>5032</v>
      </c>
      <c r="H1837" s="11">
        <v>7811</v>
      </c>
      <c r="I1837" s="11">
        <v>7811</v>
      </c>
    </row>
    <row r="1838" customHeight="1" spans="5:9">
      <c r="E1838" s="11">
        <v>5033</v>
      </c>
      <c r="F1838" s="11">
        <v>5033</v>
      </c>
      <c r="H1838" s="11">
        <v>7812</v>
      </c>
      <c r="I1838" s="11">
        <v>7812</v>
      </c>
    </row>
    <row r="1839" customHeight="1" spans="5:9">
      <c r="E1839" s="11">
        <v>5034</v>
      </c>
      <c r="F1839" s="11">
        <v>5034</v>
      </c>
      <c r="H1839" s="11">
        <v>7813</v>
      </c>
      <c r="I1839" s="11">
        <v>7813</v>
      </c>
    </row>
    <row r="1840" customHeight="1" spans="5:9">
      <c r="E1840" s="11">
        <v>5035</v>
      </c>
      <c r="F1840" s="11">
        <v>5035</v>
      </c>
      <c r="H1840" s="11">
        <v>7814</v>
      </c>
      <c r="I1840" s="11">
        <v>7814</v>
      </c>
    </row>
    <row r="1841" customHeight="1" spans="5:9">
      <c r="E1841" s="11">
        <v>5036</v>
      </c>
      <c r="F1841" s="11">
        <v>5036</v>
      </c>
      <c r="H1841" s="11">
        <v>7815</v>
      </c>
      <c r="I1841" s="11">
        <v>7815</v>
      </c>
    </row>
    <row r="1842" customHeight="1" spans="5:9">
      <c r="E1842" s="11">
        <v>5037</v>
      </c>
      <c r="F1842" s="11">
        <v>5037</v>
      </c>
      <c r="H1842" s="11">
        <v>7816</v>
      </c>
      <c r="I1842" s="11">
        <v>7816</v>
      </c>
    </row>
    <row r="1843" customHeight="1" spans="5:9">
      <c r="E1843" s="11">
        <v>5038</v>
      </c>
      <c r="F1843" s="11">
        <v>5038</v>
      </c>
      <c r="H1843" s="11">
        <v>7817</v>
      </c>
      <c r="I1843" s="11">
        <v>7817</v>
      </c>
    </row>
    <row r="1844" customHeight="1" spans="5:9">
      <c r="E1844" s="11">
        <v>5039</v>
      </c>
      <c r="F1844" s="11">
        <v>5039</v>
      </c>
      <c r="H1844" s="11">
        <v>7818</v>
      </c>
      <c r="I1844" s="11">
        <v>7818</v>
      </c>
    </row>
    <row r="1845" customHeight="1" spans="5:9">
      <c r="E1845" s="11">
        <v>5040</v>
      </c>
      <c r="F1845" s="11">
        <v>5040</v>
      </c>
      <c r="H1845" s="11">
        <v>7819</v>
      </c>
      <c r="I1845" s="11">
        <v>7819</v>
      </c>
    </row>
    <row r="1846" customHeight="1" spans="5:9">
      <c r="E1846" s="11">
        <v>5041</v>
      </c>
      <c r="F1846" s="11">
        <v>5041</v>
      </c>
      <c r="H1846" s="11">
        <v>7820</v>
      </c>
      <c r="I1846" s="11">
        <v>7820</v>
      </c>
    </row>
    <row r="1847" customHeight="1" spans="5:9">
      <c r="E1847" s="11">
        <v>5042</v>
      </c>
      <c r="F1847" s="11">
        <v>5042</v>
      </c>
      <c r="H1847" s="11">
        <v>7821</v>
      </c>
      <c r="I1847" s="11">
        <v>7821</v>
      </c>
    </row>
    <row r="1848" customHeight="1" spans="5:9">
      <c r="E1848" s="11">
        <v>5043</v>
      </c>
      <c r="F1848" s="11">
        <v>5043</v>
      </c>
      <c r="H1848" s="11">
        <v>7822</v>
      </c>
      <c r="I1848" s="11">
        <v>7822</v>
      </c>
    </row>
    <row r="1849" customHeight="1" spans="5:9">
      <c r="E1849" s="11">
        <v>5044</v>
      </c>
      <c r="F1849" s="11">
        <v>5044</v>
      </c>
      <c r="H1849" s="11">
        <v>7823</v>
      </c>
      <c r="I1849" s="11">
        <v>7823</v>
      </c>
    </row>
    <row r="1850" customHeight="1" spans="5:9">
      <c r="E1850" s="11">
        <v>5045</v>
      </c>
      <c r="F1850" s="11">
        <v>5045</v>
      </c>
      <c r="H1850" s="11">
        <v>7824</v>
      </c>
      <c r="I1850" s="11">
        <v>7824</v>
      </c>
    </row>
    <row r="1851" customHeight="1" spans="5:9">
      <c r="E1851" s="11">
        <v>5046</v>
      </c>
      <c r="F1851" s="11">
        <v>5046</v>
      </c>
      <c r="H1851" s="11">
        <v>7825</v>
      </c>
      <c r="I1851" s="11">
        <v>7825</v>
      </c>
    </row>
    <row r="1852" customHeight="1" spans="5:9">
      <c r="E1852" s="11">
        <v>5047</v>
      </c>
      <c r="F1852" s="11">
        <v>5047</v>
      </c>
      <c r="H1852" s="11">
        <v>7826</v>
      </c>
      <c r="I1852" s="11">
        <v>7826</v>
      </c>
    </row>
    <row r="1853" customHeight="1" spans="5:9">
      <c r="E1853" s="11">
        <v>5048</v>
      </c>
      <c r="F1853" s="11">
        <v>5048</v>
      </c>
      <c r="H1853" s="11">
        <v>7827</v>
      </c>
      <c r="I1853" s="11">
        <v>7827</v>
      </c>
    </row>
    <row r="1854" customHeight="1" spans="5:9">
      <c r="E1854" s="11">
        <v>5049</v>
      </c>
      <c r="F1854" s="11">
        <v>5049</v>
      </c>
      <c r="H1854" s="11">
        <v>7828</v>
      </c>
      <c r="I1854" s="11">
        <v>7828</v>
      </c>
    </row>
    <row r="1855" customHeight="1" spans="5:9">
      <c r="E1855" s="11">
        <v>5050</v>
      </c>
      <c r="F1855" s="11">
        <v>5050</v>
      </c>
      <c r="H1855" s="11">
        <v>7829</v>
      </c>
      <c r="I1855" s="11">
        <v>7829</v>
      </c>
    </row>
    <row r="1856" customHeight="1" spans="5:9">
      <c r="E1856" s="11">
        <v>5051</v>
      </c>
      <c r="F1856" s="11">
        <v>5051</v>
      </c>
      <c r="H1856" s="11">
        <v>7830</v>
      </c>
      <c r="I1856" s="11">
        <v>7830</v>
      </c>
    </row>
    <row r="1857" customHeight="1" spans="5:9">
      <c r="E1857" s="11">
        <v>5052</v>
      </c>
      <c r="F1857" s="11">
        <v>5052</v>
      </c>
      <c r="H1857" s="11">
        <v>7831</v>
      </c>
      <c r="I1857" s="11">
        <v>7831</v>
      </c>
    </row>
    <row r="1858" customHeight="1" spans="5:9">
      <c r="E1858" s="11">
        <v>5053</v>
      </c>
      <c r="F1858" s="11">
        <v>5053</v>
      </c>
      <c r="H1858" s="11">
        <v>7832</v>
      </c>
      <c r="I1858" s="11">
        <v>7832</v>
      </c>
    </row>
    <row r="1859" customHeight="1" spans="5:9">
      <c r="E1859" s="11">
        <v>5054</v>
      </c>
      <c r="F1859" s="11">
        <v>5054</v>
      </c>
      <c r="H1859" s="11">
        <v>7833</v>
      </c>
      <c r="I1859" s="11">
        <v>7833</v>
      </c>
    </row>
    <row r="1860" customHeight="1" spans="5:9">
      <c r="E1860" s="11">
        <v>5055</v>
      </c>
      <c r="F1860" s="11">
        <v>5055</v>
      </c>
      <c r="H1860" s="11">
        <v>7834</v>
      </c>
      <c r="I1860" s="11">
        <v>7834</v>
      </c>
    </row>
    <row r="1861" customHeight="1" spans="5:9">
      <c r="E1861" s="11">
        <v>5056</v>
      </c>
      <c r="F1861" s="11">
        <v>5056</v>
      </c>
      <c r="H1861" s="11">
        <v>7835</v>
      </c>
      <c r="I1861" s="11">
        <v>7835</v>
      </c>
    </row>
    <row r="1862" customHeight="1" spans="5:9">
      <c r="E1862" s="11">
        <v>5057</v>
      </c>
      <c r="F1862" s="11">
        <v>5057</v>
      </c>
      <c r="H1862" s="11">
        <v>7836</v>
      </c>
      <c r="I1862" s="11">
        <v>7836</v>
      </c>
    </row>
    <row r="1863" customHeight="1" spans="5:9">
      <c r="E1863" s="11">
        <v>5058</v>
      </c>
      <c r="F1863" s="11">
        <v>5058</v>
      </c>
      <c r="H1863" s="11">
        <v>7837</v>
      </c>
      <c r="I1863" s="11">
        <v>7837</v>
      </c>
    </row>
    <row r="1864" customHeight="1" spans="5:9">
      <c r="E1864" s="11">
        <v>5059</v>
      </c>
      <c r="F1864" s="11">
        <v>5059</v>
      </c>
      <c r="H1864" s="11">
        <v>7838</v>
      </c>
      <c r="I1864" s="11">
        <v>7838</v>
      </c>
    </row>
    <row r="1865" customHeight="1" spans="5:9">
      <c r="E1865" s="11">
        <v>5060</v>
      </c>
      <c r="F1865" s="11">
        <v>5060</v>
      </c>
      <c r="H1865" s="11">
        <v>7839</v>
      </c>
      <c r="I1865" s="11">
        <v>7839</v>
      </c>
    </row>
    <row r="1866" customHeight="1" spans="5:9">
      <c r="E1866" s="11">
        <v>5061</v>
      </c>
      <c r="F1866" s="11">
        <v>5061</v>
      </c>
      <c r="H1866" s="11">
        <v>7840</v>
      </c>
      <c r="I1866" s="11">
        <v>7840</v>
      </c>
    </row>
    <row r="1867" customHeight="1" spans="5:9">
      <c r="E1867" s="11">
        <v>5062</v>
      </c>
      <c r="F1867" s="11">
        <v>5062</v>
      </c>
      <c r="H1867" s="11">
        <v>7841</v>
      </c>
      <c r="I1867" s="11">
        <v>7841</v>
      </c>
    </row>
    <row r="1868" customHeight="1" spans="5:9">
      <c r="E1868" s="11">
        <v>5063</v>
      </c>
      <c r="F1868" s="11">
        <v>5063</v>
      </c>
      <c r="H1868" s="11">
        <v>7842</v>
      </c>
      <c r="I1868" s="11">
        <v>7842</v>
      </c>
    </row>
    <row r="1869" customHeight="1" spans="5:9">
      <c r="E1869" s="11">
        <v>5064</v>
      </c>
      <c r="F1869" s="11">
        <v>5064</v>
      </c>
      <c r="H1869" s="11">
        <v>7843</v>
      </c>
      <c r="I1869" s="11">
        <v>7843</v>
      </c>
    </row>
    <row r="1870" customHeight="1" spans="5:9">
      <c r="E1870" s="11">
        <v>5065</v>
      </c>
      <c r="F1870" s="11">
        <v>5065</v>
      </c>
      <c r="H1870" s="11">
        <v>7844</v>
      </c>
      <c r="I1870" s="11">
        <v>7844</v>
      </c>
    </row>
    <row r="1871" customHeight="1" spans="5:9">
      <c r="E1871" s="11">
        <v>5066</v>
      </c>
      <c r="F1871" s="11">
        <v>5066</v>
      </c>
      <c r="H1871" s="11">
        <v>7845</v>
      </c>
      <c r="I1871" s="11">
        <v>7845</v>
      </c>
    </row>
    <row r="1872" customHeight="1" spans="5:9">
      <c r="E1872" s="11">
        <v>5067</v>
      </c>
      <c r="F1872" s="11">
        <v>5067</v>
      </c>
      <c r="H1872" s="11">
        <v>7846</v>
      </c>
      <c r="I1872" s="11">
        <v>7846</v>
      </c>
    </row>
    <row r="1873" customHeight="1" spans="5:9">
      <c r="E1873" s="11">
        <v>5068</v>
      </c>
      <c r="F1873" s="11">
        <v>5068</v>
      </c>
      <c r="H1873" s="11">
        <v>7847</v>
      </c>
      <c r="I1873" s="11">
        <v>7847</v>
      </c>
    </row>
    <row r="1874" customHeight="1" spans="5:9">
      <c r="E1874" s="11">
        <v>5069</v>
      </c>
      <c r="F1874" s="11">
        <v>5069</v>
      </c>
      <c r="H1874" s="11">
        <v>7848</v>
      </c>
      <c r="I1874" s="11">
        <v>7848</v>
      </c>
    </row>
    <row r="1875" customHeight="1" spans="5:9">
      <c r="E1875" s="11">
        <v>5070</v>
      </c>
      <c r="F1875" s="11">
        <v>5070</v>
      </c>
      <c r="H1875" s="11">
        <v>7849</v>
      </c>
      <c r="I1875" s="11">
        <v>7849</v>
      </c>
    </row>
    <row r="1876" customHeight="1" spans="5:9">
      <c r="E1876" s="11">
        <v>5071</v>
      </c>
      <c r="F1876" s="11">
        <v>5071</v>
      </c>
      <c r="H1876" s="11">
        <v>7850</v>
      </c>
      <c r="I1876" s="11">
        <v>7850</v>
      </c>
    </row>
    <row r="1877" customHeight="1" spans="5:9">
      <c r="E1877" s="11">
        <v>5072</v>
      </c>
      <c r="F1877" s="11">
        <v>5072</v>
      </c>
      <c r="H1877" s="11">
        <v>7851</v>
      </c>
      <c r="I1877" s="11">
        <v>7851</v>
      </c>
    </row>
    <row r="1878" customHeight="1" spans="5:9">
      <c r="E1878" s="11">
        <v>5073</v>
      </c>
      <c r="F1878" s="11">
        <v>5073</v>
      </c>
      <c r="H1878" s="11">
        <v>7852</v>
      </c>
      <c r="I1878" s="11">
        <v>7852</v>
      </c>
    </row>
    <row r="1879" customHeight="1" spans="5:9">
      <c r="E1879" s="11">
        <v>5074</v>
      </c>
      <c r="F1879" s="11">
        <v>5074</v>
      </c>
      <c r="H1879" s="11">
        <v>7853</v>
      </c>
      <c r="I1879" s="11">
        <v>7853</v>
      </c>
    </row>
    <row r="1880" customHeight="1" spans="5:9">
      <c r="E1880" s="11">
        <v>5075</v>
      </c>
      <c r="F1880" s="11">
        <v>5075</v>
      </c>
      <c r="H1880" s="11">
        <v>7854</v>
      </c>
      <c r="I1880" s="11">
        <v>7854</v>
      </c>
    </row>
    <row r="1881" customHeight="1" spans="5:9">
      <c r="E1881" s="11">
        <v>5076</v>
      </c>
      <c r="F1881" s="11">
        <v>5076</v>
      </c>
      <c r="H1881" s="11">
        <v>7855</v>
      </c>
      <c r="I1881" s="11">
        <v>7855</v>
      </c>
    </row>
    <row r="1882" customHeight="1" spans="5:9">
      <c r="E1882" s="11">
        <v>5077</v>
      </c>
      <c r="F1882" s="11">
        <v>5077</v>
      </c>
      <c r="H1882" s="11">
        <v>7856</v>
      </c>
      <c r="I1882" s="11">
        <v>7856</v>
      </c>
    </row>
    <row r="1883" customHeight="1" spans="5:9">
      <c r="E1883" s="11">
        <v>5078</v>
      </c>
      <c r="F1883" s="11">
        <v>5078</v>
      </c>
      <c r="H1883" s="11">
        <v>7857</v>
      </c>
      <c r="I1883" s="11">
        <v>7857</v>
      </c>
    </row>
    <row r="1884" customHeight="1" spans="5:9">
      <c r="E1884" s="11">
        <v>5079</v>
      </c>
      <c r="F1884" s="11">
        <v>5079</v>
      </c>
      <c r="H1884" s="11">
        <v>7858</v>
      </c>
      <c r="I1884" s="11">
        <v>7858</v>
      </c>
    </row>
    <row r="1885" customHeight="1" spans="5:9">
      <c r="E1885" s="11">
        <v>5080</v>
      </c>
      <c r="F1885" s="11">
        <v>5080</v>
      </c>
      <c r="H1885" s="11">
        <v>7859</v>
      </c>
      <c r="I1885" s="11">
        <v>7859</v>
      </c>
    </row>
    <row r="1886" customHeight="1" spans="5:9">
      <c r="E1886" s="11">
        <v>5081</v>
      </c>
      <c r="F1886" s="11">
        <v>5081</v>
      </c>
      <c r="H1886" s="11">
        <v>7860</v>
      </c>
      <c r="I1886" s="11">
        <v>7860</v>
      </c>
    </row>
    <row r="1887" customHeight="1" spans="5:9">
      <c r="E1887" s="11">
        <v>5082</v>
      </c>
      <c r="F1887" s="11">
        <v>5082</v>
      </c>
      <c r="H1887" s="11">
        <v>7861</v>
      </c>
      <c r="I1887" s="11">
        <v>7861</v>
      </c>
    </row>
    <row r="1888" customHeight="1" spans="5:9">
      <c r="E1888" s="11">
        <v>5083</v>
      </c>
      <c r="F1888" s="11">
        <v>5083</v>
      </c>
      <c r="H1888" s="11">
        <v>7862</v>
      </c>
      <c r="I1888" s="11">
        <v>7862</v>
      </c>
    </row>
    <row r="1889" customHeight="1" spans="5:9">
      <c r="E1889" s="11">
        <v>5084</v>
      </c>
      <c r="F1889" s="11">
        <v>5084</v>
      </c>
      <c r="H1889" s="11">
        <v>7863</v>
      </c>
      <c r="I1889" s="11">
        <v>7863</v>
      </c>
    </row>
    <row r="1890" customHeight="1" spans="5:9">
      <c r="E1890" s="11">
        <v>5085</v>
      </c>
      <c r="F1890" s="11">
        <v>5085</v>
      </c>
      <c r="H1890" s="11">
        <v>7864</v>
      </c>
      <c r="I1890" s="11">
        <v>7864</v>
      </c>
    </row>
    <row r="1891" customHeight="1" spans="5:9">
      <c r="E1891" s="11">
        <v>5086</v>
      </c>
      <c r="F1891" s="11">
        <v>5086</v>
      </c>
      <c r="H1891" s="11">
        <v>7865</v>
      </c>
      <c r="I1891" s="11">
        <v>7865</v>
      </c>
    </row>
    <row r="1892" customHeight="1" spans="5:9">
      <c r="E1892" s="11">
        <v>5087</v>
      </c>
      <c r="F1892" s="11">
        <v>5087</v>
      </c>
      <c r="H1892" s="11">
        <v>7866</v>
      </c>
      <c r="I1892" s="11">
        <v>7866</v>
      </c>
    </row>
    <row r="1893" customHeight="1" spans="5:9">
      <c r="E1893" s="11">
        <v>5088</v>
      </c>
      <c r="F1893" s="11">
        <v>5088</v>
      </c>
      <c r="H1893" s="11">
        <v>7867</v>
      </c>
      <c r="I1893" s="11">
        <v>7867</v>
      </c>
    </row>
    <row r="1894" customHeight="1" spans="5:9">
      <c r="E1894" s="11">
        <v>5089</v>
      </c>
      <c r="F1894" s="11">
        <v>5089</v>
      </c>
      <c r="H1894" s="11">
        <v>7868</v>
      </c>
      <c r="I1894" s="11">
        <v>7868</v>
      </c>
    </row>
    <row r="1895" customHeight="1" spans="5:9">
      <c r="E1895" s="11">
        <v>5090</v>
      </c>
      <c r="F1895" s="11">
        <v>5090</v>
      </c>
      <c r="H1895" s="11">
        <v>7869</v>
      </c>
      <c r="I1895" s="11">
        <v>7869</v>
      </c>
    </row>
    <row r="1896" customHeight="1" spans="5:9">
      <c r="E1896" s="11">
        <v>5091</v>
      </c>
      <c r="F1896" s="11">
        <v>5091</v>
      </c>
      <c r="H1896" s="11">
        <v>7870</v>
      </c>
      <c r="I1896" s="11">
        <v>7870</v>
      </c>
    </row>
    <row r="1897" customHeight="1" spans="5:9">
      <c r="E1897" s="11">
        <v>5092</v>
      </c>
      <c r="F1897" s="11">
        <v>5092</v>
      </c>
      <c r="H1897" s="11">
        <v>7871</v>
      </c>
      <c r="I1897" s="11">
        <v>7871</v>
      </c>
    </row>
    <row r="1898" customHeight="1" spans="5:9">
      <c r="E1898" s="11">
        <v>5093</v>
      </c>
      <c r="F1898" s="11">
        <v>5093</v>
      </c>
      <c r="H1898" s="11">
        <v>7872</v>
      </c>
      <c r="I1898" s="11">
        <v>7872</v>
      </c>
    </row>
    <row r="1899" customHeight="1" spans="5:9">
      <c r="E1899" s="11">
        <v>5094</v>
      </c>
      <c r="F1899" s="11">
        <v>5094</v>
      </c>
      <c r="H1899" s="11">
        <v>7873</v>
      </c>
      <c r="I1899" s="11">
        <v>7873</v>
      </c>
    </row>
    <row r="1900" customHeight="1" spans="5:9">
      <c r="E1900" s="11">
        <v>5095</v>
      </c>
      <c r="F1900" s="11">
        <v>5095</v>
      </c>
      <c r="H1900" s="11">
        <v>7874</v>
      </c>
      <c r="I1900" s="11">
        <v>7874</v>
      </c>
    </row>
    <row r="1901" customHeight="1" spans="5:9">
      <c r="E1901" s="11">
        <v>5096</v>
      </c>
      <c r="F1901" s="11">
        <v>5096</v>
      </c>
      <c r="H1901" s="11">
        <v>7875</v>
      </c>
      <c r="I1901" s="11">
        <v>7875</v>
      </c>
    </row>
    <row r="1902" customHeight="1" spans="5:9">
      <c r="E1902" s="11">
        <v>5097</v>
      </c>
      <c r="F1902" s="11">
        <v>5097</v>
      </c>
      <c r="H1902" s="11">
        <v>7876</v>
      </c>
      <c r="I1902" s="11">
        <v>7876</v>
      </c>
    </row>
    <row r="1903" customHeight="1" spans="5:9">
      <c r="E1903" s="11">
        <v>5098</v>
      </c>
      <c r="F1903" s="11">
        <v>5098</v>
      </c>
      <c r="H1903" s="11">
        <v>7877</v>
      </c>
      <c r="I1903" s="11">
        <v>7877</v>
      </c>
    </row>
    <row r="1904" customHeight="1" spans="5:9">
      <c r="E1904" s="11">
        <v>5099</v>
      </c>
      <c r="F1904" s="11">
        <v>5099</v>
      </c>
      <c r="H1904" s="11">
        <v>7878</v>
      </c>
      <c r="I1904" s="11">
        <v>7878</v>
      </c>
    </row>
    <row r="1905" customHeight="1" spans="5:9">
      <c r="E1905" s="11">
        <v>5100</v>
      </c>
      <c r="F1905" s="11">
        <v>5100</v>
      </c>
      <c r="H1905" s="11">
        <v>7879</v>
      </c>
      <c r="I1905" s="11">
        <v>7879</v>
      </c>
    </row>
    <row r="1906" customHeight="1" spans="5:9">
      <c r="E1906" s="11">
        <v>5101</v>
      </c>
      <c r="F1906" s="11">
        <v>5101</v>
      </c>
      <c r="H1906" s="11">
        <v>7880</v>
      </c>
      <c r="I1906" s="11">
        <v>7880</v>
      </c>
    </row>
    <row r="1907" customHeight="1" spans="5:9">
      <c r="E1907" s="11">
        <v>5102</v>
      </c>
      <c r="F1907" s="11">
        <v>5102</v>
      </c>
      <c r="H1907" s="11">
        <v>7881</v>
      </c>
      <c r="I1907" s="11">
        <v>7881</v>
      </c>
    </row>
    <row r="1908" customHeight="1" spans="5:9">
      <c r="E1908" s="11">
        <v>5103</v>
      </c>
      <c r="F1908" s="11">
        <v>5103</v>
      </c>
      <c r="H1908" s="11">
        <v>7882</v>
      </c>
      <c r="I1908" s="11">
        <v>7882</v>
      </c>
    </row>
    <row r="1909" customHeight="1" spans="5:9">
      <c r="E1909" s="11">
        <v>5104</v>
      </c>
      <c r="F1909" s="11">
        <v>5104</v>
      </c>
      <c r="H1909" s="11">
        <v>7883</v>
      </c>
      <c r="I1909" s="11">
        <v>7883</v>
      </c>
    </row>
    <row r="1910" customHeight="1" spans="5:9">
      <c r="E1910" s="11">
        <v>5105</v>
      </c>
      <c r="F1910" s="11">
        <v>5105</v>
      </c>
      <c r="H1910" s="11">
        <v>7884</v>
      </c>
      <c r="I1910" s="11">
        <v>7884</v>
      </c>
    </row>
    <row r="1911" customHeight="1" spans="5:9">
      <c r="E1911" s="11">
        <v>5106</v>
      </c>
      <c r="F1911" s="11">
        <v>5106</v>
      </c>
      <c r="H1911" s="11">
        <v>7885</v>
      </c>
      <c r="I1911" s="11">
        <v>7885</v>
      </c>
    </row>
    <row r="1912" customHeight="1" spans="5:9">
      <c r="E1912" s="11">
        <v>5107</v>
      </c>
      <c r="F1912" s="11">
        <v>5107</v>
      </c>
      <c r="H1912" s="11">
        <v>7886</v>
      </c>
      <c r="I1912" s="11">
        <v>7886</v>
      </c>
    </row>
    <row r="1913" customHeight="1" spans="5:9">
      <c r="E1913" s="11">
        <v>5108</v>
      </c>
      <c r="F1913" s="11">
        <v>5108</v>
      </c>
      <c r="H1913" s="11">
        <v>7887</v>
      </c>
      <c r="I1913" s="11">
        <v>7887</v>
      </c>
    </row>
    <row r="1914" customHeight="1" spans="5:9">
      <c r="E1914" s="11">
        <v>5109</v>
      </c>
      <c r="F1914" s="11">
        <v>5109</v>
      </c>
      <c r="H1914" s="11">
        <v>7888</v>
      </c>
      <c r="I1914" s="11">
        <v>7888</v>
      </c>
    </row>
    <row r="1915" customHeight="1" spans="5:9">
      <c r="E1915" s="11">
        <v>5110</v>
      </c>
      <c r="F1915" s="11">
        <v>5110</v>
      </c>
      <c r="H1915" s="11">
        <v>7889</v>
      </c>
      <c r="I1915" s="11">
        <v>7889</v>
      </c>
    </row>
    <row r="1916" customHeight="1" spans="5:9">
      <c r="E1916" s="11">
        <v>5111</v>
      </c>
      <c r="F1916" s="11">
        <v>5111</v>
      </c>
      <c r="H1916" s="11">
        <v>7890</v>
      </c>
      <c r="I1916" s="11">
        <v>7890</v>
      </c>
    </row>
    <row r="1917" customHeight="1" spans="5:9">
      <c r="E1917" s="11">
        <v>5112</v>
      </c>
      <c r="F1917" s="11">
        <v>5112</v>
      </c>
      <c r="H1917" s="11">
        <v>7891</v>
      </c>
      <c r="I1917" s="11">
        <v>7891</v>
      </c>
    </row>
    <row r="1918" customHeight="1" spans="5:9">
      <c r="E1918" s="11">
        <v>5113</v>
      </c>
      <c r="F1918" s="11">
        <v>5113</v>
      </c>
      <c r="H1918" s="11">
        <v>7892</v>
      </c>
      <c r="I1918" s="11">
        <v>7892</v>
      </c>
    </row>
    <row r="1919" customHeight="1" spans="5:9">
      <c r="H1919" s="11">
        <v>7893</v>
      </c>
      <c r="I1919" s="11">
        <v>7893</v>
      </c>
    </row>
    <row r="1920" customHeight="1" spans="5:9">
      <c r="H1920" s="11">
        <v>7894</v>
      </c>
      <c r="I1920" s="11">
        <v>7894</v>
      </c>
    </row>
    <row r="1921" customHeight="1" spans="8:9">
      <c r="H1921" s="11">
        <v>7895</v>
      </c>
      <c r="I1921" s="11">
        <v>7895</v>
      </c>
    </row>
    <row r="1922" customHeight="1" spans="8:9">
      <c r="H1922" s="11">
        <v>7896</v>
      </c>
      <c r="I1922" s="11">
        <v>7896</v>
      </c>
    </row>
    <row r="1923" customHeight="1" spans="8:9">
      <c r="H1923" s="11">
        <v>7897</v>
      </c>
      <c r="I1923" s="11">
        <v>7897</v>
      </c>
    </row>
    <row r="1924" customHeight="1" spans="8:9">
      <c r="H1924" s="11">
        <v>7898</v>
      </c>
      <c r="I1924" s="11">
        <v>7898</v>
      </c>
    </row>
    <row r="1925" customHeight="1" spans="8:9">
      <c r="H1925" s="11">
        <v>7899</v>
      </c>
      <c r="I1925" s="11">
        <v>7899</v>
      </c>
    </row>
    <row r="1926" customHeight="1" spans="8:9">
      <c r="H1926" s="11">
        <v>7900</v>
      </c>
      <c r="I1926" s="11">
        <v>7900</v>
      </c>
    </row>
    <row r="1927" customHeight="1" spans="8:9">
      <c r="H1927" s="11">
        <v>7901</v>
      </c>
      <c r="I1927" s="11">
        <v>7901</v>
      </c>
    </row>
    <row r="1928" customHeight="1" spans="8:9">
      <c r="H1928" s="11">
        <v>7902</v>
      </c>
      <c r="I1928" s="11">
        <v>7902</v>
      </c>
    </row>
    <row r="1929" customHeight="1" spans="8:9">
      <c r="H1929" s="11">
        <v>7903</v>
      </c>
      <c r="I1929" s="11">
        <v>7903</v>
      </c>
    </row>
    <row r="1930" customHeight="1" spans="8:9">
      <c r="H1930" s="11">
        <v>7904</v>
      </c>
      <c r="I1930" s="11">
        <v>7904</v>
      </c>
    </row>
    <row r="1931" customHeight="1" spans="8:9">
      <c r="H1931" s="11">
        <v>7905</v>
      </c>
      <c r="I1931" s="11">
        <v>7905</v>
      </c>
    </row>
    <row r="1932" customHeight="1" spans="8:9">
      <c r="H1932" s="11">
        <v>7906</v>
      </c>
      <c r="I1932" s="11">
        <v>7906</v>
      </c>
    </row>
    <row r="1933" customHeight="1" spans="8:9">
      <c r="H1933" s="11">
        <v>7907</v>
      </c>
      <c r="I1933" s="11">
        <v>7907</v>
      </c>
    </row>
    <row r="1934" customHeight="1" spans="8:9">
      <c r="H1934" s="11">
        <v>7908</v>
      </c>
      <c r="I1934" s="11">
        <v>7908</v>
      </c>
    </row>
    <row r="1935" customHeight="1" spans="8:9">
      <c r="H1935" s="11">
        <v>7909</v>
      </c>
      <c r="I1935" s="11">
        <v>7909</v>
      </c>
    </row>
    <row r="1936" customHeight="1" spans="8:9">
      <c r="H1936" s="11">
        <v>7910</v>
      </c>
      <c r="I1936" s="11">
        <v>7910</v>
      </c>
    </row>
    <row r="1937" customHeight="1" spans="8:9">
      <c r="H1937" s="11">
        <v>7911</v>
      </c>
      <c r="I1937" s="11">
        <v>7911</v>
      </c>
    </row>
    <row r="1938" customHeight="1" spans="8:9">
      <c r="H1938" s="11">
        <v>7912</v>
      </c>
      <c r="I1938" s="11">
        <v>7912</v>
      </c>
    </row>
    <row r="1939" customHeight="1" spans="8:9">
      <c r="H1939" s="11">
        <v>7913</v>
      </c>
      <c r="I1939" s="11">
        <v>7913</v>
      </c>
    </row>
    <row r="1940" customHeight="1" spans="8:9">
      <c r="H1940" s="11">
        <v>7914</v>
      </c>
      <c r="I1940" s="11">
        <v>7914</v>
      </c>
    </row>
    <row r="1941" customHeight="1" spans="8:9">
      <c r="H1941" s="11">
        <v>7915</v>
      </c>
      <c r="I1941" s="11">
        <v>7915</v>
      </c>
    </row>
    <row r="1942" customHeight="1" spans="8:9">
      <c r="H1942" s="11">
        <v>7916</v>
      </c>
      <c r="I1942" s="11">
        <v>7916</v>
      </c>
    </row>
    <row r="1943" customHeight="1" spans="8:9">
      <c r="H1943" s="11">
        <v>7917</v>
      </c>
      <c r="I1943" s="11">
        <v>7917</v>
      </c>
    </row>
    <row r="1944" customHeight="1" spans="8:9">
      <c r="H1944" s="11">
        <v>7918</v>
      </c>
      <c r="I1944" s="11">
        <v>7918</v>
      </c>
    </row>
    <row r="1945" customHeight="1" spans="8:9">
      <c r="H1945" s="11">
        <v>7919</v>
      </c>
      <c r="I1945" s="11">
        <v>7919</v>
      </c>
    </row>
    <row r="1946" customHeight="1" spans="8:9">
      <c r="H1946" s="11">
        <v>7920</v>
      </c>
      <c r="I1946" s="11">
        <v>7920</v>
      </c>
    </row>
    <row r="1947" customHeight="1" spans="8:9">
      <c r="H1947" s="11">
        <v>7921</v>
      </c>
      <c r="I1947" s="11">
        <v>7921</v>
      </c>
    </row>
    <row r="1948" customHeight="1" spans="8:9">
      <c r="H1948" s="11">
        <v>7922</v>
      </c>
      <c r="I1948" s="11">
        <v>7922</v>
      </c>
    </row>
    <row r="1949" customHeight="1" spans="8:9">
      <c r="H1949" s="11">
        <v>7923</v>
      </c>
      <c r="I1949" s="11">
        <v>7923</v>
      </c>
    </row>
    <row r="1950" customHeight="1" spans="8:9">
      <c r="H1950" s="11">
        <v>7924</v>
      </c>
      <c r="I1950" s="11">
        <v>7924</v>
      </c>
    </row>
    <row r="1951" customHeight="1" spans="8:9">
      <c r="H1951" s="11">
        <v>7925</v>
      </c>
      <c r="I1951" s="11">
        <v>7925</v>
      </c>
    </row>
    <row r="1952" customHeight="1" spans="8:9">
      <c r="H1952" s="11">
        <v>7926</v>
      </c>
      <c r="I1952" s="11">
        <v>7926</v>
      </c>
    </row>
    <row r="1953" customHeight="1" spans="8:9">
      <c r="H1953" s="11">
        <v>7927</v>
      </c>
      <c r="I1953" s="11">
        <v>7927</v>
      </c>
    </row>
    <row r="1954" customHeight="1" spans="8:9">
      <c r="H1954" s="11">
        <v>7928</v>
      </c>
      <c r="I1954" s="11">
        <v>7928</v>
      </c>
    </row>
    <row r="1955" customHeight="1" spans="8:9">
      <c r="H1955" s="11">
        <v>7929</v>
      </c>
      <c r="I1955" s="11">
        <v>7929</v>
      </c>
    </row>
    <row r="1956" customHeight="1" spans="8:9">
      <c r="H1956" s="11">
        <v>7930</v>
      </c>
      <c r="I1956" s="11">
        <v>7930</v>
      </c>
    </row>
    <row r="1957" customHeight="1" spans="8:9">
      <c r="H1957" s="11">
        <v>7931</v>
      </c>
      <c r="I1957" s="11">
        <v>7931</v>
      </c>
    </row>
    <row r="1958" customHeight="1" spans="8:9">
      <c r="H1958" s="11">
        <v>7932</v>
      </c>
      <c r="I1958" s="11">
        <v>7932</v>
      </c>
    </row>
    <row r="1959" customHeight="1" spans="8:9">
      <c r="H1959" s="11">
        <v>7933</v>
      </c>
      <c r="I1959" s="11">
        <v>7933</v>
      </c>
    </row>
    <row r="1960" customHeight="1" spans="8:9">
      <c r="H1960" s="11">
        <v>7934</v>
      </c>
      <c r="I1960" s="11">
        <v>7934</v>
      </c>
    </row>
    <row r="1961" customHeight="1" spans="8:9">
      <c r="H1961" s="11">
        <v>7935</v>
      </c>
      <c r="I1961" s="11">
        <v>7935</v>
      </c>
    </row>
    <row r="1962" customHeight="1" spans="8:9">
      <c r="H1962" s="11">
        <v>7936</v>
      </c>
      <c r="I1962" s="11">
        <v>7936</v>
      </c>
    </row>
    <row r="1963" customHeight="1" spans="8:9">
      <c r="H1963" s="11">
        <v>7937</v>
      </c>
      <c r="I1963" s="11">
        <v>7937</v>
      </c>
    </row>
    <row r="1964" customHeight="1" spans="8:9">
      <c r="H1964" s="11">
        <v>7938</v>
      </c>
      <c r="I1964" s="11">
        <v>7938</v>
      </c>
    </row>
    <row r="1965" customHeight="1" spans="8:9">
      <c r="H1965" s="11">
        <v>7939</v>
      </c>
      <c r="I1965" s="11">
        <v>7939</v>
      </c>
    </row>
    <row r="1966" customHeight="1" spans="8:9">
      <c r="H1966" s="11">
        <v>7940</v>
      </c>
      <c r="I1966" s="11">
        <v>7940</v>
      </c>
    </row>
    <row r="1967" customHeight="1" spans="8:9">
      <c r="H1967" s="11">
        <v>7941</v>
      </c>
      <c r="I1967" s="11">
        <v>7941</v>
      </c>
    </row>
    <row r="1968" customHeight="1" spans="8:9">
      <c r="H1968" s="11">
        <v>7942</v>
      </c>
      <c r="I1968" s="11">
        <v>7942</v>
      </c>
    </row>
    <row r="1969" customHeight="1" spans="8:9">
      <c r="H1969" s="11">
        <v>7943</v>
      </c>
      <c r="I1969" s="11">
        <v>7943</v>
      </c>
    </row>
    <row r="1970" customHeight="1" spans="8:9">
      <c r="H1970" s="11">
        <v>7944</v>
      </c>
      <c r="I1970" s="11">
        <v>7944</v>
      </c>
    </row>
    <row r="1971" customHeight="1" spans="8:9">
      <c r="H1971" s="11">
        <v>7945</v>
      </c>
      <c r="I1971" s="11">
        <v>7945</v>
      </c>
    </row>
    <row r="1972" customHeight="1" spans="8:9">
      <c r="H1972" s="11">
        <v>7946</v>
      </c>
      <c r="I1972" s="11">
        <v>7946</v>
      </c>
    </row>
    <row r="1973" customHeight="1" spans="8:9">
      <c r="H1973" s="11">
        <v>7947</v>
      </c>
      <c r="I1973" s="11">
        <v>7947</v>
      </c>
    </row>
    <row r="1974" customHeight="1" spans="8:9">
      <c r="H1974" s="11">
        <v>7948</v>
      </c>
      <c r="I1974" s="11">
        <v>7948</v>
      </c>
    </row>
    <row r="1975" customHeight="1" spans="8:9">
      <c r="H1975" s="11">
        <v>7949</v>
      </c>
      <c r="I1975" s="11">
        <v>7949</v>
      </c>
    </row>
    <row r="1976" customHeight="1" spans="8:9">
      <c r="H1976" s="11">
        <v>7950</v>
      </c>
      <c r="I1976" s="11">
        <v>7950</v>
      </c>
    </row>
    <row r="1977" customHeight="1" spans="8:9">
      <c r="H1977" s="11">
        <v>7951</v>
      </c>
      <c r="I1977" s="11">
        <v>7951</v>
      </c>
    </row>
    <row r="1978" customHeight="1" spans="8:9">
      <c r="H1978" s="11">
        <v>7952</v>
      </c>
      <c r="I1978" s="11">
        <v>7952</v>
      </c>
    </row>
    <row r="1979" customHeight="1" spans="8:9">
      <c r="H1979" s="11">
        <v>7953</v>
      </c>
      <c r="I1979" s="11">
        <v>7953</v>
      </c>
    </row>
    <row r="1980" customHeight="1" spans="8:9">
      <c r="H1980" s="11">
        <v>7954</v>
      </c>
      <c r="I1980" s="11">
        <v>7954</v>
      </c>
    </row>
    <row r="1981" customHeight="1" spans="8:9">
      <c r="H1981" s="11">
        <v>7955</v>
      </c>
      <c r="I1981" s="11">
        <v>7955</v>
      </c>
    </row>
    <row r="1982" customHeight="1" spans="8:9">
      <c r="H1982" s="11">
        <v>7956</v>
      </c>
      <c r="I1982" s="11">
        <v>7956</v>
      </c>
    </row>
    <row r="1983" customHeight="1" spans="8:9">
      <c r="H1983" s="11">
        <v>7957</v>
      </c>
      <c r="I1983" s="11">
        <v>7957</v>
      </c>
    </row>
    <row r="1984" customHeight="1" spans="8:9">
      <c r="H1984" s="11">
        <v>7958</v>
      </c>
      <c r="I1984" s="11">
        <v>7958</v>
      </c>
    </row>
    <row r="1985" customHeight="1" spans="8:9">
      <c r="H1985" s="11">
        <v>7959</v>
      </c>
      <c r="I1985" s="11">
        <v>7959</v>
      </c>
    </row>
    <row r="1986" customHeight="1" spans="8:9">
      <c r="H1986" s="11">
        <v>7960</v>
      </c>
      <c r="I1986" s="11">
        <v>7960</v>
      </c>
    </row>
    <row r="1987" customHeight="1" spans="8:9">
      <c r="H1987" s="11">
        <v>7961</v>
      </c>
      <c r="I1987" s="11">
        <v>7961</v>
      </c>
    </row>
    <row r="1988" customHeight="1" spans="8:9">
      <c r="H1988" s="11">
        <v>7962</v>
      </c>
      <c r="I1988" s="11">
        <v>7962</v>
      </c>
    </row>
    <row r="1989" customHeight="1" spans="8:9">
      <c r="H1989" s="11">
        <v>7963</v>
      </c>
      <c r="I1989" s="11">
        <v>7963</v>
      </c>
    </row>
    <row r="1990" customHeight="1" spans="8:9">
      <c r="H1990" s="11">
        <v>7964</v>
      </c>
      <c r="I1990" s="11">
        <v>7964</v>
      </c>
    </row>
    <row r="1991" customHeight="1" spans="8:9">
      <c r="H1991" s="11">
        <v>7965</v>
      </c>
      <c r="I1991" s="11">
        <v>7965</v>
      </c>
    </row>
    <row r="1992" customHeight="1" spans="8:9">
      <c r="H1992" s="11">
        <v>7966</v>
      </c>
      <c r="I1992" s="11">
        <v>7966</v>
      </c>
    </row>
    <row r="1993" customHeight="1" spans="8:9">
      <c r="H1993" s="11">
        <v>7967</v>
      </c>
      <c r="I1993" s="11">
        <v>7967</v>
      </c>
    </row>
    <row r="1994" customHeight="1" spans="8:9">
      <c r="H1994" s="11">
        <v>7968</v>
      </c>
      <c r="I1994" s="11">
        <v>7968</v>
      </c>
    </row>
    <row r="1995" customHeight="1" spans="8:9">
      <c r="H1995" s="11">
        <v>7969</v>
      </c>
      <c r="I1995" s="11">
        <v>7969</v>
      </c>
    </row>
    <row r="1996" customHeight="1" spans="8:9">
      <c r="H1996" s="11">
        <v>7970</v>
      </c>
      <c r="I1996" s="11">
        <v>7970</v>
      </c>
    </row>
    <row r="1997" customHeight="1" spans="8:9">
      <c r="H1997" s="11">
        <v>7971</v>
      </c>
      <c r="I1997" s="11">
        <v>7971</v>
      </c>
    </row>
    <row r="1998" customHeight="1" spans="8:9">
      <c r="H1998" s="11">
        <v>7972</v>
      </c>
      <c r="I1998" s="11">
        <v>7972</v>
      </c>
    </row>
    <row r="1999" customHeight="1" spans="8:9">
      <c r="H1999" s="11">
        <v>7973</v>
      </c>
      <c r="I1999" s="11">
        <v>7973</v>
      </c>
    </row>
    <row r="2000" customHeight="1" spans="8:9">
      <c r="H2000" s="11">
        <v>7974</v>
      </c>
      <c r="I2000" s="11">
        <v>7974</v>
      </c>
    </row>
    <row r="2001" customHeight="1" spans="8:9">
      <c r="H2001" s="11">
        <v>7975</v>
      </c>
      <c r="I2001" s="11">
        <v>7975</v>
      </c>
    </row>
    <row r="2002" customHeight="1" spans="8:9">
      <c r="H2002" s="11">
        <v>7976</v>
      </c>
      <c r="I2002" s="11">
        <v>7976</v>
      </c>
    </row>
    <row r="2003" customHeight="1" spans="8:9">
      <c r="H2003" s="11">
        <v>7977</v>
      </c>
      <c r="I2003" s="11">
        <v>7977</v>
      </c>
    </row>
    <row r="2004" customHeight="1" spans="8:9">
      <c r="H2004" s="11">
        <v>7978</v>
      </c>
      <c r="I2004" s="11">
        <v>7978</v>
      </c>
    </row>
    <row r="2005" customHeight="1" spans="8:9">
      <c r="H2005" s="11">
        <v>7979</v>
      </c>
      <c r="I2005" s="11">
        <v>7979</v>
      </c>
    </row>
    <row r="2006" customHeight="1" spans="8:9">
      <c r="H2006" s="11">
        <v>7980</v>
      </c>
      <c r="I2006" s="11">
        <v>7980</v>
      </c>
    </row>
    <row r="2007" customHeight="1" spans="8:9">
      <c r="H2007" s="11">
        <v>7981</v>
      </c>
      <c r="I2007" s="11">
        <v>7981</v>
      </c>
    </row>
    <row r="2008" customHeight="1" spans="8:9">
      <c r="H2008" s="11">
        <v>7982</v>
      </c>
      <c r="I2008" s="11">
        <v>7982</v>
      </c>
    </row>
    <row r="2009" customHeight="1" spans="8:9">
      <c r="H2009" s="11">
        <v>7983</v>
      </c>
      <c r="I2009" s="11">
        <v>7983</v>
      </c>
    </row>
    <row r="2010" customHeight="1" spans="8:9">
      <c r="H2010" s="11">
        <v>7984</v>
      </c>
      <c r="I2010" s="11">
        <v>7984</v>
      </c>
    </row>
    <row r="2011" customHeight="1" spans="8:9">
      <c r="H2011" s="11">
        <v>7985</v>
      </c>
      <c r="I2011" s="11">
        <v>7985</v>
      </c>
    </row>
    <row r="2012" customHeight="1" spans="8:9">
      <c r="H2012" s="11">
        <v>7986</v>
      </c>
      <c r="I2012" s="11">
        <v>7986</v>
      </c>
    </row>
    <row r="2013" customHeight="1" spans="8:9">
      <c r="H2013" s="11">
        <v>7987</v>
      </c>
      <c r="I2013" s="11">
        <v>7987</v>
      </c>
    </row>
    <row r="2014" customHeight="1" spans="8:9">
      <c r="H2014" s="11">
        <v>7988</v>
      </c>
      <c r="I2014" s="11">
        <v>7988</v>
      </c>
    </row>
    <row r="2015" customHeight="1" spans="8:9">
      <c r="H2015" s="11">
        <v>7989</v>
      </c>
      <c r="I2015" s="11">
        <v>7989</v>
      </c>
    </row>
    <row r="2016" customHeight="1" spans="8:9">
      <c r="H2016" s="11">
        <v>7990</v>
      </c>
      <c r="I2016" s="11">
        <v>7990</v>
      </c>
    </row>
    <row r="2017" customHeight="1" spans="8:9">
      <c r="H2017" s="11">
        <v>7991</v>
      </c>
      <c r="I2017" s="11">
        <v>7991</v>
      </c>
    </row>
    <row r="2018" customHeight="1" spans="8:9">
      <c r="H2018" s="11">
        <v>7992</v>
      </c>
      <c r="I2018" s="11">
        <v>7992</v>
      </c>
    </row>
    <row r="2019" customHeight="1" spans="8:9">
      <c r="H2019" s="11">
        <v>7993</v>
      </c>
      <c r="I2019" s="11">
        <v>7993</v>
      </c>
    </row>
    <row r="2020" customHeight="1" spans="8:9">
      <c r="H2020" s="11">
        <v>7994</v>
      </c>
      <c r="I2020" s="11">
        <v>7994</v>
      </c>
    </row>
    <row r="2021" customHeight="1" spans="8:9">
      <c r="H2021" s="11">
        <v>7995</v>
      </c>
      <c r="I2021" s="11">
        <v>7995</v>
      </c>
    </row>
    <row r="2022" customHeight="1" spans="8:9">
      <c r="H2022" s="11">
        <v>7996</v>
      </c>
      <c r="I2022" s="11">
        <v>7996</v>
      </c>
    </row>
    <row r="2023" customHeight="1" spans="8:9">
      <c r="H2023" s="11">
        <v>7997</v>
      </c>
      <c r="I2023" s="11">
        <v>7997</v>
      </c>
    </row>
    <row r="2024" customHeight="1" spans="8:9">
      <c r="H2024" s="11">
        <v>7998</v>
      </c>
      <c r="I2024" s="11">
        <v>7998</v>
      </c>
    </row>
    <row r="2025" customHeight="1" spans="8:9">
      <c r="H2025" s="11">
        <v>7999</v>
      </c>
      <c r="I2025" s="11">
        <v>7999</v>
      </c>
    </row>
    <row r="2026" customHeight="1" spans="8:9">
      <c r="H2026" s="11">
        <v>7020</v>
      </c>
      <c r="I2026" s="11">
        <v>7020</v>
      </c>
    </row>
    <row r="2027" customHeight="1" spans="8:9">
      <c r="H2027" s="11">
        <v>7021</v>
      </c>
      <c r="I2027" s="11">
        <v>7021</v>
      </c>
    </row>
    <row r="2028" customHeight="1" spans="8:9">
      <c r="H2028" s="11">
        <v>7022</v>
      </c>
      <c r="I2028" s="11">
        <v>7022</v>
      </c>
    </row>
    <row r="2029" customHeight="1" spans="8:9">
      <c r="H2029" s="11">
        <v>7023</v>
      </c>
      <c r="I2029" s="11">
        <v>7023</v>
      </c>
    </row>
    <row r="2030" customHeight="1" spans="8:9">
      <c r="H2030" s="11">
        <v>7024</v>
      </c>
      <c r="I2030" s="11">
        <v>7024</v>
      </c>
    </row>
    <row r="2031" customHeight="1" spans="8:9">
      <c r="H2031" s="11">
        <v>7025</v>
      </c>
      <c r="I2031" s="11">
        <v>7025</v>
      </c>
    </row>
    <row r="2032" customHeight="1" spans="8:9">
      <c r="H2032" s="11">
        <v>7026</v>
      </c>
      <c r="I2032" s="11">
        <v>7026</v>
      </c>
    </row>
    <row r="2033" customHeight="1" spans="8:9">
      <c r="H2033" s="11">
        <v>7027</v>
      </c>
      <c r="I2033" s="11">
        <v>7027</v>
      </c>
    </row>
    <row r="2034" customHeight="1" spans="8:9">
      <c r="H2034" s="11">
        <v>7028</v>
      </c>
      <c r="I2034" s="11">
        <v>7028</v>
      </c>
    </row>
    <row r="2035" customHeight="1" spans="8:9">
      <c r="H2035" s="11">
        <v>7029</v>
      </c>
      <c r="I2035" s="11">
        <v>7029</v>
      </c>
    </row>
    <row r="2036" customHeight="1" spans="8:9">
      <c r="H2036" s="11">
        <v>7030</v>
      </c>
      <c r="I2036" s="11">
        <v>7030</v>
      </c>
    </row>
    <row r="2037" customHeight="1" spans="8:9">
      <c r="H2037" s="11">
        <v>7031</v>
      </c>
      <c r="I2037" s="11">
        <v>7031</v>
      </c>
    </row>
    <row r="2038" customHeight="1" spans="8:9">
      <c r="H2038" s="11">
        <v>7032</v>
      </c>
      <c r="I2038" s="11">
        <v>7032</v>
      </c>
    </row>
    <row r="2039" customHeight="1" spans="8:9">
      <c r="H2039" s="11">
        <v>7033</v>
      </c>
      <c r="I2039" s="11">
        <v>7033</v>
      </c>
    </row>
    <row r="2040" customHeight="1" spans="8:9">
      <c r="H2040" s="11">
        <v>7034</v>
      </c>
      <c r="I2040" s="11">
        <v>7034</v>
      </c>
    </row>
    <row r="2041" customHeight="1" spans="8:9">
      <c r="H2041" s="11">
        <v>7035</v>
      </c>
      <c r="I2041" s="11">
        <v>7035</v>
      </c>
    </row>
    <row r="2042" customHeight="1" spans="8:9">
      <c r="H2042" s="11">
        <v>7036</v>
      </c>
      <c r="I2042" s="11">
        <v>7036</v>
      </c>
    </row>
    <row r="2043" customHeight="1" spans="8:9">
      <c r="H2043" s="11">
        <v>7037</v>
      </c>
      <c r="I2043" s="11">
        <v>7037</v>
      </c>
    </row>
    <row r="2044" customHeight="1" spans="8:9">
      <c r="H2044" s="11">
        <v>7038</v>
      </c>
      <c r="I2044" s="11">
        <v>7038</v>
      </c>
    </row>
    <row r="2045" customHeight="1" spans="8:9">
      <c r="H2045" s="11">
        <v>7039</v>
      </c>
      <c r="I2045" s="11">
        <v>7039</v>
      </c>
    </row>
    <row r="2046" customHeight="1" spans="8:9">
      <c r="H2046" s="11">
        <v>7040</v>
      </c>
      <c r="I2046" s="11">
        <v>7040</v>
      </c>
    </row>
    <row r="2047" customHeight="1" spans="8:9">
      <c r="H2047" s="11">
        <v>7041</v>
      </c>
      <c r="I2047" s="11">
        <v>7041</v>
      </c>
    </row>
    <row r="2048" customHeight="1" spans="8:9">
      <c r="H2048" s="11">
        <v>7042</v>
      </c>
      <c r="I2048" s="11">
        <v>7042</v>
      </c>
    </row>
    <row r="2049" customHeight="1" spans="8:9">
      <c r="H2049" s="11">
        <v>7043</v>
      </c>
      <c r="I2049" s="11">
        <v>7043</v>
      </c>
    </row>
    <row r="2050" customHeight="1" spans="8:9">
      <c r="H2050" s="11">
        <v>7044</v>
      </c>
      <c r="I2050" s="11">
        <v>7044</v>
      </c>
    </row>
    <row r="2051" customHeight="1" spans="8:9">
      <c r="H2051" s="11">
        <v>7045</v>
      </c>
      <c r="I2051" s="11">
        <v>7045</v>
      </c>
    </row>
    <row r="2052" customHeight="1" spans="8:9">
      <c r="H2052" s="11">
        <v>7046</v>
      </c>
      <c r="I2052" s="11">
        <v>7046</v>
      </c>
    </row>
    <row r="2053" customHeight="1" spans="8:9">
      <c r="H2053" s="11">
        <v>7047</v>
      </c>
      <c r="I2053" s="11">
        <v>7047</v>
      </c>
    </row>
    <row r="2054" customHeight="1" spans="8:9">
      <c r="H2054" s="11">
        <v>7048</v>
      </c>
      <c r="I2054" s="11">
        <v>7048</v>
      </c>
    </row>
    <row r="2055" customHeight="1" spans="8:9">
      <c r="H2055" s="11">
        <v>7049</v>
      </c>
      <c r="I2055" s="11">
        <v>7049</v>
      </c>
    </row>
    <row r="2056" customHeight="1" spans="8:9">
      <c r="H2056" s="11">
        <v>7054</v>
      </c>
      <c r="I2056" s="11">
        <v>7054</v>
      </c>
    </row>
    <row r="2057" customHeight="1" spans="8:9">
      <c r="H2057" s="11">
        <v>7109</v>
      </c>
      <c r="I2057" s="11">
        <v>7109</v>
      </c>
    </row>
    <row r="2058" customHeight="1" spans="8:9">
      <c r="H2058" s="11">
        <v>7110</v>
      </c>
      <c r="I2058" s="11">
        <v>7110</v>
      </c>
    </row>
    <row r="2059" customHeight="1" spans="8:9">
      <c r="H2059" s="11">
        <v>7111</v>
      </c>
      <c r="I2059" s="11">
        <v>7111</v>
      </c>
    </row>
    <row r="2060" customHeight="1" spans="8:9">
      <c r="H2060" s="11">
        <v>7112</v>
      </c>
      <c r="I2060" s="11">
        <v>7112</v>
      </c>
    </row>
    <row r="2061" customHeight="1" spans="8:9">
      <c r="H2061" s="11">
        <v>7113</v>
      </c>
      <c r="I2061" s="11">
        <v>7113</v>
      </c>
    </row>
    <row r="2062" customHeight="1" spans="8:9">
      <c r="H2062" s="11">
        <v>7114</v>
      </c>
      <c r="I2062" s="11">
        <v>7114</v>
      </c>
    </row>
    <row r="2063" customHeight="1" spans="8:9">
      <c r="H2063" s="11">
        <v>7115</v>
      </c>
      <c r="I2063" s="11">
        <v>7115</v>
      </c>
    </row>
    <row r="2064" customHeight="1" spans="8:9">
      <c r="H2064" s="11">
        <v>7116</v>
      </c>
      <c r="I2064" s="11">
        <v>7116</v>
      </c>
    </row>
    <row r="2065" customHeight="1" spans="8:9">
      <c r="H2065" s="11">
        <v>7117</v>
      </c>
      <c r="I2065" s="11">
        <v>7117</v>
      </c>
    </row>
    <row r="2066" customHeight="1" spans="8:9">
      <c r="H2066" s="11">
        <v>7118</v>
      </c>
      <c r="I2066" s="11">
        <v>7118</v>
      </c>
    </row>
    <row r="2067" customHeight="1" spans="8:9">
      <c r="H2067" s="11">
        <v>7119</v>
      </c>
      <c r="I2067" s="11">
        <v>7119</v>
      </c>
    </row>
    <row r="2068" customHeight="1" spans="8:9">
      <c r="H2068" s="11">
        <v>7120</v>
      </c>
      <c r="I2068" s="11">
        <v>7120</v>
      </c>
    </row>
    <row r="2069" customHeight="1" spans="8:9">
      <c r="H2069" s="11">
        <v>7121</v>
      </c>
      <c r="I2069" s="11">
        <v>7121</v>
      </c>
    </row>
    <row r="2070" customHeight="1" spans="8:9">
      <c r="H2070" s="11">
        <v>7122</v>
      </c>
      <c r="I2070" s="11">
        <v>7122</v>
      </c>
    </row>
    <row r="2071" customHeight="1" spans="8:9">
      <c r="H2071" s="11">
        <v>7123</v>
      </c>
      <c r="I2071" s="11">
        <v>7123</v>
      </c>
    </row>
    <row r="2072" customHeight="1" spans="8:9">
      <c r="H2072" s="11">
        <v>7124</v>
      </c>
      <c r="I2072" s="11">
        <v>7124</v>
      </c>
    </row>
    <row r="2073" customHeight="1" spans="8:9">
      <c r="H2073" s="11">
        <v>7125</v>
      </c>
      <c r="I2073" s="11">
        <v>7125</v>
      </c>
    </row>
    <row r="2074" customHeight="1" spans="8:9">
      <c r="H2074" s="11">
        <v>7126</v>
      </c>
      <c r="I2074" s="11">
        <v>7126</v>
      </c>
    </row>
    <row r="2075" customHeight="1" spans="8:9">
      <c r="H2075" s="11">
        <v>7127</v>
      </c>
      <c r="I2075" s="11">
        <v>7127</v>
      </c>
    </row>
    <row r="2076" customHeight="1" spans="8:9">
      <c r="H2076" s="11">
        <v>7128</v>
      </c>
      <c r="I2076" s="11">
        <v>7128</v>
      </c>
    </row>
    <row r="2077" customHeight="1" spans="8:9">
      <c r="H2077" s="11">
        <v>7129</v>
      </c>
      <c r="I2077" s="11">
        <v>7129</v>
      </c>
    </row>
    <row r="2078" customHeight="1" spans="8:9">
      <c r="H2078" s="11">
        <v>7130</v>
      </c>
      <c r="I2078" s="11">
        <v>7130</v>
      </c>
    </row>
    <row r="2079" customHeight="1" spans="8:9">
      <c r="H2079" s="11">
        <v>7131</v>
      </c>
      <c r="I2079" s="11">
        <v>7131</v>
      </c>
    </row>
    <row r="2080" customHeight="1" spans="8:9">
      <c r="H2080" s="11">
        <v>7132</v>
      </c>
      <c r="I2080" s="11">
        <v>7132</v>
      </c>
    </row>
    <row r="2081" customHeight="1" spans="8:9">
      <c r="H2081" s="11">
        <v>7133</v>
      </c>
      <c r="I2081" s="11">
        <v>7133</v>
      </c>
    </row>
    <row r="2082" customHeight="1" spans="8:9">
      <c r="H2082" s="11">
        <v>7134</v>
      </c>
      <c r="I2082" s="11">
        <v>7134</v>
      </c>
    </row>
    <row r="2083" customHeight="1" spans="8:9">
      <c r="H2083" s="11">
        <v>7135</v>
      </c>
      <c r="I2083" s="11">
        <v>7135</v>
      </c>
    </row>
    <row r="2084" customHeight="1" spans="8:9">
      <c r="H2084" s="11">
        <v>7136</v>
      </c>
      <c r="I2084" s="11">
        <v>7136</v>
      </c>
    </row>
    <row r="2085" customHeight="1" spans="8:9">
      <c r="H2085" s="11">
        <v>7137</v>
      </c>
      <c r="I2085" s="11">
        <v>7137</v>
      </c>
    </row>
    <row r="2086" customHeight="1" spans="8:9">
      <c r="H2086" s="11">
        <v>7138</v>
      </c>
      <c r="I2086" s="11">
        <v>7138</v>
      </c>
    </row>
    <row r="2087" customHeight="1" spans="8:9">
      <c r="H2087" s="11">
        <v>7139</v>
      </c>
      <c r="I2087" s="11">
        <v>7139</v>
      </c>
    </row>
    <row r="2088" customHeight="1" spans="8:9">
      <c r="H2088" s="11">
        <v>7140</v>
      </c>
      <c r="I2088" s="11">
        <v>7140</v>
      </c>
    </row>
    <row r="2089" customHeight="1" spans="8:9">
      <c r="H2089" s="11">
        <v>7141</v>
      </c>
      <c r="I2089" s="11">
        <v>7141</v>
      </c>
    </row>
    <row r="2090" customHeight="1" spans="8:9">
      <c r="H2090" s="11">
        <v>7142</v>
      </c>
      <c r="I2090" s="11">
        <v>7142</v>
      </c>
    </row>
    <row r="2091" customHeight="1" spans="8:9">
      <c r="H2091" s="11">
        <v>7143</v>
      </c>
      <c r="I2091" s="11">
        <v>7143</v>
      </c>
    </row>
    <row r="2092" customHeight="1" spans="8:9">
      <c r="H2092" s="11">
        <v>7144</v>
      </c>
      <c r="I2092" s="11">
        <v>7144</v>
      </c>
    </row>
    <row r="2093" customHeight="1" spans="8:9">
      <c r="H2093" s="11">
        <v>7145</v>
      </c>
      <c r="I2093" s="11">
        <v>7145</v>
      </c>
    </row>
    <row r="2094" customHeight="1" spans="8:9">
      <c r="H2094" s="11">
        <v>7146</v>
      </c>
      <c r="I2094" s="11">
        <v>7146</v>
      </c>
    </row>
    <row r="2095" customHeight="1" spans="8:9">
      <c r="H2095" s="11">
        <v>7147</v>
      </c>
      <c r="I2095" s="11">
        <v>7147</v>
      </c>
    </row>
    <row r="2096" customHeight="1" spans="8:9">
      <c r="H2096" s="11">
        <v>7148</v>
      </c>
      <c r="I2096" s="11">
        <v>7148</v>
      </c>
    </row>
    <row r="2097" customHeight="1" spans="8:9">
      <c r="H2097" s="11">
        <v>7149</v>
      </c>
      <c r="I2097" s="11">
        <v>7149</v>
      </c>
    </row>
    <row r="2098" customHeight="1" spans="8:9">
      <c r="H2098" s="11">
        <v>7150</v>
      </c>
      <c r="I2098" s="11">
        <v>7150</v>
      </c>
    </row>
    <row r="2099" customHeight="1" spans="8:9">
      <c r="H2099" s="11">
        <v>7155</v>
      </c>
      <c r="I2099" s="11">
        <v>7155</v>
      </c>
    </row>
    <row r="2100" customHeight="1" spans="8:9">
      <c r="H2100" s="11">
        <v>7156</v>
      </c>
      <c r="I2100" s="11">
        <v>7156</v>
      </c>
    </row>
    <row r="2101" customHeight="1" spans="8:9">
      <c r="H2101" s="11">
        <v>7157</v>
      </c>
      <c r="I2101" s="11">
        <v>7157</v>
      </c>
    </row>
    <row r="2102" customHeight="1" spans="8:9">
      <c r="H2102" s="11">
        <v>7158</v>
      </c>
      <c r="I2102" s="11">
        <v>7158</v>
      </c>
    </row>
    <row r="2103" customHeight="1" spans="8:9">
      <c r="H2103" s="11">
        <v>7159</v>
      </c>
      <c r="I2103" s="11">
        <v>7159</v>
      </c>
    </row>
    <row r="2104" customHeight="1" spans="8:9">
      <c r="H2104" s="11">
        <v>7160</v>
      </c>
      <c r="I2104" s="11">
        <v>7160</v>
      </c>
    </row>
    <row r="2105" customHeight="1" spans="8:9">
      <c r="H2105" s="11">
        <v>7161</v>
      </c>
      <c r="I2105" s="11">
        <v>7161</v>
      </c>
    </row>
    <row r="2106" customHeight="1" spans="8:9">
      <c r="H2106" s="11">
        <v>7162</v>
      </c>
      <c r="I2106" s="11">
        <v>7162</v>
      </c>
    </row>
    <row r="2107" customHeight="1" spans="8:9">
      <c r="H2107" s="11">
        <v>7163</v>
      </c>
      <c r="I2107" s="11">
        <v>7163</v>
      </c>
    </row>
    <row r="2108" customHeight="1" spans="8:9">
      <c r="H2108" s="11">
        <v>7164</v>
      </c>
      <c r="I2108" s="11">
        <v>7164</v>
      </c>
    </row>
    <row r="2109" customHeight="1" spans="8:9">
      <c r="H2109" s="11">
        <v>7165</v>
      </c>
      <c r="I2109" s="11">
        <v>7165</v>
      </c>
    </row>
    <row r="2110" customHeight="1" spans="8:9">
      <c r="H2110" s="11">
        <v>7166</v>
      </c>
      <c r="I2110" s="11">
        <v>7166</v>
      </c>
    </row>
    <row r="2111" customHeight="1" spans="8:9">
      <c r="H2111" s="11">
        <v>7167</v>
      </c>
      <c r="I2111" s="11">
        <v>7167</v>
      </c>
    </row>
    <row r="2112" customHeight="1" spans="8:9">
      <c r="H2112" s="11">
        <v>7168</v>
      </c>
      <c r="I2112" s="11">
        <v>7168</v>
      </c>
    </row>
    <row r="2113" customHeight="1" spans="8:9">
      <c r="H2113" s="11">
        <v>7169</v>
      </c>
      <c r="I2113" s="11">
        <v>7169</v>
      </c>
    </row>
    <row r="2114" customHeight="1" spans="8:9">
      <c r="H2114" s="11">
        <v>7170</v>
      </c>
      <c r="I2114" s="11">
        <v>7170</v>
      </c>
    </row>
    <row r="2115" customHeight="1" spans="8:9">
      <c r="H2115" s="11">
        <v>7171</v>
      </c>
      <c r="I2115" s="11">
        <v>7171</v>
      </c>
    </row>
    <row r="2116" customHeight="1" spans="8:9">
      <c r="H2116" s="11">
        <v>7173</v>
      </c>
      <c r="I2116" s="11">
        <v>7173</v>
      </c>
    </row>
    <row r="2117" customHeight="1" spans="8:9">
      <c r="H2117" s="11">
        <v>7174</v>
      </c>
      <c r="I2117" s="11">
        <v>7174</v>
      </c>
    </row>
    <row r="2118" customHeight="1" spans="8:9">
      <c r="H2118" s="11">
        <v>7175</v>
      </c>
      <c r="I2118" s="11">
        <v>7175</v>
      </c>
    </row>
    <row r="2119" customHeight="1" spans="8:9">
      <c r="H2119" s="11">
        <v>7176</v>
      </c>
      <c r="I2119" s="11">
        <v>7176</v>
      </c>
    </row>
    <row r="2120" customHeight="1" spans="8:9">
      <c r="H2120" s="11">
        <v>7177</v>
      </c>
      <c r="I2120" s="11">
        <v>7177</v>
      </c>
    </row>
    <row r="2121" customHeight="1" spans="8:9">
      <c r="H2121" s="11">
        <v>7178</v>
      </c>
      <c r="I2121" s="11">
        <v>7178</v>
      </c>
    </row>
    <row r="2122" customHeight="1" spans="8:9">
      <c r="H2122" s="11">
        <v>7179</v>
      </c>
      <c r="I2122" s="11">
        <v>7179</v>
      </c>
    </row>
    <row r="2123" customHeight="1" spans="8:9">
      <c r="H2123" s="11">
        <v>7180</v>
      </c>
      <c r="I2123" s="11">
        <v>7180</v>
      </c>
    </row>
    <row r="2124" customHeight="1" spans="8:9">
      <c r="H2124" s="11">
        <v>7181</v>
      </c>
      <c r="I2124" s="11">
        <v>7181</v>
      </c>
    </row>
    <row r="2125" customHeight="1" spans="8:9">
      <c r="H2125" s="11">
        <v>7182</v>
      </c>
      <c r="I2125" s="11">
        <v>7182</v>
      </c>
    </row>
    <row r="2126" customHeight="1" spans="8:9">
      <c r="H2126" s="11">
        <v>7183</v>
      </c>
      <c r="I2126" s="11">
        <v>7183</v>
      </c>
    </row>
    <row r="2127" customHeight="1" spans="8:9">
      <c r="H2127" s="11">
        <v>7184</v>
      </c>
      <c r="I2127" s="11">
        <v>7184</v>
      </c>
    </row>
    <row r="2128" customHeight="1" spans="8:9">
      <c r="H2128" s="11">
        <v>7185</v>
      </c>
      <c r="I2128" s="11">
        <v>7185</v>
      </c>
    </row>
    <row r="2129" customHeight="1" spans="8:9">
      <c r="H2129" s="11">
        <v>7186</v>
      </c>
      <c r="I2129" s="11">
        <v>7186</v>
      </c>
    </row>
    <row r="2130" customHeight="1" spans="8:9">
      <c r="H2130" s="11">
        <v>7187</v>
      </c>
      <c r="I2130" s="11">
        <v>7187</v>
      </c>
    </row>
    <row r="2131" customHeight="1" spans="8:9">
      <c r="H2131" s="11">
        <v>7188</v>
      </c>
      <c r="I2131" s="11">
        <v>7188</v>
      </c>
    </row>
    <row r="2132" customHeight="1" spans="8:9">
      <c r="H2132" s="11">
        <v>7189</v>
      </c>
      <c r="I2132" s="11">
        <v>7189</v>
      </c>
    </row>
    <row r="2133" customHeight="1" spans="8:9">
      <c r="H2133" s="11">
        <v>7190</v>
      </c>
      <c r="I2133" s="11">
        <v>7190</v>
      </c>
    </row>
    <row r="2134" customHeight="1" spans="8:9">
      <c r="H2134" s="11">
        <v>7191</v>
      </c>
      <c r="I2134" s="11">
        <v>7191</v>
      </c>
    </row>
    <row r="2135" customHeight="1" spans="8:9">
      <c r="H2135" s="11">
        <v>7192</v>
      </c>
      <c r="I2135" s="11">
        <v>7192</v>
      </c>
    </row>
    <row r="2136" customHeight="1" spans="8:9">
      <c r="H2136" s="11">
        <v>7193</v>
      </c>
      <c r="I2136" s="11">
        <v>7193</v>
      </c>
    </row>
    <row r="2137" customHeight="1" spans="8:9">
      <c r="H2137" s="11">
        <v>7194</v>
      </c>
      <c r="I2137" s="11">
        <v>7194</v>
      </c>
    </row>
    <row r="2138" customHeight="1" spans="8:9">
      <c r="H2138" s="11">
        <v>7195</v>
      </c>
      <c r="I2138" s="11">
        <v>7195</v>
      </c>
    </row>
    <row r="2139" customHeight="1" spans="8:9">
      <c r="H2139" s="11">
        <v>7196</v>
      </c>
      <c r="I2139" s="11">
        <v>7196</v>
      </c>
    </row>
    <row r="2140" customHeight="1" spans="8:9">
      <c r="H2140" s="11">
        <v>7197</v>
      </c>
      <c r="I2140" s="11">
        <v>7197</v>
      </c>
    </row>
    <row r="2141" customHeight="1" spans="8:9">
      <c r="H2141" s="11">
        <v>7198</v>
      </c>
      <c r="I2141" s="11">
        <v>7198</v>
      </c>
    </row>
    <row r="2142" customHeight="1" spans="8:9">
      <c r="H2142" s="11">
        <v>7199</v>
      </c>
      <c r="I2142" s="11">
        <v>7199</v>
      </c>
    </row>
    <row r="2143" customHeight="1" spans="8:9">
      <c r="H2143" s="11">
        <v>7200</v>
      </c>
      <c r="I2143" s="11">
        <v>7200</v>
      </c>
    </row>
    <row r="2144" customHeight="1" spans="8:9">
      <c r="H2144" s="11">
        <v>7201</v>
      </c>
      <c r="I2144" s="11">
        <v>7201</v>
      </c>
    </row>
    <row r="2145" customHeight="1" spans="8:9">
      <c r="H2145" s="11">
        <v>7202</v>
      </c>
      <c r="I2145" s="11">
        <v>7202</v>
      </c>
    </row>
    <row r="2146" customHeight="1" spans="8:9">
      <c r="H2146" s="11">
        <v>7203</v>
      </c>
      <c r="I2146" s="11">
        <v>7203</v>
      </c>
    </row>
    <row r="2147" customHeight="1" spans="8:9">
      <c r="H2147" s="11">
        <v>7204</v>
      </c>
      <c r="I2147" s="11">
        <v>7204</v>
      </c>
    </row>
    <row r="2148" customHeight="1" spans="8:9">
      <c r="H2148" s="11">
        <v>7205</v>
      </c>
      <c r="I2148" s="11">
        <v>7205</v>
      </c>
    </row>
    <row r="2149" customHeight="1" spans="8:9">
      <c r="H2149" s="11">
        <v>7206</v>
      </c>
      <c r="I2149" s="11">
        <v>7206</v>
      </c>
    </row>
    <row r="2150" customHeight="1" spans="8:9">
      <c r="H2150" s="11">
        <v>7207</v>
      </c>
      <c r="I2150" s="11">
        <v>7207</v>
      </c>
    </row>
    <row r="2151" customHeight="1" spans="8:9">
      <c r="H2151" s="11">
        <v>7208</v>
      </c>
      <c r="I2151" s="11">
        <v>7208</v>
      </c>
    </row>
    <row r="2152" customHeight="1" spans="8:9">
      <c r="H2152" s="11">
        <v>7209</v>
      </c>
      <c r="I2152" s="11">
        <v>7209</v>
      </c>
    </row>
    <row r="2153" customHeight="1" spans="8:9">
      <c r="H2153" s="11">
        <v>7210</v>
      </c>
      <c r="I2153" s="11">
        <v>7210</v>
      </c>
    </row>
    <row r="2154" customHeight="1" spans="8:9">
      <c r="H2154" s="11">
        <v>7211</v>
      </c>
      <c r="I2154" s="11">
        <v>7211</v>
      </c>
    </row>
    <row r="2155" customHeight="1" spans="8:9">
      <c r="H2155" s="11">
        <v>7212</v>
      </c>
      <c r="I2155" s="11">
        <v>7212</v>
      </c>
    </row>
    <row r="2156" customHeight="1" spans="8:9">
      <c r="H2156" s="11">
        <v>7213</v>
      </c>
      <c r="I2156" s="11">
        <v>7213</v>
      </c>
    </row>
    <row r="2157" customHeight="1" spans="8:9">
      <c r="H2157" s="11">
        <v>7214</v>
      </c>
      <c r="I2157" s="11">
        <v>7214</v>
      </c>
    </row>
    <row r="2158" customHeight="1" spans="8:9">
      <c r="H2158" s="11">
        <v>7215</v>
      </c>
      <c r="I2158" s="11">
        <v>7215</v>
      </c>
    </row>
    <row r="2159" customHeight="1" spans="8:9">
      <c r="H2159" s="11">
        <v>7216</v>
      </c>
      <c r="I2159" s="11">
        <v>7216</v>
      </c>
    </row>
    <row r="2160" customHeight="1" spans="8:9">
      <c r="H2160" s="11">
        <v>7217</v>
      </c>
      <c r="I2160" s="11">
        <v>7217</v>
      </c>
    </row>
    <row r="2161" customHeight="1" spans="8:9">
      <c r="H2161" s="11">
        <v>7218</v>
      </c>
      <c r="I2161" s="11">
        <v>7218</v>
      </c>
    </row>
    <row r="2162" customHeight="1" spans="8:9">
      <c r="H2162" s="11">
        <v>7219</v>
      </c>
      <c r="I2162" s="11">
        <v>7219</v>
      </c>
    </row>
    <row r="2163" customHeight="1" spans="8:9">
      <c r="H2163" s="11">
        <v>7220</v>
      </c>
      <c r="I2163" s="11">
        <v>7220</v>
      </c>
    </row>
    <row r="2164" customHeight="1" spans="8:9">
      <c r="H2164" s="11">
        <v>7221</v>
      </c>
      <c r="I2164" s="11">
        <v>7221</v>
      </c>
    </row>
    <row r="2165" customHeight="1" spans="8:9">
      <c r="H2165" s="11">
        <v>7222</v>
      </c>
      <c r="I2165" s="11">
        <v>7222</v>
      </c>
    </row>
    <row r="2166" customHeight="1" spans="8:9">
      <c r="H2166" s="11">
        <v>7223</v>
      </c>
      <c r="I2166" s="11">
        <v>7223</v>
      </c>
    </row>
    <row r="2167" customHeight="1" spans="8:9">
      <c r="H2167" s="11">
        <v>7224</v>
      </c>
      <c r="I2167" s="11">
        <v>7224</v>
      </c>
    </row>
    <row r="2168" customHeight="1" spans="8:9">
      <c r="H2168" s="11">
        <v>7225</v>
      </c>
      <c r="I2168" s="11">
        <v>7225</v>
      </c>
    </row>
    <row r="2169" customHeight="1" spans="8:9">
      <c r="H2169" s="11">
        <v>7226</v>
      </c>
      <c r="I2169" s="11">
        <v>7226</v>
      </c>
    </row>
    <row r="2170" customHeight="1" spans="8:9">
      <c r="H2170" s="11">
        <v>7227</v>
      </c>
      <c r="I2170" s="11">
        <v>7227</v>
      </c>
    </row>
    <row r="2171" customHeight="1" spans="8:9">
      <c r="H2171" s="11">
        <v>7228</v>
      </c>
      <c r="I2171" s="11">
        <v>7228</v>
      </c>
    </row>
    <row r="2172" customHeight="1" spans="8:9">
      <c r="H2172" s="11">
        <v>7229</v>
      </c>
      <c r="I2172" s="11">
        <v>7229</v>
      </c>
    </row>
    <row r="2173" customHeight="1" spans="8:9">
      <c r="H2173" s="11">
        <v>7230</v>
      </c>
      <c r="I2173" s="11">
        <v>7230</v>
      </c>
    </row>
    <row r="2174" customHeight="1" spans="8:9">
      <c r="H2174" s="11">
        <v>7231</v>
      </c>
      <c r="I2174" s="11">
        <v>7231</v>
      </c>
    </row>
    <row r="2175" customHeight="1" spans="8:9">
      <c r="H2175" s="11">
        <v>7232</v>
      </c>
      <c r="I2175" s="11">
        <v>7232</v>
      </c>
    </row>
    <row r="2176" customHeight="1" spans="8:9">
      <c r="H2176" s="11">
        <v>7233</v>
      </c>
      <c r="I2176" s="11">
        <v>7233</v>
      </c>
    </row>
    <row r="2177" customHeight="1" spans="8:9">
      <c r="H2177" s="11">
        <v>7234</v>
      </c>
      <c r="I2177" s="11">
        <v>7234</v>
      </c>
    </row>
    <row r="2178" customHeight="1" spans="8:9">
      <c r="H2178" s="11">
        <v>7235</v>
      </c>
      <c r="I2178" s="11">
        <v>7235</v>
      </c>
    </row>
    <row r="2179" customHeight="1" spans="8:9">
      <c r="H2179" s="11">
        <v>7236</v>
      </c>
      <c r="I2179" s="11">
        <v>7236</v>
      </c>
    </row>
    <row r="2180" customHeight="1" spans="8:9">
      <c r="H2180" s="11">
        <v>7237</v>
      </c>
      <c r="I2180" s="11">
        <v>7237</v>
      </c>
    </row>
    <row r="2181" customHeight="1" spans="8:9">
      <c r="H2181" s="11">
        <v>7238</v>
      </c>
      <c r="I2181" s="11">
        <v>7238</v>
      </c>
    </row>
    <row r="2182" customHeight="1" spans="8:9">
      <c r="H2182" s="11">
        <v>7239</v>
      </c>
      <c r="I2182" s="11">
        <v>7239</v>
      </c>
    </row>
    <row r="2183" customHeight="1" spans="8:9">
      <c r="H2183" s="11">
        <v>7240</v>
      </c>
      <c r="I2183" s="11">
        <v>7240</v>
      </c>
    </row>
    <row r="2184" customHeight="1" spans="8:9">
      <c r="H2184" s="11">
        <v>7241</v>
      </c>
      <c r="I2184" s="11">
        <v>7241</v>
      </c>
    </row>
    <row r="2185" customHeight="1" spans="8:9">
      <c r="H2185" s="11">
        <v>7242</v>
      </c>
      <c r="I2185" s="11">
        <v>7242</v>
      </c>
    </row>
    <row r="2186" customHeight="1" spans="8:9">
      <c r="H2186" s="11">
        <v>7243</v>
      </c>
      <c r="I2186" s="11">
        <v>7243</v>
      </c>
    </row>
    <row r="2187" customHeight="1" spans="8:9">
      <c r="H2187" s="11">
        <v>7244</v>
      </c>
      <c r="I2187" s="11">
        <v>7244</v>
      </c>
    </row>
    <row r="2188" customHeight="1" spans="8:9">
      <c r="H2188" s="11">
        <v>7245</v>
      </c>
      <c r="I2188" s="11">
        <v>7245</v>
      </c>
    </row>
    <row r="2189" customHeight="1" spans="8:9">
      <c r="H2189" s="11">
        <v>7246</v>
      </c>
      <c r="I2189" s="11">
        <v>7246</v>
      </c>
    </row>
    <row r="2190" customHeight="1" spans="8:9">
      <c r="H2190" s="11">
        <v>7247</v>
      </c>
      <c r="I2190" s="11">
        <v>7247</v>
      </c>
    </row>
    <row r="2191" customHeight="1" spans="8:9">
      <c r="H2191" s="11">
        <v>7255</v>
      </c>
      <c r="I2191" s="11">
        <v>7255</v>
      </c>
    </row>
    <row r="2192" customHeight="1" spans="8:9">
      <c r="H2192" s="11">
        <v>7256</v>
      </c>
      <c r="I2192" s="11">
        <v>7256</v>
      </c>
    </row>
    <row r="2193" customHeight="1" spans="8:9">
      <c r="H2193" s="11">
        <v>7257</v>
      </c>
      <c r="I2193" s="11">
        <v>7257</v>
      </c>
    </row>
    <row r="2194" customHeight="1" spans="8:9">
      <c r="H2194" s="11">
        <v>7330</v>
      </c>
      <c r="I2194" s="11">
        <v>7330</v>
      </c>
    </row>
    <row r="2195" customHeight="1" spans="8:9">
      <c r="H2195" s="11">
        <v>7331</v>
      </c>
      <c r="I2195" s="11">
        <v>7331</v>
      </c>
    </row>
    <row r="2196" customHeight="1" spans="8:9">
      <c r="H2196" s="11">
        <v>7332</v>
      </c>
      <c r="I2196" s="11">
        <v>7332</v>
      </c>
    </row>
    <row r="2197" customHeight="1" spans="8:9">
      <c r="H2197" s="11">
        <v>7333</v>
      </c>
      <c r="I2197" s="11">
        <v>7333</v>
      </c>
    </row>
    <row r="2198" customHeight="1" spans="8:9">
      <c r="H2198" s="11">
        <v>7334</v>
      </c>
      <c r="I2198" s="11">
        <v>7334</v>
      </c>
    </row>
    <row r="2199" customHeight="1" spans="8:9">
      <c r="H2199" s="11">
        <v>7335</v>
      </c>
      <c r="I2199" s="11">
        <v>7335</v>
      </c>
    </row>
    <row r="2200" customHeight="1" spans="8:9">
      <c r="H2200" s="11">
        <v>7336</v>
      </c>
      <c r="I2200" s="11">
        <v>7336</v>
      </c>
    </row>
    <row r="2201" customHeight="1" spans="8:9">
      <c r="H2201" s="11">
        <v>7337</v>
      </c>
      <c r="I2201" s="11">
        <v>7337</v>
      </c>
    </row>
    <row r="2202" customHeight="1" spans="8:9">
      <c r="H2202" s="11">
        <v>7338</v>
      </c>
      <c r="I2202" s="11">
        <v>7338</v>
      </c>
    </row>
    <row r="2203" customHeight="1" spans="8:9">
      <c r="H2203" s="11">
        <v>7339</v>
      </c>
      <c r="I2203" s="11">
        <v>7339</v>
      </c>
    </row>
    <row r="2204" customHeight="1" spans="8:9">
      <c r="H2204" s="11">
        <v>7340</v>
      </c>
      <c r="I2204" s="11">
        <v>7340</v>
      </c>
    </row>
    <row r="2205" customHeight="1" spans="8:9">
      <c r="H2205" s="11">
        <v>7341</v>
      </c>
      <c r="I2205" s="11">
        <v>7341</v>
      </c>
    </row>
    <row r="2206" customHeight="1" spans="8:9">
      <c r="H2206" s="11">
        <v>7342</v>
      </c>
      <c r="I2206" s="11">
        <v>7342</v>
      </c>
    </row>
    <row r="2207" customHeight="1" spans="8:9">
      <c r="H2207" s="11">
        <v>7343</v>
      </c>
      <c r="I2207" s="11">
        <v>7343</v>
      </c>
    </row>
    <row r="2208" customHeight="1" spans="8:9">
      <c r="H2208" s="11">
        <v>7344</v>
      </c>
      <c r="I2208" s="11">
        <v>7344</v>
      </c>
    </row>
    <row r="2209" customHeight="1" spans="8:9">
      <c r="H2209" s="11">
        <v>7345</v>
      </c>
      <c r="I2209" s="11">
        <v>7345</v>
      </c>
    </row>
    <row r="2210" customHeight="1" spans="8:9">
      <c r="H2210" s="11">
        <v>7346</v>
      </c>
      <c r="I2210" s="11">
        <v>7346</v>
      </c>
    </row>
    <row r="2211" customHeight="1" spans="8:9">
      <c r="H2211" s="11">
        <v>7347</v>
      </c>
      <c r="I2211" s="11">
        <v>7347</v>
      </c>
    </row>
    <row r="2212" customHeight="1" spans="8:9">
      <c r="H2212" s="11">
        <v>7348</v>
      </c>
      <c r="I2212" s="11">
        <v>7348</v>
      </c>
    </row>
    <row r="2213" customHeight="1" spans="8:9">
      <c r="H2213" s="11">
        <v>7349</v>
      </c>
      <c r="I2213" s="11">
        <v>7349</v>
      </c>
    </row>
    <row r="2214" customHeight="1" spans="8:9">
      <c r="H2214" s="11">
        <v>7350</v>
      </c>
      <c r="I2214" s="11">
        <v>7350</v>
      </c>
    </row>
    <row r="2215" customHeight="1" spans="8:9">
      <c r="H2215" s="11">
        <v>7351</v>
      </c>
      <c r="I2215" s="11">
        <v>7351</v>
      </c>
    </row>
    <row r="2216" customHeight="1" spans="8:9">
      <c r="H2216" s="11">
        <v>7352</v>
      </c>
      <c r="I2216" s="11">
        <v>7352</v>
      </c>
    </row>
    <row r="2217" customHeight="1" spans="8:9">
      <c r="H2217" s="11">
        <v>7353</v>
      </c>
      <c r="I2217" s="11">
        <v>7353</v>
      </c>
    </row>
    <row r="2218" customHeight="1" spans="8:9">
      <c r="H2218" s="11">
        <v>7354</v>
      </c>
      <c r="I2218" s="11">
        <v>7354</v>
      </c>
    </row>
    <row r="2219" customHeight="1" spans="8:9">
      <c r="H2219" s="11">
        <v>7355</v>
      </c>
      <c r="I2219" s="11">
        <v>7355</v>
      </c>
    </row>
    <row r="2220" customHeight="1" spans="8:9">
      <c r="H2220" s="11">
        <v>7356</v>
      </c>
      <c r="I2220" s="11">
        <v>7356</v>
      </c>
    </row>
    <row r="2221" customHeight="1" spans="8:9">
      <c r="H2221" s="11">
        <v>7357</v>
      </c>
      <c r="I2221" s="11">
        <v>7357</v>
      </c>
    </row>
    <row r="2222" customHeight="1" spans="8:9">
      <c r="H2222" s="11">
        <v>7358</v>
      </c>
      <c r="I2222" s="11">
        <v>7358</v>
      </c>
    </row>
    <row r="2223" customHeight="1" spans="8:9">
      <c r="H2223" s="11">
        <v>7359</v>
      </c>
      <c r="I2223" s="11">
        <v>7359</v>
      </c>
    </row>
    <row r="2224" customHeight="1" spans="8:9">
      <c r="H2224" s="11">
        <v>7360</v>
      </c>
      <c r="I2224" s="11">
        <v>7360</v>
      </c>
    </row>
    <row r="2225" customHeight="1" spans="8:9">
      <c r="H2225" s="11">
        <v>7361</v>
      </c>
      <c r="I2225" s="11">
        <v>7361</v>
      </c>
    </row>
    <row r="2226" customHeight="1" spans="8:9">
      <c r="H2226" s="11">
        <v>7362</v>
      </c>
      <c r="I2226" s="11">
        <v>7362</v>
      </c>
    </row>
    <row r="2227" customHeight="1" spans="8:9">
      <c r="H2227" s="11">
        <v>7363</v>
      </c>
      <c r="I2227" s="11">
        <v>7363</v>
      </c>
    </row>
    <row r="2228" customHeight="1" spans="8:9">
      <c r="H2228" s="11">
        <v>7364</v>
      </c>
      <c r="I2228" s="11">
        <v>7364</v>
      </c>
    </row>
    <row r="2229" customHeight="1" spans="8:9">
      <c r="H2229" s="11">
        <v>7365</v>
      </c>
      <c r="I2229" s="11">
        <v>7365</v>
      </c>
    </row>
    <row r="2230" customHeight="1" spans="8:9">
      <c r="H2230" s="11">
        <v>7366</v>
      </c>
      <c r="I2230" s="11">
        <v>7366</v>
      </c>
    </row>
    <row r="2231" customHeight="1" spans="8:9">
      <c r="H2231" s="11">
        <v>7367</v>
      </c>
      <c r="I2231" s="11">
        <v>7367</v>
      </c>
    </row>
    <row r="2232" customHeight="1" spans="8:9">
      <c r="H2232" s="11">
        <v>7368</v>
      </c>
      <c r="I2232" s="11">
        <v>7368</v>
      </c>
    </row>
    <row r="2233" customHeight="1" spans="8:9">
      <c r="H2233" s="11">
        <v>7369</v>
      </c>
      <c r="I2233" s="11">
        <v>7369</v>
      </c>
    </row>
    <row r="2234" customHeight="1" spans="8:9">
      <c r="H2234" s="11">
        <v>7370</v>
      </c>
      <c r="I2234" s="11">
        <v>7370</v>
      </c>
    </row>
    <row r="2235" customHeight="1" spans="8:9">
      <c r="H2235" s="11">
        <v>7371</v>
      </c>
      <c r="I2235" s="11">
        <v>7371</v>
      </c>
    </row>
    <row r="2236" customHeight="1" spans="8:9">
      <c r="H2236" s="11">
        <v>7372</v>
      </c>
      <c r="I2236" s="11">
        <v>7372</v>
      </c>
    </row>
    <row r="2237" customHeight="1" spans="8:9">
      <c r="H2237" s="11">
        <v>7373</v>
      </c>
      <c r="I2237" s="11">
        <v>7373</v>
      </c>
    </row>
    <row r="2238" customHeight="1" spans="8:9">
      <c r="H2238" s="11">
        <v>7374</v>
      </c>
      <c r="I2238" s="11">
        <v>7374</v>
      </c>
    </row>
    <row r="2239" customHeight="1" spans="8:9">
      <c r="H2239" s="11">
        <v>7375</v>
      </c>
      <c r="I2239" s="11">
        <v>7375</v>
      </c>
    </row>
    <row r="2240" customHeight="1" spans="8:9">
      <c r="H2240" s="11">
        <v>7376</v>
      </c>
      <c r="I2240" s="11">
        <v>7376</v>
      </c>
    </row>
    <row r="2241" customHeight="1" spans="8:9">
      <c r="H2241" s="11">
        <v>7377</v>
      </c>
      <c r="I2241" s="11">
        <v>7377</v>
      </c>
    </row>
    <row r="2242" customHeight="1" spans="8:9">
      <c r="H2242" s="11">
        <v>7378</v>
      </c>
      <c r="I2242" s="11">
        <v>7378</v>
      </c>
    </row>
    <row r="2243" customHeight="1" spans="8:9">
      <c r="H2243" s="11">
        <v>7379</v>
      </c>
      <c r="I2243" s="11">
        <v>7379</v>
      </c>
    </row>
    <row r="2244" customHeight="1" spans="8:9">
      <c r="H2244" s="11">
        <v>7380</v>
      </c>
      <c r="I2244" s="11">
        <v>7380</v>
      </c>
    </row>
    <row r="2245" customHeight="1" spans="8:9">
      <c r="H2245" s="11">
        <v>7381</v>
      </c>
      <c r="I2245" s="11">
        <v>7381</v>
      </c>
    </row>
    <row r="2246" customHeight="1" spans="8:9">
      <c r="H2246" s="11">
        <v>7382</v>
      </c>
      <c r="I2246" s="11">
        <v>7382</v>
      </c>
    </row>
    <row r="2247" customHeight="1" spans="8:9">
      <c r="H2247" s="11">
        <v>7383</v>
      </c>
      <c r="I2247" s="11">
        <v>7383</v>
      </c>
    </row>
    <row r="2248" customHeight="1" spans="8:9">
      <c r="H2248" s="11">
        <v>7384</v>
      </c>
      <c r="I2248" s="11">
        <v>7384</v>
      </c>
    </row>
    <row r="2249" customHeight="1" spans="8:9">
      <c r="H2249" s="11">
        <v>7385</v>
      </c>
      <c r="I2249" s="11">
        <v>7385</v>
      </c>
    </row>
    <row r="2250" customHeight="1" spans="8:9">
      <c r="H2250" s="11">
        <v>7386</v>
      </c>
      <c r="I2250" s="11">
        <v>7386</v>
      </c>
    </row>
    <row r="2251" customHeight="1" spans="8:9">
      <c r="H2251" s="11">
        <v>7387</v>
      </c>
      <c r="I2251" s="11">
        <v>7387</v>
      </c>
    </row>
    <row r="2252" customHeight="1" spans="8:9">
      <c r="H2252" s="11">
        <v>7388</v>
      </c>
      <c r="I2252" s="11">
        <v>7388</v>
      </c>
    </row>
    <row r="2253" customHeight="1" spans="8:9">
      <c r="H2253" s="11">
        <v>7389</v>
      </c>
      <c r="I2253" s="11">
        <v>7389</v>
      </c>
    </row>
    <row r="2254" customHeight="1" spans="8:9">
      <c r="H2254" s="11">
        <v>7390</v>
      </c>
      <c r="I2254" s="11">
        <v>7390</v>
      </c>
    </row>
    <row r="2255" customHeight="1" spans="8:9">
      <c r="H2255" s="11">
        <v>7391</v>
      </c>
      <c r="I2255" s="11">
        <v>7391</v>
      </c>
    </row>
    <row r="2256" customHeight="1" spans="8:9">
      <c r="H2256" s="11">
        <v>7392</v>
      </c>
      <c r="I2256" s="11">
        <v>7392</v>
      </c>
    </row>
    <row r="2257" customHeight="1" spans="8:9">
      <c r="H2257" s="11">
        <v>7393</v>
      </c>
      <c r="I2257" s="11">
        <v>7393</v>
      </c>
    </row>
    <row r="2258" customHeight="1" spans="8:9">
      <c r="H2258" s="11">
        <v>7394</v>
      </c>
      <c r="I2258" s="11">
        <v>7394</v>
      </c>
    </row>
    <row r="2259" customHeight="1" spans="8:9">
      <c r="H2259" s="11">
        <v>7395</v>
      </c>
      <c r="I2259" s="11">
        <v>7395</v>
      </c>
    </row>
    <row r="2260" customHeight="1" spans="8:9">
      <c r="H2260" s="11">
        <v>7396</v>
      </c>
      <c r="I2260" s="11">
        <v>7396</v>
      </c>
    </row>
    <row r="2261" customHeight="1" spans="8:9">
      <c r="H2261" s="11">
        <v>7397</v>
      </c>
      <c r="I2261" s="11">
        <v>7397</v>
      </c>
    </row>
    <row r="2262" customHeight="1" spans="8:9">
      <c r="H2262" s="11">
        <v>7398</v>
      </c>
      <c r="I2262" s="11">
        <v>7398</v>
      </c>
    </row>
    <row r="2263" customHeight="1" spans="8:9">
      <c r="H2263" s="11">
        <v>7399</v>
      </c>
      <c r="I2263" s="11">
        <v>7399</v>
      </c>
    </row>
    <row r="2264" customHeight="1" spans="8:9">
      <c r="H2264" s="11">
        <v>7400</v>
      </c>
      <c r="I2264" s="11">
        <v>7400</v>
      </c>
    </row>
    <row r="2265" customHeight="1" spans="8:9">
      <c r="H2265" s="11">
        <v>7401</v>
      </c>
      <c r="I2265" s="11">
        <v>7401</v>
      </c>
    </row>
    <row r="2266" customHeight="1" spans="8:9">
      <c r="H2266" s="11">
        <v>7402</v>
      </c>
      <c r="I2266" s="11">
        <v>7402</v>
      </c>
    </row>
    <row r="2267" customHeight="1" spans="8:9">
      <c r="H2267" s="11">
        <v>7403</v>
      </c>
      <c r="I2267" s="11">
        <v>7403</v>
      </c>
    </row>
    <row r="2268" customHeight="1" spans="8:9">
      <c r="H2268" s="11">
        <v>7404</v>
      </c>
      <c r="I2268" s="11">
        <v>7404</v>
      </c>
    </row>
    <row r="2269" customHeight="1" spans="8:9">
      <c r="H2269" s="11">
        <v>7405</v>
      </c>
      <c r="I2269" s="11">
        <v>7405</v>
      </c>
    </row>
    <row r="2270" customHeight="1" spans="8:9">
      <c r="H2270" s="11">
        <v>7406</v>
      </c>
      <c r="I2270" s="11">
        <v>7406</v>
      </c>
    </row>
    <row r="2271" customHeight="1" spans="8:9">
      <c r="H2271" s="11">
        <v>7407</v>
      </c>
      <c r="I2271" s="11">
        <v>7407</v>
      </c>
    </row>
    <row r="2272" customHeight="1" spans="8:9">
      <c r="H2272" s="11">
        <v>7408</v>
      </c>
      <c r="I2272" s="11">
        <v>7408</v>
      </c>
    </row>
    <row r="2273" customHeight="1" spans="8:9">
      <c r="H2273" s="11">
        <v>7409</v>
      </c>
      <c r="I2273" s="11">
        <v>7409</v>
      </c>
    </row>
    <row r="2274" customHeight="1" spans="8:9">
      <c r="H2274" s="11">
        <v>7410</v>
      </c>
      <c r="I2274" s="11">
        <v>7410</v>
      </c>
    </row>
    <row r="2275" customHeight="1" spans="8:9">
      <c r="H2275" s="11">
        <v>7411</v>
      </c>
      <c r="I2275" s="11">
        <v>7411</v>
      </c>
    </row>
    <row r="2276" customHeight="1" spans="8:9">
      <c r="H2276" s="11">
        <v>7412</v>
      </c>
      <c r="I2276" s="11">
        <v>7412</v>
      </c>
    </row>
    <row r="2277" customHeight="1" spans="8:9">
      <c r="H2277" s="11">
        <v>7413</v>
      </c>
      <c r="I2277" s="11">
        <v>7413</v>
      </c>
    </row>
    <row r="2278" customHeight="1" spans="8:9">
      <c r="H2278" s="11">
        <v>7414</v>
      </c>
      <c r="I2278" s="11">
        <v>7414</v>
      </c>
    </row>
    <row r="2279" customHeight="1" spans="8:9">
      <c r="H2279" s="11">
        <v>7415</v>
      </c>
      <c r="I2279" s="11">
        <v>7415</v>
      </c>
    </row>
    <row r="2280" customHeight="1" spans="8:9">
      <c r="H2280" s="11">
        <v>7416</v>
      </c>
      <c r="I2280" s="11">
        <v>7416</v>
      </c>
    </row>
    <row r="2281" customHeight="1" spans="8:9">
      <c r="H2281" s="11">
        <v>7417</v>
      </c>
      <c r="I2281" s="11">
        <v>7417</v>
      </c>
    </row>
    <row r="2282" customHeight="1" spans="8:9">
      <c r="H2282" s="11">
        <v>7418</v>
      </c>
      <c r="I2282" s="11">
        <v>7418</v>
      </c>
    </row>
    <row r="2283" customHeight="1" spans="8:9">
      <c r="H2283" s="11">
        <v>7419</v>
      </c>
      <c r="I2283" s="11">
        <v>7419</v>
      </c>
    </row>
    <row r="2284" customHeight="1" spans="8:9">
      <c r="H2284" s="11">
        <v>7420</v>
      </c>
      <c r="I2284" s="11">
        <v>7420</v>
      </c>
    </row>
    <row r="2285" customHeight="1" spans="8:9">
      <c r="H2285" s="11">
        <v>7421</v>
      </c>
      <c r="I2285" s="11">
        <v>7421</v>
      </c>
    </row>
    <row r="2286" customHeight="1" spans="8:9">
      <c r="H2286" s="11">
        <v>7422</v>
      </c>
      <c r="I2286" s="11">
        <v>7422</v>
      </c>
    </row>
    <row r="2287" customHeight="1" spans="8:9">
      <c r="H2287" s="11">
        <v>7423</v>
      </c>
      <c r="I2287" s="11">
        <v>7423</v>
      </c>
    </row>
    <row r="2288" customHeight="1" spans="8:9">
      <c r="H2288" s="11">
        <v>7424</v>
      </c>
      <c r="I2288" s="11">
        <v>7424</v>
      </c>
    </row>
    <row r="2289" customHeight="1" spans="8:9">
      <c r="H2289" s="11">
        <v>7425</v>
      </c>
      <c r="I2289" s="11">
        <v>7425</v>
      </c>
    </row>
    <row r="2290" customHeight="1" spans="8:9">
      <c r="H2290" s="11">
        <v>7426</v>
      </c>
      <c r="I2290" s="11">
        <v>7426</v>
      </c>
    </row>
    <row r="2291" customHeight="1" spans="8:9">
      <c r="H2291" s="11">
        <v>7427</v>
      </c>
      <c r="I2291" s="11">
        <v>7427</v>
      </c>
    </row>
    <row r="2292" customHeight="1" spans="8:9">
      <c r="H2292" s="11">
        <v>7428</v>
      </c>
      <c r="I2292" s="11">
        <v>7428</v>
      </c>
    </row>
    <row r="2293" customHeight="1" spans="8:9">
      <c r="H2293" s="11">
        <v>7429</v>
      </c>
      <c r="I2293" s="11">
        <v>7429</v>
      </c>
    </row>
    <row r="2294" customHeight="1" spans="8:9">
      <c r="H2294" s="11">
        <v>7430</v>
      </c>
      <c r="I2294" s="11">
        <v>7430</v>
      </c>
    </row>
    <row r="2295" customHeight="1" spans="8:9">
      <c r="H2295" s="11">
        <v>7431</v>
      </c>
      <c r="I2295" s="11">
        <v>7431</v>
      </c>
    </row>
    <row r="2296" customHeight="1" spans="8:9">
      <c r="H2296" s="11">
        <v>7432</v>
      </c>
      <c r="I2296" s="11">
        <v>7432</v>
      </c>
    </row>
    <row r="2297" customHeight="1" spans="8:9">
      <c r="H2297" s="11">
        <v>7433</v>
      </c>
      <c r="I2297" s="11">
        <v>7433</v>
      </c>
    </row>
    <row r="2298" customHeight="1" spans="8:9">
      <c r="H2298" s="11">
        <v>7434</v>
      </c>
      <c r="I2298" s="11">
        <v>7434</v>
      </c>
    </row>
    <row r="2299" customHeight="1" spans="8:9">
      <c r="H2299" s="11">
        <v>7435</v>
      </c>
      <c r="I2299" s="11">
        <v>7435</v>
      </c>
    </row>
    <row r="2300" customHeight="1" spans="8:9">
      <c r="H2300" s="11">
        <v>7436</v>
      </c>
      <c r="I2300" s="11">
        <v>7436</v>
      </c>
    </row>
    <row r="2301" customHeight="1" spans="8:9">
      <c r="H2301" s="11">
        <v>7437</v>
      </c>
      <c r="I2301" s="11">
        <v>7437</v>
      </c>
    </row>
    <row r="2302" customHeight="1" spans="8:9">
      <c r="H2302" s="11">
        <v>7438</v>
      </c>
      <c r="I2302" s="11">
        <v>7438</v>
      </c>
    </row>
    <row r="2303" customHeight="1" spans="8:9">
      <c r="H2303" s="11">
        <v>7439</v>
      </c>
      <c r="I2303" s="11">
        <v>7439</v>
      </c>
    </row>
    <row r="2304" customHeight="1" spans="8:9">
      <c r="H2304" s="11">
        <v>7440</v>
      </c>
      <c r="I2304" s="11">
        <v>7440</v>
      </c>
    </row>
    <row r="2305" customHeight="1" spans="8:9">
      <c r="H2305" s="11">
        <v>7441</v>
      </c>
      <c r="I2305" s="11">
        <v>7441</v>
      </c>
    </row>
    <row r="2306" customHeight="1" spans="8:9">
      <c r="H2306" s="11">
        <v>7442</v>
      </c>
      <c r="I2306" s="11">
        <v>7442</v>
      </c>
    </row>
    <row r="2307" customHeight="1" spans="8:9">
      <c r="H2307" s="11">
        <v>7443</v>
      </c>
      <c r="I2307" s="11">
        <v>7443</v>
      </c>
    </row>
    <row r="2308" customHeight="1" spans="8:9">
      <c r="H2308" s="11">
        <v>7444</v>
      </c>
      <c r="I2308" s="11">
        <v>7444</v>
      </c>
    </row>
    <row r="2309" customHeight="1" spans="8:9">
      <c r="H2309" s="11">
        <v>7445</v>
      </c>
      <c r="I2309" s="11">
        <v>7445</v>
      </c>
    </row>
    <row r="2310" customHeight="1" spans="8:9">
      <c r="H2310" s="11">
        <v>7446</v>
      </c>
      <c r="I2310" s="11">
        <v>7446</v>
      </c>
    </row>
    <row r="2311" customHeight="1" spans="8:9">
      <c r="H2311" s="11">
        <v>7447</v>
      </c>
      <c r="I2311" s="11">
        <v>7447</v>
      </c>
    </row>
    <row r="2312" customHeight="1" spans="8:9">
      <c r="H2312" s="11">
        <v>7448</v>
      </c>
      <c r="I2312" s="11">
        <v>7448</v>
      </c>
    </row>
    <row r="2313" customHeight="1" spans="8:9">
      <c r="H2313" s="11">
        <v>7449</v>
      </c>
      <c r="I2313" s="11">
        <v>7449</v>
      </c>
    </row>
    <row r="2314" customHeight="1" spans="8:9">
      <c r="H2314" s="11">
        <v>7450</v>
      </c>
      <c r="I2314" s="11">
        <v>7450</v>
      </c>
    </row>
    <row r="2315" customHeight="1" spans="8:9">
      <c r="H2315" s="11">
        <v>7451</v>
      </c>
      <c r="I2315" s="11">
        <v>7451</v>
      </c>
    </row>
    <row r="2316" customHeight="1" spans="8:9">
      <c r="H2316" s="11">
        <v>7452</v>
      </c>
      <c r="I2316" s="11">
        <v>7452</v>
      </c>
    </row>
    <row r="2317" customHeight="1" spans="8:9">
      <c r="H2317" s="11">
        <v>7453</v>
      </c>
      <c r="I2317" s="11">
        <v>7453</v>
      </c>
    </row>
    <row r="2318" customHeight="1" spans="8:9">
      <c r="H2318" s="11">
        <v>7454</v>
      </c>
      <c r="I2318" s="11">
        <v>7454</v>
      </c>
    </row>
    <row r="2319" customHeight="1" spans="8:9">
      <c r="H2319" s="11">
        <v>7455</v>
      </c>
      <c r="I2319" s="11">
        <v>7455</v>
      </c>
    </row>
    <row r="2320" customHeight="1" spans="8:9">
      <c r="H2320" s="11">
        <v>7456</v>
      </c>
      <c r="I2320" s="11">
        <v>7456</v>
      </c>
    </row>
    <row r="2321" customHeight="1" spans="8:9">
      <c r="H2321" s="11">
        <v>7457</v>
      </c>
      <c r="I2321" s="11">
        <v>7457</v>
      </c>
    </row>
    <row r="2322" customHeight="1" spans="8:9">
      <c r="H2322" s="11">
        <v>7458</v>
      </c>
      <c r="I2322" s="11">
        <v>7458</v>
      </c>
    </row>
    <row r="2323" customHeight="1" spans="8:9">
      <c r="H2323" s="11">
        <v>7459</v>
      </c>
      <c r="I2323" s="11">
        <v>7459</v>
      </c>
    </row>
    <row r="2324" customHeight="1" spans="8:9">
      <c r="H2324" s="11">
        <v>7460</v>
      </c>
      <c r="I2324" s="11">
        <v>7460</v>
      </c>
    </row>
    <row r="2325" customHeight="1" spans="8:9">
      <c r="H2325" s="11">
        <v>7461</v>
      </c>
      <c r="I2325" s="11">
        <v>7461</v>
      </c>
    </row>
    <row r="2326" customHeight="1" spans="8:9">
      <c r="H2326" s="11">
        <v>7462</v>
      </c>
      <c r="I2326" s="11">
        <v>7462</v>
      </c>
    </row>
    <row r="2327" customHeight="1" spans="8:9">
      <c r="H2327" s="11">
        <v>7463</v>
      </c>
      <c r="I2327" s="11">
        <v>7463</v>
      </c>
    </row>
    <row r="2328" customHeight="1" spans="8:9">
      <c r="H2328" s="11">
        <v>7464</v>
      </c>
      <c r="I2328" s="11">
        <v>7464</v>
      </c>
    </row>
    <row r="2329" customHeight="1" spans="8:9">
      <c r="H2329" s="11">
        <v>7465</v>
      </c>
      <c r="I2329" s="11">
        <v>7465</v>
      </c>
    </row>
    <row r="2330" customHeight="1" spans="8:9">
      <c r="H2330" s="11">
        <v>7466</v>
      </c>
      <c r="I2330" s="11">
        <v>7466</v>
      </c>
    </row>
    <row r="2331" customHeight="1" spans="8:9">
      <c r="H2331" s="11">
        <v>7467</v>
      </c>
      <c r="I2331" s="11">
        <v>7467</v>
      </c>
    </row>
    <row r="2332" customHeight="1" spans="8:9">
      <c r="H2332" s="11">
        <v>7468</v>
      </c>
      <c r="I2332" s="11">
        <v>7468</v>
      </c>
    </row>
    <row r="2333" customHeight="1" spans="8:9">
      <c r="H2333" s="11">
        <v>7469</v>
      </c>
      <c r="I2333" s="11">
        <v>7469</v>
      </c>
    </row>
    <row r="2334" customHeight="1" spans="8:9">
      <c r="H2334" s="11">
        <v>7470</v>
      </c>
      <c r="I2334" s="11">
        <v>7470</v>
      </c>
    </row>
    <row r="2335" customHeight="1" spans="8:9">
      <c r="H2335" s="11">
        <v>7471</v>
      </c>
      <c r="I2335" s="11">
        <v>7471</v>
      </c>
    </row>
    <row r="2336" customHeight="1" spans="8:9">
      <c r="H2336" s="11">
        <v>7472</v>
      </c>
      <c r="I2336" s="11">
        <v>7472</v>
      </c>
    </row>
    <row r="2337" customHeight="1" spans="8:9">
      <c r="H2337" s="11">
        <v>7473</v>
      </c>
      <c r="I2337" s="11">
        <v>7473</v>
      </c>
    </row>
    <row r="2338" customHeight="1" spans="8:9">
      <c r="H2338" s="11">
        <v>7474</v>
      </c>
      <c r="I2338" s="11">
        <v>7474</v>
      </c>
    </row>
    <row r="2339" customHeight="1" spans="8:9">
      <c r="H2339" s="11">
        <v>7475</v>
      </c>
      <c r="I2339" s="11">
        <v>7475</v>
      </c>
    </row>
    <row r="2340" customHeight="1" spans="8:9">
      <c r="H2340" s="11">
        <v>7476</v>
      </c>
      <c r="I2340" s="11">
        <v>7476</v>
      </c>
    </row>
    <row r="2341" customHeight="1" spans="8:9">
      <c r="H2341" s="11">
        <v>7477</v>
      </c>
      <c r="I2341" s="11">
        <v>7477</v>
      </c>
    </row>
    <row r="2342" customHeight="1" spans="8:9">
      <c r="H2342" s="11">
        <v>7478</v>
      </c>
      <c r="I2342" s="11">
        <v>7478</v>
      </c>
    </row>
    <row r="2343" customHeight="1" spans="8:9">
      <c r="H2343" s="11">
        <v>7479</v>
      </c>
      <c r="I2343" s="11">
        <v>7479</v>
      </c>
    </row>
    <row r="2344" customHeight="1" spans="8:9">
      <c r="H2344" s="11">
        <v>7480</v>
      </c>
      <c r="I2344" s="11">
        <v>7480</v>
      </c>
    </row>
    <row r="2345" customHeight="1" spans="8:9">
      <c r="H2345" s="11">
        <v>7481</v>
      </c>
      <c r="I2345" s="11">
        <v>7481</v>
      </c>
    </row>
    <row r="2346" customHeight="1" spans="8:9">
      <c r="H2346" s="11">
        <v>7482</v>
      </c>
      <c r="I2346" s="11">
        <v>7482</v>
      </c>
    </row>
    <row r="2347" customHeight="1" spans="8:9">
      <c r="H2347" s="11">
        <v>7483</v>
      </c>
      <c r="I2347" s="11">
        <v>7483</v>
      </c>
    </row>
    <row r="2348" customHeight="1" spans="8:9">
      <c r="H2348" s="11">
        <v>7484</v>
      </c>
      <c r="I2348" s="11">
        <v>7484</v>
      </c>
    </row>
    <row r="2349" customHeight="1" spans="8:9">
      <c r="H2349" s="11">
        <v>7485</v>
      </c>
      <c r="I2349" s="11">
        <v>7485</v>
      </c>
    </row>
    <row r="2350" customHeight="1" spans="8:9">
      <c r="H2350" s="11">
        <v>7486</v>
      </c>
      <c r="I2350" s="11">
        <v>7486</v>
      </c>
    </row>
    <row r="2351" customHeight="1" spans="8:9">
      <c r="H2351" s="11">
        <v>7487</v>
      </c>
      <c r="I2351" s="11">
        <v>7487</v>
      </c>
    </row>
    <row r="2352" customHeight="1" spans="8:9">
      <c r="H2352" s="11">
        <v>7488</v>
      </c>
      <c r="I2352" s="11">
        <v>7488</v>
      </c>
    </row>
    <row r="2353" customHeight="1" spans="8:9">
      <c r="H2353" s="11">
        <v>7489</v>
      </c>
      <c r="I2353" s="11">
        <v>7489</v>
      </c>
    </row>
    <row r="2354" customHeight="1" spans="8:9">
      <c r="H2354" s="11">
        <v>7490</v>
      </c>
      <c r="I2354" s="11">
        <v>7490</v>
      </c>
    </row>
    <row r="2355" customHeight="1" spans="8:9">
      <c r="H2355" s="11">
        <v>7491</v>
      </c>
      <c r="I2355" s="11">
        <v>7491</v>
      </c>
    </row>
    <row r="2356" customHeight="1" spans="8:9">
      <c r="H2356" s="11">
        <v>7492</v>
      </c>
      <c r="I2356" s="11">
        <v>7492</v>
      </c>
    </row>
    <row r="2357" customHeight="1" spans="8:9">
      <c r="H2357" s="11">
        <v>7493</v>
      </c>
      <c r="I2357" s="11">
        <v>7493</v>
      </c>
    </row>
    <row r="2358" customHeight="1" spans="8:9">
      <c r="H2358" s="11">
        <v>7494</v>
      </c>
      <c r="I2358" s="11">
        <v>7494</v>
      </c>
    </row>
    <row r="2359" customHeight="1" spans="8:9">
      <c r="H2359" s="11">
        <v>7495</v>
      </c>
      <c r="I2359" s="11">
        <v>7495</v>
      </c>
    </row>
    <row r="2360" customHeight="1" spans="8:9">
      <c r="H2360" s="11">
        <v>7496</v>
      </c>
      <c r="I2360" s="11">
        <v>7496</v>
      </c>
    </row>
    <row r="2361" customHeight="1" spans="8:9">
      <c r="H2361" s="11">
        <v>7497</v>
      </c>
      <c r="I2361" s="11">
        <v>7497</v>
      </c>
    </row>
    <row r="2362" customHeight="1" spans="8:9">
      <c r="H2362" s="11">
        <v>7498</v>
      </c>
      <c r="I2362" s="11">
        <v>7498</v>
      </c>
    </row>
    <row r="2363" customHeight="1" spans="8:9">
      <c r="H2363" s="11">
        <v>7499</v>
      </c>
      <c r="I2363" s="11">
        <v>7499</v>
      </c>
    </row>
    <row r="2364" customHeight="1" spans="8:9">
      <c r="H2364" s="11">
        <v>7500</v>
      </c>
      <c r="I2364" s="11">
        <v>7500</v>
      </c>
    </row>
    <row r="2365" customHeight="1" spans="8:9">
      <c r="H2365" s="11">
        <v>7501</v>
      </c>
      <c r="I2365" s="11">
        <v>7501</v>
      </c>
    </row>
    <row r="2366" customHeight="1" spans="8:9">
      <c r="H2366" s="11">
        <v>7502</v>
      </c>
      <c r="I2366" s="11">
        <v>7502</v>
      </c>
    </row>
    <row r="2367" customHeight="1" spans="8:9">
      <c r="H2367" s="11">
        <v>7503</v>
      </c>
      <c r="I2367" s="11">
        <v>7503</v>
      </c>
    </row>
    <row r="2368" customHeight="1" spans="8:9">
      <c r="H2368" s="11">
        <v>7504</v>
      </c>
      <c r="I2368" s="11">
        <v>7504</v>
      </c>
    </row>
    <row r="2369" customHeight="1" spans="8:9">
      <c r="H2369" s="11">
        <v>7505</v>
      </c>
      <c r="I2369" s="11">
        <v>7505</v>
      </c>
    </row>
    <row r="2370" customHeight="1" spans="8:9">
      <c r="H2370" s="11">
        <v>7506</v>
      </c>
      <c r="I2370" s="11">
        <v>7506</v>
      </c>
    </row>
    <row r="2371" customHeight="1" spans="8:9">
      <c r="H2371" s="11">
        <v>7507</v>
      </c>
      <c r="I2371" s="11">
        <v>7507</v>
      </c>
    </row>
    <row r="2372" customHeight="1" spans="8:9">
      <c r="H2372" s="11">
        <v>7508</v>
      </c>
      <c r="I2372" s="11">
        <v>7508</v>
      </c>
    </row>
    <row r="2373" customHeight="1" spans="8:9">
      <c r="H2373" s="11">
        <v>7509</v>
      </c>
      <c r="I2373" s="11">
        <v>7509</v>
      </c>
    </row>
    <row r="2374" customHeight="1" spans="8:9">
      <c r="H2374" s="11">
        <v>7510</v>
      </c>
      <c r="I2374" s="11">
        <v>7510</v>
      </c>
    </row>
    <row r="2375" customHeight="1" spans="8:9">
      <c r="H2375" s="11">
        <v>7511</v>
      </c>
      <c r="I2375" s="11">
        <v>7511</v>
      </c>
    </row>
    <row r="2376" customHeight="1" spans="8:9">
      <c r="H2376" s="11">
        <v>7512</v>
      </c>
      <c r="I2376" s="11">
        <v>7512</v>
      </c>
    </row>
    <row r="2377" customHeight="1" spans="8:9">
      <c r="H2377" s="11">
        <v>7513</v>
      </c>
      <c r="I2377" s="11">
        <v>7513</v>
      </c>
    </row>
    <row r="2378" customHeight="1" spans="8:9">
      <c r="H2378" s="11">
        <v>7514</v>
      </c>
      <c r="I2378" s="11">
        <v>7514</v>
      </c>
    </row>
    <row r="2379" customHeight="1" spans="8:9">
      <c r="H2379" s="11">
        <v>7515</v>
      </c>
      <c r="I2379" s="11">
        <v>7515</v>
      </c>
    </row>
    <row r="2380" customHeight="1" spans="8:9">
      <c r="H2380" s="11">
        <v>7516</v>
      </c>
      <c r="I2380" s="11">
        <v>7516</v>
      </c>
    </row>
    <row r="2381" customHeight="1" spans="8:9">
      <c r="H2381" s="11">
        <v>7517</v>
      </c>
      <c r="I2381" s="11">
        <v>7517</v>
      </c>
    </row>
    <row r="2382" customHeight="1" spans="8:9">
      <c r="H2382" s="11">
        <v>7518</v>
      </c>
      <c r="I2382" s="11">
        <v>7518</v>
      </c>
    </row>
    <row r="2383" customHeight="1" spans="8:9">
      <c r="H2383" s="11">
        <v>7519</v>
      </c>
      <c r="I2383" s="11">
        <v>7519</v>
      </c>
    </row>
    <row r="2384" customHeight="1" spans="8:9">
      <c r="H2384" s="11">
        <v>7520</v>
      </c>
      <c r="I2384" s="11">
        <v>7520</v>
      </c>
    </row>
    <row r="2385" customHeight="1" spans="8:9">
      <c r="H2385" s="11">
        <v>7521</v>
      </c>
      <c r="I2385" s="11">
        <v>7521</v>
      </c>
    </row>
    <row r="2386" customHeight="1" spans="8:9">
      <c r="H2386" s="11">
        <v>7522</v>
      </c>
      <c r="I2386" s="11">
        <v>7522</v>
      </c>
    </row>
    <row r="2387" customHeight="1" spans="8:9">
      <c r="H2387" s="11">
        <v>7523</v>
      </c>
      <c r="I2387" s="11">
        <v>7523</v>
      </c>
    </row>
    <row r="2388" customHeight="1" spans="8:9">
      <c r="H2388" s="11">
        <v>7524</v>
      </c>
      <c r="I2388" s="11">
        <v>7524</v>
      </c>
    </row>
    <row r="2389" customHeight="1" spans="8:9">
      <c r="H2389" s="11">
        <v>7525</v>
      </c>
      <c r="I2389" s="11">
        <v>7525</v>
      </c>
    </row>
    <row r="2390" customHeight="1" spans="8:9">
      <c r="H2390" s="11">
        <v>7526</v>
      </c>
      <c r="I2390" s="11">
        <v>7526</v>
      </c>
    </row>
    <row r="2391" customHeight="1" spans="8:9">
      <c r="H2391" s="11">
        <v>7527</v>
      </c>
      <c r="I2391" s="11">
        <v>7527</v>
      </c>
    </row>
    <row r="2392" customHeight="1" spans="8:9">
      <c r="H2392" s="11">
        <v>7528</v>
      </c>
      <c r="I2392" s="11">
        <v>7528</v>
      </c>
    </row>
    <row r="2393" customHeight="1" spans="8:9">
      <c r="H2393" s="11">
        <v>7529</v>
      </c>
      <c r="I2393" s="11">
        <v>7529</v>
      </c>
    </row>
    <row r="2394" customHeight="1" spans="8:9">
      <c r="H2394" s="11">
        <v>7530</v>
      </c>
      <c r="I2394" s="11">
        <v>7530</v>
      </c>
    </row>
    <row r="2395" customHeight="1" spans="8:9">
      <c r="H2395" s="11">
        <v>7531</v>
      </c>
      <c r="I2395" s="11">
        <v>7531</v>
      </c>
    </row>
    <row r="2396" customHeight="1" spans="8:9">
      <c r="H2396" s="11">
        <v>7532</v>
      </c>
      <c r="I2396" s="11">
        <v>7532</v>
      </c>
    </row>
    <row r="2397" customHeight="1" spans="8:9">
      <c r="H2397" s="11">
        <v>7533</v>
      </c>
      <c r="I2397" s="11">
        <v>7533</v>
      </c>
    </row>
    <row r="2398" customHeight="1" spans="8:9">
      <c r="H2398" s="11">
        <v>7534</v>
      </c>
      <c r="I2398" s="11">
        <v>7534</v>
      </c>
    </row>
    <row r="2399" customHeight="1" spans="8:9">
      <c r="H2399" s="11">
        <v>7535</v>
      </c>
      <c r="I2399" s="11">
        <v>7535</v>
      </c>
    </row>
    <row r="2400" customHeight="1" spans="8:9">
      <c r="H2400" s="11">
        <v>7536</v>
      </c>
      <c r="I2400" s="11">
        <v>7536</v>
      </c>
    </row>
    <row r="2401" customHeight="1" spans="8:9">
      <c r="H2401" s="11">
        <v>7537</v>
      </c>
      <c r="I2401" s="11">
        <v>7537</v>
      </c>
    </row>
    <row r="2402" customHeight="1" spans="8:9">
      <c r="H2402" s="11">
        <v>7538</v>
      </c>
      <c r="I2402" s="11">
        <v>7538</v>
      </c>
    </row>
    <row r="2403" customHeight="1" spans="8:9">
      <c r="H2403" s="11">
        <v>7539</v>
      </c>
      <c r="I2403" s="11">
        <v>7539</v>
      </c>
    </row>
    <row r="2404" customHeight="1" spans="8:9">
      <c r="H2404" s="11">
        <v>7540</v>
      </c>
      <c r="I2404" s="11">
        <v>7540</v>
      </c>
    </row>
    <row r="2405" customHeight="1" spans="8:9">
      <c r="H2405" s="11">
        <v>7541</v>
      </c>
      <c r="I2405" s="11">
        <v>7541</v>
      </c>
    </row>
    <row r="2406" customHeight="1" spans="8:9">
      <c r="H2406" s="11">
        <v>7542</v>
      </c>
      <c r="I2406" s="11">
        <v>7542</v>
      </c>
    </row>
    <row r="2407" customHeight="1" spans="8:9">
      <c r="H2407" s="11">
        <v>7543</v>
      </c>
      <c r="I2407" s="11">
        <v>7543</v>
      </c>
    </row>
    <row r="2408" customHeight="1" spans="8:9">
      <c r="H2408" s="11">
        <v>7544</v>
      </c>
      <c r="I2408" s="11">
        <v>7544</v>
      </c>
    </row>
    <row r="2409" customHeight="1" spans="8:9">
      <c r="H2409" s="11">
        <v>7545</v>
      </c>
      <c r="I2409" s="11">
        <v>7545</v>
      </c>
    </row>
    <row r="2410" customHeight="1" spans="8:9">
      <c r="H2410" s="11">
        <v>7546</v>
      </c>
      <c r="I2410" s="11">
        <v>7546</v>
      </c>
    </row>
    <row r="2411" customHeight="1" spans="8:9">
      <c r="H2411" s="11">
        <v>7547</v>
      </c>
      <c r="I2411" s="11">
        <v>7547</v>
      </c>
    </row>
    <row r="2412" customHeight="1" spans="8:9">
      <c r="H2412" s="11">
        <v>7548</v>
      </c>
      <c r="I2412" s="11">
        <v>7548</v>
      </c>
    </row>
    <row r="2413" customHeight="1" spans="8:9">
      <c r="H2413" s="11">
        <v>7549</v>
      </c>
      <c r="I2413" s="11">
        <v>7549</v>
      </c>
    </row>
    <row r="2414" customHeight="1" spans="8:9">
      <c r="H2414" s="11">
        <v>7550</v>
      </c>
      <c r="I2414" s="11">
        <v>7550</v>
      </c>
    </row>
    <row r="2415" customHeight="1" spans="8:9">
      <c r="H2415" s="11">
        <v>7551</v>
      </c>
      <c r="I2415" s="11">
        <v>7551</v>
      </c>
    </row>
    <row r="2416" customHeight="1" spans="8:9">
      <c r="H2416" s="11">
        <v>7552</v>
      </c>
      <c r="I2416" s="11">
        <v>7552</v>
      </c>
    </row>
    <row r="2417" customHeight="1" spans="8:9">
      <c r="H2417" s="11">
        <v>7553</v>
      </c>
      <c r="I2417" s="11">
        <v>7553</v>
      </c>
    </row>
    <row r="2418" customHeight="1" spans="8:9">
      <c r="H2418" s="11">
        <v>7554</v>
      </c>
      <c r="I2418" s="11">
        <v>7554</v>
      </c>
    </row>
    <row r="2419" customHeight="1" spans="8:9">
      <c r="H2419" s="11">
        <v>7555</v>
      </c>
      <c r="I2419" s="11">
        <v>7555</v>
      </c>
    </row>
    <row r="2420" customHeight="1" spans="8:9">
      <c r="H2420" s="11">
        <v>7556</v>
      </c>
      <c r="I2420" s="11">
        <v>7556</v>
      </c>
    </row>
    <row r="2421" customHeight="1" spans="8:9">
      <c r="H2421" s="11">
        <v>7557</v>
      </c>
      <c r="I2421" s="11">
        <v>7557</v>
      </c>
    </row>
    <row r="2422" customHeight="1" spans="8:9">
      <c r="H2422" s="11">
        <v>7558</v>
      </c>
      <c r="I2422" s="11">
        <v>7558</v>
      </c>
    </row>
    <row r="2423" customHeight="1" spans="8:9">
      <c r="H2423" s="11">
        <v>7559</v>
      </c>
      <c r="I2423" s="11">
        <v>7559</v>
      </c>
    </row>
    <row r="2424" customHeight="1" spans="8:9">
      <c r="H2424" s="11">
        <v>7560</v>
      </c>
      <c r="I2424" s="11">
        <v>7560</v>
      </c>
    </row>
    <row r="2425" customHeight="1" spans="8:9">
      <c r="H2425" s="11">
        <v>7561</v>
      </c>
      <c r="I2425" s="11">
        <v>7561</v>
      </c>
    </row>
    <row r="2426" customHeight="1" spans="8:9">
      <c r="H2426" s="11">
        <v>7562</v>
      </c>
      <c r="I2426" s="11">
        <v>7562</v>
      </c>
    </row>
    <row r="2427" customHeight="1" spans="8:9">
      <c r="H2427" s="11">
        <v>7563</v>
      </c>
      <c r="I2427" s="11">
        <v>7563</v>
      </c>
    </row>
    <row r="2428" customHeight="1" spans="8:9">
      <c r="H2428" s="11">
        <v>7564</v>
      </c>
      <c r="I2428" s="11">
        <v>7564</v>
      </c>
    </row>
    <row r="2429" customHeight="1" spans="8:9">
      <c r="H2429" s="11">
        <v>7565</v>
      </c>
      <c r="I2429" s="11">
        <v>7565</v>
      </c>
    </row>
    <row r="2430" customHeight="1" spans="8:9">
      <c r="H2430" s="11">
        <v>7566</v>
      </c>
      <c r="I2430" s="11">
        <v>7566</v>
      </c>
    </row>
    <row r="2431" customHeight="1" spans="8:9">
      <c r="H2431" s="11">
        <v>7567</v>
      </c>
      <c r="I2431" s="11">
        <v>7567</v>
      </c>
    </row>
    <row r="2432" customHeight="1" spans="8:9">
      <c r="H2432" s="11">
        <v>7568</v>
      </c>
      <c r="I2432" s="11">
        <v>7568</v>
      </c>
    </row>
    <row r="2433" customHeight="1" spans="8:9">
      <c r="H2433" s="11">
        <v>7569</v>
      </c>
      <c r="I2433" s="11">
        <v>7569</v>
      </c>
    </row>
    <row r="2434" customHeight="1" spans="8:9">
      <c r="H2434" s="11">
        <v>7570</v>
      </c>
      <c r="I2434" s="11">
        <v>7570</v>
      </c>
    </row>
    <row r="2435" customHeight="1" spans="8:9">
      <c r="H2435" s="11">
        <v>7571</v>
      </c>
      <c r="I2435" s="11">
        <v>7571</v>
      </c>
    </row>
    <row r="2436" customHeight="1" spans="8:9">
      <c r="H2436" s="11">
        <v>7572</v>
      </c>
      <c r="I2436" s="11">
        <v>7572</v>
      </c>
    </row>
    <row r="2437" customHeight="1" spans="8:9">
      <c r="H2437" s="11">
        <v>7573</v>
      </c>
      <c r="I2437" s="11">
        <v>7573</v>
      </c>
    </row>
    <row r="2438" customHeight="1" spans="8:9">
      <c r="H2438" s="11">
        <v>7574</v>
      </c>
      <c r="I2438" s="11">
        <v>7574</v>
      </c>
    </row>
    <row r="2439" customHeight="1" spans="8:9">
      <c r="H2439" s="11">
        <v>7575</v>
      </c>
      <c r="I2439" s="11">
        <v>7575</v>
      </c>
    </row>
    <row r="2440" customHeight="1" spans="8:9">
      <c r="H2440" s="11">
        <v>7576</v>
      </c>
      <c r="I2440" s="11">
        <v>7576</v>
      </c>
    </row>
    <row r="2441" customHeight="1" spans="8:9">
      <c r="H2441" s="11">
        <v>7577</v>
      </c>
      <c r="I2441" s="11">
        <v>7577</v>
      </c>
    </row>
    <row r="2442" customHeight="1" spans="8:9">
      <c r="H2442" s="11">
        <v>7578</v>
      </c>
      <c r="I2442" s="11">
        <v>7578</v>
      </c>
    </row>
    <row r="2443" customHeight="1" spans="8:9">
      <c r="H2443" s="11">
        <v>7579</v>
      </c>
      <c r="I2443" s="11">
        <v>7579</v>
      </c>
    </row>
    <row r="2444" customHeight="1" spans="8:9">
      <c r="H2444" s="11">
        <v>7580</v>
      </c>
      <c r="I2444" s="11">
        <v>7580</v>
      </c>
    </row>
    <row r="2445" customHeight="1" spans="8:9">
      <c r="H2445" s="11">
        <v>7581</v>
      </c>
      <c r="I2445" s="11">
        <v>7581</v>
      </c>
    </row>
    <row r="2446" customHeight="1" spans="8:9">
      <c r="H2446" s="11">
        <v>7582</v>
      </c>
      <c r="I2446" s="11">
        <v>7582</v>
      </c>
    </row>
    <row r="2447" customHeight="1" spans="8:9">
      <c r="H2447" s="11">
        <v>7583</v>
      </c>
      <c r="I2447" s="11">
        <v>7583</v>
      </c>
    </row>
    <row r="2448" customHeight="1" spans="8:9">
      <c r="H2448" s="11">
        <v>7584</v>
      </c>
      <c r="I2448" s="11">
        <v>7584</v>
      </c>
    </row>
    <row r="2449" customHeight="1" spans="8:9">
      <c r="H2449" s="11">
        <v>7585</v>
      </c>
      <c r="I2449" s="11">
        <v>7585</v>
      </c>
    </row>
    <row r="2450" customHeight="1" spans="8:9">
      <c r="H2450" s="11">
        <v>7586</v>
      </c>
      <c r="I2450" s="11">
        <v>7586</v>
      </c>
    </row>
    <row r="2451" customHeight="1" spans="8:9">
      <c r="H2451" s="11">
        <v>7587</v>
      </c>
      <c r="I2451" s="11">
        <v>7587</v>
      </c>
    </row>
    <row r="2452" customHeight="1" spans="8:9">
      <c r="H2452" s="11">
        <v>7588</v>
      </c>
      <c r="I2452" s="11">
        <v>7588</v>
      </c>
    </row>
    <row r="2453" customHeight="1" spans="8:9">
      <c r="H2453" s="11">
        <v>7589</v>
      </c>
      <c r="I2453" s="11">
        <v>7589</v>
      </c>
    </row>
    <row r="2454" customHeight="1" spans="8:9">
      <c r="H2454" s="11">
        <v>7590</v>
      </c>
      <c r="I2454" s="11">
        <v>7590</v>
      </c>
    </row>
    <row r="2455" customHeight="1" spans="8:9">
      <c r="H2455" s="11">
        <v>7591</v>
      </c>
      <c r="I2455" s="11">
        <v>7591</v>
      </c>
    </row>
    <row r="2456" customHeight="1" spans="8:9">
      <c r="H2456" s="11">
        <v>7592</v>
      </c>
      <c r="I2456" s="11">
        <v>7592</v>
      </c>
    </row>
    <row r="2457" customHeight="1" spans="8:9">
      <c r="H2457" s="11">
        <v>7593</v>
      </c>
      <c r="I2457" s="11">
        <v>7593</v>
      </c>
    </row>
    <row r="2458" customHeight="1" spans="8:9">
      <c r="H2458" s="11">
        <v>7594</v>
      </c>
      <c r="I2458" s="11">
        <v>7594</v>
      </c>
    </row>
    <row r="2459" customHeight="1" spans="8:9">
      <c r="H2459" s="11">
        <v>7595</v>
      </c>
      <c r="I2459" s="11">
        <v>7595</v>
      </c>
    </row>
    <row r="2460" customHeight="1" spans="8:9">
      <c r="H2460" s="11">
        <v>7596</v>
      </c>
      <c r="I2460" s="11">
        <v>7596</v>
      </c>
    </row>
    <row r="2461" customHeight="1" spans="8:9">
      <c r="H2461" s="11">
        <v>7597</v>
      </c>
      <c r="I2461" s="11">
        <v>7597</v>
      </c>
    </row>
    <row r="2462" customHeight="1" spans="8:9">
      <c r="H2462" s="11">
        <v>7598</v>
      </c>
      <c r="I2462" s="11">
        <v>7598</v>
      </c>
    </row>
    <row r="2463" customHeight="1" spans="8:9">
      <c r="H2463" s="11">
        <v>7599</v>
      </c>
      <c r="I2463" s="11">
        <v>7599</v>
      </c>
    </row>
    <row r="2464" customHeight="1" spans="8:9">
      <c r="H2464" s="11">
        <v>7600</v>
      </c>
      <c r="I2464" s="11">
        <v>7600</v>
      </c>
    </row>
    <row r="2465" customHeight="1" spans="8:9">
      <c r="H2465" s="11">
        <v>7601</v>
      </c>
      <c r="I2465" s="11">
        <v>7601</v>
      </c>
    </row>
    <row r="2466" customHeight="1" spans="8:9">
      <c r="H2466" s="11">
        <v>7602</v>
      </c>
      <c r="I2466" s="11">
        <v>7602</v>
      </c>
    </row>
    <row r="2467" customHeight="1" spans="8:9">
      <c r="H2467" s="11">
        <v>7603</v>
      </c>
      <c r="I2467" s="11">
        <v>7603</v>
      </c>
    </row>
    <row r="2468" customHeight="1" spans="8:9">
      <c r="H2468" s="11">
        <v>7604</v>
      </c>
      <c r="I2468" s="11">
        <v>7604</v>
      </c>
    </row>
    <row r="2469" customHeight="1" spans="8:9">
      <c r="H2469" s="11">
        <v>7605</v>
      </c>
      <c r="I2469" s="11">
        <v>7605</v>
      </c>
    </row>
    <row r="2470" customHeight="1" spans="8:9">
      <c r="H2470" s="11">
        <v>7606</v>
      </c>
      <c r="I2470" s="11">
        <v>7606</v>
      </c>
    </row>
    <row r="2471" customHeight="1" spans="8:9">
      <c r="H2471" s="11">
        <v>7607</v>
      </c>
      <c r="I2471" s="11">
        <v>7607</v>
      </c>
    </row>
    <row r="2472" customHeight="1" spans="8:9">
      <c r="H2472" s="11">
        <v>7608</v>
      </c>
      <c r="I2472" s="11">
        <v>7608</v>
      </c>
    </row>
    <row r="2473" customHeight="1" spans="8:9">
      <c r="H2473" s="11">
        <v>7609</v>
      </c>
      <c r="I2473" s="11">
        <v>7609</v>
      </c>
    </row>
    <row r="2474" customHeight="1" spans="8:9">
      <c r="H2474" s="11">
        <v>7610</v>
      </c>
      <c r="I2474" s="11">
        <v>7610</v>
      </c>
    </row>
    <row r="2475" customHeight="1" spans="8:9">
      <c r="H2475" s="11">
        <v>7611</v>
      </c>
      <c r="I2475" s="11">
        <v>7611</v>
      </c>
    </row>
    <row r="2476" customHeight="1" spans="8:9">
      <c r="H2476" s="11">
        <v>7612</v>
      </c>
      <c r="I2476" s="11">
        <v>7612</v>
      </c>
    </row>
    <row r="2477" customHeight="1" spans="8:9">
      <c r="H2477" s="11">
        <v>7613</v>
      </c>
      <c r="I2477" s="11">
        <v>7613</v>
      </c>
    </row>
    <row r="2478" customHeight="1" spans="8:9">
      <c r="H2478" s="11">
        <v>7614</v>
      </c>
      <c r="I2478" s="11">
        <v>7614</v>
      </c>
    </row>
    <row r="2479" customHeight="1" spans="8:9">
      <c r="H2479" s="11">
        <v>7615</v>
      </c>
      <c r="I2479" s="11">
        <v>7615</v>
      </c>
    </row>
    <row r="2480" customHeight="1" spans="8:9">
      <c r="H2480" s="11">
        <v>7616</v>
      </c>
      <c r="I2480" s="11">
        <v>7616</v>
      </c>
    </row>
    <row r="2481" customHeight="1" spans="8:9">
      <c r="H2481" s="11">
        <v>7617</v>
      </c>
      <c r="I2481" s="11">
        <v>7617</v>
      </c>
    </row>
    <row r="2482" customHeight="1" spans="8:9">
      <c r="H2482" s="11">
        <v>7618</v>
      </c>
      <c r="I2482" s="11">
        <v>7618</v>
      </c>
    </row>
    <row r="2483" customHeight="1" spans="8:9">
      <c r="H2483" s="11">
        <v>7619</v>
      </c>
      <c r="I2483" s="11">
        <v>7619</v>
      </c>
    </row>
    <row r="2484" customHeight="1" spans="8:9">
      <c r="H2484" s="11">
        <v>7620</v>
      </c>
      <c r="I2484" s="11">
        <v>7620</v>
      </c>
    </row>
    <row r="2485" customHeight="1" spans="8:9">
      <c r="H2485" s="11">
        <v>7621</v>
      </c>
      <c r="I2485" s="11">
        <v>7621</v>
      </c>
    </row>
    <row r="2486" customHeight="1" spans="8:9">
      <c r="H2486" s="11">
        <v>7622</v>
      </c>
      <c r="I2486" s="11">
        <v>7622</v>
      </c>
    </row>
    <row r="2487" customHeight="1" spans="8:9">
      <c r="H2487" s="11">
        <v>7623</v>
      </c>
      <c r="I2487" s="11">
        <v>7623</v>
      </c>
    </row>
    <row r="2488" customHeight="1" spans="8:9">
      <c r="H2488" s="11">
        <v>7624</v>
      </c>
      <c r="I2488" s="11">
        <v>7624</v>
      </c>
    </row>
    <row r="2489" customHeight="1" spans="8:9">
      <c r="H2489" s="11">
        <v>7625</v>
      </c>
      <c r="I2489" s="11">
        <v>7625</v>
      </c>
    </row>
    <row r="2490" customHeight="1" spans="8:9">
      <c r="H2490" s="11">
        <v>7626</v>
      </c>
      <c r="I2490" s="11">
        <v>7626</v>
      </c>
    </row>
    <row r="2491" customHeight="1" spans="8:9">
      <c r="H2491" s="11">
        <v>7627</v>
      </c>
      <c r="I2491" s="11">
        <v>7627</v>
      </c>
    </row>
    <row r="2492" customHeight="1" spans="8:9">
      <c r="H2492" s="11">
        <v>7628</v>
      </c>
      <c r="I2492" s="11">
        <v>7628</v>
      </c>
    </row>
    <row r="2493" customHeight="1" spans="8:9">
      <c r="H2493" s="11">
        <v>7629</v>
      </c>
      <c r="I2493" s="11">
        <v>7629</v>
      </c>
    </row>
    <row r="2494" customHeight="1" spans="8:9">
      <c r="H2494" s="11">
        <v>7630</v>
      </c>
      <c r="I2494" s="11">
        <v>7630</v>
      </c>
    </row>
    <row r="2495" customHeight="1" spans="8:9">
      <c r="H2495" s="11">
        <v>7631</v>
      </c>
      <c r="I2495" s="11">
        <v>7631</v>
      </c>
    </row>
    <row r="2496" customHeight="1" spans="8:9">
      <c r="H2496" s="11">
        <v>7632</v>
      </c>
      <c r="I2496" s="11">
        <v>7632</v>
      </c>
    </row>
    <row r="2497" customHeight="1" spans="8:9">
      <c r="H2497" s="11">
        <v>7633</v>
      </c>
      <c r="I2497" s="11">
        <v>7633</v>
      </c>
    </row>
    <row r="2498" customHeight="1" spans="8:9">
      <c r="H2498" s="11">
        <v>7634</v>
      </c>
      <c r="I2498" s="11">
        <v>7634</v>
      </c>
    </row>
    <row r="2499" customHeight="1" spans="8:9">
      <c r="H2499" s="11">
        <v>7635</v>
      </c>
      <c r="I2499" s="11">
        <v>7635</v>
      </c>
    </row>
    <row r="2500" customHeight="1" spans="8:9">
      <c r="H2500" s="11">
        <v>7636</v>
      </c>
      <c r="I2500" s="11">
        <v>7636</v>
      </c>
    </row>
    <row r="2501" customHeight="1" spans="8:9">
      <c r="H2501" s="11">
        <v>7637</v>
      </c>
      <c r="I2501" s="11">
        <v>7637</v>
      </c>
    </row>
    <row r="2502" customHeight="1" spans="8:9">
      <c r="H2502" s="11">
        <v>7638</v>
      </c>
      <c r="I2502" s="11">
        <v>7638</v>
      </c>
    </row>
    <row r="2503" customHeight="1" spans="8:9">
      <c r="H2503" s="11">
        <v>7639</v>
      </c>
      <c r="I2503" s="11">
        <v>7639</v>
      </c>
    </row>
    <row r="2504" customHeight="1" spans="8:9">
      <c r="H2504" s="11">
        <v>7640</v>
      </c>
      <c r="I2504" s="11">
        <v>7640</v>
      </c>
    </row>
    <row r="2505" customHeight="1" spans="8:9">
      <c r="H2505" s="11">
        <v>7641</v>
      </c>
      <c r="I2505" s="11">
        <v>7641</v>
      </c>
    </row>
    <row r="2506" customHeight="1" spans="8:9">
      <c r="H2506" s="11">
        <v>7642</v>
      </c>
      <c r="I2506" s="11">
        <v>7642</v>
      </c>
    </row>
    <row r="2507" customHeight="1" spans="8:9">
      <c r="H2507" s="11">
        <v>7643</v>
      </c>
      <c r="I2507" s="11">
        <v>7643</v>
      </c>
    </row>
    <row r="2508" customHeight="1" spans="8:9">
      <c r="H2508" s="11">
        <v>7644</v>
      </c>
      <c r="I2508" s="11">
        <v>7644</v>
      </c>
    </row>
    <row r="2509" customHeight="1" spans="8:9">
      <c r="H2509" s="11">
        <v>7645</v>
      </c>
      <c r="I2509" s="11">
        <v>7645</v>
      </c>
    </row>
    <row r="2510" customHeight="1" spans="8:9">
      <c r="H2510" s="11">
        <v>7646</v>
      </c>
      <c r="I2510" s="11">
        <v>7646</v>
      </c>
    </row>
    <row r="2511" customHeight="1" spans="8:9">
      <c r="H2511" s="11">
        <v>7647</v>
      </c>
      <c r="I2511" s="11">
        <v>7647</v>
      </c>
    </row>
    <row r="2512" customHeight="1" spans="8:9">
      <c r="H2512" s="11">
        <v>7648</v>
      </c>
      <c r="I2512" s="11">
        <v>7648</v>
      </c>
    </row>
    <row r="2513" customHeight="1" spans="8:9">
      <c r="H2513" s="11">
        <v>7649</v>
      </c>
      <c r="I2513" s="11">
        <v>7649</v>
      </c>
    </row>
    <row r="2514" customHeight="1" spans="8:9">
      <c r="H2514" s="11">
        <v>7650</v>
      </c>
      <c r="I2514" s="11">
        <v>7650</v>
      </c>
    </row>
    <row r="2515" customHeight="1" spans="8:9">
      <c r="H2515" s="11">
        <v>7651</v>
      </c>
      <c r="I2515" s="11">
        <v>7651</v>
      </c>
    </row>
    <row r="2516" customHeight="1" spans="8:9">
      <c r="H2516" s="11">
        <v>7652</v>
      </c>
      <c r="I2516" s="11">
        <v>7652</v>
      </c>
    </row>
    <row r="2517" customHeight="1" spans="8:9">
      <c r="H2517" s="11">
        <v>7653</v>
      </c>
      <c r="I2517" s="11">
        <v>7653</v>
      </c>
    </row>
    <row r="2518" customHeight="1" spans="8:9">
      <c r="H2518" s="11">
        <v>7654</v>
      </c>
      <c r="I2518" s="11">
        <v>7654</v>
      </c>
    </row>
    <row r="2519" customHeight="1" spans="8:9">
      <c r="H2519" s="11">
        <v>7655</v>
      </c>
      <c r="I2519" s="11">
        <v>7655</v>
      </c>
    </row>
    <row r="2520" customHeight="1" spans="8:9">
      <c r="H2520" s="11">
        <v>7656</v>
      </c>
      <c r="I2520" s="11">
        <v>7656</v>
      </c>
    </row>
    <row r="2521" customHeight="1" spans="8:9">
      <c r="H2521" s="11">
        <v>7657</v>
      </c>
      <c r="I2521" s="11">
        <v>7657</v>
      </c>
    </row>
    <row r="2522" customHeight="1" spans="8:9">
      <c r="H2522" s="11">
        <v>7658</v>
      </c>
      <c r="I2522" s="11">
        <v>7658</v>
      </c>
    </row>
    <row r="2523" customHeight="1" spans="8:9">
      <c r="H2523" s="11">
        <v>7659</v>
      </c>
      <c r="I2523" s="11">
        <v>7659</v>
      </c>
    </row>
    <row r="2524" customHeight="1" spans="8:9">
      <c r="H2524" s="11">
        <v>7660</v>
      </c>
      <c r="I2524" s="11">
        <v>7660</v>
      </c>
    </row>
    <row r="2525" customHeight="1" spans="8:9">
      <c r="H2525" s="11">
        <v>7661</v>
      </c>
      <c r="I2525" s="11">
        <v>7661</v>
      </c>
    </row>
    <row r="2526" customHeight="1" spans="8:9">
      <c r="H2526" s="11">
        <v>7662</v>
      </c>
      <c r="I2526" s="11">
        <v>7662</v>
      </c>
    </row>
    <row r="2527" customHeight="1" spans="8:9">
      <c r="H2527" s="11">
        <v>7663</v>
      </c>
      <c r="I2527" s="11">
        <v>7663</v>
      </c>
    </row>
    <row r="2528" customHeight="1" spans="8:9">
      <c r="H2528" s="11">
        <v>7664</v>
      </c>
      <c r="I2528" s="11">
        <v>7664</v>
      </c>
    </row>
    <row r="2529" customHeight="1" spans="8:9">
      <c r="H2529" s="11">
        <v>7665</v>
      </c>
      <c r="I2529" s="11">
        <v>7665</v>
      </c>
    </row>
    <row r="2530" customHeight="1" spans="8:9">
      <c r="H2530" s="11">
        <v>7666</v>
      </c>
      <c r="I2530" s="11">
        <v>7666</v>
      </c>
    </row>
    <row r="2531" customHeight="1" spans="8:9">
      <c r="H2531" s="11">
        <v>7667</v>
      </c>
      <c r="I2531" s="11">
        <v>7667</v>
      </c>
    </row>
    <row r="2532" customHeight="1" spans="8:9">
      <c r="H2532" s="11">
        <v>7668</v>
      </c>
      <c r="I2532" s="11">
        <v>7668</v>
      </c>
    </row>
    <row r="2533" customHeight="1" spans="8:9">
      <c r="H2533" s="11">
        <v>7669</v>
      </c>
      <c r="I2533" s="11">
        <v>7669</v>
      </c>
    </row>
    <row r="2534" customHeight="1" spans="8:9">
      <c r="H2534" s="11">
        <v>7670</v>
      </c>
      <c r="I2534" s="11">
        <v>7670</v>
      </c>
    </row>
    <row r="2535" customHeight="1" spans="8:9">
      <c r="H2535" s="11">
        <v>7671</v>
      </c>
      <c r="I2535" s="11">
        <v>7671</v>
      </c>
    </row>
    <row r="2536" customHeight="1" spans="8:9">
      <c r="H2536" s="11">
        <v>7672</v>
      </c>
      <c r="I2536" s="11">
        <v>7672</v>
      </c>
    </row>
    <row r="2537" customHeight="1" spans="8:9">
      <c r="H2537" s="11">
        <v>7673</v>
      </c>
      <c r="I2537" s="11">
        <v>7673</v>
      </c>
    </row>
    <row r="2538" customHeight="1" spans="8:9">
      <c r="H2538" s="11">
        <v>7674</v>
      </c>
      <c r="I2538" s="11">
        <v>7674</v>
      </c>
    </row>
    <row r="2539" customHeight="1" spans="8:9">
      <c r="H2539" s="11">
        <v>7675</v>
      </c>
      <c r="I2539" s="11">
        <v>7675</v>
      </c>
    </row>
    <row r="2540" customHeight="1" spans="8:9">
      <c r="H2540" s="11">
        <v>7676</v>
      </c>
      <c r="I2540" s="11">
        <v>7676</v>
      </c>
    </row>
    <row r="2541" customHeight="1" spans="8:9">
      <c r="H2541" s="11">
        <v>7677</v>
      </c>
      <c r="I2541" s="11">
        <v>7677</v>
      </c>
    </row>
    <row r="2542" customHeight="1" spans="8:9">
      <c r="H2542" s="11">
        <v>7678</v>
      </c>
      <c r="I2542" s="11">
        <v>7678</v>
      </c>
    </row>
    <row r="2543" customHeight="1" spans="8:9">
      <c r="H2543" s="11">
        <v>7679</v>
      </c>
      <c r="I2543" s="11">
        <v>7679</v>
      </c>
    </row>
    <row r="2544" customHeight="1" spans="8:9">
      <c r="H2544" s="11">
        <v>7680</v>
      </c>
      <c r="I2544" s="11">
        <v>7680</v>
      </c>
    </row>
    <row r="2545" customHeight="1" spans="8:9">
      <c r="H2545" s="11">
        <v>7681</v>
      </c>
      <c r="I2545" s="11">
        <v>7681</v>
      </c>
    </row>
    <row r="2546" customHeight="1" spans="8:9">
      <c r="H2546" s="11">
        <v>7682</v>
      </c>
      <c r="I2546" s="11">
        <v>7682</v>
      </c>
    </row>
    <row r="2547" customHeight="1" spans="8:9">
      <c r="H2547" s="11">
        <v>7683</v>
      </c>
      <c r="I2547" s="11">
        <v>7683</v>
      </c>
    </row>
    <row r="2548" customHeight="1" spans="8:9">
      <c r="H2548" s="11">
        <v>7684</v>
      </c>
      <c r="I2548" s="11">
        <v>7684</v>
      </c>
    </row>
    <row r="2549" customHeight="1" spans="8:9">
      <c r="H2549" s="11">
        <v>7685</v>
      </c>
      <c r="I2549" s="11">
        <v>7685</v>
      </c>
    </row>
    <row r="2550" customHeight="1" spans="8:9">
      <c r="H2550" s="11">
        <v>7686</v>
      </c>
      <c r="I2550" s="11">
        <v>7686</v>
      </c>
    </row>
    <row r="2551" customHeight="1" spans="8:9">
      <c r="H2551" s="11">
        <v>7687</v>
      </c>
      <c r="I2551" s="11">
        <v>7687</v>
      </c>
    </row>
    <row r="2552" customHeight="1" spans="8:9">
      <c r="H2552" s="11">
        <v>7688</v>
      </c>
      <c r="I2552" s="11">
        <v>7688</v>
      </c>
    </row>
    <row r="2553" customHeight="1" spans="8:9">
      <c r="H2553" s="11">
        <v>7689</v>
      </c>
      <c r="I2553" s="11">
        <v>7689</v>
      </c>
    </row>
    <row r="2554" customHeight="1" spans="8:9">
      <c r="H2554" s="11">
        <v>7690</v>
      </c>
      <c r="I2554" s="11">
        <v>7690</v>
      </c>
    </row>
    <row r="2555" customHeight="1" spans="8:9">
      <c r="H2555" s="11">
        <v>7691</v>
      </c>
      <c r="I2555" s="11">
        <v>7691</v>
      </c>
    </row>
    <row r="2556" customHeight="1" spans="8:9">
      <c r="H2556" s="11">
        <v>7692</v>
      </c>
      <c r="I2556" s="11">
        <v>7692</v>
      </c>
    </row>
    <row r="2557" customHeight="1" spans="8:9">
      <c r="H2557" s="11">
        <v>7693</v>
      </c>
      <c r="I2557" s="11">
        <v>7693</v>
      </c>
    </row>
    <row r="2558" customHeight="1" spans="8:9">
      <c r="H2558" s="11">
        <v>7694</v>
      </c>
      <c r="I2558" s="11">
        <v>7694</v>
      </c>
    </row>
    <row r="2559" customHeight="1" spans="8:9">
      <c r="H2559" s="11">
        <v>7695</v>
      </c>
      <c r="I2559" s="11">
        <v>7695</v>
      </c>
    </row>
    <row r="2560" customHeight="1" spans="8:9">
      <c r="H2560" s="11">
        <v>7696</v>
      </c>
      <c r="I2560" s="11">
        <v>7696</v>
      </c>
    </row>
    <row r="2561" customHeight="1" spans="8:9">
      <c r="H2561" s="11">
        <v>7697</v>
      </c>
      <c r="I2561" s="11">
        <v>7697</v>
      </c>
    </row>
    <row r="2562" customHeight="1" spans="8:9">
      <c r="H2562" s="11">
        <v>7698</v>
      </c>
      <c r="I2562" s="11">
        <v>7698</v>
      </c>
    </row>
    <row r="2563" customHeight="1" spans="8:9">
      <c r="H2563" s="11">
        <v>7699</v>
      </c>
      <c r="I2563" s="11">
        <v>7699</v>
      </c>
    </row>
    <row r="2564" customHeight="1" spans="8:9">
      <c r="H2564" s="11">
        <v>7700</v>
      </c>
      <c r="I2564" s="11">
        <v>7700</v>
      </c>
    </row>
    <row r="2565" customHeight="1" spans="8:9">
      <c r="H2565" s="11">
        <v>7701</v>
      </c>
      <c r="I2565" s="11">
        <v>7701</v>
      </c>
    </row>
    <row r="2566" customHeight="1" spans="8:9">
      <c r="H2566" s="11">
        <v>7702</v>
      </c>
      <c r="I2566" s="11">
        <v>7702</v>
      </c>
    </row>
    <row r="2567" customHeight="1" spans="8:9">
      <c r="H2567" s="11">
        <v>7703</v>
      </c>
      <c r="I2567" s="11">
        <v>7703</v>
      </c>
    </row>
    <row r="2568" customHeight="1" spans="8:9">
      <c r="H2568" s="11">
        <v>7704</v>
      </c>
      <c r="I2568" s="11">
        <v>7704</v>
      </c>
    </row>
    <row r="2569" customHeight="1" spans="8:9">
      <c r="H2569" s="11">
        <v>7705</v>
      </c>
      <c r="I2569" s="11">
        <v>7705</v>
      </c>
    </row>
    <row r="2570" customHeight="1" spans="8:9">
      <c r="H2570" s="11">
        <v>7706</v>
      </c>
      <c r="I2570" s="11">
        <v>7706</v>
      </c>
    </row>
    <row r="2571" customHeight="1" spans="8:9">
      <c r="H2571" s="11">
        <v>7707</v>
      </c>
      <c r="I2571" s="11">
        <v>7707</v>
      </c>
    </row>
    <row r="2572" customHeight="1" spans="8:9">
      <c r="H2572" s="11">
        <v>7708</v>
      </c>
      <c r="I2572" s="11">
        <v>7708</v>
      </c>
    </row>
    <row r="2573" customHeight="1" spans="8:9">
      <c r="H2573" s="11">
        <v>7709</v>
      </c>
      <c r="I2573" s="11">
        <v>7709</v>
      </c>
    </row>
    <row r="2574" customHeight="1" spans="8:9">
      <c r="H2574" s="11">
        <v>7710</v>
      </c>
      <c r="I2574" s="11">
        <v>7710</v>
      </c>
    </row>
    <row r="2575" customHeight="1" spans="8:9">
      <c r="H2575" s="11">
        <v>7711</v>
      </c>
      <c r="I2575" s="11">
        <v>7711</v>
      </c>
    </row>
    <row r="2576" customHeight="1" spans="8:9">
      <c r="H2576" s="11">
        <v>7712</v>
      </c>
      <c r="I2576" s="11">
        <v>7712</v>
      </c>
    </row>
    <row r="2577" customHeight="1" spans="8:9">
      <c r="H2577" s="11">
        <v>7713</v>
      </c>
      <c r="I2577" s="11">
        <v>7713</v>
      </c>
    </row>
    <row r="2578" customHeight="1" spans="8:9">
      <c r="H2578" s="11">
        <v>7714</v>
      </c>
      <c r="I2578" s="11">
        <v>7714</v>
      </c>
    </row>
    <row r="2579" customHeight="1" spans="8:9">
      <c r="H2579" s="11">
        <v>7715</v>
      </c>
      <c r="I2579" s="11">
        <v>7715</v>
      </c>
    </row>
    <row r="2580" customHeight="1" spans="8:9">
      <c r="H2580" s="11">
        <v>7716</v>
      </c>
      <c r="I2580" s="11">
        <v>7716</v>
      </c>
    </row>
    <row r="2581" customHeight="1" spans="8:9">
      <c r="H2581" s="11">
        <v>7717</v>
      </c>
      <c r="I2581" s="11">
        <v>7717</v>
      </c>
    </row>
    <row r="2582" customHeight="1" spans="8:9">
      <c r="H2582" s="11">
        <v>7718</v>
      </c>
      <c r="I2582" s="11">
        <v>7718</v>
      </c>
    </row>
    <row r="2583" customHeight="1" spans="8:9">
      <c r="H2583" s="11">
        <v>7719</v>
      </c>
      <c r="I2583" s="11">
        <v>7719</v>
      </c>
    </row>
    <row r="2584" customHeight="1" spans="8:9">
      <c r="H2584" s="11">
        <v>7720</v>
      </c>
      <c r="I2584" s="11">
        <v>7720</v>
      </c>
    </row>
    <row r="2585" customHeight="1" spans="8:9">
      <c r="H2585" s="11">
        <v>7721</v>
      </c>
      <c r="I2585" s="11">
        <v>7721</v>
      </c>
    </row>
    <row r="2586" customHeight="1" spans="8:9">
      <c r="H2586" s="11">
        <v>7722</v>
      </c>
      <c r="I2586" s="11">
        <v>7722</v>
      </c>
    </row>
    <row r="2587" customHeight="1" spans="8:9">
      <c r="H2587" s="11">
        <v>7723</v>
      </c>
      <c r="I2587" s="11">
        <v>7723</v>
      </c>
    </row>
    <row r="2588" customHeight="1" spans="8:9">
      <c r="H2588" s="11">
        <v>7724</v>
      </c>
      <c r="I2588" s="11">
        <v>7724</v>
      </c>
    </row>
    <row r="2589" customHeight="1" spans="8:9">
      <c r="H2589" s="11">
        <v>7725</v>
      </c>
      <c r="I2589" s="11">
        <v>7725</v>
      </c>
    </row>
    <row r="2590" customHeight="1" spans="8:9">
      <c r="H2590" s="11">
        <v>7726</v>
      </c>
      <c r="I2590" s="11">
        <v>7726</v>
      </c>
    </row>
    <row r="2591" customHeight="1" spans="8:9">
      <c r="H2591" s="11">
        <v>7727</v>
      </c>
      <c r="I2591" s="11">
        <v>7727</v>
      </c>
    </row>
    <row r="2592" customHeight="1" spans="8:9">
      <c r="H2592" s="11">
        <v>7728</v>
      </c>
      <c r="I2592" s="11">
        <v>7728</v>
      </c>
    </row>
    <row r="2593" customHeight="1" spans="8:9">
      <c r="H2593" s="11">
        <v>7729</v>
      </c>
      <c r="I2593" s="11">
        <v>7729</v>
      </c>
    </row>
    <row r="2594" customHeight="1" spans="8:9">
      <c r="H2594" s="11">
        <v>7730</v>
      </c>
      <c r="I2594" s="11">
        <v>7730</v>
      </c>
    </row>
    <row r="2595" customHeight="1" spans="8:9">
      <c r="H2595" s="11">
        <v>7731</v>
      </c>
      <c r="I2595" s="11">
        <v>7731</v>
      </c>
    </row>
    <row r="2596" customHeight="1" spans="8:9">
      <c r="H2596" s="11">
        <v>7732</v>
      </c>
      <c r="I2596" s="11">
        <v>7732</v>
      </c>
    </row>
    <row r="2597" customHeight="1" spans="8:9">
      <c r="H2597" s="11">
        <v>7733</v>
      </c>
      <c r="I2597" s="11">
        <v>7733</v>
      </c>
    </row>
    <row r="2598" customHeight="1" spans="8:9">
      <c r="H2598" s="11">
        <v>7734</v>
      </c>
      <c r="I2598" s="11">
        <v>7734</v>
      </c>
    </row>
    <row r="2599" customHeight="1" spans="8:9">
      <c r="H2599" s="11">
        <v>7735</v>
      </c>
      <c r="I2599" s="11">
        <v>7735</v>
      </c>
    </row>
    <row r="2600" customHeight="1" spans="8:9">
      <c r="H2600" s="11">
        <v>7736</v>
      </c>
      <c r="I2600" s="11">
        <v>7736</v>
      </c>
    </row>
    <row r="2601" customHeight="1" spans="8:9">
      <c r="H2601" s="11">
        <v>7737</v>
      </c>
      <c r="I2601" s="11">
        <v>7737</v>
      </c>
    </row>
    <row r="2602" customHeight="1" spans="8:9">
      <c r="H2602" s="11">
        <v>7738</v>
      </c>
      <c r="I2602" s="11">
        <v>7738</v>
      </c>
    </row>
    <row r="2603" customHeight="1" spans="8:9">
      <c r="H2603" s="11">
        <v>7739</v>
      </c>
      <c r="I2603" s="11">
        <v>7739</v>
      </c>
    </row>
    <row r="2604" customHeight="1" spans="8:9">
      <c r="H2604" s="11">
        <v>7740</v>
      </c>
      <c r="I2604" s="11">
        <v>7740</v>
      </c>
    </row>
    <row r="2605" customHeight="1" spans="8:9">
      <c r="H2605" s="11">
        <v>7741</v>
      </c>
      <c r="I2605" s="11">
        <v>7741</v>
      </c>
    </row>
    <row r="2606" customHeight="1" spans="8:9">
      <c r="H2606" s="11">
        <v>7742</v>
      </c>
      <c r="I2606" s="11">
        <v>7742</v>
      </c>
    </row>
    <row r="2607" customHeight="1" spans="8:9">
      <c r="H2607" s="11">
        <v>7743</v>
      </c>
      <c r="I2607" s="11">
        <v>7743</v>
      </c>
    </row>
    <row r="2608" customHeight="1" spans="8:9">
      <c r="H2608" s="11">
        <v>7744</v>
      </c>
      <c r="I2608" s="11">
        <v>7744</v>
      </c>
    </row>
    <row r="2609" customHeight="1" spans="8:9">
      <c r="H2609" s="11">
        <v>7745</v>
      </c>
      <c r="I2609" s="11">
        <v>7745</v>
      </c>
    </row>
    <row r="2610" customHeight="1" spans="8:9">
      <c r="H2610" s="11">
        <v>7746</v>
      </c>
      <c r="I2610" s="11">
        <v>7746</v>
      </c>
    </row>
    <row r="2611" customHeight="1" spans="8:9">
      <c r="H2611" s="11">
        <v>7747</v>
      </c>
      <c r="I2611" s="11">
        <v>7747</v>
      </c>
    </row>
    <row r="2612" customHeight="1" spans="8:9">
      <c r="H2612" s="11">
        <v>7748</v>
      </c>
      <c r="I2612" s="11">
        <v>7748</v>
      </c>
    </row>
    <row r="2613" customHeight="1" spans="8:9">
      <c r="H2613" s="11">
        <v>7749</v>
      </c>
      <c r="I2613" s="11">
        <v>7749</v>
      </c>
    </row>
    <row r="2614" customHeight="1" spans="8:9">
      <c r="H2614" s="11">
        <v>7750</v>
      </c>
      <c r="I2614" s="11">
        <v>7750</v>
      </c>
    </row>
    <row r="2615" customHeight="1" spans="8:9">
      <c r="H2615" s="11">
        <v>7751</v>
      </c>
      <c r="I2615" s="11">
        <v>7751</v>
      </c>
    </row>
    <row r="2616" customHeight="1" spans="8:9">
      <c r="H2616" s="11">
        <v>7752</v>
      </c>
      <c r="I2616" s="11">
        <v>7752</v>
      </c>
    </row>
    <row r="2617" customHeight="1" spans="8:9">
      <c r="H2617" s="11">
        <v>7753</v>
      </c>
      <c r="I2617" s="11">
        <v>7753</v>
      </c>
    </row>
    <row r="2618" customHeight="1" spans="8:9">
      <c r="H2618" s="11">
        <v>7754</v>
      </c>
      <c r="I2618" s="11">
        <v>7754</v>
      </c>
    </row>
    <row r="2619" customHeight="1" spans="8:9">
      <c r="H2619" s="11">
        <v>7755</v>
      </c>
      <c r="I2619" s="11">
        <v>7755</v>
      </c>
    </row>
    <row r="2620" customHeight="1" spans="8:9">
      <c r="H2620" s="11">
        <v>7756</v>
      </c>
      <c r="I2620" s="11">
        <v>7756</v>
      </c>
    </row>
    <row r="2621" customHeight="1" spans="8:9">
      <c r="H2621" s="11">
        <v>7757</v>
      </c>
      <c r="I2621" s="11">
        <v>7757</v>
      </c>
    </row>
    <row r="2622" customHeight="1" spans="8:9">
      <c r="H2622" s="11">
        <v>7758</v>
      </c>
      <c r="I2622" s="11">
        <v>7758</v>
      </c>
    </row>
    <row r="2623" customHeight="1" spans="8:9">
      <c r="H2623" s="11">
        <v>7759</v>
      </c>
      <c r="I2623" s="11">
        <v>7759</v>
      </c>
    </row>
    <row r="2624" customHeight="1" spans="8:9">
      <c r="H2624" s="11">
        <v>7760</v>
      </c>
      <c r="I2624" s="11">
        <v>7760</v>
      </c>
    </row>
    <row r="2625" customHeight="1" spans="8:9">
      <c r="H2625" s="11">
        <v>7761</v>
      </c>
      <c r="I2625" s="11">
        <v>7761</v>
      </c>
    </row>
    <row r="2626" customHeight="1" spans="8:9">
      <c r="H2626" s="11">
        <v>7762</v>
      </c>
      <c r="I2626" s="11">
        <v>7762</v>
      </c>
    </row>
    <row r="2627" customHeight="1" spans="8:9">
      <c r="H2627" s="11">
        <v>7763</v>
      </c>
      <c r="I2627" s="11">
        <v>7763</v>
      </c>
    </row>
    <row r="2628" customHeight="1" spans="8:9">
      <c r="H2628" s="11">
        <v>7764</v>
      </c>
      <c r="I2628" s="11">
        <v>7764</v>
      </c>
    </row>
    <row r="2629" customHeight="1" spans="8:9">
      <c r="H2629" s="11">
        <v>7765</v>
      </c>
      <c r="I2629" s="11">
        <v>7765</v>
      </c>
    </row>
    <row r="2630" customHeight="1" spans="8:9">
      <c r="H2630" s="11">
        <v>7766</v>
      </c>
      <c r="I2630" s="11">
        <v>7766</v>
      </c>
    </row>
    <row r="2631" customHeight="1" spans="8:9">
      <c r="H2631" s="11">
        <v>7767</v>
      </c>
      <c r="I2631" s="11">
        <v>7767</v>
      </c>
    </row>
    <row r="2632" customHeight="1" spans="8:9">
      <c r="H2632" s="11">
        <v>7768</v>
      </c>
      <c r="I2632" s="11">
        <v>7768</v>
      </c>
    </row>
    <row r="2633" customHeight="1" spans="8:9">
      <c r="H2633" s="11">
        <v>7769</v>
      </c>
      <c r="I2633" s="11">
        <v>7769</v>
      </c>
    </row>
    <row r="2634" customHeight="1" spans="8:9">
      <c r="H2634" s="11">
        <v>7770</v>
      </c>
      <c r="I2634" s="11">
        <v>7770</v>
      </c>
    </row>
    <row r="2635" customHeight="1" spans="8:9">
      <c r="H2635" s="11">
        <v>7771</v>
      </c>
      <c r="I2635" s="11">
        <v>7771</v>
      </c>
    </row>
    <row r="2636" customHeight="1" spans="8:9">
      <c r="H2636" s="11">
        <v>7772</v>
      </c>
      <c r="I2636" s="11">
        <v>7772</v>
      </c>
    </row>
    <row r="2637" customHeight="1" spans="8:9">
      <c r="H2637" s="11">
        <v>7773</v>
      </c>
      <c r="I2637" s="11">
        <v>7773</v>
      </c>
    </row>
    <row r="2638" customHeight="1" spans="8:9">
      <c r="H2638" s="11">
        <v>7774</v>
      </c>
      <c r="I2638" s="11">
        <v>7774</v>
      </c>
    </row>
    <row r="2639" customHeight="1" spans="8:9">
      <c r="H2639" s="11">
        <v>7775</v>
      </c>
      <c r="I2639" s="11">
        <v>7775</v>
      </c>
    </row>
    <row r="2640" customHeight="1" spans="8:9">
      <c r="H2640" s="11">
        <v>7776</v>
      </c>
      <c r="I2640" s="11">
        <v>7776</v>
      </c>
    </row>
    <row r="2641" customHeight="1" spans="8:9">
      <c r="H2641" s="11">
        <v>7777</v>
      </c>
      <c r="I2641" s="11">
        <v>7777</v>
      </c>
    </row>
    <row r="2642" customHeight="1" spans="8:9">
      <c r="H2642" s="11">
        <v>7778</v>
      </c>
      <c r="I2642" s="11">
        <v>7778</v>
      </c>
    </row>
    <row r="2643" customHeight="1" spans="8:9">
      <c r="H2643" s="11">
        <v>7779</v>
      </c>
      <c r="I2643" s="11">
        <v>7779</v>
      </c>
    </row>
    <row r="2644" customHeight="1" spans="8:9">
      <c r="H2644" s="11">
        <v>7780</v>
      </c>
      <c r="I2644" s="11">
        <v>7780</v>
      </c>
    </row>
    <row r="2645" customHeight="1" spans="8:9">
      <c r="H2645" s="11">
        <v>7781</v>
      </c>
      <c r="I2645" s="11">
        <v>7781</v>
      </c>
    </row>
    <row r="2646" customHeight="1" spans="8:9">
      <c r="H2646" s="11">
        <v>7782</v>
      </c>
      <c r="I2646" s="11">
        <v>7782</v>
      </c>
    </row>
    <row r="2647" customHeight="1" spans="8:9">
      <c r="H2647" s="11">
        <v>7783</v>
      </c>
      <c r="I2647" s="11">
        <v>7783</v>
      </c>
    </row>
    <row r="2648" customHeight="1" spans="8:9">
      <c r="H2648" s="11">
        <v>7784</v>
      </c>
      <c r="I2648" s="11">
        <v>7784</v>
      </c>
    </row>
    <row r="2649" customHeight="1" spans="8:9">
      <c r="H2649" s="11">
        <v>7785</v>
      </c>
      <c r="I2649" s="11">
        <v>7785</v>
      </c>
    </row>
    <row r="2650" customHeight="1" spans="8:9">
      <c r="H2650" s="11">
        <v>7786</v>
      </c>
      <c r="I2650" s="11">
        <v>7786</v>
      </c>
    </row>
    <row r="2651" customHeight="1" spans="8:9">
      <c r="H2651" s="11">
        <v>7787</v>
      </c>
      <c r="I2651" s="11">
        <v>7787</v>
      </c>
    </row>
    <row r="2652" customHeight="1" spans="8:9">
      <c r="H2652" s="11">
        <v>7788</v>
      </c>
      <c r="I2652" s="11">
        <v>7788</v>
      </c>
    </row>
    <row r="2653" customHeight="1" spans="8:9">
      <c r="H2653" s="11">
        <v>7789</v>
      </c>
      <c r="I2653" s="11">
        <v>7789</v>
      </c>
    </row>
    <row r="2654" customHeight="1" spans="8:9">
      <c r="H2654" s="11">
        <v>7790</v>
      </c>
      <c r="I2654" s="11">
        <v>7790</v>
      </c>
    </row>
    <row r="2655" customHeight="1" spans="8:9">
      <c r="H2655" s="11">
        <v>7791</v>
      </c>
      <c r="I2655" s="11">
        <v>7791</v>
      </c>
    </row>
    <row r="2656" customHeight="1" spans="8:9">
      <c r="H2656" s="11">
        <v>7792</v>
      </c>
      <c r="I2656" s="11">
        <v>7792</v>
      </c>
    </row>
    <row r="2657" customHeight="1" spans="8:9">
      <c r="H2657" s="11">
        <v>7793</v>
      </c>
      <c r="I2657" s="11">
        <v>7793</v>
      </c>
    </row>
    <row r="2658" customHeight="1" spans="8:9">
      <c r="H2658" s="11">
        <v>7794</v>
      </c>
      <c r="I2658" s="11">
        <v>7794</v>
      </c>
    </row>
    <row r="2659" customHeight="1" spans="8:9">
      <c r="H2659" s="11">
        <v>7795</v>
      </c>
      <c r="I2659" s="11">
        <v>7795</v>
      </c>
    </row>
    <row r="2660" customHeight="1" spans="8:9">
      <c r="H2660" s="11">
        <v>7796</v>
      </c>
      <c r="I2660" s="11">
        <v>7796</v>
      </c>
    </row>
    <row r="2661" customHeight="1" spans="8:9">
      <c r="H2661" s="11">
        <v>7797</v>
      </c>
      <c r="I2661" s="11">
        <v>7797</v>
      </c>
    </row>
    <row r="2662" customHeight="1" spans="8:9">
      <c r="H2662" s="11">
        <v>7798</v>
      </c>
      <c r="I2662" s="11">
        <v>7798</v>
      </c>
    </row>
    <row r="2663" customHeight="1" spans="8:9">
      <c r="H2663" s="11">
        <v>7799</v>
      </c>
      <c r="I2663" s="11">
        <v>7799</v>
      </c>
    </row>
    <row r="2664" customHeight="1" spans="8:9">
      <c r="H2664" s="11">
        <v>6215</v>
      </c>
      <c r="I2664" s="11">
        <v>6215</v>
      </c>
    </row>
    <row r="2665" customHeight="1" spans="8:9">
      <c r="H2665" s="11">
        <v>6216</v>
      </c>
      <c r="I2665" s="11">
        <v>6216</v>
      </c>
    </row>
    <row r="2666" customHeight="1" spans="8:9">
      <c r="H2666" s="11">
        <v>6217</v>
      </c>
      <c r="I2666" s="11">
        <v>6217</v>
      </c>
    </row>
    <row r="2667" customHeight="1" spans="8:9">
      <c r="H2667" s="11">
        <v>6218</v>
      </c>
      <c r="I2667" s="11">
        <v>6218</v>
      </c>
    </row>
    <row r="2668" customHeight="1" spans="8:9">
      <c r="H2668" s="11">
        <v>6219</v>
      </c>
      <c r="I2668" s="11">
        <v>6219</v>
      </c>
    </row>
    <row r="2669" customHeight="1" spans="8:9">
      <c r="H2669" s="11">
        <v>6220</v>
      </c>
      <c r="I2669" s="11">
        <v>6220</v>
      </c>
    </row>
    <row r="2670" customHeight="1" spans="8:9">
      <c r="H2670" s="11">
        <v>6221</v>
      </c>
      <c r="I2670" s="11">
        <v>6221</v>
      </c>
    </row>
    <row r="2671" customHeight="1" spans="8:9">
      <c r="H2671" s="11">
        <v>6222</v>
      </c>
      <c r="I2671" s="11">
        <v>6222</v>
      </c>
    </row>
    <row r="2672" customHeight="1" spans="8:9">
      <c r="H2672" s="11">
        <v>6223</v>
      </c>
      <c r="I2672" s="11">
        <v>6223</v>
      </c>
    </row>
    <row r="2673" customHeight="1" spans="8:9">
      <c r="H2673" s="11">
        <v>6224</v>
      </c>
      <c r="I2673" s="11">
        <v>6224</v>
      </c>
    </row>
    <row r="2674" customHeight="1" spans="8:9">
      <c r="H2674" s="11">
        <v>6225</v>
      </c>
      <c r="I2674" s="11">
        <v>6225</v>
      </c>
    </row>
    <row r="2675" customHeight="1" spans="8:9">
      <c r="H2675" s="11">
        <v>6226</v>
      </c>
      <c r="I2675" s="11">
        <v>6226</v>
      </c>
    </row>
    <row r="2676" customHeight="1" spans="8:9">
      <c r="H2676" s="11">
        <v>6227</v>
      </c>
      <c r="I2676" s="11">
        <v>6227</v>
      </c>
    </row>
    <row r="2677" customHeight="1" spans="8:9">
      <c r="H2677" s="11">
        <v>6228</v>
      </c>
      <c r="I2677" s="11">
        <v>6228</v>
      </c>
    </row>
    <row r="2678" customHeight="1" spans="8:9">
      <c r="H2678" s="11">
        <v>6229</v>
      </c>
      <c r="I2678" s="11">
        <v>6229</v>
      </c>
    </row>
    <row r="2679" customHeight="1" spans="8:9">
      <c r="H2679" s="11">
        <v>6230</v>
      </c>
      <c r="I2679" s="11">
        <v>6230</v>
      </c>
    </row>
    <row r="2680" customHeight="1" spans="8:9">
      <c r="H2680" s="11">
        <v>6231</v>
      </c>
      <c r="I2680" s="11">
        <v>6231</v>
      </c>
    </row>
    <row r="2681" customHeight="1" spans="8:9">
      <c r="H2681" s="11">
        <v>6232</v>
      </c>
      <c r="I2681" s="11">
        <v>6232</v>
      </c>
    </row>
    <row r="2682" customHeight="1" spans="8:9">
      <c r="H2682" s="11">
        <v>6233</v>
      </c>
      <c r="I2682" s="11">
        <v>6233</v>
      </c>
    </row>
    <row r="2683" customHeight="1" spans="8:9">
      <c r="H2683" s="11">
        <v>6234</v>
      </c>
      <c r="I2683" s="11">
        <v>6234</v>
      </c>
    </row>
    <row r="2684" customHeight="1" spans="8:9">
      <c r="H2684" s="11">
        <v>6235</v>
      </c>
      <c r="I2684" s="11">
        <v>6235</v>
      </c>
    </row>
    <row r="2685" customHeight="1" spans="8:9">
      <c r="H2685" s="11">
        <v>6236</v>
      </c>
      <c r="I2685" s="11">
        <v>6236</v>
      </c>
    </row>
    <row r="2686" customHeight="1" spans="8:9">
      <c r="H2686" s="11">
        <v>6237</v>
      </c>
      <c r="I2686" s="11">
        <v>6237</v>
      </c>
    </row>
    <row r="2687" customHeight="1" spans="8:9">
      <c r="H2687" s="11">
        <v>6238</v>
      </c>
      <c r="I2687" s="11">
        <v>6238</v>
      </c>
    </row>
    <row r="2688" customHeight="1" spans="8:9">
      <c r="H2688" s="11">
        <v>6239</v>
      </c>
      <c r="I2688" s="11">
        <v>6239</v>
      </c>
    </row>
    <row r="2689" customHeight="1" spans="8:9">
      <c r="H2689" s="11">
        <v>6240</v>
      </c>
      <c r="I2689" s="11">
        <v>6240</v>
      </c>
    </row>
    <row r="2690" customHeight="1" spans="8:9">
      <c r="H2690" s="11">
        <v>6241</v>
      </c>
      <c r="I2690" s="11">
        <v>6241</v>
      </c>
    </row>
    <row r="2691" customHeight="1" spans="8:9">
      <c r="H2691" s="11">
        <v>6242</v>
      </c>
      <c r="I2691" s="11">
        <v>6242</v>
      </c>
    </row>
    <row r="2692" customHeight="1" spans="8:9">
      <c r="H2692" s="11">
        <v>6243</v>
      </c>
      <c r="I2692" s="11">
        <v>6243</v>
      </c>
    </row>
    <row r="2693" customHeight="1" spans="8:9">
      <c r="H2693" s="11">
        <v>6244</v>
      </c>
      <c r="I2693" s="11">
        <v>6244</v>
      </c>
    </row>
    <row r="2694" customHeight="1" spans="8:9">
      <c r="H2694" s="11">
        <v>6245</v>
      </c>
      <c r="I2694" s="11">
        <v>6245</v>
      </c>
    </row>
    <row r="2695" customHeight="1" spans="8:9">
      <c r="H2695" s="11">
        <v>6246</v>
      </c>
      <c r="I2695" s="11">
        <v>6246</v>
      </c>
    </row>
    <row r="2696" customHeight="1" spans="8:9">
      <c r="H2696" s="11">
        <v>6247</v>
      </c>
      <c r="I2696" s="11">
        <v>6247</v>
      </c>
    </row>
    <row r="2697" customHeight="1" spans="8:9">
      <c r="H2697" s="11">
        <v>6248</v>
      </c>
      <c r="I2697" s="11">
        <v>6248</v>
      </c>
    </row>
    <row r="2698" customHeight="1" spans="8:9">
      <c r="H2698" s="11">
        <v>6249</v>
      </c>
      <c r="I2698" s="11">
        <v>6249</v>
      </c>
    </row>
    <row r="2699" customHeight="1" spans="8:9">
      <c r="H2699" s="11">
        <v>6250</v>
      </c>
      <c r="I2699" s="11">
        <v>6250</v>
      </c>
    </row>
    <row r="2700" customHeight="1" spans="8:9">
      <c r="H2700" s="11">
        <v>6251</v>
      </c>
      <c r="I2700" s="11">
        <v>6251</v>
      </c>
    </row>
    <row r="2701" customHeight="1" spans="8:9">
      <c r="H2701" s="11">
        <v>6252</v>
      </c>
      <c r="I2701" s="11">
        <v>6252</v>
      </c>
    </row>
    <row r="2702" customHeight="1" spans="8:9">
      <c r="H2702" s="11">
        <v>6253</v>
      </c>
      <c r="I2702" s="11">
        <v>6253</v>
      </c>
    </row>
    <row r="2703" customHeight="1" spans="8:9">
      <c r="H2703" s="11">
        <v>6254</v>
      </c>
      <c r="I2703" s="11">
        <v>6254</v>
      </c>
    </row>
    <row r="2704" customHeight="1" spans="8:9">
      <c r="H2704" s="11">
        <v>6255</v>
      </c>
      <c r="I2704" s="11">
        <v>6255</v>
      </c>
    </row>
    <row r="2705" customHeight="1" spans="8:9">
      <c r="H2705" s="11">
        <v>6256</v>
      </c>
      <c r="I2705" s="11">
        <v>6256</v>
      </c>
    </row>
    <row r="2706" customHeight="1" spans="8:9">
      <c r="H2706" s="11">
        <v>6257</v>
      </c>
      <c r="I2706" s="11">
        <v>6257</v>
      </c>
    </row>
    <row r="2707" customHeight="1" spans="8:9">
      <c r="H2707" s="11">
        <v>6258</v>
      </c>
      <c r="I2707" s="11">
        <v>6258</v>
      </c>
    </row>
    <row r="2708" customHeight="1" spans="8:9">
      <c r="H2708" s="11">
        <v>6259</v>
      </c>
      <c r="I2708" s="11">
        <v>6259</v>
      </c>
    </row>
    <row r="2709" customHeight="1" spans="8:9">
      <c r="H2709" s="11">
        <v>6260</v>
      </c>
      <c r="I2709" s="11">
        <v>6260</v>
      </c>
    </row>
    <row r="2710" customHeight="1" spans="8:9">
      <c r="H2710" s="11">
        <v>6261</v>
      </c>
      <c r="I2710" s="11">
        <v>6261</v>
      </c>
    </row>
    <row r="2711" customHeight="1" spans="8:9">
      <c r="H2711" s="11">
        <v>6262</v>
      </c>
      <c r="I2711" s="11">
        <v>6262</v>
      </c>
    </row>
    <row r="2712" customHeight="1" spans="8:9">
      <c r="H2712" s="11">
        <v>6263</v>
      </c>
      <c r="I2712" s="11">
        <v>6263</v>
      </c>
    </row>
    <row r="2713" customHeight="1" spans="8:9">
      <c r="H2713" s="11">
        <v>6264</v>
      </c>
      <c r="I2713" s="11">
        <v>6264</v>
      </c>
    </row>
    <row r="2714" customHeight="1" spans="8:9">
      <c r="H2714" s="11">
        <v>6265</v>
      </c>
      <c r="I2714" s="11">
        <v>6265</v>
      </c>
    </row>
    <row r="2715" customHeight="1" spans="8:9">
      <c r="H2715" s="11">
        <v>6266</v>
      </c>
      <c r="I2715" s="11">
        <v>6266</v>
      </c>
    </row>
    <row r="2716" customHeight="1" spans="8:9">
      <c r="H2716" s="11">
        <v>6267</v>
      </c>
      <c r="I2716" s="11">
        <v>6267</v>
      </c>
    </row>
    <row r="2717" customHeight="1" spans="8:9">
      <c r="H2717" s="11">
        <v>6268</v>
      </c>
      <c r="I2717" s="11">
        <v>6268</v>
      </c>
    </row>
    <row r="2718" customHeight="1" spans="8:9">
      <c r="H2718" s="11">
        <v>6269</v>
      </c>
      <c r="I2718" s="11">
        <v>6269</v>
      </c>
    </row>
    <row r="2719" customHeight="1" spans="8:9">
      <c r="H2719" s="11">
        <v>6270</v>
      </c>
      <c r="I2719" s="11">
        <v>6270</v>
      </c>
    </row>
    <row r="2720" customHeight="1" spans="8:9">
      <c r="H2720" s="11">
        <v>6271</v>
      </c>
      <c r="I2720" s="11">
        <v>6271</v>
      </c>
    </row>
    <row r="2721" customHeight="1" spans="8:9">
      <c r="H2721" s="11">
        <v>6272</v>
      </c>
      <c r="I2721" s="11">
        <v>6272</v>
      </c>
    </row>
    <row r="2722" customHeight="1" spans="8:9">
      <c r="H2722" s="11">
        <v>6273</v>
      </c>
      <c r="I2722" s="11">
        <v>6273</v>
      </c>
    </row>
    <row r="2723" customHeight="1" spans="8:9">
      <c r="H2723" s="11">
        <v>6274</v>
      </c>
      <c r="I2723" s="11">
        <v>6274</v>
      </c>
    </row>
    <row r="2724" customHeight="1" spans="8:9">
      <c r="H2724" s="11">
        <v>6275</v>
      </c>
      <c r="I2724" s="11">
        <v>6275</v>
      </c>
    </row>
    <row r="2725" customHeight="1" spans="8:9">
      <c r="H2725" s="11">
        <v>6276</v>
      </c>
      <c r="I2725" s="11">
        <v>6276</v>
      </c>
    </row>
    <row r="2726" customHeight="1" spans="8:9">
      <c r="H2726" s="11">
        <v>6277</v>
      </c>
      <c r="I2726" s="11">
        <v>6277</v>
      </c>
    </row>
    <row r="2727" customHeight="1" spans="8:9">
      <c r="H2727" s="11">
        <v>6278</v>
      </c>
      <c r="I2727" s="11">
        <v>6278</v>
      </c>
    </row>
    <row r="2728" customHeight="1" spans="8:9">
      <c r="H2728" s="11">
        <v>6279</v>
      </c>
      <c r="I2728" s="11">
        <v>6279</v>
      </c>
    </row>
    <row r="2729" customHeight="1" spans="8:9">
      <c r="H2729" s="11">
        <v>6280</v>
      </c>
      <c r="I2729" s="11">
        <v>6280</v>
      </c>
    </row>
    <row r="2730" customHeight="1" spans="8:9">
      <c r="H2730" s="11">
        <v>6281</v>
      </c>
      <c r="I2730" s="11">
        <v>6281</v>
      </c>
    </row>
    <row r="2731" customHeight="1" spans="8:9">
      <c r="H2731" s="11">
        <v>6282</v>
      </c>
      <c r="I2731" s="11">
        <v>6282</v>
      </c>
    </row>
    <row r="2732" customHeight="1" spans="8:9">
      <c r="H2732" s="11">
        <v>6283</v>
      </c>
      <c r="I2732" s="11">
        <v>6283</v>
      </c>
    </row>
    <row r="2733" customHeight="1" spans="8:9">
      <c r="H2733" s="11">
        <v>6284</v>
      </c>
      <c r="I2733" s="11">
        <v>6284</v>
      </c>
    </row>
    <row r="2734" customHeight="1" spans="8:9">
      <c r="H2734" s="11">
        <v>6285</v>
      </c>
      <c r="I2734" s="11">
        <v>6285</v>
      </c>
    </row>
    <row r="2735" customHeight="1" spans="8:9">
      <c r="H2735" s="11">
        <v>6286</v>
      </c>
      <c r="I2735" s="11">
        <v>6286</v>
      </c>
    </row>
    <row r="2736" customHeight="1" spans="8:9">
      <c r="H2736" s="11">
        <v>6287</v>
      </c>
      <c r="I2736" s="11">
        <v>6287</v>
      </c>
    </row>
    <row r="2737" customHeight="1" spans="8:9">
      <c r="H2737" s="11">
        <v>6288</v>
      </c>
      <c r="I2737" s="11">
        <v>6288</v>
      </c>
    </row>
    <row r="2738" customHeight="1" spans="8:9">
      <c r="H2738" s="11">
        <v>6289</v>
      </c>
      <c r="I2738" s="11">
        <v>6289</v>
      </c>
    </row>
    <row r="2739" customHeight="1" spans="8:9">
      <c r="H2739" s="11">
        <v>6290</v>
      </c>
      <c r="I2739" s="11">
        <v>6290</v>
      </c>
    </row>
    <row r="2740" customHeight="1" spans="8:9">
      <c r="H2740" s="11">
        <v>6291</v>
      </c>
      <c r="I2740" s="11">
        <v>6291</v>
      </c>
    </row>
    <row r="2741" customHeight="1" spans="8:9">
      <c r="H2741" s="11">
        <v>6292</v>
      </c>
      <c r="I2741" s="11">
        <v>6292</v>
      </c>
    </row>
    <row r="2742" customHeight="1" spans="8:9">
      <c r="H2742" s="11">
        <v>6293</v>
      </c>
      <c r="I2742" s="11">
        <v>6293</v>
      </c>
    </row>
    <row r="2743" customHeight="1" spans="8:9">
      <c r="H2743" s="11">
        <v>6294</v>
      </c>
      <c r="I2743" s="11">
        <v>6294</v>
      </c>
    </row>
    <row r="2744" customHeight="1" spans="8:9">
      <c r="H2744" s="11">
        <v>6295</v>
      </c>
      <c r="I2744" s="11">
        <v>6295</v>
      </c>
    </row>
    <row r="2745" customHeight="1" spans="8:9">
      <c r="H2745" s="11">
        <v>6296</v>
      </c>
      <c r="I2745" s="11">
        <v>6296</v>
      </c>
    </row>
    <row r="2746" customHeight="1" spans="8:9">
      <c r="H2746" s="11">
        <v>6297</v>
      </c>
      <c r="I2746" s="11">
        <v>6297</v>
      </c>
    </row>
    <row r="2747" customHeight="1" spans="8:9">
      <c r="H2747" s="11">
        <v>6298</v>
      </c>
      <c r="I2747" s="11">
        <v>6298</v>
      </c>
    </row>
    <row r="2748" customHeight="1" spans="8:9">
      <c r="H2748" s="11">
        <v>6299</v>
      </c>
      <c r="I2748" s="11">
        <v>6299</v>
      </c>
    </row>
    <row r="2749" customHeight="1" spans="8:9">
      <c r="H2749" s="11">
        <v>6300</v>
      </c>
      <c r="I2749" s="11">
        <v>6300</v>
      </c>
    </row>
    <row r="2750" customHeight="1" spans="8:9">
      <c r="H2750" s="11">
        <v>6301</v>
      </c>
      <c r="I2750" s="11">
        <v>6301</v>
      </c>
    </row>
    <row r="2751" customHeight="1" spans="8:9">
      <c r="H2751" s="11">
        <v>6302</v>
      </c>
      <c r="I2751" s="11">
        <v>6302</v>
      </c>
    </row>
    <row r="2752" customHeight="1" spans="8:9">
      <c r="H2752" s="11">
        <v>6303</v>
      </c>
      <c r="I2752" s="11">
        <v>6303</v>
      </c>
    </row>
    <row r="2753" customHeight="1" spans="8:9">
      <c r="H2753" s="11">
        <v>6304</v>
      </c>
      <c r="I2753" s="11">
        <v>6304</v>
      </c>
    </row>
    <row r="2754" customHeight="1" spans="8:9">
      <c r="H2754" s="11">
        <v>6305</v>
      </c>
      <c r="I2754" s="11">
        <v>6305</v>
      </c>
    </row>
    <row r="2755" customHeight="1" spans="8:9">
      <c r="H2755" s="11">
        <v>6306</v>
      </c>
      <c r="I2755" s="11">
        <v>6306</v>
      </c>
    </row>
    <row r="2756" customHeight="1" spans="8:9">
      <c r="H2756" s="11">
        <v>6307</v>
      </c>
      <c r="I2756" s="11">
        <v>6307</v>
      </c>
    </row>
    <row r="2757" customHeight="1" spans="8:9">
      <c r="H2757" s="11">
        <v>6308</v>
      </c>
      <c r="I2757" s="11">
        <v>6308</v>
      </c>
    </row>
    <row r="2758" customHeight="1" spans="8:9">
      <c r="H2758" s="11">
        <v>6309</v>
      </c>
      <c r="I2758" s="11">
        <v>6309</v>
      </c>
    </row>
    <row r="2759" customHeight="1" spans="8:9">
      <c r="H2759" s="11">
        <v>6310</v>
      </c>
      <c r="I2759" s="11">
        <v>6310</v>
      </c>
    </row>
    <row r="2760" customHeight="1" spans="8:9">
      <c r="H2760" s="11">
        <v>6311</v>
      </c>
      <c r="I2760" s="11">
        <v>6311</v>
      </c>
    </row>
    <row r="2761" customHeight="1" spans="8:9">
      <c r="H2761" s="11">
        <v>6312</v>
      </c>
      <c r="I2761" s="11">
        <v>6312</v>
      </c>
    </row>
    <row r="2762" customHeight="1" spans="8:9">
      <c r="H2762" s="11">
        <v>6313</v>
      </c>
      <c r="I2762" s="11">
        <v>6313</v>
      </c>
    </row>
    <row r="2763" customHeight="1" spans="8:9">
      <c r="H2763" s="11">
        <v>6314</v>
      </c>
      <c r="I2763" s="11">
        <v>6314</v>
      </c>
    </row>
    <row r="2764" customHeight="1" spans="8:9">
      <c r="H2764" s="11">
        <v>6315</v>
      </c>
      <c r="I2764" s="11">
        <v>6315</v>
      </c>
    </row>
    <row r="2765" customHeight="1" spans="8:9">
      <c r="H2765" s="11">
        <v>6316</v>
      </c>
      <c r="I2765" s="11">
        <v>6316</v>
      </c>
    </row>
    <row r="2766" customHeight="1" spans="8:9">
      <c r="H2766" s="11">
        <v>6317</v>
      </c>
      <c r="I2766" s="11">
        <v>6317</v>
      </c>
    </row>
    <row r="2767" customHeight="1" spans="8:9">
      <c r="H2767" s="11">
        <v>6318</v>
      </c>
      <c r="I2767" s="11">
        <v>6318</v>
      </c>
    </row>
    <row r="2768" customHeight="1" spans="8:9">
      <c r="H2768" s="11">
        <v>6319</v>
      </c>
      <c r="I2768" s="11">
        <v>6319</v>
      </c>
    </row>
    <row r="2769" customHeight="1" spans="8:9">
      <c r="H2769" s="11">
        <v>6320</v>
      </c>
      <c r="I2769" s="11">
        <v>6320</v>
      </c>
    </row>
    <row r="2770" customHeight="1" spans="8:9">
      <c r="H2770" s="11">
        <v>6321</v>
      </c>
      <c r="I2770" s="11">
        <v>6321</v>
      </c>
    </row>
    <row r="2771" customHeight="1" spans="8:9">
      <c r="H2771" s="11">
        <v>6322</v>
      </c>
      <c r="I2771" s="11">
        <v>6322</v>
      </c>
    </row>
    <row r="2772" customHeight="1" spans="8:9">
      <c r="H2772" s="11">
        <v>6323</v>
      </c>
      <c r="I2772" s="11">
        <v>6323</v>
      </c>
    </row>
    <row r="2773" customHeight="1" spans="8:9">
      <c r="H2773" s="11">
        <v>6324</v>
      </c>
      <c r="I2773" s="11">
        <v>6324</v>
      </c>
    </row>
    <row r="2774" customHeight="1" spans="8:9">
      <c r="H2774" s="11">
        <v>6325</v>
      </c>
      <c r="I2774" s="11">
        <v>6325</v>
      </c>
    </row>
    <row r="2775" customHeight="1" spans="8:9">
      <c r="H2775" s="11">
        <v>6326</v>
      </c>
      <c r="I2775" s="11">
        <v>6326</v>
      </c>
    </row>
    <row r="2776" customHeight="1" spans="8:9">
      <c r="H2776" s="11">
        <v>6327</v>
      </c>
      <c r="I2776" s="11">
        <v>6327</v>
      </c>
    </row>
    <row r="2777" customHeight="1" spans="8:9">
      <c r="H2777" s="11">
        <v>6328</v>
      </c>
      <c r="I2777" s="11">
        <v>6328</v>
      </c>
    </row>
    <row r="2778" customHeight="1" spans="8:9">
      <c r="H2778" s="11">
        <v>6329</v>
      </c>
      <c r="I2778" s="11">
        <v>6329</v>
      </c>
    </row>
    <row r="2779" customHeight="1" spans="8:9">
      <c r="H2779" s="11">
        <v>6330</v>
      </c>
      <c r="I2779" s="11">
        <v>6330</v>
      </c>
    </row>
    <row r="2780" customHeight="1" spans="8:9">
      <c r="H2780" s="11">
        <v>6331</v>
      </c>
      <c r="I2780" s="11">
        <v>6331</v>
      </c>
    </row>
    <row r="2781" customHeight="1" spans="8:9">
      <c r="H2781" s="11">
        <v>6332</v>
      </c>
      <c r="I2781" s="11">
        <v>6332</v>
      </c>
    </row>
    <row r="2782" customHeight="1" spans="8:9">
      <c r="H2782" s="11">
        <v>6333</v>
      </c>
      <c r="I2782" s="11">
        <v>6333</v>
      </c>
    </row>
    <row r="2783" customHeight="1" spans="8:9">
      <c r="H2783" s="11">
        <v>6334</v>
      </c>
      <c r="I2783" s="11">
        <v>6334</v>
      </c>
    </row>
    <row r="2784" customHeight="1" spans="8:9">
      <c r="H2784" s="11">
        <v>6335</v>
      </c>
      <c r="I2784" s="11">
        <v>6335</v>
      </c>
    </row>
    <row r="2785" customHeight="1" spans="8:9">
      <c r="H2785" s="11">
        <v>6336</v>
      </c>
      <c r="I2785" s="11">
        <v>6336</v>
      </c>
    </row>
    <row r="2786" customHeight="1" spans="8:9">
      <c r="H2786" s="11">
        <v>6337</v>
      </c>
      <c r="I2786" s="11">
        <v>6337</v>
      </c>
    </row>
    <row r="2787" customHeight="1" spans="8:9">
      <c r="H2787" s="11">
        <v>6338</v>
      </c>
      <c r="I2787" s="11">
        <v>6338</v>
      </c>
    </row>
    <row r="2788" customHeight="1" spans="8:9">
      <c r="H2788" s="11">
        <v>6339</v>
      </c>
      <c r="I2788" s="11">
        <v>6339</v>
      </c>
    </row>
    <row r="2789" customHeight="1" spans="8:9">
      <c r="H2789" s="11">
        <v>6340</v>
      </c>
      <c r="I2789" s="11">
        <v>6340</v>
      </c>
    </row>
    <row r="2790" customHeight="1" spans="8:9">
      <c r="H2790" s="11">
        <v>6341</v>
      </c>
      <c r="I2790" s="11">
        <v>6341</v>
      </c>
    </row>
    <row r="2791" customHeight="1" spans="8:9">
      <c r="H2791" s="11">
        <v>6342</v>
      </c>
      <c r="I2791" s="11">
        <v>6342</v>
      </c>
    </row>
    <row r="2792" customHeight="1" spans="8:9">
      <c r="H2792" s="11">
        <v>6343</v>
      </c>
      <c r="I2792" s="11">
        <v>6343</v>
      </c>
    </row>
    <row r="2793" customHeight="1" spans="8:9">
      <c r="H2793" s="11">
        <v>6344</v>
      </c>
      <c r="I2793" s="11">
        <v>6344</v>
      </c>
    </row>
    <row r="2794" customHeight="1" spans="8:9">
      <c r="H2794" s="11">
        <v>6345</v>
      </c>
      <c r="I2794" s="11">
        <v>6345</v>
      </c>
    </row>
    <row r="2795" customHeight="1" spans="8:9">
      <c r="H2795" s="11">
        <v>6346</v>
      </c>
      <c r="I2795" s="11">
        <v>6346</v>
      </c>
    </row>
    <row r="2796" customHeight="1" spans="8:9">
      <c r="H2796" s="11">
        <v>6347</v>
      </c>
      <c r="I2796" s="11">
        <v>6347</v>
      </c>
    </row>
    <row r="2797" customHeight="1" spans="8:9">
      <c r="H2797" s="11">
        <v>6348</v>
      </c>
      <c r="I2797" s="11">
        <v>6348</v>
      </c>
    </row>
    <row r="2798" customHeight="1" spans="8:9">
      <c r="H2798" s="11">
        <v>6349</v>
      </c>
      <c r="I2798" s="11">
        <v>6349</v>
      </c>
    </row>
    <row r="2799" customHeight="1" spans="8:9">
      <c r="H2799" s="11">
        <v>6350</v>
      </c>
      <c r="I2799" s="11">
        <v>6350</v>
      </c>
    </row>
    <row r="2800" customHeight="1" spans="8:9">
      <c r="H2800" s="11">
        <v>6351</v>
      </c>
      <c r="I2800" s="11">
        <v>6351</v>
      </c>
    </row>
    <row r="2801" customHeight="1" spans="8:9">
      <c r="H2801" s="11">
        <v>6352</v>
      </c>
      <c r="I2801" s="11">
        <v>6352</v>
      </c>
    </row>
    <row r="2802" customHeight="1" spans="8:9">
      <c r="H2802" s="11">
        <v>6353</v>
      </c>
      <c r="I2802" s="11">
        <v>6353</v>
      </c>
    </row>
    <row r="2803" customHeight="1" spans="8:9">
      <c r="H2803" s="11">
        <v>6354</v>
      </c>
      <c r="I2803" s="11">
        <v>6354</v>
      </c>
    </row>
    <row r="2804" customHeight="1" spans="8:9">
      <c r="H2804" s="11">
        <v>6355</v>
      </c>
      <c r="I2804" s="11">
        <v>6355</v>
      </c>
    </row>
    <row r="2805" customHeight="1" spans="8:9">
      <c r="H2805" s="11">
        <v>6356</v>
      </c>
      <c r="I2805" s="11">
        <v>6356</v>
      </c>
    </row>
    <row r="2806" customHeight="1" spans="8:9">
      <c r="H2806" s="11">
        <v>6357</v>
      </c>
      <c r="I2806" s="11">
        <v>6357</v>
      </c>
    </row>
    <row r="2807" customHeight="1" spans="8:9">
      <c r="H2807" s="11">
        <v>6358</v>
      </c>
      <c r="I2807" s="11">
        <v>6358</v>
      </c>
    </row>
    <row r="2808" customHeight="1" spans="8:9">
      <c r="H2808" s="11">
        <v>6359</v>
      </c>
      <c r="I2808" s="11">
        <v>6359</v>
      </c>
    </row>
    <row r="2809" customHeight="1" spans="8:9">
      <c r="H2809" s="11">
        <v>6360</v>
      </c>
      <c r="I2809" s="11">
        <v>6360</v>
      </c>
    </row>
    <row r="2810" customHeight="1" spans="8:9">
      <c r="H2810" s="11">
        <v>6361</v>
      </c>
      <c r="I2810" s="11">
        <v>6361</v>
      </c>
    </row>
    <row r="2811" customHeight="1" spans="8:9">
      <c r="H2811" s="11">
        <v>6362</v>
      </c>
      <c r="I2811" s="11">
        <v>6362</v>
      </c>
    </row>
    <row r="2812" customHeight="1" spans="8:9">
      <c r="H2812" s="11">
        <v>6363</v>
      </c>
      <c r="I2812" s="11">
        <v>6363</v>
      </c>
    </row>
    <row r="2813" customHeight="1" spans="8:9">
      <c r="H2813" s="11">
        <v>6364</v>
      </c>
      <c r="I2813" s="11">
        <v>6364</v>
      </c>
    </row>
    <row r="2814" customHeight="1" spans="8:9">
      <c r="H2814" s="11">
        <v>6365</v>
      </c>
      <c r="I2814" s="11">
        <v>6365</v>
      </c>
    </row>
    <row r="2815" customHeight="1" spans="8:9">
      <c r="H2815" s="11">
        <v>6366</v>
      </c>
      <c r="I2815" s="11">
        <v>6366</v>
      </c>
    </row>
    <row r="2816" customHeight="1" spans="8:9">
      <c r="H2816" s="11">
        <v>6367</v>
      </c>
      <c r="I2816" s="11">
        <v>6367</v>
      </c>
    </row>
    <row r="2817" customHeight="1" spans="8:9">
      <c r="H2817" s="11">
        <v>6368</v>
      </c>
      <c r="I2817" s="11">
        <v>6368</v>
      </c>
    </row>
    <row r="2818" customHeight="1" spans="8:9">
      <c r="H2818" s="11">
        <v>6369</v>
      </c>
      <c r="I2818" s="11">
        <v>6369</v>
      </c>
    </row>
    <row r="2819" customHeight="1" spans="8:9">
      <c r="H2819" s="11">
        <v>6370</v>
      </c>
      <c r="I2819" s="11">
        <v>6370</v>
      </c>
    </row>
    <row r="2820" customHeight="1" spans="8:9">
      <c r="H2820" s="11">
        <v>6371</v>
      </c>
      <c r="I2820" s="11">
        <v>6371</v>
      </c>
    </row>
    <row r="2821" customHeight="1" spans="8:9">
      <c r="H2821" s="11">
        <v>6372</v>
      </c>
      <c r="I2821" s="11">
        <v>6372</v>
      </c>
    </row>
    <row r="2822" customHeight="1" spans="8:9">
      <c r="H2822" s="11">
        <v>6373</v>
      </c>
      <c r="I2822" s="11">
        <v>6373</v>
      </c>
    </row>
    <row r="2823" customHeight="1" spans="8:9">
      <c r="H2823" s="11">
        <v>6374</v>
      </c>
      <c r="I2823" s="11">
        <v>6374</v>
      </c>
    </row>
    <row r="2824" customHeight="1" spans="8:9">
      <c r="H2824" s="11">
        <v>6375</v>
      </c>
      <c r="I2824" s="11">
        <v>6375</v>
      </c>
    </row>
    <row r="2825" customHeight="1" spans="8:9">
      <c r="H2825" s="11">
        <v>6376</v>
      </c>
      <c r="I2825" s="11">
        <v>6376</v>
      </c>
    </row>
    <row r="2826" customHeight="1" spans="8:9">
      <c r="H2826" s="11">
        <v>6377</v>
      </c>
      <c r="I2826" s="11">
        <v>6377</v>
      </c>
    </row>
    <row r="2827" customHeight="1" spans="8:9">
      <c r="H2827" s="11">
        <v>6378</v>
      </c>
      <c r="I2827" s="11">
        <v>6378</v>
      </c>
    </row>
    <row r="2828" customHeight="1" spans="8:9">
      <c r="H2828" s="11">
        <v>6379</v>
      </c>
      <c r="I2828" s="11">
        <v>6379</v>
      </c>
    </row>
    <row r="2829" customHeight="1" spans="8:9">
      <c r="H2829" s="11">
        <v>6380</v>
      </c>
      <c r="I2829" s="11">
        <v>6380</v>
      </c>
    </row>
    <row r="2830" customHeight="1" spans="8:9">
      <c r="H2830" s="11">
        <v>6381</v>
      </c>
      <c r="I2830" s="11">
        <v>6381</v>
      </c>
    </row>
    <row r="2831" customHeight="1" spans="8:9">
      <c r="H2831" s="11">
        <v>6382</v>
      </c>
      <c r="I2831" s="11">
        <v>6382</v>
      </c>
    </row>
    <row r="2832" customHeight="1" spans="8:9">
      <c r="H2832" s="11">
        <v>6383</v>
      </c>
      <c r="I2832" s="11">
        <v>6383</v>
      </c>
    </row>
    <row r="2833" customHeight="1" spans="8:9">
      <c r="H2833" s="11">
        <v>6384</v>
      </c>
      <c r="I2833" s="11">
        <v>6384</v>
      </c>
    </row>
    <row r="2834" customHeight="1" spans="8:9">
      <c r="H2834" s="11">
        <v>6385</v>
      </c>
      <c r="I2834" s="11">
        <v>6385</v>
      </c>
    </row>
    <row r="2835" customHeight="1" spans="8:9">
      <c r="H2835" s="11">
        <v>6386</v>
      </c>
      <c r="I2835" s="11">
        <v>6386</v>
      </c>
    </row>
    <row r="2836" customHeight="1" spans="8:9">
      <c r="H2836" s="11">
        <v>6387</v>
      </c>
      <c r="I2836" s="11">
        <v>6387</v>
      </c>
    </row>
    <row r="2837" customHeight="1" spans="8:9">
      <c r="H2837" s="11">
        <v>6388</v>
      </c>
      <c r="I2837" s="11">
        <v>6388</v>
      </c>
    </row>
    <row r="2838" customHeight="1" spans="8:9">
      <c r="H2838" s="11">
        <v>6389</v>
      </c>
      <c r="I2838" s="11">
        <v>6389</v>
      </c>
    </row>
    <row r="2839" customHeight="1" spans="8:9">
      <c r="H2839" s="11">
        <v>6390</v>
      </c>
      <c r="I2839" s="11">
        <v>6390</v>
      </c>
    </row>
    <row r="2840" customHeight="1" spans="8:9">
      <c r="H2840" s="11">
        <v>6391</v>
      </c>
      <c r="I2840" s="11">
        <v>6391</v>
      </c>
    </row>
    <row r="2841" customHeight="1" spans="8:9">
      <c r="H2841" s="11">
        <v>6392</v>
      </c>
      <c r="I2841" s="11">
        <v>6392</v>
      </c>
    </row>
    <row r="2842" customHeight="1" spans="8:9">
      <c r="H2842" s="11">
        <v>6393</v>
      </c>
      <c r="I2842" s="11">
        <v>6393</v>
      </c>
    </row>
    <row r="2843" customHeight="1" spans="8:9">
      <c r="H2843" s="11">
        <v>6394</v>
      </c>
      <c r="I2843" s="11">
        <v>6394</v>
      </c>
    </row>
    <row r="2844" customHeight="1" spans="8:9">
      <c r="H2844" s="11">
        <v>6395</v>
      </c>
      <c r="I2844" s="11">
        <v>6395</v>
      </c>
    </row>
    <row r="2845" customHeight="1" spans="8:9">
      <c r="H2845" s="11">
        <v>6396</v>
      </c>
      <c r="I2845" s="11">
        <v>6396</v>
      </c>
    </row>
    <row r="2846" customHeight="1" spans="8:9">
      <c r="H2846" s="11">
        <v>6397</v>
      </c>
      <c r="I2846" s="11">
        <v>6397</v>
      </c>
    </row>
    <row r="2847" customHeight="1" spans="8:9">
      <c r="H2847" s="11">
        <v>6398</v>
      </c>
      <c r="I2847" s="11">
        <v>6398</v>
      </c>
    </row>
    <row r="2848" customHeight="1" spans="8:9">
      <c r="H2848" s="11">
        <v>6399</v>
      </c>
      <c r="I2848" s="11">
        <v>6399</v>
      </c>
    </row>
    <row r="2849" customHeight="1" spans="8:9">
      <c r="H2849" s="11">
        <v>6400</v>
      </c>
      <c r="I2849" s="11">
        <v>6400</v>
      </c>
    </row>
    <row r="2850" customHeight="1" spans="8:9">
      <c r="H2850" s="11">
        <v>6401</v>
      </c>
      <c r="I2850" s="11">
        <v>6401</v>
      </c>
    </row>
    <row r="2851" customHeight="1" spans="8:9">
      <c r="H2851" s="11">
        <v>6402</v>
      </c>
      <c r="I2851" s="11">
        <v>6402</v>
      </c>
    </row>
    <row r="2852" customHeight="1" spans="8:9">
      <c r="H2852" s="11">
        <v>6403</v>
      </c>
      <c r="I2852" s="11">
        <v>6403</v>
      </c>
    </row>
    <row r="2853" customHeight="1" spans="8:9">
      <c r="H2853" s="11">
        <v>6404</v>
      </c>
      <c r="I2853" s="11">
        <v>6404</v>
      </c>
    </row>
    <row r="2854" customHeight="1" spans="8:9">
      <c r="H2854" s="11">
        <v>6405</v>
      </c>
      <c r="I2854" s="11">
        <v>6405</v>
      </c>
    </row>
    <row r="2855" customHeight="1" spans="8:9">
      <c r="H2855" s="11">
        <v>6406</v>
      </c>
      <c r="I2855" s="11">
        <v>6406</v>
      </c>
    </row>
    <row r="2856" customHeight="1" spans="8:9">
      <c r="H2856" s="11">
        <v>6407</v>
      </c>
      <c r="I2856" s="11">
        <v>6407</v>
      </c>
    </row>
    <row r="2857" customHeight="1" spans="8:9">
      <c r="H2857" s="11">
        <v>6408</v>
      </c>
      <c r="I2857" s="11">
        <v>6408</v>
      </c>
    </row>
    <row r="2858" customHeight="1" spans="8:9">
      <c r="H2858" s="11">
        <v>6409</v>
      </c>
      <c r="I2858" s="11">
        <v>6409</v>
      </c>
    </row>
    <row r="2859" customHeight="1" spans="8:9">
      <c r="H2859" s="11">
        <v>6410</v>
      </c>
      <c r="I2859" s="11">
        <v>6410</v>
      </c>
    </row>
    <row r="2860" customHeight="1" spans="8:9">
      <c r="H2860" s="11">
        <v>6411</v>
      </c>
      <c r="I2860" s="11">
        <v>6411</v>
      </c>
    </row>
    <row r="2861" customHeight="1" spans="8:9">
      <c r="H2861" s="11">
        <v>6412</v>
      </c>
      <c r="I2861" s="11">
        <v>6412</v>
      </c>
    </row>
    <row r="2862" customHeight="1" spans="8:9">
      <c r="H2862" s="11">
        <v>6413</v>
      </c>
      <c r="I2862" s="11">
        <v>6413</v>
      </c>
    </row>
    <row r="2863" customHeight="1" spans="8:9">
      <c r="H2863" s="11">
        <v>6414</v>
      </c>
      <c r="I2863" s="11">
        <v>6414</v>
      </c>
    </row>
    <row r="2864" customHeight="1" spans="8:9">
      <c r="H2864" s="11">
        <v>6415</v>
      </c>
      <c r="I2864" s="11">
        <v>6415</v>
      </c>
    </row>
    <row r="2865" customHeight="1" spans="8:9">
      <c r="H2865" s="11">
        <v>6416</v>
      </c>
      <c r="I2865" s="11">
        <v>6416</v>
      </c>
    </row>
    <row r="2866" customHeight="1" spans="8:9">
      <c r="H2866" s="11">
        <v>6417</v>
      </c>
      <c r="I2866" s="11">
        <v>6417</v>
      </c>
    </row>
    <row r="2867" customHeight="1" spans="8:9">
      <c r="H2867" s="11">
        <v>6418</v>
      </c>
      <c r="I2867" s="11">
        <v>6418</v>
      </c>
    </row>
    <row r="2868" customHeight="1" spans="8:9">
      <c r="H2868" s="11">
        <v>6419</v>
      </c>
      <c r="I2868" s="11">
        <v>6419</v>
      </c>
    </row>
    <row r="2869" customHeight="1" spans="8:9">
      <c r="H2869" s="11">
        <v>6420</v>
      </c>
      <c r="I2869" s="11">
        <v>6420</v>
      </c>
    </row>
    <row r="2870" customHeight="1" spans="8:9">
      <c r="H2870" s="11">
        <v>6421</v>
      </c>
      <c r="I2870" s="11">
        <v>6421</v>
      </c>
    </row>
    <row r="2871" customHeight="1" spans="8:9">
      <c r="H2871" s="11">
        <v>6422</v>
      </c>
      <c r="I2871" s="11">
        <v>6422</v>
      </c>
    </row>
    <row r="2872" customHeight="1" spans="8:9">
      <c r="H2872" s="11">
        <v>6423</v>
      </c>
      <c r="I2872" s="11">
        <v>6423</v>
      </c>
    </row>
    <row r="2873" customHeight="1" spans="8:9">
      <c r="H2873" s="11">
        <v>6424</v>
      </c>
      <c r="I2873" s="11">
        <v>6424</v>
      </c>
    </row>
    <row r="2874" customHeight="1" spans="8:9">
      <c r="H2874" s="11">
        <v>6425</v>
      </c>
      <c r="I2874" s="11">
        <v>6425</v>
      </c>
    </row>
    <row r="2875" customHeight="1" spans="8:9">
      <c r="H2875" s="11">
        <v>6426</v>
      </c>
      <c r="I2875" s="11">
        <v>6426</v>
      </c>
    </row>
    <row r="2876" customHeight="1" spans="8:9">
      <c r="H2876" s="11">
        <v>6427</v>
      </c>
      <c r="I2876" s="11">
        <v>6427</v>
      </c>
    </row>
    <row r="2877" customHeight="1" spans="8:9">
      <c r="H2877" s="11">
        <v>6428</v>
      </c>
      <c r="I2877" s="11">
        <v>6428</v>
      </c>
    </row>
    <row r="2878" customHeight="1" spans="8:9">
      <c r="H2878" s="11">
        <v>6429</v>
      </c>
      <c r="I2878" s="11">
        <v>6429</v>
      </c>
    </row>
    <row r="2879" customHeight="1" spans="8:9">
      <c r="H2879" s="11">
        <v>6430</v>
      </c>
      <c r="I2879" s="11">
        <v>6430</v>
      </c>
    </row>
    <row r="2880" customHeight="1" spans="8:9">
      <c r="H2880" s="11">
        <v>6431</v>
      </c>
      <c r="I2880" s="11">
        <v>6431</v>
      </c>
    </row>
    <row r="2881" customHeight="1" spans="8:9">
      <c r="H2881" s="11">
        <v>6432</v>
      </c>
      <c r="I2881" s="11">
        <v>6432</v>
      </c>
    </row>
    <row r="2882" customHeight="1" spans="8:9">
      <c r="H2882" s="11">
        <v>6433</v>
      </c>
      <c r="I2882" s="11">
        <v>6433</v>
      </c>
    </row>
    <row r="2883" customHeight="1" spans="8:9">
      <c r="H2883" s="11">
        <v>6434</v>
      </c>
      <c r="I2883" s="11">
        <v>6434</v>
      </c>
    </row>
    <row r="2884" customHeight="1" spans="8:9">
      <c r="H2884" s="11">
        <v>6435</v>
      </c>
      <c r="I2884" s="11">
        <v>6435</v>
      </c>
    </row>
    <row r="2885" customHeight="1" spans="8:9">
      <c r="H2885" s="11">
        <v>6436</v>
      </c>
      <c r="I2885" s="11">
        <v>6436</v>
      </c>
    </row>
    <row r="2886" customHeight="1" spans="8:9">
      <c r="H2886" s="11">
        <v>6437</v>
      </c>
      <c r="I2886" s="11">
        <v>6437</v>
      </c>
    </row>
    <row r="2887" customHeight="1" spans="8:9">
      <c r="H2887" s="11">
        <v>6438</v>
      </c>
      <c r="I2887" s="11">
        <v>6438</v>
      </c>
    </row>
    <row r="2888" customHeight="1" spans="8:9">
      <c r="H2888" s="11">
        <v>6439</v>
      </c>
      <c r="I2888" s="11">
        <v>6439</v>
      </c>
    </row>
    <row r="2889" customHeight="1" spans="8:9">
      <c r="H2889" s="11">
        <v>6440</v>
      </c>
      <c r="I2889" s="11">
        <v>6440</v>
      </c>
    </row>
    <row r="2890" customHeight="1" spans="8:9">
      <c r="H2890" s="11">
        <v>6441</v>
      </c>
      <c r="I2890" s="11">
        <v>6441</v>
      </c>
    </row>
    <row r="2891" customHeight="1" spans="8:9">
      <c r="H2891" s="11">
        <v>6442</v>
      </c>
      <c r="I2891" s="11">
        <v>6442</v>
      </c>
    </row>
    <row r="2892" customHeight="1" spans="8:9">
      <c r="H2892" s="11">
        <v>6443</v>
      </c>
      <c r="I2892" s="11">
        <v>6443</v>
      </c>
    </row>
    <row r="2893" customHeight="1" spans="8:9">
      <c r="H2893" s="11">
        <v>6444</v>
      </c>
      <c r="I2893" s="11">
        <v>6444</v>
      </c>
    </row>
    <row r="2894" customHeight="1" spans="8:9">
      <c r="H2894" s="11">
        <v>6445</v>
      </c>
      <c r="I2894" s="11">
        <v>6445</v>
      </c>
    </row>
    <row r="2895" customHeight="1" spans="8:9">
      <c r="H2895" s="11">
        <v>6446</v>
      </c>
      <c r="I2895" s="11">
        <v>6446</v>
      </c>
    </row>
    <row r="2896" customHeight="1" spans="8:9">
      <c r="H2896" s="11">
        <v>6447</v>
      </c>
      <c r="I2896" s="11">
        <v>6447</v>
      </c>
    </row>
    <row r="2897" customHeight="1" spans="8:9">
      <c r="H2897" s="11">
        <v>6448</v>
      </c>
      <c r="I2897" s="11">
        <v>6448</v>
      </c>
    </row>
    <row r="2898" customHeight="1" spans="8:9">
      <c r="H2898" s="11">
        <v>6449</v>
      </c>
      <c r="I2898" s="11">
        <v>6449</v>
      </c>
    </row>
    <row r="2899" customHeight="1" spans="8:9">
      <c r="H2899" s="11">
        <v>6450</v>
      </c>
      <c r="I2899" s="11">
        <v>6450</v>
      </c>
    </row>
    <row r="2900" customHeight="1" spans="8:9">
      <c r="H2900" s="11">
        <v>6451</v>
      </c>
      <c r="I2900" s="11">
        <v>6451</v>
      </c>
    </row>
    <row r="2901" customHeight="1" spans="8:9">
      <c r="H2901" s="11">
        <v>6452</v>
      </c>
      <c r="I2901" s="11">
        <v>6452</v>
      </c>
    </row>
    <row r="2902" customHeight="1" spans="8:9">
      <c r="H2902" s="11">
        <v>6453</v>
      </c>
      <c r="I2902" s="11">
        <v>6453</v>
      </c>
    </row>
    <row r="2903" customHeight="1" spans="8:9">
      <c r="H2903" s="11">
        <v>6454</v>
      </c>
      <c r="I2903" s="11">
        <v>6454</v>
      </c>
    </row>
    <row r="2904" customHeight="1" spans="8:9">
      <c r="H2904" s="11">
        <v>6455</v>
      </c>
      <c r="I2904" s="11">
        <v>6455</v>
      </c>
    </row>
    <row r="2905" customHeight="1" spans="8:9">
      <c r="H2905" s="11">
        <v>6456</v>
      </c>
      <c r="I2905" s="11">
        <v>6456</v>
      </c>
    </row>
    <row r="2906" customHeight="1" spans="8:9">
      <c r="H2906" s="11">
        <v>6457</v>
      </c>
      <c r="I2906" s="11">
        <v>6457</v>
      </c>
    </row>
    <row r="2907" customHeight="1" spans="8:9">
      <c r="H2907" s="11">
        <v>6458</v>
      </c>
      <c r="I2907" s="11">
        <v>6458</v>
      </c>
    </row>
    <row r="2908" customHeight="1" spans="8:9">
      <c r="H2908" s="11">
        <v>6459</v>
      </c>
      <c r="I2908" s="11">
        <v>6459</v>
      </c>
    </row>
    <row r="2909" customHeight="1" spans="8:9">
      <c r="H2909" s="11">
        <v>6460</v>
      </c>
      <c r="I2909" s="11">
        <v>6460</v>
      </c>
    </row>
    <row r="2910" customHeight="1" spans="8:9">
      <c r="H2910" s="11">
        <v>6461</v>
      </c>
      <c r="I2910" s="11">
        <v>6461</v>
      </c>
    </row>
    <row r="2911" customHeight="1" spans="8:9">
      <c r="H2911" s="11">
        <v>6462</v>
      </c>
      <c r="I2911" s="11">
        <v>6462</v>
      </c>
    </row>
    <row r="2912" customHeight="1" spans="8:9">
      <c r="H2912" s="11">
        <v>6463</v>
      </c>
      <c r="I2912" s="11">
        <v>6463</v>
      </c>
    </row>
    <row r="2913" customHeight="1" spans="8:9">
      <c r="H2913" s="11">
        <v>6464</v>
      </c>
      <c r="I2913" s="11">
        <v>6464</v>
      </c>
    </row>
    <row r="2914" customHeight="1" spans="8:9">
      <c r="H2914" s="11">
        <v>6465</v>
      </c>
      <c r="I2914" s="11">
        <v>6465</v>
      </c>
    </row>
    <row r="2915" customHeight="1" spans="8:9">
      <c r="H2915" s="11">
        <v>6466</v>
      </c>
      <c r="I2915" s="11">
        <v>6466</v>
      </c>
    </row>
    <row r="2916" customHeight="1" spans="8:9">
      <c r="H2916" s="11">
        <v>6467</v>
      </c>
      <c r="I2916" s="11">
        <v>6467</v>
      </c>
    </row>
    <row r="2917" customHeight="1" spans="8:9">
      <c r="H2917" s="11">
        <v>6468</v>
      </c>
      <c r="I2917" s="11">
        <v>6468</v>
      </c>
    </row>
    <row r="2918" customHeight="1" spans="8:9">
      <c r="H2918" s="11">
        <v>6469</v>
      </c>
      <c r="I2918" s="11">
        <v>6469</v>
      </c>
    </row>
    <row r="2919" customHeight="1" spans="8:9">
      <c r="H2919" s="11">
        <v>6470</v>
      </c>
      <c r="I2919" s="11">
        <v>6470</v>
      </c>
    </row>
    <row r="2920" customHeight="1" spans="8:9">
      <c r="H2920" s="11">
        <v>6471</v>
      </c>
      <c r="I2920" s="11">
        <v>6471</v>
      </c>
    </row>
    <row r="2921" customHeight="1" spans="8:9">
      <c r="H2921" s="11">
        <v>6472</v>
      </c>
      <c r="I2921" s="11">
        <v>6472</v>
      </c>
    </row>
    <row r="2922" customHeight="1" spans="8:9">
      <c r="H2922" s="11">
        <v>6473</v>
      </c>
      <c r="I2922" s="11">
        <v>6473</v>
      </c>
    </row>
    <row r="2923" customHeight="1" spans="8:9">
      <c r="H2923" s="11">
        <v>6474</v>
      </c>
      <c r="I2923" s="11">
        <v>6474</v>
      </c>
    </row>
    <row r="2924" customHeight="1" spans="8:9">
      <c r="H2924" s="11">
        <v>6475</v>
      </c>
      <c r="I2924" s="11">
        <v>6475</v>
      </c>
    </row>
    <row r="2925" customHeight="1" spans="8:9">
      <c r="H2925" s="11">
        <v>6476</v>
      </c>
      <c r="I2925" s="11">
        <v>6476</v>
      </c>
    </row>
    <row r="2926" customHeight="1" spans="8:9">
      <c r="H2926" s="11">
        <v>6477</v>
      </c>
      <c r="I2926" s="11">
        <v>6477</v>
      </c>
    </row>
    <row r="2927" customHeight="1" spans="8:9">
      <c r="H2927" s="11">
        <v>6478</v>
      </c>
      <c r="I2927" s="11">
        <v>6478</v>
      </c>
    </row>
    <row r="2928" customHeight="1" spans="8:9">
      <c r="H2928" s="11">
        <v>6479</v>
      </c>
      <c r="I2928" s="11">
        <v>6479</v>
      </c>
    </row>
    <row r="2929" customHeight="1" spans="8:9">
      <c r="H2929" s="11">
        <v>6480</v>
      </c>
      <c r="I2929" s="11">
        <v>6480</v>
      </c>
    </row>
    <row r="2930" customHeight="1" spans="8:9">
      <c r="H2930" s="11">
        <v>6481</v>
      </c>
      <c r="I2930" s="11">
        <v>6481</v>
      </c>
    </row>
    <row r="2931" customHeight="1" spans="8:9">
      <c r="H2931" s="11">
        <v>6482</v>
      </c>
      <c r="I2931" s="11">
        <v>6482</v>
      </c>
    </row>
    <row r="2932" customHeight="1" spans="8:9">
      <c r="H2932" s="11">
        <v>6483</v>
      </c>
      <c r="I2932" s="11">
        <v>6483</v>
      </c>
    </row>
    <row r="2933" customHeight="1" spans="8:9">
      <c r="H2933" s="11">
        <v>6484</v>
      </c>
      <c r="I2933" s="11">
        <v>6484</v>
      </c>
    </row>
    <row r="2934" customHeight="1" spans="8:9">
      <c r="H2934" s="11">
        <v>6485</v>
      </c>
      <c r="I2934" s="11">
        <v>6485</v>
      </c>
    </row>
    <row r="2935" customHeight="1" spans="8:9">
      <c r="H2935" s="11">
        <v>6486</v>
      </c>
      <c r="I2935" s="11">
        <v>6486</v>
      </c>
    </row>
    <row r="2936" customHeight="1" spans="8:9">
      <c r="H2936" s="11">
        <v>6487</v>
      </c>
      <c r="I2936" s="11">
        <v>6487</v>
      </c>
    </row>
    <row r="2937" customHeight="1" spans="8:9">
      <c r="H2937" s="11">
        <v>6488</v>
      </c>
      <c r="I2937" s="11">
        <v>6488</v>
      </c>
    </row>
    <row r="2938" customHeight="1" spans="8:9">
      <c r="H2938" s="11">
        <v>6489</v>
      </c>
      <c r="I2938" s="11">
        <v>6489</v>
      </c>
    </row>
    <row r="2939" customHeight="1" spans="8:9">
      <c r="H2939" s="11">
        <v>6490</v>
      </c>
      <c r="I2939" s="11">
        <v>6490</v>
      </c>
    </row>
    <row r="2940" customHeight="1" spans="8:9">
      <c r="H2940" s="11">
        <v>6491</v>
      </c>
      <c r="I2940" s="11">
        <v>6491</v>
      </c>
    </row>
    <row r="2941" customHeight="1" spans="8:9">
      <c r="H2941" s="11">
        <v>6492</v>
      </c>
      <c r="I2941" s="11">
        <v>6492</v>
      </c>
    </row>
    <row r="2942" customHeight="1" spans="8:9">
      <c r="H2942" s="11">
        <v>6493</v>
      </c>
      <c r="I2942" s="11">
        <v>6493</v>
      </c>
    </row>
    <row r="2943" customHeight="1" spans="8:9">
      <c r="H2943" s="11">
        <v>6494</v>
      </c>
      <c r="I2943" s="11">
        <v>6494</v>
      </c>
    </row>
    <row r="2944" customHeight="1" spans="8:9">
      <c r="H2944" s="11">
        <v>6495</v>
      </c>
      <c r="I2944" s="11">
        <v>6495</v>
      </c>
    </row>
    <row r="2945" customHeight="1" spans="8:9">
      <c r="H2945" s="11">
        <v>6496</v>
      </c>
      <c r="I2945" s="11">
        <v>6496</v>
      </c>
    </row>
    <row r="2946" customHeight="1" spans="8:9">
      <c r="H2946" s="11">
        <v>6497</v>
      </c>
      <c r="I2946" s="11">
        <v>6497</v>
      </c>
    </row>
    <row r="2947" customHeight="1" spans="8:9">
      <c r="H2947" s="11">
        <v>6498</v>
      </c>
      <c r="I2947" s="11">
        <v>6498</v>
      </c>
    </row>
    <row r="2948" customHeight="1" spans="8:9">
      <c r="H2948" s="11">
        <v>6499</v>
      </c>
      <c r="I2948" s="11">
        <v>6499</v>
      </c>
    </row>
    <row r="2949" customHeight="1" spans="8:9">
      <c r="H2949" s="11">
        <v>6500</v>
      </c>
      <c r="I2949" s="11">
        <v>6500</v>
      </c>
    </row>
    <row r="2950" customHeight="1" spans="8:9">
      <c r="H2950" s="11">
        <v>6501</v>
      </c>
      <c r="I2950" s="11">
        <v>6501</v>
      </c>
    </row>
    <row r="2951" customHeight="1" spans="8:9">
      <c r="H2951" s="11">
        <v>6502</v>
      </c>
      <c r="I2951" s="11">
        <v>6502</v>
      </c>
    </row>
    <row r="2952" customHeight="1" spans="8:9">
      <c r="H2952" s="11">
        <v>6503</v>
      </c>
      <c r="I2952" s="11">
        <v>6503</v>
      </c>
    </row>
    <row r="2953" customHeight="1" spans="8:9">
      <c r="H2953" s="11">
        <v>6504</v>
      </c>
      <c r="I2953" s="11">
        <v>6504</v>
      </c>
    </row>
    <row r="2954" customHeight="1" spans="8:9">
      <c r="H2954" s="11">
        <v>6505</v>
      </c>
      <c r="I2954" s="11">
        <v>6505</v>
      </c>
    </row>
    <row r="2955" customHeight="1" spans="8:9">
      <c r="H2955" s="11">
        <v>6506</v>
      </c>
      <c r="I2955" s="11">
        <v>6506</v>
      </c>
    </row>
    <row r="2956" customHeight="1" spans="8:9">
      <c r="H2956" s="11">
        <v>6507</v>
      </c>
      <c r="I2956" s="11">
        <v>6507</v>
      </c>
    </row>
    <row r="2957" customHeight="1" spans="8:9">
      <c r="H2957" s="11">
        <v>6508</v>
      </c>
      <c r="I2957" s="11">
        <v>6508</v>
      </c>
    </row>
    <row r="2958" customHeight="1" spans="8:9">
      <c r="H2958" s="11">
        <v>6509</v>
      </c>
      <c r="I2958" s="11">
        <v>6509</v>
      </c>
    </row>
    <row r="2959" customHeight="1" spans="8:9">
      <c r="H2959" s="11">
        <v>6510</v>
      </c>
      <c r="I2959" s="11">
        <v>6510</v>
      </c>
    </row>
    <row r="2960" customHeight="1" spans="8:9">
      <c r="H2960" s="11">
        <v>6511</v>
      </c>
      <c r="I2960" s="11">
        <v>6511</v>
      </c>
    </row>
    <row r="2961" customHeight="1" spans="8:9">
      <c r="H2961" s="11">
        <v>6512</v>
      </c>
      <c r="I2961" s="11">
        <v>6512</v>
      </c>
    </row>
    <row r="2962" customHeight="1" spans="8:9">
      <c r="H2962" s="11">
        <v>6513</v>
      </c>
      <c r="I2962" s="11">
        <v>6513</v>
      </c>
    </row>
    <row r="2963" customHeight="1" spans="8:9">
      <c r="H2963" s="11">
        <v>6514</v>
      </c>
      <c r="I2963" s="11">
        <v>6514</v>
      </c>
    </row>
    <row r="2964" customHeight="1" spans="8:9">
      <c r="H2964" s="11">
        <v>6515</v>
      </c>
      <c r="I2964" s="11">
        <v>6515</v>
      </c>
    </row>
    <row r="2965" customHeight="1" spans="8:9">
      <c r="H2965" s="11">
        <v>6516</v>
      </c>
      <c r="I2965" s="11">
        <v>6516</v>
      </c>
    </row>
    <row r="2966" customHeight="1" spans="8:9">
      <c r="H2966" s="11">
        <v>6517</v>
      </c>
      <c r="I2966" s="11">
        <v>6517</v>
      </c>
    </row>
    <row r="2967" customHeight="1" spans="8:9">
      <c r="H2967" s="11">
        <v>6518</v>
      </c>
      <c r="I2967" s="11">
        <v>6518</v>
      </c>
    </row>
    <row r="2968" customHeight="1" spans="8:9">
      <c r="H2968" s="11">
        <v>6519</v>
      </c>
      <c r="I2968" s="11">
        <v>6519</v>
      </c>
    </row>
    <row r="2969" customHeight="1" spans="8:9">
      <c r="H2969" s="11">
        <v>6520</v>
      </c>
      <c r="I2969" s="11">
        <v>6520</v>
      </c>
    </row>
    <row r="2970" customHeight="1" spans="8:9">
      <c r="H2970" s="11">
        <v>6521</v>
      </c>
      <c r="I2970" s="11">
        <v>6521</v>
      </c>
    </row>
    <row r="2971" customHeight="1" spans="8:9">
      <c r="H2971" s="11">
        <v>6522</v>
      </c>
      <c r="I2971" s="11">
        <v>6522</v>
      </c>
    </row>
    <row r="2972" customHeight="1" spans="8:9">
      <c r="H2972" s="11">
        <v>6523</v>
      </c>
      <c r="I2972" s="11">
        <v>6523</v>
      </c>
    </row>
    <row r="2973" customHeight="1" spans="8:9">
      <c r="H2973" s="11">
        <v>6524</v>
      </c>
      <c r="I2973" s="11">
        <v>6524</v>
      </c>
    </row>
    <row r="2974" customHeight="1" spans="8:9">
      <c r="H2974" s="11">
        <v>6525</v>
      </c>
      <c r="I2974" s="11">
        <v>6525</v>
      </c>
    </row>
    <row r="2975" customHeight="1" spans="8:9">
      <c r="H2975" s="11">
        <v>6526</v>
      </c>
      <c r="I2975" s="11">
        <v>6526</v>
      </c>
    </row>
    <row r="2976" customHeight="1" spans="8:9">
      <c r="H2976" s="11">
        <v>6527</v>
      </c>
      <c r="I2976" s="11">
        <v>6527</v>
      </c>
    </row>
    <row r="2977" customHeight="1" spans="8:9">
      <c r="H2977" s="11">
        <v>6528</v>
      </c>
      <c r="I2977" s="11">
        <v>6528</v>
      </c>
    </row>
    <row r="2978" customHeight="1" spans="8:9">
      <c r="H2978" s="11">
        <v>6529</v>
      </c>
      <c r="I2978" s="11">
        <v>6529</v>
      </c>
    </row>
    <row r="2979" customHeight="1" spans="8:9">
      <c r="H2979" s="11">
        <v>6530</v>
      </c>
      <c r="I2979" s="11">
        <v>6530</v>
      </c>
    </row>
    <row r="2980" customHeight="1" spans="8:9">
      <c r="H2980" s="11">
        <v>6531</v>
      </c>
      <c r="I2980" s="11">
        <v>6531</v>
      </c>
    </row>
    <row r="2981" customHeight="1" spans="8:9">
      <c r="H2981" s="11">
        <v>6532</v>
      </c>
      <c r="I2981" s="11">
        <v>6532</v>
      </c>
    </row>
    <row r="2982" customHeight="1" spans="8:9">
      <c r="H2982" s="11">
        <v>6533</v>
      </c>
      <c r="I2982" s="11">
        <v>6533</v>
      </c>
    </row>
    <row r="2983" customHeight="1" spans="8:9">
      <c r="H2983" s="11">
        <v>6534</v>
      </c>
      <c r="I2983" s="11">
        <v>6534</v>
      </c>
    </row>
    <row r="2984" customHeight="1" spans="8:9">
      <c r="H2984" s="11">
        <v>6535</v>
      </c>
      <c r="I2984" s="11">
        <v>6535</v>
      </c>
    </row>
    <row r="2985" customHeight="1" spans="8:9">
      <c r="H2985" s="11">
        <v>6536</v>
      </c>
      <c r="I2985" s="11">
        <v>6536</v>
      </c>
    </row>
    <row r="2986" customHeight="1" spans="8:9">
      <c r="H2986" s="11">
        <v>6537</v>
      </c>
      <c r="I2986" s="11">
        <v>6537</v>
      </c>
    </row>
    <row r="2987" customHeight="1" spans="8:9">
      <c r="H2987" s="11">
        <v>6538</v>
      </c>
      <c r="I2987" s="11">
        <v>6538</v>
      </c>
    </row>
    <row r="2988" customHeight="1" spans="8:9">
      <c r="H2988" s="11">
        <v>6539</v>
      </c>
      <c r="I2988" s="11">
        <v>6539</v>
      </c>
    </row>
    <row r="2989" customHeight="1" spans="8:9">
      <c r="H2989" s="11">
        <v>6540</v>
      </c>
      <c r="I2989" s="11">
        <v>6540</v>
      </c>
    </row>
    <row r="2990" customHeight="1" spans="8:9">
      <c r="H2990" s="11">
        <v>6541</v>
      </c>
      <c r="I2990" s="11">
        <v>6541</v>
      </c>
    </row>
    <row r="2991" customHeight="1" spans="8:9">
      <c r="H2991" s="11">
        <v>6542</v>
      </c>
      <c r="I2991" s="11">
        <v>6542</v>
      </c>
    </row>
    <row r="2992" customHeight="1" spans="8:9">
      <c r="H2992" s="11">
        <v>6543</v>
      </c>
      <c r="I2992" s="11">
        <v>6543</v>
      </c>
    </row>
    <row r="2993" customHeight="1" spans="8:9">
      <c r="H2993" s="11">
        <v>6544</v>
      </c>
      <c r="I2993" s="11">
        <v>6544</v>
      </c>
    </row>
    <row r="2994" customHeight="1" spans="8:9">
      <c r="H2994" s="11">
        <v>6545</v>
      </c>
      <c r="I2994" s="11">
        <v>6545</v>
      </c>
    </row>
    <row r="2995" customHeight="1" spans="8:9">
      <c r="H2995" s="11">
        <v>6546</v>
      </c>
      <c r="I2995" s="11">
        <v>6546</v>
      </c>
    </row>
    <row r="2996" customHeight="1" spans="8:9">
      <c r="H2996" s="11">
        <v>6547</v>
      </c>
      <c r="I2996" s="11">
        <v>6547</v>
      </c>
    </row>
    <row r="2997" customHeight="1" spans="8:9">
      <c r="H2997" s="11">
        <v>6548</v>
      </c>
      <c r="I2997" s="11">
        <v>6548</v>
      </c>
    </row>
    <row r="2998" customHeight="1" spans="8:9">
      <c r="H2998" s="11">
        <v>6549</v>
      </c>
      <c r="I2998" s="11">
        <v>6549</v>
      </c>
    </row>
    <row r="2999" customHeight="1" spans="8:9">
      <c r="H2999" s="11">
        <v>6550</v>
      </c>
      <c r="I2999" s="11">
        <v>6550</v>
      </c>
    </row>
    <row r="3000" customHeight="1" spans="8:9">
      <c r="H3000" s="11">
        <v>6551</v>
      </c>
      <c r="I3000" s="11">
        <v>6551</v>
      </c>
    </row>
    <row r="3001" customHeight="1" spans="8:9">
      <c r="H3001" s="11">
        <v>6552</v>
      </c>
      <c r="I3001" s="11">
        <v>6552</v>
      </c>
    </row>
    <row r="3002" customHeight="1" spans="8:9">
      <c r="H3002" s="11">
        <v>6553</v>
      </c>
      <c r="I3002" s="11">
        <v>6553</v>
      </c>
    </row>
    <row r="3003" customHeight="1" spans="8:9">
      <c r="H3003" s="11">
        <v>6554</v>
      </c>
      <c r="I3003" s="11">
        <v>6554</v>
      </c>
    </row>
    <row r="3004" customHeight="1" spans="8:9">
      <c r="H3004" s="11">
        <v>6555</v>
      </c>
      <c r="I3004" s="11">
        <v>6555</v>
      </c>
    </row>
    <row r="3005" customHeight="1" spans="8:9">
      <c r="H3005" s="11">
        <v>6556</v>
      </c>
      <c r="I3005" s="11">
        <v>6556</v>
      </c>
    </row>
    <row r="3006" customHeight="1" spans="8:9">
      <c r="H3006" s="11">
        <v>6557</v>
      </c>
      <c r="I3006" s="11">
        <v>6557</v>
      </c>
    </row>
    <row r="3007" customHeight="1" spans="8:9">
      <c r="H3007" s="11">
        <v>6558</v>
      </c>
      <c r="I3007" s="11">
        <v>6558</v>
      </c>
    </row>
    <row r="3008" customHeight="1" spans="8:9">
      <c r="H3008" s="11">
        <v>6559</v>
      </c>
      <c r="I3008" s="11">
        <v>6559</v>
      </c>
    </row>
    <row r="3009" customHeight="1" spans="8:9">
      <c r="H3009" s="11">
        <v>6560</v>
      </c>
      <c r="I3009" s="11">
        <v>6560</v>
      </c>
    </row>
    <row r="3010" customHeight="1" spans="8:9">
      <c r="H3010" s="11">
        <v>6561</v>
      </c>
      <c r="I3010" s="11">
        <v>6561</v>
      </c>
    </row>
    <row r="3011" customHeight="1" spans="8:9">
      <c r="H3011" s="11">
        <v>6562</v>
      </c>
      <c r="I3011" s="11">
        <v>6562</v>
      </c>
    </row>
    <row r="3012" customHeight="1" spans="8:9">
      <c r="H3012" s="11">
        <v>6563</v>
      </c>
      <c r="I3012" s="11">
        <v>6563</v>
      </c>
    </row>
    <row r="3013" customHeight="1" spans="8:9">
      <c r="H3013" s="11">
        <v>6564</v>
      </c>
      <c r="I3013" s="11">
        <v>6564</v>
      </c>
    </row>
    <row r="3014" customHeight="1" spans="8:9">
      <c r="H3014" s="11">
        <v>6565</v>
      </c>
      <c r="I3014" s="11">
        <v>6565</v>
      </c>
    </row>
    <row r="3015" customHeight="1" spans="8:9">
      <c r="H3015" s="11">
        <v>6566</v>
      </c>
      <c r="I3015" s="11">
        <v>6566</v>
      </c>
    </row>
    <row r="3016" customHeight="1" spans="8:9">
      <c r="H3016" s="11">
        <v>6567</v>
      </c>
      <c r="I3016" s="11">
        <v>6567</v>
      </c>
    </row>
    <row r="3017" customHeight="1" spans="8:9">
      <c r="H3017" s="11">
        <v>6568</v>
      </c>
      <c r="I3017" s="11">
        <v>6568</v>
      </c>
    </row>
    <row r="3018" customHeight="1" spans="8:9">
      <c r="H3018" s="11">
        <v>6569</v>
      </c>
      <c r="I3018" s="11">
        <v>6569</v>
      </c>
    </row>
    <row r="3019" customHeight="1" spans="8:9">
      <c r="H3019" s="11">
        <v>6570</v>
      </c>
      <c r="I3019" s="11">
        <v>6570</v>
      </c>
    </row>
    <row r="3020" customHeight="1" spans="8:9">
      <c r="H3020" s="11">
        <v>6571</v>
      </c>
      <c r="I3020" s="11">
        <v>6571</v>
      </c>
    </row>
    <row r="3021" customHeight="1" spans="8:9">
      <c r="H3021" s="11">
        <v>6572</v>
      </c>
      <c r="I3021" s="11">
        <v>6572</v>
      </c>
    </row>
    <row r="3022" customHeight="1" spans="8:9">
      <c r="H3022" s="11">
        <v>6573</v>
      </c>
      <c r="I3022" s="11">
        <v>6573</v>
      </c>
    </row>
    <row r="3023" customHeight="1" spans="8:9">
      <c r="H3023" s="11">
        <v>6574</v>
      </c>
      <c r="I3023" s="11">
        <v>6574</v>
      </c>
    </row>
    <row r="3024" customHeight="1" spans="8:9">
      <c r="H3024" s="11">
        <v>6575</v>
      </c>
      <c r="I3024" s="11">
        <v>6575</v>
      </c>
    </row>
    <row r="3025" customHeight="1" spans="8:9">
      <c r="H3025" s="11">
        <v>6576</v>
      </c>
      <c r="I3025" s="11">
        <v>6576</v>
      </c>
    </row>
    <row r="3026" customHeight="1" spans="8:9">
      <c r="H3026" s="11">
        <v>6577</v>
      </c>
      <c r="I3026" s="11">
        <v>6577</v>
      </c>
    </row>
    <row r="3027" customHeight="1" spans="8:9">
      <c r="H3027" s="11">
        <v>6578</v>
      </c>
      <c r="I3027" s="11">
        <v>6578</v>
      </c>
    </row>
    <row r="3028" customHeight="1" spans="8:9">
      <c r="H3028" s="11">
        <v>6579</v>
      </c>
      <c r="I3028" s="11">
        <v>6579</v>
      </c>
    </row>
    <row r="3029" customHeight="1" spans="8:9">
      <c r="H3029" s="11">
        <v>6580</v>
      </c>
      <c r="I3029" s="11">
        <v>6580</v>
      </c>
    </row>
    <row r="3030" customHeight="1" spans="8:9">
      <c r="H3030" s="11">
        <v>6581</v>
      </c>
      <c r="I3030" s="11">
        <v>6581</v>
      </c>
    </row>
    <row r="3031" customHeight="1" spans="8:9">
      <c r="H3031" s="11">
        <v>6582</v>
      </c>
      <c r="I3031" s="11">
        <v>6582</v>
      </c>
    </row>
    <row r="3032" customHeight="1" spans="8:9">
      <c r="H3032" s="11">
        <v>6583</v>
      </c>
      <c r="I3032" s="11">
        <v>6583</v>
      </c>
    </row>
    <row r="3033" customHeight="1" spans="8:9">
      <c r="H3033" s="11">
        <v>6584</v>
      </c>
      <c r="I3033" s="11">
        <v>6584</v>
      </c>
    </row>
    <row r="3034" customHeight="1" spans="8:9">
      <c r="H3034" s="11">
        <v>6585</v>
      </c>
      <c r="I3034" s="11">
        <v>6585</v>
      </c>
    </row>
    <row r="3035" customHeight="1" spans="8:9">
      <c r="H3035" s="11">
        <v>6586</v>
      </c>
      <c r="I3035" s="11">
        <v>6586</v>
      </c>
    </row>
    <row r="3036" customHeight="1" spans="8:9">
      <c r="H3036" s="11">
        <v>6587</v>
      </c>
      <c r="I3036" s="11">
        <v>6587</v>
      </c>
    </row>
    <row r="3037" customHeight="1" spans="8:9">
      <c r="H3037" s="11">
        <v>6588</v>
      </c>
      <c r="I3037" s="11">
        <v>6588</v>
      </c>
    </row>
    <row r="3038" customHeight="1" spans="8:9">
      <c r="H3038" s="11">
        <v>6589</v>
      </c>
      <c r="I3038" s="11">
        <v>6589</v>
      </c>
    </row>
    <row r="3039" customHeight="1" spans="8:9">
      <c r="H3039" s="11">
        <v>6590</v>
      </c>
      <c r="I3039" s="11">
        <v>6590</v>
      </c>
    </row>
    <row r="3040" customHeight="1" spans="8:9">
      <c r="H3040" s="11">
        <v>6591</v>
      </c>
      <c r="I3040" s="11">
        <v>6591</v>
      </c>
    </row>
    <row r="3041" customHeight="1" spans="8:9">
      <c r="H3041" s="11">
        <v>6592</v>
      </c>
      <c r="I3041" s="11">
        <v>6592</v>
      </c>
    </row>
    <row r="3042" customHeight="1" spans="8:9">
      <c r="H3042" s="11">
        <v>6593</v>
      </c>
      <c r="I3042" s="11">
        <v>6593</v>
      </c>
    </row>
    <row r="3043" customHeight="1" spans="8:9">
      <c r="H3043" s="11">
        <v>6594</v>
      </c>
      <c r="I3043" s="11">
        <v>6594</v>
      </c>
    </row>
    <row r="3044" customHeight="1" spans="8:9">
      <c r="H3044" s="11">
        <v>6595</v>
      </c>
      <c r="I3044" s="11">
        <v>6595</v>
      </c>
    </row>
    <row r="3045" customHeight="1" spans="8:9">
      <c r="H3045" s="11">
        <v>6596</v>
      </c>
      <c r="I3045" s="11">
        <v>6596</v>
      </c>
    </row>
    <row r="3046" customHeight="1" spans="8:9">
      <c r="H3046" s="11">
        <v>6597</v>
      </c>
      <c r="I3046" s="11">
        <v>6597</v>
      </c>
    </row>
    <row r="3047" customHeight="1" spans="8:9">
      <c r="H3047" s="11">
        <v>6598</v>
      </c>
      <c r="I3047" s="11">
        <v>6598</v>
      </c>
    </row>
    <row r="3048" customHeight="1" spans="8:9">
      <c r="H3048" s="11">
        <v>6599</v>
      </c>
      <c r="I3048" s="11">
        <v>6599</v>
      </c>
    </row>
    <row r="3049" customHeight="1" spans="8:9">
      <c r="H3049" s="11">
        <v>6600</v>
      </c>
      <c r="I3049" s="11">
        <v>6600</v>
      </c>
    </row>
    <row r="3050" customHeight="1" spans="8:9">
      <c r="H3050" s="11">
        <v>6601</v>
      </c>
      <c r="I3050" s="11">
        <v>6601</v>
      </c>
    </row>
    <row r="3051" customHeight="1" spans="8:9">
      <c r="H3051" s="11">
        <v>6602</v>
      </c>
      <c r="I3051" s="11">
        <v>6602</v>
      </c>
    </row>
    <row r="3052" customHeight="1" spans="8:9">
      <c r="H3052" s="11">
        <v>6603</v>
      </c>
      <c r="I3052" s="11">
        <v>6603</v>
      </c>
    </row>
    <row r="3053" customHeight="1" spans="8:9">
      <c r="H3053" s="11">
        <v>6604</v>
      </c>
      <c r="I3053" s="11">
        <v>6604</v>
      </c>
    </row>
    <row r="3054" customHeight="1" spans="8:9">
      <c r="H3054" s="11">
        <v>6605</v>
      </c>
      <c r="I3054" s="11">
        <v>6605</v>
      </c>
    </row>
    <row r="3055" customHeight="1" spans="8:9">
      <c r="H3055" s="11">
        <v>6606</v>
      </c>
      <c r="I3055" s="11">
        <v>6606</v>
      </c>
    </row>
    <row r="3056" customHeight="1" spans="8:9">
      <c r="H3056" s="11">
        <v>6607</v>
      </c>
      <c r="I3056" s="11">
        <v>6607</v>
      </c>
    </row>
    <row r="3057" customHeight="1" spans="8:9">
      <c r="H3057" s="11">
        <v>6608</v>
      </c>
      <c r="I3057" s="11">
        <v>6608</v>
      </c>
    </row>
    <row r="3058" customHeight="1" spans="8:9">
      <c r="H3058" s="11">
        <v>6609</v>
      </c>
      <c r="I3058" s="11">
        <v>6609</v>
      </c>
    </row>
    <row r="3059" customHeight="1" spans="8:9">
      <c r="H3059" s="11">
        <v>6610</v>
      </c>
      <c r="I3059" s="11">
        <v>6610</v>
      </c>
    </row>
    <row r="3060" customHeight="1" spans="8:9">
      <c r="H3060" s="11">
        <v>6611</v>
      </c>
      <c r="I3060" s="11">
        <v>6611</v>
      </c>
    </row>
    <row r="3061" customHeight="1" spans="8:9">
      <c r="H3061" s="11">
        <v>6612</v>
      </c>
      <c r="I3061" s="11">
        <v>6612</v>
      </c>
    </row>
    <row r="3062" customHeight="1" spans="8:9">
      <c r="H3062" s="11">
        <v>6613</v>
      </c>
      <c r="I3062" s="11">
        <v>6613</v>
      </c>
    </row>
    <row r="3063" customHeight="1" spans="8:9">
      <c r="H3063" s="11">
        <v>6614</v>
      </c>
      <c r="I3063" s="11">
        <v>6614</v>
      </c>
    </row>
    <row r="3064" customHeight="1" spans="8:9">
      <c r="H3064" s="11">
        <v>6615</v>
      </c>
      <c r="I3064" s="11">
        <v>6615</v>
      </c>
    </row>
    <row r="3065" customHeight="1" spans="8:9">
      <c r="H3065" s="11">
        <v>6616</v>
      </c>
      <c r="I3065" s="11">
        <v>6616</v>
      </c>
    </row>
    <row r="3066" customHeight="1" spans="8:9">
      <c r="H3066" s="11">
        <v>6617</v>
      </c>
      <c r="I3066" s="11">
        <v>6617</v>
      </c>
    </row>
    <row r="3067" customHeight="1" spans="8:9">
      <c r="H3067" s="11">
        <v>6618</v>
      </c>
      <c r="I3067" s="11">
        <v>6618</v>
      </c>
    </row>
    <row r="3068" customHeight="1" spans="8:9">
      <c r="H3068" s="11">
        <v>6619</v>
      </c>
      <c r="I3068" s="11">
        <v>6619</v>
      </c>
    </row>
    <row r="3069" customHeight="1" spans="8:9">
      <c r="H3069" s="11">
        <v>6620</v>
      </c>
      <c r="I3069" s="11">
        <v>6620</v>
      </c>
    </row>
    <row r="3070" customHeight="1" spans="8:9">
      <c r="H3070" s="11">
        <v>6621</v>
      </c>
      <c r="I3070" s="11">
        <v>6621</v>
      </c>
    </row>
    <row r="3071" customHeight="1" spans="8:9">
      <c r="H3071" s="11">
        <v>6622</v>
      </c>
      <c r="I3071" s="11">
        <v>6622</v>
      </c>
    </row>
    <row r="3072" customHeight="1" spans="8:9">
      <c r="H3072" s="11">
        <v>6623</v>
      </c>
      <c r="I3072" s="11">
        <v>6623</v>
      </c>
    </row>
    <row r="3073" customHeight="1" spans="8:9">
      <c r="H3073" s="11">
        <v>6624</v>
      </c>
      <c r="I3073" s="11">
        <v>6624</v>
      </c>
    </row>
    <row r="3074" customHeight="1" spans="8:9">
      <c r="H3074" s="11">
        <v>6625</v>
      </c>
      <c r="I3074" s="11">
        <v>6625</v>
      </c>
    </row>
    <row r="3075" customHeight="1" spans="8:9">
      <c r="H3075" s="11">
        <v>6626</v>
      </c>
      <c r="I3075" s="11">
        <v>6626</v>
      </c>
    </row>
    <row r="3076" customHeight="1" spans="8:9">
      <c r="H3076" s="11">
        <v>6627</v>
      </c>
      <c r="I3076" s="11">
        <v>6627</v>
      </c>
    </row>
    <row r="3077" customHeight="1" spans="8:9">
      <c r="H3077" s="11">
        <v>6628</v>
      </c>
      <c r="I3077" s="11">
        <v>6628</v>
      </c>
    </row>
    <row r="3078" customHeight="1" spans="8:9">
      <c r="H3078" s="11">
        <v>6629</v>
      </c>
      <c r="I3078" s="11">
        <v>6629</v>
      </c>
    </row>
    <row r="3079" customHeight="1" spans="8:9">
      <c r="H3079" s="11">
        <v>6630</v>
      </c>
      <c r="I3079" s="11">
        <v>6630</v>
      </c>
    </row>
    <row r="3080" customHeight="1" spans="8:9">
      <c r="H3080" s="11">
        <v>6631</v>
      </c>
      <c r="I3080" s="11">
        <v>6631</v>
      </c>
    </row>
    <row r="3081" customHeight="1" spans="8:9">
      <c r="H3081" s="11">
        <v>6632</v>
      </c>
      <c r="I3081" s="11">
        <v>6632</v>
      </c>
    </row>
    <row r="3082" customHeight="1" spans="8:9">
      <c r="H3082" s="11">
        <v>6633</v>
      </c>
      <c r="I3082" s="11">
        <v>6633</v>
      </c>
    </row>
    <row r="3083" customHeight="1" spans="8:9">
      <c r="H3083" s="11">
        <v>6634</v>
      </c>
      <c r="I3083" s="11">
        <v>6634</v>
      </c>
    </row>
    <row r="3084" customHeight="1" spans="8:9">
      <c r="H3084" s="11">
        <v>6635</v>
      </c>
      <c r="I3084" s="11">
        <v>6635</v>
      </c>
    </row>
    <row r="3085" customHeight="1" spans="8:9">
      <c r="H3085" s="11">
        <v>6636</v>
      </c>
      <c r="I3085" s="11">
        <v>6636</v>
      </c>
    </row>
    <row r="3086" customHeight="1" spans="8:9">
      <c r="H3086" s="11">
        <v>6637</v>
      </c>
      <c r="I3086" s="11">
        <v>6637</v>
      </c>
    </row>
    <row r="3087" customHeight="1" spans="8:9">
      <c r="H3087" s="11">
        <v>6638</v>
      </c>
      <c r="I3087" s="11">
        <v>6638</v>
      </c>
    </row>
    <row r="3088" customHeight="1" spans="8:9">
      <c r="H3088" s="11">
        <v>6639</v>
      </c>
      <c r="I3088" s="11">
        <v>6639</v>
      </c>
    </row>
    <row r="3089" customHeight="1" spans="8:9">
      <c r="H3089" s="11">
        <v>6640</v>
      </c>
      <c r="I3089" s="11">
        <v>6640</v>
      </c>
    </row>
    <row r="3090" customHeight="1" spans="8:9">
      <c r="H3090" s="11">
        <v>6641</v>
      </c>
      <c r="I3090" s="11">
        <v>6641</v>
      </c>
    </row>
    <row r="3091" customHeight="1" spans="8:9">
      <c r="H3091" s="11">
        <v>6642</v>
      </c>
      <c r="I3091" s="11">
        <v>6642</v>
      </c>
    </row>
    <row r="3092" customHeight="1" spans="8:9">
      <c r="H3092" s="11">
        <v>6643</v>
      </c>
      <c r="I3092" s="11">
        <v>6643</v>
      </c>
    </row>
    <row r="3093" customHeight="1" spans="8:9">
      <c r="H3093" s="11">
        <v>6644</v>
      </c>
      <c r="I3093" s="11">
        <v>6644</v>
      </c>
    </row>
    <row r="3094" customHeight="1" spans="8:9">
      <c r="H3094" s="11">
        <v>6645</v>
      </c>
      <c r="I3094" s="11">
        <v>6645</v>
      </c>
    </row>
    <row r="3095" customHeight="1" spans="8:9">
      <c r="H3095" s="11">
        <v>6646</v>
      </c>
      <c r="I3095" s="11">
        <v>6646</v>
      </c>
    </row>
    <row r="3096" customHeight="1" spans="8:9">
      <c r="H3096" s="11">
        <v>6647</v>
      </c>
      <c r="I3096" s="11">
        <v>6647</v>
      </c>
    </row>
    <row r="3097" customHeight="1" spans="8:9">
      <c r="H3097" s="11">
        <v>6648</v>
      </c>
      <c r="I3097" s="11">
        <v>6648</v>
      </c>
    </row>
    <row r="3098" customHeight="1" spans="8:9">
      <c r="H3098" s="11">
        <v>6649</v>
      </c>
      <c r="I3098" s="11">
        <v>6649</v>
      </c>
    </row>
    <row r="3099" customHeight="1" spans="8:9">
      <c r="H3099" s="11">
        <v>6650</v>
      </c>
      <c r="I3099" s="11">
        <v>6650</v>
      </c>
    </row>
    <row r="3100" customHeight="1" spans="8:9">
      <c r="H3100" s="11">
        <v>6651</v>
      </c>
      <c r="I3100" s="11">
        <v>6651</v>
      </c>
    </row>
    <row r="3101" customHeight="1" spans="8:9">
      <c r="H3101" s="11">
        <v>6652</v>
      </c>
      <c r="I3101" s="11">
        <v>6652</v>
      </c>
    </row>
    <row r="3102" customHeight="1" spans="8:9">
      <c r="H3102" s="11">
        <v>6653</v>
      </c>
      <c r="I3102" s="11">
        <v>6653</v>
      </c>
    </row>
    <row r="3103" customHeight="1" spans="8:9">
      <c r="H3103" s="11">
        <v>6654</v>
      </c>
      <c r="I3103" s="11">
        <v>6654</v>
      </c>
    </row>
    <row r="3104" customHeight="1" spans="8:9">
      <c r="H3104" s="11">
        <v>6655</v>
      </c>
      <c r="I3104" s="11">
        <v>6655</v>
      </c>
    </row>
    <row r="3105" customHeight="1" spans="8:9">
      <c r="H3105" s="11">
        <v>6656</v>
      </c>
      <c r="I3105" s="11">
        <v>6656</v>
      </c>
    </row>
    <row r="3106" customHeight="1" spans="8:9">
      <c r="H3106" s="11">
        <v>6657</v>
      </c>
      <c r="I3106" s="11">
        <v>6657</v>
      </c>
    </row>
    <row r="3107" customHeight="1" spans="8:9">
      <c r="H3107" s="11">
        <v>6658</v>
      </c>
      <c r="I3107" s="11">
        <v>6658</v>
      </c>
    </row>
    <row r="3108" customHeight="1" spans="8:9">
      <c r="H3108" s="11">
        <v>6659</v>
      </c>
      <c r="I3108" s="11">
        <v>6659</v>
      </c>
    </row>
    <row r="3109" customHeight="1" spans="8:9">
      <c r="H3109" s="11">
        <v>6660</v>
      </c>
      <c r="I3109" s="11">
        <v>6660</v>
      </c>
    </row>
    <row r="3110" customHeight="1" spans="8:9">
      <c r="H3110" s="11">
        <v>6661</v>
      </c>
      <c r="I3110" s="11">
        <v>6661</v>
      </c>
    </row>
    <row r="3111" customHeight="1" spans="8:9">
      <c r="H3111" s="11">
        <v>6662</v>
      </c>
      <c r="I3111" s="11">
        <v>6662</v>
      </c>
    </row>
    <row r="3112" customHeight="1" spans="8:9">
      <c r="H3112" s="11">
        <v>6663</v>
      </c>
      <c r="I3112" s="11">
        <v>6663</v>
      </c>
    </row>
    <row r="3113" customHeight="1" spans="8:9">
      <c r="H3113" s="11">
        <v>6664</v>
      </c>
      <c r="I3113" s="11">
        <v>6664</v>
      </c>
    </row>
    <row r="3114" customHeight="1" spans="8:9">
      <c r="H3114" s="11">
        <v>6665</v>
      </c>
      <c r="I3114" s="11">
        <v>6665</v>
      </c>
    </row>
    <row r="3115" customHeight="1" spans="8:9">
      <c r="H3115" s="11">
        <v>6666</v>
      </c>
      <c r="I3115" s="11">
        <v>6666</v>
      </c>
    </row>
    <row r="3116" customHeight="1" spans="8:9">
      <c r="H3116" s="11">
        <v>6667</v>
      </c>
      <c r="I3116" s="11">
        <v>6667</v>
      </c>
    </row>
    <row r="3117" customHeight="1" spans="8:9">
      <c r="H3117" s="11">
        <v>6668</v>
      </c>
      <c r="I3117" s="11">
        <v>6668</v>
      </c>
    </row>
    <row r="3118" customHeight="1" spans="8:9">
      <c r="H3118" s="11">
        <v>6669</v>
      </c>
      <c r="I3118" s="11">
        <v>6669</v>
      </c>
    </row>
    <row r="3119" customHeight="1" spans="8:9">
      <c r="H3119" s="11">
        <v>6670</v>
      </c>
      <c r="I3119" s="11">
        <v>6670</v>
      </c>
    </row>
    <row r="3120" customHeight="1" spans="8:9">
      <c r="H3120" s="11">
        <v>6671</v>
      </c>
      <c r="I3120" s="11">
        <v>6671</v>
      </c>
    </row>
    <row r="3121" customHeight="1" spans="8:9">
      <c r="H3121" s="11">
        <v>6672</v>
      </c>
      <c r="I3121" s="11">
        <v>6672</v>
      </c>
    </row>
    <row r="3122" customHeight="1" spans="8:9">
      <c r="H3122" s="11">
        <v>6673</v>
      </c>
      <c r="I3122" s="11">
        <v>6673</v>
      </c>
    </row>
    <row r="3123" customHeight="1" spans="8:9">
      <c r="H3123" s="11">
        <v>6674</v>
      </c>
      <c r="I3123" s="11">
        <v>6674</v>
      </c>
    </row>
    <row r="3124" customHeight="1" spans="8:9">
      <c r="H3124" s="11">
        <v>6675</v>
      </c>
      <c r="I3124" s="11">
        <v>6675</v>
      </c>
    </row>
    <row r="3125" customHeight="1" spans="8:9">
      <c r="H3125" s="11">
        <v>6676</v>
      </c>
      <c r="I3125" s="11">
        <v>6676</v>
      </c>
    </row>
    <row r="3126" customHeight="1" spans="8:9">
      <c r="H3126" s="11">
        <v>6677</v>
      </c>
      <c r="I3126" s="11">
        <v>6677</v>
      </c>
    </row>
    <row r="3127" customHeight="1" spans="8:9">
      <c r="H3127" s="11">
        <v>6678</v>
      </c>
      <c r="I3127" s="11">
        <v>6678</v>
      </c>
    </row>
    <row r="3128" customHeight="1" spans="8:9">
      <c r="H3128" s="11">
        <v>6679</v>
      </c>
      <c r="I3128" s="11">
        <v>6679</v>
      </c>
    </row>
    <row r="3129" customHeight="1" spans="8:9">
      <c r="H3129" s="11">
        <v>6680</v>
      </c>
      <c r="I3129" s="11">
        <v>6680</v>
      </c>
    </row>
    <row r="3130" customHeight="1" spans="8:9">
      <c r="H3130" s="11">
        <v>6681</v>
      </c>
      <c r="I3130" s="11">
        <v>6681</v>
      </c>
    </row>
    <row r="3131" customHeight="1" spans="8:9">
      <c r="H3131" s="11">
        <v>6682</v>
      </c>
      <c r="I3131" s="11">
        <v>6682</v>
      </c>
    </row>
    <row r="3132" customHeight="1" spans="8:9">
      <c r="H3132" s="11">
        <v>6683</v>
      </c>
      <c r="I3132" s="11">
        <v>6683</v>
      </c>
    </row>
    <row r="3133" customHeight="1" spans="8:9">
      <c r="H3133" s="11">
        <v>6684</v>
      </c>
      <c r="I3133" s="11">
        <v>6684</v>
      </c>
    </row>
    <row r="3134" customHeight="1" spans="8:9">
      <c r="H3134" s="11">
        <v>6685</v>
      </c>
      <c r="I3134" s="11">
        <v>6685</v>
      </c>
    </row>
    <row r="3135" customHeight="1" spans="8:9">
      <c r="H3135" s="11">
        <v>6686</v>
      </c>
      <c r="I3135" s="11">
        <v>6686</v>
      </c>
    </row>
    <row r="3136" customHeight="1" spans="8:9">
      <c r="H3136" s="11">
        <v>6687</v>
      </c>
      <c r="I3136" s="11">
        <v>6687</v>
      </c>
    </row>
    <row r="3137" customHeight="1" spans="8:9">
      <c r="H3137" s="11">
        <v>6688</v>
      </c>
      <c r="I3137" s="11">
        <v>6688</v>
      </c>
    </row>
    <row r="3138" customHeight="1" spans="8:9">
      <c r="H3138" s="11">
        <v>6689</v>
      </c>
      <c r="I3138" s="11">
        <v>6689</v>
      </c>
    </row>
    <row r="3139" customHeight="1" spans="8:9">
      <c r="H3139" s="11">
        <v>6690</v>
      </c>
      <c r="I3139" s="11">
        <v>6690</v>
      </c>
    </row>
    <row r="3140" customHeight="1" spans="8:9">
      <c r="H3140" s="11">
        <v>6691</v>
      </c>
      <c r="I3140" s="11">
        <v>6691</v>
      </c>
    </row>
    <row r="3141" customHeight="1" spans="8:9">
      <c r="H3141" s="11">
        <v>6692</v>
      </c>
      <c r="I3141" s="11">
        <v>6692</v>
      </c>
    </row>
    <row r="3142" customHeight="1" spans="8:9">
      <c r="H3142" s="11">
        <v>6693</v>
      </c>
      <c r="I3142" s="11">
        <v>6693</v>
      </c>
    </row>
    <row r="3143" customHeight="1" spans="8:9">
      <c r="H3143" s="11">
        <v>6694</v>
      </c>
      <c r="I3143" s="11">
        <v>6694</v>
      </c>
    </row>
    <row r="3144" customHeight="1" spans="8:9">
      <c r="H3144" s="11">
        <v>6695</v>
      </c>
      <c r="I3144" s="11">
        <v>6695</v>
      </c>
    </row>
    <row r="3145" customHeight="1" spans="8:9">
      <c r="H3145" s="11">
        <v>6696</v>
      </c>
      <c r="I3145" s="11">
        <v>6696</v>
      </c>
    </row>
    <row r="3146" customHeight="1" spans="8:9">
      <c r="H3146" s="11">
        <v>6697</v>
      </c>
      <c r="I3146" s="11">
        <v>6697</v>
      </c>
    </row>
    <row r="3147" customHeight="1" spans="8:9">
      <c r="H3147" s="11">
        <v>6698</v>
      </c>
      <c r="I3147" s="11">
        <v>6698</v>
      </c>
    </row>
    <row r="3148" customHeight="1" spans="8:9">
      <c r="H3148" s="11">
        <v>6699</v>
      </c>
      <c r="I3148" s="11">
        <v>6699</v>
      </c>
    </row>
    <row r="3149" customHeight="1" spans="8:9">
      <c r="H3149" s="11">
        <v>6700</v>
      </c>
      <c r="I3149" s="11">
        <v>6700</v>
      </c>
    </row>
    <row r="3150" customHeight="1" spans="8:9">
      <c r="H3150" s="11">
        <v>6701</v>
      </c>
      <c r="I3150" s="11">
        <v>6701</v>
      </c>
    </row>
    <row r="3151" customHeight="1" spans="8:9">
      <c r="H3151" s="11">
        <v>6702</v>
      </c>
      <c r="I3151" s="11">
        <v>6702</v>
      </c>
    </row>
    <row r="3152" customHeight="1" spans="8:9">
      <c r="H3152" s="11">
        <v>6703</v>
      </c>
      <c r="I3152" s="11">
        <v>6703</v>
      </c>
    </row>
    <row r="3153" customHeight="1" spans="8:9">
      <c r="H3153" s="11">
        <v>6704</v>
      </c>
      <c r="I3153" s="11">
        <v>6704</v>
      </c>
    </row>
    <row r="3154" customHeight="1" spans="8:9">
      <c r="H3154" s="11">
        <v>6705</v>
      </c>
      <c r="I3154" s="11">
        <v>6705</v>
      </c>
    </row>
    <row r="3155" customHeight="1" spans="8:9">
      <c r="H3155" s="11">
        <v>6706</v>
      </c>
      <c r="I3155" s="11">
        <v>6706</v>
      </c>
    </row>
    <row r="3156" customHeight="1" spans="8:9">
      <c r="H3156" s="11">
        <v>6707</v>
      </c>
      <c r="I3156" s="11">
        <v>6707</v>
      </c>
    </row>
    <row r="3157" customHeight="1" spans="8:9">
      <c r="H3157" s="11">
        <v>6708</v>
      </c>
      <c r="I3157" s="11">
        <v>6708</v>
      </c>
    </row>
    <row r="3158" customHeight="1" spans="8:9">
      <c r="H3158" s="11">
        <v>6709</v>
      </c>
      <c r="I3158" s="11">
        <v>6709</v>
      </c>
    </row>
    <row r="3159" customHeight="1" spans="8:9">
      <c r="H3159" s="11">
        <v>6710</v>
      </c>
      <c r="I3159" s="11">
        <v>6710</v>
      </c>
    </row>
    <row r="3160" customHeight="1" spans="8:9">
      <c r="H3160" s="11">
        <v>6711</v>
      </c>
      <c r="I3160" s="11">
        <v>6711</v>
      </c>
    </row>
    <row r="3161" customHeight="1" spans="8:9">
      <c r="H3161" s="11">
        <v>6712</v>
      </c>
      <c r="I3161" s="11">
        <v>6712</v>
      </c>
    </row>
    <row r="3162" customHeight="1" spans="8:9">
      <c r="H3162" s="11">
        <v>6713</v>
      </c>
      <c r="I3162" s="11">
        <v>6713</v>
      </c>
    </row>
    <row r="3163" customHeight="1" spans="8:9">
      <c r="H3163" s="11">
        <v>6714</v>
      </c>
      <c r="I3163" s="11">
        <v>6714</v>
      </c>
    </row>
    <row r="3164" customHeight="1" spans="8:9">
      <c r="H3164" s="11">
        <v>6715</v>
      </c>
      <c r="I3164" s="11">
        <v>6715</v>
      </c>
    </row>
    <row r="3165" customHeight="1" spans="8:9">
      <c r="H3165" s="11">
        <v>6716</v>
      </c>
      <c r="I3165" s="11">
        <v>6716</v>
      </c>
    </row>
    <row r="3166" customHeight="1" spans="8:9">
      <c r="H3166" s="11">
        <v>6717</v>
      </c>
      <c r="I3166" s="11">
        <v>6717</v>
      </c>
    </row>
    <row r="3167" customHeight="1" spans="8:9">
      <c r="H3167" s="11">
        <v>6718</v>
      </c>
      <c r="I3167" s="11">
        <v>6718</v>
      </c>
    </row>
    <row r="3168" customHeight="1" spans="8:9">
      <c r="H3168" s="11">
        <v>6719</v>
      </c>
      <c r="I3168" s="11">
        <v>6719</v>
      </c>
    </row>
    <row r="3169" customHeight="1" spans="8:9">
      <c r="H3169" s="11">
        <v>6720</v>
      </c>
      <c r="I3169" s="11">
        <v>6720</v>
      </c>
    </row>
    <row r="3170" customHeight="1" spans="8:9">
      <c r="H3170" s="11">
        <v>6721</v>
      </c>
      <c r="I3170" s="11">
        <v>6721</v>
      </c>
    </row>
    <row r="3171" customHeight="1" spans="8:9">
      <c r="H3171" s="11">
        <v>6722</v>
      </c>
      <c r="I3171" s="11">
        <v>6722</v>
      </c>
    </row>
    <row r="3172" customHeight="1" spans="8:9">
      <c r="H3172" s="11">
        <v>6723</v>
      </c>
      <c r="I3172" s="11">
        <v>6723</v>
      </c>
    </row>
    <row r="3173" customHeight="1" spans="8:9">
      <c r="H3173" s="11">
        <v>6724</v>
      </c>
      <c r="I3173" s="11">
        <v>6724</v>
      </c>
    </row>
    <row r="3174" customHeight="1" spans="8:9">
      <c r="H3174" s="11">
        <v>6725</v>
      </c>
      <c r="I3174" s="11">
        <v>6725</v>
      </c>
    </row>
    <row r="3175" customHeight="1" spans="8:9">
      <c r="H3175" s="11">
        <v>6726</v>
      </c>
      <c r="I3175" s="11">
        <v>6726</v>
      </c>
    </row>
    <row r="3176" customHeight="1" spans="8:9">
      <c r="H3176" s="11">
        <v>6727</v>
      </c>
      <c r="I3176" s="11">
        <v>6727</v>
      </c>
    </row>
    <row r="3177" customHeight="1" spans="8:9">
      <c r="H3177" s="11">
        <v>6728</v>
      </c>
      <c r="I3177" s="11">
        <v>6728</v>
      </c>
    </row>
    <row r="3178" customHeight="1" spans="8:9">
      <c r="H3178" s="11">
        <v>6729</v>
      </c>
      <c r="I3178" s="11">
        <v>6729</v>
      </c>
    </row>
    <row r="3179" customHeight="1" spans="8:9">
      <c r="H3179" s="11">
        <v>6730</v>
      </c>
      <c r="I3179" s="11">
        <v>6730</v>
      </c>
    </row>
    <row r="3180" customHeight="1" spans="8:9">
      <c r="H3180" s="11">
        <v>6731</v>
      </c>
      <c r="I3180" s="11">
        <v>6731</v>
      </c>
    </row>
    <row r="3181" customHeight="1" spans="8:9">
      <c r="H3181" s="11">
        <v>6732</v>
      </c>
      <c r="I3181" s="11">
        <v>6732</v>
      </c>
    </row>
    <row r="3182" customHeight="1" spans="8:9">
      <c r="H3182" s="11">
        <v>6733</v>
      </c>
      <c r="I3182" s="11">
        <v>6733</v>
      </c>
    </row>
    <row r="3183" customHeight="1" spans="8:9">
      <c r="H3183" s="11">
        <v>6734</v>
      </c>
      <c r="I3183" s="11">
        <v>6734</v>
      </c>
    </row>
    <row r="3184" customHeight="1" spans="8:9">
      <c r="H3184" s="11">
        <v>6735</v>
      </c>
      <c r="I3184" s="11">
        <v>6735</v>
      </c>
    </row>
    <row r="3185" customHeight="1" spans="8:9">
      <c r="H3185" s="11">
        <v>6736</v>
      </c>
      <c r="I3185" s="11">
        <v>6736</v>
      </c>
    </row>
    <row r="3186" customHeight="1" spans="8:9">
      <c r="H3186" s="11">
        <v>6737</v>
      </c>
      <c r="I3186" s="11">
        <v>6737</v>
      </c>
    </row>
    <row r="3187" customHeight="1" spans="8:9">
      <c r="H3187" s="11">
        <v>6738</v>
      </c>
      <c r="I3187" s="11">
        <v>6738</v>
      </c>
    </row>
    <row r="3188" customHeight="1" spans="8:9">
      <c r="H3188" s="11">
        <v>6739</v>
      </c>
      <c r="I3188" s="11">
        <v>6739</v>
      </c>
    </row>
    <row r="3189" customHeight="1" spans="8:9">
      <c r="H3189" s="11">
        <v>6740</v>
      </c>
      <c r="I3189" s="11">
        <v>6740</v>
      </c>
    </row>
    <row r="3190" customHeight="1" spans="8:9">
      <c r="H3190" s="11">
        <v>6741</v>
      </c>
      <c r="I3190" s="11">
        <v>6741</v>
      </c>
    </row>
    <row r="3191" customHeight="1" spans="8:9">
      <c r="H3191" s="11">
        <v>6742</v>
      </c>
      <c r="I3191" s="11">
        <v>6742</v>
      </c>
    </row>
    <row r="3192" customHeight="1" spans="8:9">
      <c r="H3192" s="11">
        <v>6743</v>
      </c>
      <c r="I3192" s="11">
        <v>6743</v>
      </c>
    </row>
    <row r="3193" customHeight="1" spans="8:9">
      <c r="H3193" s="11">
        <v>6744</v>
      </c>
      <c r="I3193" s="11">
        <v>6744</v>
      </c>
    </row>
    <row r="3194" customHeight="1" spans="8:9">
      <c r="H3194" s="11">
        <v>6745</v>
      </c>
      <c r="I3194" s="11">
        <v>6745</v>
      </c>
    </row>
    <row r="3195" customHeight="1" spans="8:9">
      <c r="H3195" s="11">
        <v>6746</v>
      </c>
      <c r="I3195" s="11">
        <v>6746</v>
      </c>
    </row>
    <row r="3196" customHeight="1" spans="8:9">
      <c r="H3196" s="11">
        <v>6747</v>
      </c>
      <c r="I3196" s="11">
        <v>6747</v>
      </c>
    </row>
    <row r="3197" customHeight="1" spans="8:9">
      <c r="H3197" s="11">
        <v>6748</v>
      </c>
      <c r="I3197" s="11">
        <v>6748</v>
      </c>
    </row>
    <row r="3198" customHeight="1" spans="8:9">
      <c r="H3198" s="11">
        <v>6749</v>
      </c>
      <c r="I3198" s="11">
        <v>6749</v>
      </c>
    </row>
    <row r="3199" customHeight="1" spans="8:9">
      <c r="H3199" s="11">
        <v>6750</v>
      </c>
      <c r="I3199" s="11">
        <v>6750</v>
      </c>
    </row>
    <row r="3200" customHeight="1" spans="8:9">
      <c r="H3200" s="11">
        <v>6751</v>
      </c>
      <c r="I3200" s="11">
        <v>6751</v>
      </c>
    </row>
    <row r="3201" customHeight="1" spans="8:9">
      <c r="H3201" s="11">
        <v>6752</v>
      </c>
      <c r="I3201" s="11">
        <v>6752</v>
      </c>
    </row>
    <row r="3202" customHeight="1" spans="8:9">
      <c r="H3202" s="11">
        <v>6753</v>
      </c>
      <c r="I3202" s="11">
        <v>6753</v>
      </c>
    </row>
    <row r="3203" customHeight="1" spans="8:9">
      <c r="H3203" s="11">
        <v>6754</v>
      </c>
      <c r="I3203" s="11">
        <v>6754</v>
      </c>
    </row>
    <row r="3204" customHeight="1" spans="8:9">
      <c r="H3204" s="11">
        <v>6755</v>
      </c>
      <c r="I3204" s="11">
        <v>6755</v>
      </c>
    </row>
    <row r="3205" customHeight="1" spans="8:9">
      <c r="H3205" s="11">
        <v>6756</v>
      </c>
      <c r="I3205" s="11">
        <v>6756</v>
      </c>
    </row>
    <row r="3206" customHeight="1" spans="8:9">
      <c r="H3206" s="11">
        <v>6757</v>
      </c>
      <c r="I3206" s="11">
        <v>6757</v>
      </c>
    </row>
    <row r="3207" customHeight="1" spans="8:9">
      <c r="H3207" s="11">
        <v>6758</v>
      </c>
      <c r="I3207" s="11">
        <v>6758</v>
      </c>
    </row>
    <row r="3208" customHeight="1" spans="8:9">
      <c r="H3208" s="11">
        <v>6759</v>
      </c>
      <c r="I3208" s="11">
        <v>6759</v>
      </c>
    </row>
    <row r="3209" customHeight="1" spans="8:9">
      <c r="H3209" s="11">
        <v>6760</v>
      </c>
      <c r="I3209" s="11">
        <v>6760</v>
      </c>
    </row>
    <row r="3210" customHeight="1" spans="8:9">
      <c r="H3210" s="11">
        <v>6761</v>
      </c>
      <c r="I3210" s="11">
        <v>6761</v>
      </c>
    </row>
    <row r="3211" customHeight="1" spans="8:9">
      <c r="H3211" s="11">
        <v>6762</v>
      </c>
      <c r="I3211" s="11">
        <v>6762</v>
      </c>
    </row>
    <row r="3212" customHeight="1" spans="8:9">
      <c r="H3212" s="11">
        <v>6763</v>
      </c>
      <c r="I3212" s="11">
        <v>6763</v>
      </c>
    </row>
    <row r="3213" customHeight="1" spans="8:9">
      <c r="H3213" s="11">
        <v>6764</v>
      </c>
      <c r="I3213" s="11">
        <v>6764</v>
      </c>
    </row>
    <row r="3214" customHeight="1" spans="8:9">
      <c r="H3214" s="11">
        <v>6765</v>
      </c>
      <c r="I3214" s="11">
        <v>6765</v>
      </c>
    </row>
    <row r="3215" customHeight="1" spans="8:9">
      <c r="H3215" s="11">
        <v>6766</v>
      </c>
      <c r="I3215" s="11">
        <v>6766</v>
      </c>
    </row>
    <row r="3216" customHeight="1" spans="8:9">
      <c r="H3216" s="11">
        <v>6767</v>
      </c>
      <c r="I3216" s="11">
        <v>6767</v>
      </c>
    </row>
    <row r="3217" customHeight="1" spans="8:9">
      <c r="H3217" s="11">
        <v>6768</v>
      </c>
      <c r="I3217" s="11">
        <v>6768</v>
      </c>
    </row>
    <row r="3218" customHeight="1" spans="8:9">
      <c r="H3218" s="11">
        <v>6769</v>
      </c>
      <c r="I3218" s="11">
        <v>6769</v>
      </c>
    </row>
    <row r="3219" customHeight="1" spans="8:9">
      <c r="H3219" s="11">
        <v>6770</v>
      </c>
      <c r="I3219" s="11">
        <v>6770</v>
      </c>
    </row>
    <row r="3220" customHeight="1" spans="8:9">
      <c r="H3220" s="11">
        <v>6771</v>
      </c>
      <c r="I3220" s="11">
        <v>6771</v>
      </c>
    </row>
    <row r="3221" customHeight="1" spans="8:9">
      <c r="H3221" s="11">
        <v>6772</v>
      </c>
      <c r="I3221" s="11">
        <v>6772</v>
      </c>
    </row>
    <row r="3222" customHeight="1" spans="8:9">
      <c r="H3222" s="11">
        <v>6773</v>
      </c>
      <c r="I3222" s="11">
        <v>6773</v>
      </c>
    </row>
    <row r="3223" customHeight="1" spans="8:9">
      <c r="H3223" s="11">
        <v>6774</v>
      </c>
      <c r="I3223" s="11">
        <v>6774</v>
      </c>
    </row>
    <row r="3224" customHeight="1" spans="8:9">
      <c r="H3224" s="11">
        <v>6775</v>
      </c>
      <c r="I3224" s="11">
        <v>6775</v>
      </c>
    </row>
    <row r="3225" customHeight="1" spans="8:9">
      <c r="H3225" s="11">
        <v>6776</v>
      </c>
      <c r="I3225" s="11">
        <v>6776</v>
      </c>
    </row>
    <row r="3226" customHeight="1" spans="8:9">
      <c r="H3226" s="11">
        <v>6777</v>
      </c>
      <c r="I3226" s="11">
        <v>6777</v>
      </c>
    </row>
    <row r="3227" customHeight="1" spans="8:9">
      <c r="H3227" s="11">
        <v>6778</v>
      </c>
      <c r="I3227" s="11">
        <v>6778</v>
      </c>
    </row>
    <row r="3228" customHeight="1" spans="8:9">
      <c r="H3228" s="11">
        <v>6779</v>
      </c>
      <c r="I3228" s="11">
        <v>6779</v>
      </c>
    </row>
    <row r="3229" customHeight="1" spans="8:9">
      <c r="H3229" s="11">
        <v>6780</v>
      </c>
      <c r="I3229" s="11">
        <v>6780</v>
      </c>
    </row>
    <row r="3230" customHeight="1" spans="8:9">
      <c r="H3230" s="11">
        <v>6781</v>
      </c>
      <c r="I3230" s="11">
        <v>6781</v>
      </c>
    </row>
    <row r="3231" customHeight="1" spans="8:9">
      <c r="H3231" s="11">
        <v>6782</v>
      </c>
      <c r="I3231" s="11">
        <v>6782</v>
      </c>
    </row>
    <row r="3232" customHeight="1" spans="8:9">
      <c r="H3232" s="11">
        <v>6783</v>
      </c>
      <c r="I3232" s="11">
        <v>6783</v>
      </c>
    </row>
    <row r="3233" customHeight="1" spans="8:9">
      <c r="H3233" s="11">
        <v>6784</v>
      </c>
      <c r="I3233" s="11">
        <v>6784</v>
      </c>
    </row>
    <row r="3234" customHeight="1" spans="8:9">
      <c r="H3234" s="11">
        <v>6785</v>
      </c>
      <c r="I3234" s="11">
        <v>6785</v>
      </c>
    </row>
    <row r="3235" customHeight="1" spans="8:9">
      <c r="H3235" s="11">
        <v>6786</v>
      </c>
      <c r="I3235" s="11">
        <v>6786</v>
      </c>
    </row>
    <row r="3236" customHeight="1" spans="8:9">
      <c r="H3236" s="11">
        <v>6787</v>
      </c>
      <c r="I3236" s="11">
        <v>6787</v>
      </c>
    </row>
    <row r="3237" customHeight="1" spans="8:9">
      <c r="H3237" s="11">
        <v>6788</v>
      </c>
      <c r="I3237" s="11">
        <v>6788</v>
      </c>
    </row>
    <row r="3238" customHeight="1" spans="8:9">
      <c r="H3238" s="11">
        <v>6789</v>
      </c>
      <c r="I3238" s="11">
        <v>6789</v>
      </c>
    </row>
    <row r="3239" customHeight="1" spans="8:9">
      <c r="H3239" s="11">
        <v>6790</v>
      </c>
      <c r="I3239" s="11">
        <v>6790</v>
      </c>
    </row>
    <row r="3240" customHeight="1" spans="8:9">
      <c r="H3240" s="11">
        <v>6791</v>
      </c>
      <c r="I3240" s="11">
        <v>6791</v>
      </c>
    </row>
    <row r="3241" customHeight="1" spans="8:9">
      <c r="H3241" s="11">
        <v>6792</v>
      </c>
      <c r="I3241" s="11">
        <v>6792</v>
      </c>
    </row>
    <row r="3242" customHeight="1" spans="8:9">
      <c r="H3242" s="11">
        <v>6793</v>
      </c>
      <c r="I3242" s="11">
        <v>6793</v>
      </c>
    </row>
    <row r="3243" customHeight="1" spans="8:9">
      <c r="H3243" s="11">
        <v>6794</v>
      </c>
      <c r="I3243" s="11">
        <v>6794</v>
      </c>
    </row>
    <row r="3244" customHeight="1" spans="8:9">
      <c r="H3244" s="11">
        <v>6795</v>
      </c>
      <c r="I3244" s="11">
        <v>6795</v>
      </c>
    </row>
    <row r="3245" customHeight="1" spans="8:9">
      <c r="H3245" s="11">
        <v>6796</v>
      </c>
      <c r="I3245" s="11">
        <v>6796</v>
      </c>
    </row>
    <row r="3246" customHeight="1" spans="8:9">
      <c r="H3246" s="11">
        <v>6797</v>
      </c>
      <c r="I3246" s="11">
        <v>6797</v>
      </c>
    </row>
    <row r="3247" customHeight="1" spans="8:9">
      <c r="H3247" s="11">
        <v>6798</v>
      </c>
      <c r="I3247" s="11">
        <v>6798</v>
      </c>
    </row>
    <row r="3248" customHeight="1" spans="8:9">
      <c r="H3248" s="11">
        <v>6799</v>
      </c>
      <c r="I3248" s="11">
        <v>6799</v>
      </c>
    </row>
    <row r="3249" customHeight="1" spans="8:9">
      <c r="H3249" s="11" t="s">
        <v>551</v>
      </c>
      <c r="I3249" s="11" t="s">
        <v>551</v>
      </c>
    </row>
    <row r="3250" customHeight="1" spans="8:9">
      <c r="H3250" s="11" t="s">
        <v>552</v>
      </c>
      <c r="I3250" s="11" t="s">
        <v>552</v>
      </c>
    </row>
    <row r="3251" customHeight="1" spans="8:9">
      <c r="H3251" s="11" t="s">
        <v>553</v>
      </c>
      <c r="I3251" s="11" t="s">
        <v>553</v>
      </c>
    </row>
    <row r="3252" customHeight="1" spans="8:9">
      <c r="H3252" s="11" t="s">
        <v>554</v>
      </c>
      <c r="I3252" s="11" t="s">
        <v>554</v>
      </c>
    </row>
    <row r="3253" customHeight="1" spans="8:9">
      <c r="H3253" s="11" t="s">
        <v>555</v>
      </c>
      <c r="I3253" s="11" t="s">
        <v>555</v>
      </c>
    </row>
    <row r="3254" customHeight="1" spans="8:9">
      <c r="H3254" s="11" t="s">
        <v>556</v>
      </c>
      <c r="I3254" s="11" t="s">
        <v>556</v>
      </c>
    </row>
    <row r="3255" customHeight="1" spans="8:9">
      <c r="H3255" s="11" t="s">
        <v>557</v>
      </c>
      <c r="I3255" s="11" t="s">
        <v>557</v>
      </c>
    </row>
    <row r="3256" customHeight="1" spans="8:9">
      <c r="H3256" s="11" t="s">
        <v>558</v>
      </c>
      <c r="I3256" s="11" t="s">
        <v>558</v>
      </c>
    </row>
    <row r="3257" customHeight="1" spans="8:9">
      <c r="H3257" s="11" t="s">
        <v>559</v>
      </c>
      <c r="I3257" s="11" t="s">
        <v>559</v>
      </c>
    </row>
    <row r="3258" customHeight="1" spans="8:9">
      <c r="H3258" s="11" t="s">
        <v>560</v>
      </c>
      <c r="I3258" s="11" t="s">
        <v>560</v>
      </c>
    </row>
    <row r="3259" customHeight="1" spans="8:9">
      <c r="H3259" s="11" t="s">
        <v>561</v>
      </c>
      <c r="I3259" s="11" t="s">
        <v>561</v>
      </c>
    </row>
    <row r="3260" customHeight="1" spans="8:9">
      <c r="H3260" s="11" t="s">
        <v>562</v>
      </c>
      <c r="I3260" s="11" t="s">
        <v>562</v>
      </c>
    </row>
    <row r="3261" customHeight="1" spans="8:9">
      <c r="H3261" s="11" t="s">
        <v>563</v>
      </c>
      <c r="I3261" s="11" t="s">
        <v>563</v>
      </c>
    </row>
    <row r="3262" customHeight="1" spans="8:9">
      <c r="H3262" s="11" t="s">
        <v>564</v>
      </c>
      <c r="I3262" s="11" t="s">
        <v>564</v>
      </c>
    </row>
    <row r="3263" customHeight="1" spans="8:9">
      <c r="H3263" s="11" t="s">
        <v>565</v>
      </c>
      <c r="I3263" s="11" t="s">
        <v>565</v>
      </c>
    </row>
    <row r="3264" customHeight="1" spans="8:9">
      <c r="H3264" s="11" t="s">
        <v>566</v>
      </c>
      <c r="I3264" s="11" t="s">
        <v>566</v>
      </c>
    </row>
    <row r="3265" customHeight="1" spans="8:9">
      <c r="H3265" s="11" t="s">
        <v>567</v>
      </c>
      <c r="I3265" s="11" t="s">
        <v>567</v>
      </c>
    </row>
    <row r="3266" customHeight="1" spans="8:9">
      <c r="H3266" s="11" t="s">
        <v>568</v>
      </c>
      <c r="I3266" s="11" t="s">
        <v>568</v>
      </c>
    </row>
    <row r="3267" customHeight="1" spans="8:9">
      <c r="H3267" s="11" t="s">
        <v>569</v>
      </c>
      <c r="I3267" s="11" t="s">
        <v>569</v>
      </c>
    </row>
    <row r="3268" customHeight="1" spans="8:9">
      <c r="H3268" s="11" t="s">
        <v>570</v>
      </c>
      <c r="I3268" s="11" t="s">
        <v>570</v>
      </c>
    </row>
    <row r="3269" customHeight="1" spans="8:9">
      <c r="H3269" s="11" t="s">
        <v>571</v>
      </c>
      <c r="I3269" s="11" t="s">
        <v>571</v>
      </c>
    </row>
    <row r="3270" customHeight="1" spans="8:9">
      <c r="H3270" s="11" t="s">
        <v>572</v>
      </c>
      <c r="I3270" s="11" t="s">
        <v>572</v>
      </c>
    </row>
    <row r="3271" customHeight="1" spans="8:9">
      <c r="H3271" s="11" t="s">
        <v>573</v>
      </c>
      <c r="I3271" s="11" t="s">
        <v>573</v>
      </c>
    </row>
    <row r="3272" customHeight="1" spans="8:9">
      <c r="H3272" s="11" t="s">
        <v>574</v>
      </c>
      <c r="I3272" s="11" t="s">
        <v>574</v>
      </c>
    </row>
    <row r="3273" customHeight="1" spans="8:9">
      <c r="H3273" s="11" t="s">
        <v>575</v>
      </c>
      <c r="I3273" s="11" t="s">
        <v>575</v>
      </c>
    </row>
    <row r="3274" customHeight="1" spans="8:9">
      <c r="H3274" s="11" t="s">
        <v>576</v>
      </c>
      <c r="I3274" s="11" t="s">
        <v>576</v>
      </c>
    </row>
    <row r="3275" customHeight="1" spans="8:9">
      <c r="H3275" s="11" t="s">
        <v>577</v>
      </c>
      <c r="I3275" s="11" t="s">
        <v>577</v>
      </c>
    </row>
    <row r="3276" customHeight="1" spans="8:9">
      <c r="H3276" s="11" t="s">
        <v>578</v>
      </c>
      <c r="I3276" s="11" t="s">
        <v>578</v>
      </c>
    </row>
    <row r="3277" customHeight="1" spans="8:9">
      <c r="H3277" s="11" t="s">
        <v>579</v>
      </c>
      <c r="I3277" s="11" t="s">
        <v>579</v>
      </c>
    </row>
    <row r="3278" customHeight="1" spans="8:9">
      <c r="H3278" s="11" t="s">
        <v>580</v>
      </c>
      <c r="I3278" s="11" t="s">
        <v>580</v>
      </c>
    </row>
    <row r="3279" customHeight="1" spans="8:9">
      <c r="H3279" s="11" t="s">
        <v>581</v>
      </c>
      <c r="I3279" s="11" t="s">
        <v>581</v>
      </c>
    </row>
    <row r="3280" customHeight="1" spans="8:9">
      <c r="H3280" s="11" t="s">
        <v>582</v>
      </c>
      <c r="I3280" s="11" t="s">
        <v>582</v>
      </c>
    </row>
    <row r="3281" customHeight="1" spans="8:9">
      <c r="H3281" s="11" t="s">
        <v>583</v>
      </c>
      <c r="I3281" s="11" t="s">
        <v>583</v>
      </c>
    </row>
    <row r="3282" customHeight="1" spans="8:9">
      <c r="H3282" s="11" t="s">
        <v>584</v>
      </c>
      <c r="I3282" s="11" t="s">
        <v>584</v>
      </c>
    </row>
    <row r="3283" customHeight="1" spans="8:9">
      <c r="H3283" s="11" t="s">
        <v>585</v>
      </c>
      <c r="I3283" s="11" t="s">
        <v>585</v>
      </c>
    </row>
    <row r="3284" customHeight="1" spans="8:9">
      <c r="H3284" s="11" t="s">
        <v>586</v>
      </c>
      <c r="I3284" s="11" t="s">
        <v>586</v>
      </c>
    </row>
    <row r="3285" customHeight="1" spans="8:9">
      <c r="H3285" s="11" t="s">
        <v>587</v>
      </c>
      <c r="I3285" s="11" t="s">
        <v>587</v>
      </c>
    </row>
    <row r="3286" customHeight="1" spans="8:9">
      <c r="H3286" s="11" t="s">
        <v>588</v>
      </c>
      <c r="I3286" s="11" t="s">
        <v>588</v>
      </c>
    </row>
    <row r="3287" customHeight="1" spans="8:9">
      <c r="H3287" s="11" t="s">
        <v>589</v>
      </c>
      <c r="I3287" s="11" t="s">
        <v>589</v>
      </c>
    </row>
    <row r="3288" customHeight="1" spans="8:9">
      <c r="H3288" s="11" t="s">
        <v>590</v>
      </c>
      <c r="I3288" s="11" t="s">
        <v>590</v>
      </c>
    </row>
    <row r="3289" customHeight="1" spans="8:9">
      <c r="H3289" s="11" t="s">
        <v>591</v>
      </c>
      <c r="I3289" s="11" t="s">
        <v>591</v>
      </c>
    </row>
    <row r="3290" customHeight="1" spans="8:9">
      <c r="H3290" s="11" t="s">
        <v>592</v>
      </c>
      <c r="I3290" s="11" t="s">
        <v>592</v>
      </c>
    </row>
    <row r="3291" customHeight="1" spans="8:9">
      <c r="H3291" s="11" t="s">
        <v>593</v>
      </c>
      <c r="I3291" s="11" t="s">
        <v>593</v>
      </c>
    </row>
    <row r="3292" customHeight="1" spans="8:9">
      <c r="H3292" s="11" t="s">
        <v>594</v>
      </c>
      <c r="I3292" s="11" t="s">
        <v>594</v>
      </c>
    </row>
    <row r="3293" customHeight="1" spans="8:9">
      <c r="H3293" s="11" t="s">
        <v>595</v>
      </c>
      <c r="I3293" s="11" t="s">
        <v>595</v>
      </c>
    </row>
    <row r="3294" customHeight="1" spans="8:9">
      <c r="H3294" s="11" t="s">
        <v>596</v>
      </c>
      <c r="I3294" s="11" t="s">
        <v>596</v>
      </c>
    </row>
    <row r="3295" customHeight="1" spans="8:9">
      <c r="H3295" s="11" t="s">
        <v>597</v>
      </c>
      <c r="I3295" s="11" t="s">
        <v>597</v>
      </c>
    </row>
    <row r="3296" customHeight="1" spans="8:9">
      <c r="H3296" s="11" t="s">
        <v>598</v>
      </c>
      <c r="I3296" s="11" t="s">
        <v>598</v>
      </c>
    </row>
    <row r="3297" customHeight="1" spans="8:9">
      <c r="H3297" s="11" t="s">
        <v>599</v>
      </c>
      <c r="I3297" s="11" t="s">
        <v>599</v>
      </c>
    </row>
    <row r="3298" customHeight="1" spans="8:9">
      <c r="H3298" s="11" t="s">
        <v>600</v>
      </c>
      <c r="I3298" s="11" t="s">
        <v>600</v>
      </c>
    </row>
    <row r="3299" customHeight="1" spans="8:9">
      <c r="H3299" s="11" t="s">
        <v>601</v>
      </c>
      <c r="I3299" s="11" t="s">
        <v>601</v>
      </c>
    </row>
    <row r="3300" customHeight="1" spans="8:9">
      <c r="H3300" s="11" t="s">
        <v>602</v>
      </c>
      <c r="I3300" s="11" t="s">
        <v>602</v>
      </c>
    </row>
    <row r="3301" customHeight="1" spans="8:9">
      <c r="H3301" s="11" t="s">
        <v>603</v>
      </c>
      <c r="I3301" s="11" t="s">
        <v>603</v>
      </c>
    </row>
    <row r="3302" customHeight="1" spans="8:9">
      <c r="H3302" s="11" t="s">
        <v>604</v>
      </c>
      <c r="I3302" s="11" t="s">
        <v>604</v>
      </c>
    </row>
    <row r="3303" customHeight="1" spans="8:9">
      <c r="H3303" s="11" t="s">
        <v>605</v>
      </c>
      <c r="I3303" s="11" t="s">
        <v>605</v>
      </c>
    </row>
    <row r="3304" customHeight="1" spans="8:9">
      <c r="H3304" s="11" t="s">
        <v>606</v>
      </c>
      <c r="I3304" s="11" t="s">
        <v>606</v>
      </c>
    </row>
    <row r="3305" customHeight="1" spans="8:9">
      <c r="H3305" s="11" t="s">
        <v>607</v>
      </c>
      <c r="I3305" s="11" t="s">
        <v>607</v>
      </c>
    </row>
    <row r="3306" customHeight="1" spans="8:9">
      <c r="H3306" s="11" t="s">
        <v>608</v>
      </c>
      <c r="I3306" s="11" t="s">
        <v>608</v>
      </c>
    </row>
    <row r="3307" customHeight="1" spans="8:9">
      <c r="H3307" s="11" t="s">
        <v>609</v>
      </c>
      <c r="I3307" s="11" t="s">
        <v>609</v>
      </c>
    </row>
    <row r="3308" customHeight="1" spans="8:9">
      <c r="H3308" s="11" t="s">
        <v>610</v>
      </c>
      <c r="I3308" s="11" t="s">
        <v>610</v>
      </c>
    </row>
    <row r="3309" customHeight="1" spans="8:9">
      <c r="H3309" s="11" t="s">
        <v>611</v>
      </c>
      <c r="I3309" s="11" t="s">
        <v>611</v>
      </c>
    </row>
    <row r="3310" customHeight="1" spans="8:9">
      <c r="H3310" s="11" t="s">
        <v>612</v>
      </c>
      <c r="I3310" s="11" t="s">
        <v>612</v>
      </c>
    </row>
    <row r="3311" customHeight="1" spans="8:9">
      <c r="H3311" s="11" t="s">
        <v>613</v>
      </c>
      <c r="I3311" s="11" t="s">
        <v>613</v>
      </c>
    </row>
    <row r="3312" customHeight="1" spans="8:9">
      <c r="H3312" s="11" t="s">
        <v>614</v>
      </c>
      <c r="I3312" s="11" t="s">
        <v>614</v>
      </c>
    </row>
    <row r="3313" customHeight="1" spans="8:9">
      <c r="H3313" s="11" t="s">
        <v>615</v>
      </c>
      <c r="I3313" s="11" t="s">
        <v>615</v>
      </c>
    </row>
    <row r="3314" customHeight="1" spans="8:9">
      <c r="H3314" s="11" t="s">
        <v>616</v>
      </c>
      <c r="I3314" s="11" t="s">
        <v>616</v>
      </c>
    </row>
    <row r="3315" customHeight="1" spans="8:9">
      <c r="H3315" s="11" t="s">
        <v>617</v>
      </c>
      <c r="I3315" s="11" t="s">
        <v>617</v>
      </c>
    </row>
    <row r="3316" customHeight="1" spans="8:9">
      <c r="H3316" s="11" t="s">
        <v>618</v>
      </c>
      <c r="I3316" s="11" t="s">
        <v>618</v>
      </c>
    </row>
    <row r="3317" customHeight="1" spans="8:9">
      <c r="H3317" s="11" t="s">
        <v>619</v>
      </c>
      <c r="I3317" s="11" t="s">
        <v>619</v>
      </c>
    </row>
    <row r="3318" customHeight="1" spans="8:9">
      <c r="H3318" s="11" t="s">
        <v>620</v>
      </c>
      <c r="I3318" s="11" t="s">
        <v>620</v>
      </c>
    </row>
    <row r="3319" customHeight="1" spans="8:9">
      <c r="H3319" s="11" t="s">
        <v>621</v>
      </c>
      <c r="I3319" s="11" t="s">
        <v>621</v>
      </c>
    </row>
    <row r="3320" customHeight="1" spans="8:9">
      <c r="H3320" s="11" t="s">
        <v>622</v>
      </c>
      <c r="I3320" s="11" t="s">
        <v>622</v>
      </c>
    </row>
    <row r="3321" customHeight="1" spans="8:9">
      <c r="H3321" s="11" t="s">
        <v>623</v>
      </c>
      <c r="I3321" s="11" t="s">
        <v>623</v>
      </c>
    </row>
    <row r="3322" customHeight="1" spans="8:9">
      <c r="H3322" s="11" t="s">
        <v>624</v>
      </c>
      <c r="I3322" s="11" t="s">
        <v>624</v>
      </c>
    </row>
    <row r="3323" customHeight="1" spans="8:9">
      <c r="H3323" s="11" t="s">
        <v>625</v>
      </c>
      <c r="I3323" s="11" t="s">
        <v>625</v>
      </c>
    </row>
    <row r="3324" customHeight="1" spans="8:9">
      <c r="H3324" s="11" t="s">
        <v>626</v>
      </c>
      <c r="I3324" s="11" t="s">
        <v>626</v>
      </c>
    </row>
    <row r="3325" customHeight="1" spans="8:9">
      <c r="H3325" s="11" t="s">
        <v>627</v>
      </c>
      <c r="I3325" s="11" t="s">
        <v>627</v>
      </c>
    </row>
    <row r="3326" customHeight="1" spans="8:9">
      <c r="H3326" s="11" t="s">
        <v>628</v>
      </c>
      <c r="I3326" s="11" t="s">
        <v>628</v>
      </c>
    </row>
    <row r="3327" customHeight="1" spans="8:9">
      <c r="H3327" s="11" t="s">
        <v>629</v>
      </c>
      <c r="I3327" s="11" t="s">
        <v>629</v>
      </c>
    </row>
    <row r="3328" customHeight="1" spans="8:9">
      <c r="H3328" s="11" t="s">
        <v>630</v>
      </c>
      <c r="I3328" s="11" t="s">
        <v>630</v>
      </c>
    </row>
    <row r="3329" customHeight="1" spans="8:9">
      <c r="H3329" s="11" t="s">
        <v>631</v>
      </c>
      <c r="I3329" s="11" t="s">
        <v>631</v>
      </c>
    </row>
    <row r="3330" customHeight="1" spans="8:9">
      <c r="H3330" s="11" t="s">
        <v>632</v>
      </c>
      <c r="I3330" s="11" t="s">
        <v>632</v>
      </c>
    </row>
    <row r="3331" customHeight="1" spans="8:9">
      <c r="H3331" s="11" t="s">
        <v>633</v>
      </c>
      <c r="I3331" s="11" t="s">
        <v>633</v>
      </c>
    </row>
    <row r="3332" customHeight="1" spans="8:9">
      <c r="H3332" s="11" t="s">
        <v>634</v>
      </c>
      <c r="I3332" s="11" t="s">
        <v>634</v>
      </c>
    </row>
    <row r="3333" customHeight="1" spans="8:9">
      <c r="H3333" s="11" t="s">
        <v>635</v>
      </c>
      <c r="I3333" s="11" t="s">
        <v>635</v>
      </c>
    </row>
    <row r="3334" customHeight="1" spans="8:9">
      <c r="H3334" s="11" t="s">
        <v>636</v>
      </c>
      <c r="I3334" s="11" t="s">
        <v>636</v>
      </c>
    </row>
    <row r="3335" customHeight="1" spans="8:9">
      <c r="H3335" s="11" t="s">
        <v>637</v>
      </c>
      <c r="I3335" s="11" t="s">
        <v>637</v>
      </c>
    </row>
    <row r="3336" customHeight="1" spans="8:9">
      <c r="H3336" s="11" t="s">
        <v>638</v>
      </c>
      <c r="I3336" s="11" t="s">
        <v>638</v>
      </c>
    </row>
    <row r="3337" customHeight="1" spans="8:9">
      <c r="H3337" s="11" t="s">
        <v>639</v>
      </c>
      <c r="I3337" s="11" t="s">
        <v>639</v>
      </c>
    </row>
    <row r="3338" customHeight="1" spans="8:9">
      <c r="H3338" s="11" t="s">
        <v>640</v>
      </c>
      <c r="I3338" s="11" t="s">
        <v>640</v>
      </c>
    </row>
    <row r="3339" customHeight="1" spans="8:9">
      <c r="H3339" s="11" t="s">
        <v>641</v>
      </c>
      <c r="I3339" s="11" t="s">
        <v>641</v>
      </c>
    </row>
    <row r="3340" customHeight="1" spans="8:9">
      <c r="H3340" s="11" t="s">
        <v>642</v>
      </c>
      <c r="I3340" s="11" t="s">
        <v>642</v>
      </c>
    </row>
    <row r="3341" customHeight="1" spans="8:9">
      <c r="H3341" s="11" t="s">
        <v>643</v>
      </c>
      <c r="I3341" s="11" t="s">
        <v>643</v>
      </c>
    </row>
    <row r="3342" customHeight="1" spans="8:9">
      <c r="H3342" s="11" t="s">
        <v>644</v>
      </c>
      <c r="I3342" s="11" t="s">
        <v>644</v>
      </c>
    </row>
    <row r="3343" customHeight="1" spans="8:9">
      <c r="H3343" s="11" t="s">
        <v>645</v>
      </c>
      <c r="I3343" s="11" t="s">
        <v>645</v>
      </c>
    </row>
    <row r="3344" customHeight="1" spans="8:9">
      <c r="H3344" s="11" t="s">
        <v>646</v>
      </c>
      <c r="I3344" s="11" t="s">
        <v>646</v>
      </c>
    </row>
    <row r="3345" customHeight="1" spans="8:9">
      <c r="H3345" s="11" t="s">
        <v>647</v>
      </c>
      <c r="I3345" s="11" t="s">
        <v>647</v>
      </c>
    </row>
    <row r="3346" customHeight="1" spans="8:9">
      <c r="H3346" s="11" t="s">
        <v>648</v>
      </c>
      <c r="I3346" s="11" t="s">
        <v>648</v>
      </c>
    </row>
    <row r="3347" customHeight="1" spans="8:9">
      <c r="H3347" s="11" t="s">
        <v>649</v>
      </c>
      <c r="I3347" s="11" t="s">
        <v>649</v>
      </c>
    </row>
    <row r="3348" customHeight="1" spans="8:9">
      <c r="H3348" s="11" t="s">
        <v>650</v>
      </c>
      <c r="I3348" s="11" t="s">
        <v>650</v>
      </c>
    </row>
    <row r="3349" customHeight="1" spans="8:9">
      <c r="H3349" s="11" t="s">
        <v>651</v>
      </c>
      <c r="I3349" s="11" t="s">
        <v>651</v>
      </c>
    </row>
    <row r="3350" customHeight="1" spans="8:9">
      <c r="H3350" s="11" t="s">
        <v>652</v>
      </c>
      <c r="I3350" s="11" t="s">
        <v>652</v>
      </c>
    </row>
    <row r="3351" customHeight="1" spans="8:9">
      <c r="H3351" s="11" t="s">
        <v>653</v>
      </c>
      <c r="I3351" s="11" t="s">
        <v>653</v>
      </c>
    </row>
    <row r="3352" customHeight="1" spans="8:9">
      <c r="H3352" s="11" t="s">
        <v>654</v>
      </c>
      <c r="I3352" s="11" t="s">
        <v>654</v>
      </c>
    </row>
    <row r="3353" customHeight="1" spans="8:9">
      <c r="H3353" s="11" t="s">
        <v>655</v>
      </c>
      <c r="I3353" s="11" t="s">
        <v>655</v>
      </c>
    </row>
    <row r="3354" customHeight="1" spans="8:9">
      <c r="H3354" s="11" t="s">
        <v>656</v>
      </c>
      <c r="I3354" s="11" t="s">
        <v>656</v>
      </c>
    </row>
    <row r="3355" customHeight="1" spans="8:9">
      <c r="H3355" s="11" t="s">
        <v>657</v>
      </c>
      <c r="I3355" s="11" t="s">
        <v>657</v>
      </c>
    </row>
    <row r="3356" customHeight="1" spans="8:9">
      <c r="H3356" s="11" t="s">
        <v>658</v>
      </c>
      <c r="I3356" s="11" t="s">
        <v>658</v>
      </c>
    </row>
    <row r="3357" customHeight="1" spans="8:9">
      <c r="H3357" s="11" t="s">
        <v>659</v>
      </c>
      <c r="I3357" s="11" t="s">
        <v>659</v>
      </c>
    </row>
    <row r="3358" customHeight="1" spans="8:9">
      <c r="H3358" s="11" t="s">
        <v>660</v>
      </c>
      <c r="I3358" s="11" t="s">
        <v>660</v>
      </c>
    </row>
    <row r="3359" customHeight="1" spans="8:9">
      <c r="H3359" s="11" t="s">
        <v>661</v>
      </c>
      <c r="I3359" s="11" t="s">
        <v>661</v>
      </c>
    </row>
    <row r="3360" customHeight="1" spans="8:9">
      <c r="H3360" s="11" t="s">
        <v>662</v>
      </c>
      <c r="I3360" s="11" t="s">
        <v>662</v>
      </c>
    </row>
    <row r="3361" customHeight="1" spans="8:9">
      <c r="H3361" s="11" t="s">
        <v>663</v>
      </c>
      <c r="I3361" s="11" t="s">
        <v>663</v>
      </c>
    </row>
    <row r="3362" customHeight="1" spans="8:9">
      <c r="H3362" s="11" t="s">
        <v>664</v>
      </c>
      <c r="I3362" s="11" t="s">
        <v>664</v>
      </c>
    </row>
    <row r="3363" customHeight="1" spans="8:9">
      <c r="H3363" s="11" t="s">
        <v>665</v>
      </c>
      <c r="I3363" s="11" t="s">
        <v>665</v>
      </c>
    </row>
    <row r="3364" customHeight="1" spans="8:9">
      <c r="H3364" s="11" t="s">
        <v>666</v>
      </c>
      <c r="I3364" s="11" t="s">
        <v>666</v>
      </c>
    </row>
    <row r="3365" customHeight="1" spans="8:9">
      <c r="H3365" s="11" t="s">
        <v>667</v>
      </c>
      <c r="I3365" s="11" t="s">
        <v>667</v>
      </c>
    </row>
    <row r="3366" customHeight="1" spans="8:9">
      <c r="H3366" s="11" t="s">
        <v>668</v>
      </c>
      <c r="I3366" s="11" t="s">
        <v>668</v>
      </c>
    </row>
    <row r="3367" customHeight="1" spans="8:9">
      <c r="H3367" s="11" t="s">
        <v>669</v>
      </c>
      <c r="I3367" s="11" t="s">
        <v>669</v>
      </c>
    </row>
    <row r="3368" customHeight="1" spans="8:9">
      <c r="H3368" s="11" t="s">
        <v>670</v>
      </c>
      <c r="I3368" s="11" t="s">
        <v>670</v>
      </c>
    </row>
    <row r="3369" customHeight="1" spans="8:9">
      <c r="H3369" s="11" t="s">
        <v>671</v>
      </c>
      <c r="I3369" s="11" t="s">
        <v>671</v>
      </c>
    </row>
    <row r="3370" customHeight="1" spans="8:9">
      <c r="H3370" s="11" t="s">
        <v>672</v>
      </c>
      <c r="I3370" s="11" t="s">
        <v>672</v>
      </c>
    </row>
    <row r="3371" customHeight="1" spans="8:9">
      <c r="H3371" s="11" t="s">
        <v>673</v>
      </c>
      <c r="I3371" s="11" t="s">
        <v>673</v>
      </c>
    </row>
    <row r="3372" customHeight="1" spans="8:9">
      <c r="H3372" s="11" t="s">
        <v>674</v>
      </c>
      <c r="I3372" s="11" t="s">
        <v>674</v>
      </c>
    </row>
    <row r="3373" customHeight="1" spans="8:9">
      <c r="H3373" s="11" t="s">
        <v>675</v>
      </c>
      <c r="I3373" s="11" t="s">
        <v>675</v>
      </c>
    </row>
    <row r="3374" customHeight="1" spans="8:9">
      <c r="H3374" s="11" t="s">
        <v>676</v>
      </c>
      <c r="I3374" s="11" t="s">
        <v>676</v>
      </c>
    </row>
    <row r="3375" customHeight="1" spans="8:9">
      <c r="H3375" s="11" t="s">
        <v>677</v>
      </c>
      <c r="I3375" s="11" t="s">
        <v>677</v>
      </c>
    </row>
    <row r="3376" customHeight="1" spans="8:9">
      <c r="H3376" s="11" t="s">
        <v>678</v>
      </c>
      <c r="I3376" s="11" t="s">
        <v>678</v>
      </c>
    </row>
    <row r="3377" customHeight="1" spans="8:9">
      <c r="H3377" s="11" t="s">
        <v>679</v>
      </c>
      <c r="I3377" s="11" t="s">
        <v>679</v>
      </c>
    </row>
    <row r="3378" customHeight="1" spans="8:9">
      <c r="H3378" s="11" t="s">
        <v>680</v>
      </c>
      <c r="I3378" s="11" t="s">
        <v>680</v>
      </c>
    </row>
    <row r="3379" customHeight="1" spans="8:9">
      <c r="H3379" s="11" t="s">
        <v>681</v>
      </c>
      <c r="I3379" s="11" t="s">
        <v>681</v>
      </c>
    </row>
    <row r="3380" customHeight="1" spans="8:9">
      <c r="H3380" s="11" t="s">
        <v>682</v>
      </c>
      <c r="I3380" s="11" t="s">
        <v>682</v>
      </c>
    </row>
    <row r="3381" customHeight="1" spans="8:9">
      <c r="H3381" s="11" t="s">
        <v>683</v>
      </c>
      <c r="I3381" s="11" t="s">
        <v>683</v>
      </c>
    </row>
    <row r="3382" customHeight="1" spans="8:9">
      <c r="H3382" s="11" t="s">
        <v>684</v>
      </c>
      <c r="I3382" s="11" t="s">
        <v>684</v>
      </c>
    </row>
    <row r="3383" customHeight="1" spans="8:9">
      <c r="H3383" s="11" t="s">
        <v>685</v>
      </c>
      <c r="I3383" s="11" t="s">
        <v>685</v>
      </c>
    </row>
    <row r="3384" customHeight="1" spans="8:9">
      <c r="H3384" s="11" t="s">
        <v>686</v>
      </c>
      <c r="I3384" s="11" t="s">
        <v>686</v>
      </c>
    </row>
    <row r="3385" customHeight="1" spans="8:9">
      <c r="H3385" s="11" t="s">
        <v>687</v>
      </c>
      <c r="I3385" s="11" t="s">
        <v>687</v>
      </c>
    </row>
    <row r="3386" customHeight="1" spans="8:9">
      <c r="H3386" s="11" t="s">
        <v>688</v>
      </c>
      <c r="I3386" s="11" t="s">
        <v>688</v>
      </c>
    </row>
    <row r="3387" customHeight="1" spans="8:9">
      <c r="H3387" s="11" t="s">
        <v>689</v>
      </c>
      <c r="I3387" s="11" t="s">
        <v>689</v>
      </c>
    </row>
    <row r="3388" customHeight="1" spans="8:9">
      <c r="H3388" s="11" t="s">
        <v>690</v>
      </c>
      <c r="I3388" s="11" t="s">
        <v>690</v>
      </c>
    </row>
    <row r="3389" customHeight="1" spans="8:9">
      <c r="H3389" s="11" t="s">
        <v>691</v>
      </c>
      <c r="I3389" s="11" t="s">
        <v>691</v>
      </c>
    </row>
    <row r="3390" customHeight="1" spans="8:9">
      <c r="H3390" s="11" t="s">
        <v>692</v>
      </c>
      <c r="I3390" s="11" t="s">
        <v>692</v>
      </c>
    </row>
    <row r="3391" customHeight="1" spans="8:9">
      <c r="H3391" s="11" t="s">
        <v>693</v>
      </c>
      <c r="I3391" s="11" t="s">
        <v>693</v>
      </c>
    </row>
    <row r="3392" customHeight="1" spans="8:9">
      <c r="H3392" s="11" t="s">
        <v>694</v>
      </c>
      <c r="I3392" s="11" t="s">
        <v>694</v>
      </c>
    </row>
    <row r="3393" customHeight="1" spans="8:9">
      <c r="H3393" s="11" t="s">
        <v>695</v>
      </c>
      <c r="I3393" s="11" t="s">
        <v>695</v>
      </c>
    </row>
    <row r="3394" customHeight="1" spans="8:9">
      <c r="H3394" s="11" t="s">
        <v>696</v>
      </c>
      <c r="I3394" s="11" t="s">
        <v>696</v>
      </c>
    </row>
    <row r="3395" customHeight="1" spans="8:9">
      <c r="H3395" s="11" t="s">
        <v>697</v>
      </c>
      <c r="I3395" s="11" t="s">
        <v>697</v>
      </c>
    </row>
    <row r="3396" customHeight="1" spans="8:9">
      <c r="H3396" s="11" t="s">
        <v>698</v>
      </c>
      <c r="I3396" s="11" t="s">
        <v>698</v>
      </c>
    </row>
    <row r="3397" customHeight="1" spans="8:9">
      <c r="H3397" s="11" t="s">
        <v>699</v>
      </c>
      <c r="I3397" s="11" t="s">
        <v>699</v>
      </c>
    </row>
    <row r="3398" customHeight="1" spans="8:9">
      <c r="H3398" s="11" t="s">
        <v>700</v>
      </c>
      <c r="I3398" s="11" t="s">
        <v>700</v>
      </c>
    </row>
    <row r="3399" customHeight="1" spans="8:9">
      <c r="H3399" s="11" t="s">
        <v>701</v>
      </c>
      <c r="I3399" s="11" t="s">
        <v>701</v>
      </c>
    </row>
    <row r="3400" customHeight="1" spans="8:9">
      <c r="H3400" s="11" t="s">
        <v>702</v>
      </c>
      <c r="I3400" s="11" t="s">
        <v>702</v>
      </c>
    </row>
    <row r="3401" customHeight="1" spans="8:9">
      <c r="H3401" s="11" t="s">
        <v>703</v>
      </c>
      <c r="I3401" s="11" t="s">
        <v>703</v>
      </c>
    </row>
    <row r="3402" customHeight="1" spans="8:9">
      <c r="H3402" s="11" t="s">
        <v>704</v>
      </c>
      <c r="I3402" s="11" t="s">
        <v>704</v>
      </c>
    </row>
    <row r="3403" customHeight="1" spans="8:9">
      <c r="H3403" s="11" t="s">
        <v>705</v>
      </c>
      <c r="I3403" s="11" t="s">
        <v>705</v>
      </c>
    </row>
    <row r="3404" customHeight="1" spans="8:9">
      <c r="H3404" s="11" t="s">
        <v>706</v>
      </c>
      <c r="I3404" s="11" t="s">
        <v>706</v>
      </c>
    </row>
    <row r="3405" customHeight="1" spans="8:9">
      <c r="H3405" s="11" t="s">
        <v>707</v>
      </c>
      <c r="I3405" s="11" t="s">
        <v>707</v>
      </c>
    </row>
    <row r="3406" customHeight="1" spans="8:9">
      <c r="H3406" s="11" t="s">
        <v>708</v>
      </c>
      <c r="I3406" s="11" t="s">
        <v>708</v>
      </c>
    </row>
    <row r="3407" customHeight="1" spans="8:9">
      <c r="H3407" s="11" t="s">
        <v>709</v>
      </c>
      <c r="I3407" s="11" t="s">
        <v>709</v>
      </c>
    </row>
    <row r="3408" customHeight="1" spans="8:9">
      <c r="H3408" s="11" t="s">
        <v>710</v>
      </c>
      <c r="I3408" s="11" t="s">
        <v>710</v>
      </c>
    </row>
    <row r="3409" customHeight="1" spans="8:9">
      <c r="H3409" s="11" t="s">
        <v>711</v>
      </c>
      <c r="I3409" s="11" t="s">
        <v>711</v>
      </c>
    </row>
    <row r="3410" customHeight="1" spans="8:9">
      <c r="H3410" s="11" t="s">
        <v>712</v>
      </c>
      <c r="I3410" s="11" t="s">
        <v>712</v>
      </c>
    </row>
    <row r="3411" customHeight="1" spans="8:9">
      <c r="H3411" s="11" t="s">
        <v>713</v>
      </c>
      <c r="I3411" s="11" t="s">
        <v>713</v>
      </c>
    </row>
    <row r="3412" customHeight="1" spans="8:9">
      <c r="H3412" s="11" t="s">
        <v>714</v>
      </c>
      <c r="I3412" s="11" t="s">
        <v>714</v>
      </c>
    </row>
    <row r="3413" customHeight="1" spans="8:9">
      <c r="H3413" s="11" t="s">
        <v>715</v>
      </c>
      <c r="I3413" s="11" t="s">
        <v>715</v>
      </c>
    </row>
    <row r="3414" customHeight="1" spans="8:9">
      <c r="H3414" s="11" t="s">
        <v>716</v>
      </c>
      <c r="I3414" s="11" t="s">
        <v>716</v>
      </c>
    </row>
    <row r="3415" customHeight="1" spans="8:9">
      <c r="H3415" s="11" t="s">
        <v>717</v>
      </c>
      <c r="I3415" s="11" t="s">
        <v>717</v>
      </c>
    </row>
    <row r="3416" customHeight="1" spans="8:9">
      <c r="H3416" s="11" t="s">
        <v>718</v>
      </c>
      <c r="I3416" s="11" t="s">
        <v>718</v>
      </c>
    </row>
    <row r="3417" customHeight="1" spans="8:9">
      <c r="H3417" s="11" t="s">
        <v>719</v>
      </c>
      <c r="I3417" s="11" t="s">
        <v>719</v>
      </c>
    </row>
    <row r="3418" customHeight="1" spans="8:9">
      <c r="H3418" s="11" t="s">
        <v>720</v>
      </c>
      <c r="I3418" s="11" t="s">
        <v>720</v>
      </c>
    </row>
    <row r="3419" customHeight="1" spans="8:9">
      <c r="H3419" s="11" t="s">
        <v>721</v>
      </c>
      <c r="I3419" s="11" t="s">
        <v>721</v>
      </c>
    </row>
    <row r="3420" customHeight="1" spans="8:9">
      <c r="H3420" s="11" t="s">
        <v>722</v>
      </c>
      <c r="I3420" s="11" t="s">
        <v>722</v>
      </c>
    </row>
    <row r="3421" customHeight="1" spans="8:9">
      <c r="H3421" s="11" t="s">
        <v>723</v>
      </c>
      <c r="I3421" s="11" t="s">
        <v>723</v>
      </c>
    </row>
    <row r="3422" customHeight="1" spans="8:9">
      <c r="H3422" s="11" t="s">
        <v>724</v>
      </c>
      <c r="I3422" s="11" t="s">
        <v>724</v>
      </c>
    </row>
    <row r="3423" customHeight="1" spans="8:9">
      <c r="H3423" s="11" t="s">
        <v>725</v>
      </c>
      <c r="I3423" s="11" t="s">
        <v>725</v>
      </c>
    </row>
    <row r="3424" customHeight="1" spans="8:9">
      <c r="H3424" s="11" t="s">
        <v>726</v>
      </c>
      <c r="I3424" s="11" t="s">
        <v>726</v>
      </c>
    </row>
    <row r="3425" customHeight="1" spans="8:9">
      <c r="H3425" s="11" t="s">
        <v>727</v>
      </c>
      <c r="I3425" s="11" t="s">
        <v>727</v>
      </c>
    </row>
    <row r="3426" customHeight="1" spans="8:9">
      <c r="H3426" s="11" t="s">
        <v>728</v>
      </c>
      <c r="I3426" s="11" t="s">
        <v>728</v>
      </c>
    </row>
    <row r="3427" customHeight="1" spans="8:9">
      <c r="H3427" s="11" t="s">
        <v>729</v>
      </c>
      <c r="I3427" s="11" t="s">
        <v>729</v>
      </c>
    </row>
    <row r="3428" customHeight="1" spans="8:9">
      <c r="H3428" s="11" t="s">
        <v>730</v>
      </c>
      <c r="I3428" s="11" t="s">
        <v>730</v>
      </c>
    </row>
    <row r="3429" customHeight="1" spans="8:9">
      <c r="H3429" s="11" t="s">
        <v>731</v>
      </c>
      <c r="I3429" s="11" t="s">
        <v>731</v>
      </c>
    </row>
    <row r="3430" customHeight="1" spans="8:9">
      <c r="H3430" s="11" t="s">
        <v>732</v>
      </c>
      <c r="I3430" s="11" t="s">
        <v>732</v>
      </c>
    </row>
    <row r="3431" customHeight="1" spans="8:9">
      <c r="H3431" s="11" t="s">
        <v>733</v>
      </c>
      <c r="I3431" s="11" t="s">
        <v>733</v>
      </c>
    </row>
    <row r="3432" customHeight="1" spans="8:9">
      <c r="H3432" s="11" t="s">
        <v>734</v>
      </c>
      <c r="I3432" s="11" t="s">
        <v>734</v>
      </c>
    </row>
    <row r="3433" customHeight="1" spans="8:9">
      <c r="H3433" s="11" t="s">
        <v>735</v>
      </c>
      <c r="I3433" s="11" t="s">
        <v>735</v>
      </c>
    </row>
    <row r="3434" customHeight="1" spans="8:9">
      <c r="H3434" s="11" t="s">
        <v>736</v>
      </c>
      <c r="I3434" s="11" t="s">
        <v>736</v>
      </c>
    </row>
    <row r="3435" customHeight="1" spans="8:9">
      <c r="H3435" s="11" t="s">
        <v>737</v>
      </c>
      <c r="I3435" s="11" t="s">
        <v>737</v>
      </c>
    </row>
    <row r="3436" customHeight="1" spans="8:9">
      <c r="H3436" s="11" t="s">
        <v>738</v>
      </c>
      <c r="I3436" s="11" t="s">
        <v>738</v>
      </c>
    </row>
    <row r="3437" customHeight="1" spans="8:9">
      <c r="H3437" s="11" t="s">
        <v>739</v>
      </c>
      <c r="I3437" s="11" t="s">
        <v>739</v>
      </c>
    </row>
    <row r="3438" customHeight="1" spans="8:9">
      <c r="H3438" s="11" t="s">
        <v>740</v>
      </c>
      <c r="I3438" s="11" t="s">
        <v>740</v>
      </c>
    </row>
    <row r="3439" customHeight="1" spans="8:9">
      <c r="H3439" s="11" t="s">
        <v>741</v>
      </c>
      <c r="I3439" s="11" t="s">
        <v>741</v>
      </c>
    </row>
    <row r="3440" customHeight="1" spans="8:9">
      <c r="H3440" s="11" t="s">
        <v>742</v>
      </c>
      <c r="I3440" s="11" t="s">
        <v>742</v>
      </c>
    </row>
    <row r="3441" customHeight="1" spans="8:9">
      <c r="H3441" s="11" t="s">
        <v>743</v>
      </c>
      <c r="I3441" s="11" t="s">
        <v>743</v>
      </c>
    </row>
    <row r="3442" customHeight="1" spans="8:9">
      <c r="H3442" s="11" t="s">
        <v>744</v>
      </c>
      <c r="I3442" s="11" t="s">
        <v>744</v>
      </c>
    </row>
    <row r="3443" customHeight="1" spans="8:9">
      <c r="H3443" s="11" t="s">
        <v>745</v>
      </c>
      <c r="I3443" s="11" t="s">
        <v>745</v>
      </c>
    </row>
    <row r="3444" customHeight="1" spans="8:9">
      <c r="H3444" s="11" t="s">
        <v>746</v>
      </c>
      <c r="I3444" s="11" t="s">
        <v>746</v>
      </c>
    </row>
    <row r="3445" customHeight="1" spans="8:9">
      <c r="H3445" s="11" t="s">
        <v>747</v>
      </c>
      <c r="I3445" s="11" t="s">
        <v>747</v>
      </c>
    </row>
    <row r="3446" customHeight="1" spans="8:9">
      <c r="H3446" s="11" t="s">
        <v>748</v>
      </c>
      <c r="I3446" s="11" t="s">
        <v>748</v>
      </c>
    </row>
    <row r="3447" customHeight="1" spans="8:9">
      <c r="H3447" s="11" t="s">
        <v>749</v>
      </c>
      <c r="I3447" s="11" t="s">
        <v>749</v>
      </c>
    </row>
    <row r="3448" customHeight="1" spans="8:9">
      <c r="H3448" s="11" t="s">
        <v>750</v>
      </c>
      <c r="I3448" s="11" t="s">
        <v>750</v>
      </c>
    </row>
    <row r="3449" customHeight="1" spans="8:9">
      <c r="H3449" s="11">
        <v>2898</v>
      </c>
      <c r="I3449" s="11">
        <v>2898</v>
      </c>
    </row>
    <row r="3450" customHeight="1" spans="8:9">
      <c r="H3450" s="11">
        <v>2899</v>
      </c>
      <c r="I3450" s="11">
        <v>2899</v>
      </c>
    </row>
    <row r="3451" customHeight="1" spans="8:9">
      <c r="H3451" s="11">
        <v>7151</v>
      </c>
      <c r="I3451" s="11">
        <v>7151</v>
      </c>
    </row>
    <row r="3452" customHeight="1" spans="8:9">
      <c r="H3452" s="11">
        <v>7152</v>
      </c>
      <c r="I3452" s="11">
        <v>7152</v>
      </c>
    </row>
    <row r="3453" customHeight="1" spans="8:9">
      <c r="H3453" s="11">
        <v>7153</v>
      </c>
      <c r="I3453" s="11">
        <v>7153</v>
      </c>
    </row>
    <row r="3454" customHeight="1" spans="8:9">
      <c r="H3454" s="11">
        <v>7154</v>
      </c>
      <c r="I3454" s="11">
        <v>7154</v>
      </c>
    </row>
  </sheetData>
  <mergeCells count="4">
    <mergeCell ref="B1:I1"/>
    <mergeCell ref="B2:C2"/>
    <mergeCell ref="E2:F2"/>
    <mergeCell ref="H2:I2"/>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sheetPr>
  <dimension ref="A1:O41"/>
  <sheetViews>
    <sheetView showGridLines="0" zoomScale="55" zoomScaleNormal="55" workbookViewId="0">
      <pane xSplit="2" ySplit="4" topLeftCell="C5" activePane="bottomRight" state="frozen"/>
      <selection/>
      <selection pane="topRight"/>
      <selection pane="bottomLeft"/>
      <selection pane="bottomRight" activeCell="A1" sqref="A1:O1"/>
    </sheetView>
  </sheetViews>
  <sheetFormatPr defaultColWidth="9" defaultRowHeight="16.5"/>
  <cols>
    <col min="1" max="1" width="15.7833333333333" style="62" customWidth="1"/>
    <col min="2" max="2" width="65.6333333333333" style="60" customWidth="1"/>
    <col min="3" max="14" width="12.6333333333333" style="60" customWidth="1"/>
    <col min="15" max="15" width="20.6333333333333" style="60" customWidth="1"/>
    <col min="16" max="16384" width="9" style="60"/>
  </cols>
  <sheetData>
    <row r="1" s="60" customFormat="1" ht="100.05" customHeight="1" spans="1:15">
      <c r="A1" s="64" t="str">
        <f>_xlfn.DISPIMG("ID_D6697A225B864C34A678052B48D4E660",1)</f>
        <v>=DISPIMG("ID_D6697A225B864C34A678052B48D4E660",1)</v>
      </c>
      <c r="B1" s="64"/>
      <c r="C1" s="64"/>
      <c r="D1" s="64"/>
      <c r="E1" s="64"/>
      <c r="F1" s="64"/>
      <c r="G1" s="64"/>
      <c r="H1" s="64"/>
      <c r="I1" s="64"/>
      <c r="J1" s="64"/>
      <c r="K1" s="64"/>
      <c r="L1" s="64"/>
      <c r="M1" s="64"/>
      <c r="N1" s="64"/>
      <c r="O1" s="64"/>
    </row>
    <row r="2" s="48" customFormat="1" ht="40" customHeight="1" spans="1:15">
      <c r="A2" s="65" t="s">
        <v>3</v>
      </c>
      <c r="B2" s="65"/>
      <c r="C2" s="66" t="s">
        <v>751</v>
      </c>
      <c r="D2" s="66"/>
      <c r="E2" s="66"/>
      <c r="F2" s="66"/>
      <c r="G2" s="66"/>
      <c r="H2" s="66"/>
      <c r="I2" s="66"/>
      <c r="J2" s="66"/>
      <c r="K2" s="66"/>
      <c r="L2" s="66"/>
      <c r="M2" s="66"/>
      <c r="N2" s="66"/>
      <c r="O2" s="66"/>
    </row>
    <row r="3" s="48" customFormat="1" ht="40" customHeight="1" spans="1:15">
      <c r="A3" s="68" t="s">
        <v>227</v>
      </c>
      <c r="B3" s="68"/>
      <c r="C3" s="69" t="s">
        <v>228</v>
      </c>
      <c r="D3" s="69"/>
      <c r="E3" s="69"/>
      <c r="F3" s="69" t="s">
        <v>229</v>
      </c>
      <c r="G3" s="69"/>
      <c r="H3" s="69"/>
      <c r="I3" s="69" t="s">
        <v>230</v>
      </c>
      <c r="J3" s="69"/>
      <c r="K3" s="69"/>
      <c r="L3" s="69" t="s">
        <v>231</v>
      </c>
      <c r="M3" s="69"/>
      <c r="N3" s="69"/>
      <c r="O3" s="67" t="s">
        <v>233</v>
      </c>
    </row>
    <row r="4" s="61" customFormat="1" ht="40" customHeight="1" spans="1:15">
      <c r="A4" s="67" t="s">
        <v>505</v>
      </c>
      <c r="B4" s="67" t="s">
        <v>235</v>
      </c>
      <c r="C4" s="67" t="s">
        <v>506</v>
      </c>
      <c r="D4" s="70" t="s">
        <v>237</v>
      </c>
      <c r="E4" s="70" t="s">
        <v>507</v>
      </c>
      <c r="F4" s="67" t="s">
        <v>506</v>
      </c>
      <c r="G4" s="70" t="s">
        <v>237</v>
      </c>
      <c r="H4" s="70" t="s">
        <v>507</v>
      </c>
      <c r="I4" s="67" t="s">
        <v>506</v>
      </c>
      <c r="J4" s="70" t="s">
        <v>237</v>
      </c>
      <c r="K4" s="70" t="s">
        <v>507</v>
      </c>
      <c r="L4" s="67" t="s">
        <v>506</v>
      </c>
      <c r="M4" s="70" t="s">
        <v>237</v>
      </c>
      <c r="N4" s="70" t="s">
        <v>507</v>
      </c>
      <c r="O4" s="67"/>
    </row>
    <row r="5" s="62" customFormat="1" ht="50" customHeight="1" spans="1:15">
      <c r="A5" s="67" t="s">
        <v>508</v>
      </c>
      <c r="B5" s="71" t="s">
        <v>752</v>
      </c>
      <c r="C5" s="72">
        <v>9.5</v>
      </c>
      <c r="D5" s="72">
        <v>8</v>
      </c>
      <c r="E5" s="72">
        <v>7.5</v>
      </c>
      <c r="F5" s="72">
        <f t="shared" ref="F5:F13" si="0">C5+0.5</f>
        <v>10</v>
      </c>
      <c r="G5" s="72">
        <f t="shared" ref="G5:G13" si="1">D5+0.5</f>
        <v>8.5</v>
      </c>
      <c r="H5" s="72">
        <f t="shared" ref="H5:H13" si="2">E5+0.5</f>
        <v>8</v>
      </c>
      <c r="I5" s="72">
        <f t="shared" ref="I5:I13" si="3">C5+0.2</f>
        <v>9.7</v>
      </c>
      <c r="J5" s="72">
        <f t="shared" ref="J5:J13" si="4">D5+0.2</f>
        <v>8.2</v>
      </c>
      <c r="K5" s="72">
        <f t="shared" ref="K5:K13" si="5">E5+0.2</f>
        <v>7.7</v>
      </c>
      <c r="L5" s="72">
        <f t="shared" ref="L5:L13" si="6">C5+0.5</f>
        <v>10</v>
      </c>
      <c r="M5" s="72">
        <f t="shared" ref="M5:M13" si="7">D5+0.5</f>
        <v>8.5</v>
      </c>
      <c r="N5" s="72">
        <f t="shared" ref="N5:N13" si="8">E5+0.5</f>
        <v>8</v>
      </c>
      <c r="O5" s="77" t="s">
        <v>753</v>
      </c>
    </row>
    <row r="6" s="62" customFormat="1" ht="50" customHeight="1" spans="1:15">
      <c r="A6" s="67"/>
      <c r="B6" s="71" t="s">
        <v>511</v>
      </c>
      <c r="C6" s="72">
        <v>9.5</v>
      </c>
      <c r="D6" s="72">
        <v>8</v>
      </c>
      <c r="E6" s="72">
        <v>7.5</v>
      </c>
      <c r="F6" s="72">
        <f t="shared" si="0"/>
        <v>10</v>
      </c>
      <c r="G6" s="72">
        <f t="shared" si="1"/>
        <v>8.5</v>
      </c>
      <c r="H6" s="72">
        <f t="shared" si="2"/>
        <v>8</v>
      </c>
      <c r="I6" s="72">
        <f t="shared" si="3"/>
        <v>9.7</v>
      </c>
      <c r="J6" s="72">
        <f t="shared" si="4"/>
        <v>8.2</v>
      </c>
      <c r="K6" s="72">
        <f t="shared" si="5"/>
        <v>7.7</v>
      </c>
      <c r="L6" s="72">
        <f t="shared" si="6"/>
        <v>10</v>
      </c>
      <c r="M6" s="72">
        <f t="shared" si="7"/>
        <v>8.5</v>
      </c>
      <c r="N6" s="72">
        <f t="shared" si="8"/>
        <v>8</v>
      </c>
      <c r="O6" s="77" t="s">
        <v>753</v>
      </c>
    </row>
    <row r="7" s="62" customFormat="1" ht="50" customHeight="1" spans="1:15">
      <c r="A7" s="67"/>
      <c r="B7" s="71" t="s">
        <v>754</v>
      </c>
      <c r="C7" s="72">
        <v>9.5</v>
      </c>
      <c r="D7" s="72">
        <v>8</v>
      </c>
      <c r="E7" s="72">
        <v>7.5</v>
      </c>
      <c r="F7" s="72">
        <f t="shared" si="0"/>
        <v>10</v>
      </c>
      <c r="G7" s="72">
        <f t="shared" si="1"/>
        <v>8.5</v>
      </c>
      <c r="H7" s="72">
        <f t="shared" si="2"/>
        <v>8</v>
      </c>
      <c r="I7" s="72">
        <f t="shared" si="3"/>
        <v>9.7</v>
      </c>
      <c r="J7" s="72">
        <f t="shared" si="4"/>
        <v>8.2</v>
      </c>
      <c r="K7" s="72">
        <f t="shared" si="5"/>
        <v>7.7</v>
      </c>
      <c r="L7" s="72">
        <f t="shared" si="6"/>
        <v>10</v>
      </c>
      <c r="M7" s="72">
        <f t="shared" si="7"/>
        <v>8.5</v>
      </c>
      <c r="N7" s="72">
        <f t="shared" si="8"/>
        <v>8</v>
      </c>
      <c r="O7" s="77" t="s">
        <v>753</v>
      </c>
    </row>
    <row r="8" s="62" customFormat="1" ht="50" customHeight="1" spans="1:15">
      <c r="A8" s="67"/>
      <c r="B8" s="71" t="s">
        <v>755</v>
      </c>
      <c r="C8" s="72">
        <v>11.5</v>
      </c>
      <c r="D8" s="72">
        <v>10</v>
      </c>
      <c r="E8" s="72">
        <v>9.5</v>
      </c>
      <c r="F8" s="72">
        <f t="shared" si="0"/>
        <v>12</v>
      </c>
      <c r="G8" s="72">
        <f t="shared" si="1"/>
        <v>10.5</v>
      </c>
      <c r="H8" s="72">
        <f t="shared" si="2"/>
        <v>10</v>
      </c>
      <c r="I8" s="72">
        <f t="shared" si="3"/>
        <v>11.7</v>
      </c>
      <c r="J8" s="72">
        <f t="shared" si="4"/>
        <v>10.2</v>
      </c>
      <c r="K8" s="72">
        <f t="shared" si="5"/>
        <v>9.7</v>
      </c>
      <c r="L8" s="72">
        <f t="shared" si="6"/>
        <v>12</v>
      </c>
      <c r="M8" s="72">
        <f t="shared" si="7"/>
        <v>10.5</v>
      </c>
      <c r="N8" s="72">
        <f t="shared" si="8"/>
        <v>10</v>
      </c>
      <c r="O8" s="77" t="s">
        <v>756</v>
      </c>
    </row>
    <row r="9" s="62" customFormat="1" ht="50" customHeight="1" spans="1:15">
      <c r="A9" s="67"/>
      <c r="B9" s="79" t="s">
        <v>515</v>
      </c>
      <c r="C9" s="72">
        <v>9.5</v>
      </c>
      <c r="D9" s="72">
        <v>8</v>
      </c>
      <c r="E9" s="72">
        <v>7.5</v>
      </c>
      <c r="F9" s="72">
        <f t="shared" si="0"/>
        <v>10</v>
      </c>
      <c r="G9" s="72">
        <f t="shared" si="1"/>
        <v>8.5</v>
      </c>
      <c r="H9" s="72">
        <f t="shared" si="2"/>
        <v>8</v>
      </c>
      <c r="I9" s="72">
        <f t="shared" si="3"/>
        <v>9.7</v>
      </c>
      <c r="J9" s="72">
        <f t="shared" si="4"/>
        <v>8.2</v>
      </c>
      <c r="K9" s="72">
        <f t="shared" si="5"/>
        <v>7.7</v>
      </c>
      <c r="L9" s="72">
        <f t="shared" si="6"/>
        <v>10</v>
      </c>
      <c r="M9" s="72">
        <f t="shared" si="7"/>
        <v>8.5</v>
      </c>
      <c r="N9" s="72">
        <f t="shared" si="8"/>
        <v>8</v>
      </c>
      <c r="O9" s="77" t="s">
        <v>757</v>
      </c>
    </row>
    <row r="10" s="62" customFormat="1" ht="40" customHeight="1" spans="1:15">
      <c r="A10" s="67" t="s">
        <v>516</v>
      </c>
      <c r="B10" s="79" t="s">
        <v>758</v>
      </c>
      <c r="C10" s="72">
        <v>11.5</v>
      </c>
      <c r="D10" s="72">
        <v>10.5</v>
      </c>
      <c r="E10" s="72">
        <v>9.5</v>
      </c>
      <c r="F10" s="72">
        <f t="shared" si="0"/>
        <v>12</v>
      </c>
      <c r="G10" s="72">
        <f t="shared" si="1"/>
        <v>11</v>
      </c>
      <c r="H10" s="72">
        <f t="shared" si="2"/>
        <v>10</v>
      </c>
      <c r="I10" s="72">
        <f t="shared" si="3"/>
        <v>11.7</v>
      </c>
      <c r="J10" s="72">
        <f t="shared" si="4"/>
        <v>10.7</v>
      </c>
      <c r="K10" s="72">
        <f t="shared" si="5"/>
        <v>9.7</v>
      </c>
      <c r="L10" s="72">
        <f t="shared" si="6"/>
        <v>12</v>
      </c>
      <c r="M10" s="72">
        <f t="shared" si="7"/>
        <v>11</v>
      </c>
      <c r="N10" s="72">
        <f t="shared" si="8"/>
        <v>10</v>
      </c>
      <c r="O10" s="77" t="s">
        <v>753</v>
      </c>
    </row>
    <row r="11" s="62" customFormat="1" ht="40" customHeight="1" spans="1:15">
      <c r="A11" s="67"/>
      <c r="B11" s="79" t="s">
        <v>759</v>
      </c>
      <c r="C11" s="72">
        <v>11.5</v>
      </c>
      <c r="D11" s="72">
        <v>10.5</v>
      </c>
      <c r="E11" s="72">
        <v>9.5</v>
      </c>
      <c r="F11" s="72">
        <f t="shared" si="0"/>
        <v>12</v>
      </c>
      <c r="G11" s="72">
        <f t="shared" si="1"/>
        <v>11</v>
      </c>
      <c r="H11" s="72">
        <f t="shared" si="2"/>
        <v>10</v>
      </c>
      <c r="I11" s="72">
        <f t="shared" si="3"/>
        <v>11.7</v>
      </c>
      <c r="J11" s="72">
        <f t="shared" si="4"/>
        <v>10.7</v>
      </c>
      <c r="K11" s="72">
        <f t="shared" si="5"/>
        <v>9.7</v>
      </c>
      <c r="L11" s="72">
        <f t="shared" si="6"/>
        <v>12</v>
      </c>
      <c r="M11" s="72">
        <f t="shared" si="7"/>
        <v>11</v>
      </c>
      <c r="N11" s="72">
        <f t="shared" si="8"/>
        <v>10</v>
      </c>
      <c r="O11" s="77" t="s">
        <v>753</v>
      </c>
    </row>
    <row r="12" s="62" customFormat="1" ht="40" customHeight="1" spans="1:15">
      <c r="A12" s="67"/>
      <c r="B12" s="79" t="s">
        <v>760</v>
      </c>
      <c r="C12" s="72">
        <v>15</v>
      </c>
      <c r="D12" s="72">
        <v>13.5</v>
      </c>
      <c r="E12" s="72">
        <v>12</v>
      </c>
      <c r="F12" s="72">
        <f t="shared" si="0"/>
        <v>15.5</v>
      </c>
      <c r="G12" s="72">
        <f t="shared" si="1"/>
        <v>14</v>
      </c>
      <c r="H12" s="72">
        <f t="shared" si="2"/>
        <v>12.5</v>
      </c>
      <c r="I12" s="72">
        <f t="shared" si="3"/>
        <v>15.2</v>
      </c>
      <c r="J12" s="72">
        <f t="shared" si="4"/>
        <v>13.7</v>
      </c>
      <c r="K12" s="72">
        <f t="shared" si="5"/>
        <v>12.2</v>
      </c>
      <c r="L12" s="72">
        <f t="shared" si="6"/>
        <v>15.5</v>
      </c>
      <c r="M12" s="72">
        <f t="shared" si="7"/>
        <v>14</v>
      </c>
      <c r="N12" s="72">
        <f t="shared" si="8"/>
        <v>12.5</v>
      </c>
      <c r="O12" s="77" t="s">
        <v>756</v>
      </c>
    </row>
    <row r="13" s="62" customFormat="1" ht="40" customHeight="1" spans="1:15">
      <c r="A13" s="67"/>
      <c r="B13" s="79" t="s">
        <v>761</v>
      </c>
      <c r="C13" s="72">
        <v>13.5</v>
      </c>
      <c r="D13" s="72">
        <v>12.5</v>
      </c>
      <c r="E13" s="72">
        <v>11.5</v>
      </c>
      <c r="F13" s="72">
        <f t="shared" si="0"/>
        <v>14</v>
      </c>
      <c r="G13" s="72">
        <f t="shared" si="1"/>
        <v>13</v>
      </c>
      <c r="H13" s="72">
        <f t="shared" si="2"/>
        <v>12</v>
      </c>
      <c r="I13" s="72">
        <f t="shared" si="3"/>
        <v>13.7</v>
      </c>
      <c r="J13" s="72">
        <f t="shared" si="4"/>
        <v>12.7</v>
      </c>
      <c r="K13" s="72">
        <f t="shared" si="5"/>
        <v>11.7</v>
      </c>
      <c r="L13" s="72">
        <f t="shared" si="6"/>
        <v>14</v>
      </c>
      <c r="M13" s="72">
        <f t="shared" si="7"/>
        <v>13</v>
      </c>
      <c r="N13" s="72">
        <f t="shared" si="8"/>
        <v>12</v>
      </c>
      <c r="O13" s="77" t="s">
        <v>762</v>
      </c>
    </row>
    <row r="14" s="63" customFormat="1" ht="30" customHeight="1" spans="1:15">
      <c r="A14" s="86" t="s">
        <v>265</v>
      </c>
      <c r="B14" s="86"/>
      <c r="C14" s="87" t="s">
        <v>521</v>
      </c>
      <c r="D14" s="88"/>
      <c r="E14" s="87"/>
      <c r="F14" s="87"/>
      <c r="G14" s="87"/>
      <c r="H14" s="87"/>
      <c r="I14" s="87"/>
      <c r="J14" s="87"/>
      <c r="K14" s="87"/>
      <c r="L14" s="87"/>
      <c r="M14" s="87"/>
      <c r="N14" s="87"/>
      <c r="O14" s="89"/>
    </row>
    <row r="15" s="63" customFormat="1" ht="100" customHeight="1" spans="1:15">
      <c r="A15" s="86" t="s">
        <v>522</v>
      </c>
      <c r="B15" s="86"/>
      <c r="C15" s="87" t="s">
        <v>523</v>
      </c>
      <c r="D15" s="88"/>
      <c r="E15" s="87"/>
      <c r="F15" s="87"/>
      <c r="G15" s="87"/>
      <c r="H15" s="87"/>
      <c r="I15" s="87"/>
      <c r="J15" s="87"/>
      <c r="K15" s="87"/>
      <c r="L15" s="87"/>
      <c r="M15" s="87"/>
      <c r="N15" s="87"/>
      <c r="O15" s="89"/>
    </row>
    <row r="16" s="63" customFormat="1" ht="60" customHeight="1" spans="1:15">
      <c r="A16" s="86" t="s">
        <v>763</v>
      </c>
      <c r="B16" s="86"/>
      <c r="C16" s="87" t="s">
        <v>764</v>
      </c>
      <c r="D16" s="88"/>
      <c r="E16" s="87"/>
      <c r="F16" s="87"/>
      <c r="G16" s="87"/>
      <c r="H16" s="87"/>
      <c r="I16" s="87"/>
      <c r="J16" s="87"/>
      <c r="K16" s="87"/>
      <c r="L16" s="87"/>
      <c r="M16" s="87"/>
      <c r="N16" s="87"/>
      <c r="O16" s="89"/>
    </row>
    <row r="17" s="63" customFormat="1" ht="40" customHeight="1" spans="1:15">
      <c r="A17" s="86" t="s">
        <v>524</v>
      </c>
      <c r="B17" s="86"/>
      <c r="C17" s="87" t="s">
        <v>525</v>
      </c>
      <c r="D17" s="88"/>
      <c r="E17" s="90" t="s">
        <v>526</v>
      </c>
      <c r="F17" s="90"/>
      <c r="G17" s="90"/>
      <c r="H17" s="90" t="s">
        <v>527</v>
      </c>
      <c r="I17" s="90"/>
      <c r="J17" s="90"/>
      <c r="K17" s="90" t="s">
        <v>528</v>
      </c>
      <c r="L17" s="90"/>
      <c r="M17" s="90"/>
      <c r="N17" s="90" t="s">
        <v>529</v>
      </c>
      <c r="O17" s="91"/>
    </row>
    <row r="18" s="63" customFormat="1" ht="40" customHeight="1" spans="1:15">
      <c r="A18" s="86"/>
      <c r="B18" s="86"/>
      <c r="C18" s="92"/>
      <c r="D18" s="87"/>
      <c r="E18" s="90"/>
      <c r="F18" s="90"/>
      <c r="G18" s="90"/>
      <c r="H18" s="90"/>
      <c r="I18" s="90"/>
      <c r="J18" s="90"/>
      <c r="K18" s="90"/>
      <c r="L18" s="90"/>
      <c r="M18" s="90"/>
      <c r="N18" s="90"/>
      <c r="O18" s="91"/>
    </row>
    <row r="19" s="63" customFormat="1" ht="30" customHeight="1" spans="1:15">
      <c r="A19" s="86"/>
      <c r="B19" s="86"/>
      <c r="C19" s="87" t="s">
        <v>530</v>
      </c>
      <c r="D19" s="88"/>
      <c r="E19" s="87"/>
      <c r="F19" s="87"/>
      <c r="G19" s="87"/>
      <c r="H19" s="87"/>
      <c r="I19" s="87"/>
      <c r="J19" s="87"/>
      <c r="K19" s="87"/>
      <c r="L19" s="87"/>
      <c r="M19" s="87"/>
      <c r="N19" s="87"/>
      <c r="O19" s="88"/>
    </row>
    <row r="20" s="63" customFormat="1" ht="30" customHeight="1" spans="1:15">
      <c r="A20" s="86"/>
      <c r="B20" s="86"/>
      <c r="C20" s="87" t="s">
        <v>531</v>
      </c>
      <c r="D20" s="88"/>
      <c r="E20" s="87"/>
      <c r="F20" s="87"/>
      <c r="G20" s="87"/>
      <c r="H20" s="87"/>
      <c r="I20" s="87"/>
      <c r="J20" s="87"/>
      <c r="K20" s="87"/>
      <c r="L20" s="87"/>
      <c r="M20" s="87"/>
      <c r="N20" s="87"/>
      <c r="O20" s="88"/>
    </row>
    <row r="21" s="63" customFormat="1" ht="30" customHeight="1" spans="1:15">
      <c r="A21" s="86"/>
      <c r="B21" s="86"/>
      <c r="C21" s="87" t="s">
        <v>765</v>
      </c>
      <c r="D21" s="88"/>
      <c r="E21" s="87"/>
      <c r="F21" s="87"/>
      <c r="G21" s="87"/>
      <c r="H21" s="87"/>
      <c r="I21" s="87"/>
      <c r="J21" s="87"/>
      <c r="K21" s="87"/>
      <c r="L21" s="87"/>
      <c r="M21" s="87"/>
      <c r="N21" s="87"/>
      <c r="O21" s="89"/>
    </row>
    <row r="22" s="63" customFormat="1" ht="79" customHeight="1" spans="1:15">
      <c r="A22" s="86" t="s">
        <v>532</v>
      </c>
      <c r="B22" s="86"/>
      <c r="C22" s="87" t="s">
        <v>533</v>
      </c>
      <c r="D22" s="88"/>
      <c r="E22" s="87"/>
      <c r="F22" s="87"/>
      <c r="G22" s="87"/>
      <c r="H22" s="87"/>
      <c r="I22" s="87"/>
      <c r="J22" s="87"/>
      <c r="K22" s="87"/>
      <c r="L22" s="87"/>
      <c r="M22" s="87"/>
      <c r="N22" s="87"/>
      <c r="O22" s="88"/>
    </row>
    <row r="23" s="63" customFormat="1" ht="110" customHeight="1" spans="1:15">
      <c r="A23" s="86"/>
      <c r="B23" s="86"/>
      <c r="C23" s="87" t="s">
        <v>534</v>
      </c>
      <c r="D23" s="88"/>
      <c r="E23" s="87"/>
      <c r="F23" s="87"/>
      <c r="G23" s="87"/>
      <c r="H23" s="87"/>
      <c r="I23" s="87"/>
      <c r="J23" s="87"/>
      <c r="K23" s="87"/>
      <c r="L23" s="87"/>
      <c r="M23" s="87"/>
      <c r="N23" s="87"/>
      <c r="O23" s="88"/>
    </row>
    <row r="24" s="63" customFormat="1" ht="30" customHeight="1" spans="1:15">
      <c r="A24" s="86"/>
      <c r="B24" s="86"/>
      <c r="C24" s="87" t="s">
        <v>535</v>
      </c>
      <c r="D24" s="88"/>
      <c r="E24" s="87"/>
      <c r="F24" s="87"/>
      <c r="G24" s="87"/>
      <c r="H24" s="87"/>
      <c r="I24" s="87"/>
      <c r="J24" s="87"/>
      <c r="K24" s="87"/>
      <c r="L24" s="87"/>
      <c r="M24" s="87"/>
      <c r="N24" s="87"/>
      <c r="O24" s="89"/>
    </row>
    <row r="25" s="60" customFormat="1" ht="43" customHeight="1" spans="1:15">
      <c r="A25" s="86" t="s">
        <v>272</v>
      </c>
      <c r="B25" s="86"/>
      <c r="C25" s="87" t="s">
        <v>273</v>
      </c>
      <c r="D25" s="89"/>
      <c r="E25" s="87"/>
      <c r="F25" s="87"/>
      <c r="G25" s="87"/>
      <c r="H25" s="87"/>
      <c r="I25" s="87"/>
      <c r="J25" s="87"/>
      <c r="K25" s="87"/>
      <c r="L25" s="87"/>
      <c r="M25" s="87"/>
      <c r="N25" s="87"/>
      <c r="O25" s="89"/>
    </row>
    <row r="26" ht="30" customHeight="1" spans="1:15">
      <c r="A26" s="86" t="s">
        <v>274</v>
      </c>
      <c r="B26" s="86"/>
      <c r="C26" s="87" t="s">
        <v>275</v>
      </c>
      <c r="D26" s="89"/>
      <c r="E26" s="87"/>
      <c r="F26" s="87"/>
      <c r="G26" s="87"/>
      <c r="H26" s="87"/>
      <c r="I26" s="87"/>
      <c r="J26" s="87"/>
      <c r="K26" s="87"/>
      <c r="L26" s="87"/>
      <c r="M26" s="87"/>
      <c r="N26" s="87"/>
      <c r="O26" s="89"/>
    </row>
    <row r="27" ht="30" customHeight="1" spans="1:15">
      <c r="A27" s="86" t="s">
        <v>536</v>
      </c>
      <c r="B27" s="86"/>
      <c r="C27" s="87" t="s">
        <v>537</v>
      </c>
      <c r="D27" s="89"/>
      <c r="E27" s="87"/>
      <c r="F27" s="87"/>
      <c r="G27" s="87"/>
      <c r="H27" s="87"/>
      <c r="I27" s="87"/>
      <c r="J27" s="87"/>
      <c r="K27" s="87"/>
      <c r="L27" s="87"/>
      <c r="M27" s="87"/>
      <c r="N27" s="87"/>
      <c r="O27" s="89"/>
    </row>
    <row r="28" ht="34" customHeight="1" spans="1:15">
      <c r="A28" s="86" t="s">
        <v>323</v>
      </c>
      <c r="B28" s="86"/>
      <c r="C28" s="87" t="s">
        <v>455</v>
      </c>
      <c r="D28" s="89"/>
      <c r="E28" s="87"/>
      <c r="F28" s="87"/>
      <c r="G28" s="87"/>
      <c r="H28" s="87"/>
      <c r="I28" s="87"/>
      <c r="J28" s="87"/>
      <c r="K28" s="87"/>
      <c r="L28" s="87"/>
      <c r="M28" s="87"/>
      <c r="N28" s="87"/>
      <c r="O28" s="89"/>
    </row>
    <row r="29" ht="72" customHeight="1" spans="1:15">
      <c r="A29" s="86"/>
      <c r="B29" s="86"/>
      <c r="C29" s="87" t="s">
        <v>456</v>
      </c>
      <c r="D29" s="89"/>
      <c r="E29" s="87"/>
      <c r="F29" s="87"/>
      <c r="G29" s="87"/>
      <c r="H29" s="87"/>
      <c r="I29" s="87"/>
      <c r="J29" s="87"/>
      <c r="K29" s="87"/>
      <c r="L29" s="87"/>
      <c r="M29" s="87"/>
      <c r="N29" s="87"/>
      <c r="O29" s="89"/>
    </row>
    <row r="30" ht="53" customHeight="1" spans="1:15">
      <c r="A30" s="86"/>
      <c r="B30" s="86"/>
      <c r="C30" s="87" t="s">
        <v>457</v>
      </c>
      <c r="D30" s="89"/>
      <c r="E30" s="87"/>
      <c r="F30" s="87"/>
      <c r="G30" s="87"/>
      <c r="H30" s="87"/>
      <c r="I30" s="87"/>
      <c r="J30" s="87"/>
      <c r="K30" s="87"/>
      <c r="L30" s="87"/>
      <c r="M30" s="87"/>
      <c r="N30" s="87"/>
      <c r="O30" s="89"/>
    </row>
    <row r="31" ht="67" customHeight="1" spans="1:15">
      <c r="A31" s="86" t="s">
        <v>538</v>
      </c>
      <c r="B31" s="86"/>
      <c r="C31" s="87" t="s">
        <v>539</v>
      </c>
      <c r="D31" s="89"/>
      <c r="E31" s="87"/>
      <c r="F31" s="87"/>
      <c r="G31" s="87"/>
      <c r="H31" s="87"/>
      <c r="I31" s="87"/>
      <c r="J31" s="87"/>
      <c r="K31" s="87"/>
      <c r="L31" s="87"/>
      <c r="M31" s="87"/>
      <c r="N31" s="87"/>
      <c r="O31" s="89"/>
    </row>
    <row r="32" ht="40" customHeight="1" spans="1:15">
      <c r="A32" s="86" t="s">
        <v>540</v>
      </c>
      <c r="B32" s="86"/>
      <c r="C32" s="87" t="s">
        <v>541</v>
      </c>
      <c r="D32" s="89"/>
      <c r="E32" s="87"/>
      <c r="F32" s="87"/>
      <c r="G32" s="87"/>
      <c r="H32" s="87"/>
      <c r="I32" s="87"/>
      <c r="J32" s="87"/>
      <c r="K32" s="87"/>
      <c r="L32" s="87"/>
      <c r="M32" s="87"/>
      <c r="N32" s="87"/>
      <c r="O32" s="89"/>
    </row>
    <row r="33" ht="103" customHeight="1" spans="1:15">
      <c r="A33" s="86" t="s">
        <v>542</v>
      </c>
      <c r="B33" s="86" t="s">
        <v>542</v>
      </c>
      <c r="C33" s="87" t="s">
        <v>543</v>
      </c>
      <c r="D33" s="89"/>
      <c r="E33" s="87"/>
      <c r="F33" s="87"/>
      <c r="G33" s="87"/>
      <c r="H33" s="87"/>
      <c r="I33" s="87"/>
      <c r="J33" s="87"/>
      <c r="K33" s="87"/>
      <c r="L33" s="87"/>
      <c r="M33" s="87"/>
      <c r="N33" s="87"/>
      <c r="O33" s="89"/>
    </row>
    <row r="34" ht="40" customHeight="1" spans="1:15">
      <c r="A34" s="86" t="s">
        <v>544</v>
      </c>
      <c r="B34" s="86"/>
      <c r="C34" s="87" t="s">
        <v>545</v>
      </c>
      <c r="D34" s="89"/>
      <c r="E34" s="87"/>
      <c r="F34" s="87"/>
      <c r="G34" s="87"/>
      <c r="H34" s="87"/>
      <c r="I34" s="87"/>
      <c r="J34" s="87"/>
      <c r="K34" s="87"/>
      <c r="L34" s="87"/>
      <c r="M34" s="87"/>
      <c r="N34" s="87"/>
      <c r="O34" s="89"/>
    </row>
    <row r="35" ht="117" customHeight="1" spans="1:15">
      <c r="A35" s="86" t="s">
        <v>285</v>
      </c>
      <c r="B35" s="86"/>
      <c r="C35" s="87" t="s">
        <v>286</v>
      </c>
      <c r="D35" s="89"/>
      <c r="E35" s="87"/>
      <c r="F35" s="87"/>
      <c r="G35" s="87"/>
      <c r="H35" s="87"/>
      <c r="I35" s="87"/>
      <c r="J35" s="87"/>
      <c r="K35" s="87"/>
      <c r="L35" s="87"/>
      <c r="M35" s="87"/>
      <c r="N35" s="87"/>
      <c r="O35" s="89"/>
    </row>
    <row r="36" ht="30" customHeight="1" spans="1:15">
      <c r="A36" s="86"/>
      <c r="B36" s="86"/>
      <c r="C36" s="87" t="s">
        <v>287</v>
      </c>
      <c r="D36" s="89"/>
      <c r="E36" s="87"/>
      <c r="F36" s="87"/>
      <c r="G36" s="87"/>
      <c r="H36" s="87"/>
      <c r="I36" s="87"/>
      <c r="J36" s="87"/>
      <c r="K36" s="87"/>
      <c r="L36" s="87"/>
      <c r="M36" s="87"/>
      <c r="N36" s="87"/>
      <c r="O36" s="89"/>
    </row>
    <row r="37" ht="30" customHeight="1" spans="1:15">
      <c r="A37" s="86"/>
      <c r="B37" s="86"/>
      <c r="C37" s="87" t="s">
        <v>288</v>
      </c>
      <c r="D37" s="89"/>
      <c r="E37" s="87"/>
      <c r="F37" s="87"/>
      <c r="G37" s="87"/>
      <c r="H37" s="87"/>
      <c r="I37" s="87"/>
      <c r="J37" s="87"/>
      <c r="K37" s="87"/>
      <c r="L37" s="87"/>
      <c r="M37" s="87"/>
      <c r="N37" s="87"/>
      <c r="O37" s="89"/>
    </row>
    <row r="38" ht="34" customHeight="1"/>
    <row r="39" ht="34" customHeight="1"/>
    <row r="40" ht="34" customHeight="1"/>
    <row r="41" ht="34" customHeight="1"/>
  </sheetData>
  <mergeCells count="52">
    <mergeCell ref="A1:O1"/>
    <mergeCell ref="A2:B2"/>
    <mergeCell ref="C2:O2"/>
    <mergeCell ref="A3:B3"/>
    <mergeCell ref="C3:E3"/>
    <mergeCell ref="F3:H3"/>
    <mergeCell ref="I3:K3"/>
    <mergeCell ref="L3:N3"/>
    <mergeCell ref="A14:B14"/>
    <mergeCell ref="C14:O14"/>
    <mergeCell ref="A15:B15"/>
    <mergeCell ref="C15:O15"/>
    <mergeCell ref="A16:B16"/>
    <mergeCell ref="C16:O16"/>
    <mergeCell ref="C19:O19"/>
    <mergeCell ref="C20:O20"/>
    <mergeCell ref="C21:O21"/>
    <mergeCell ref="C22:O22"/>
    <mergeCell ref="C23:O23"/>
    <mergeCell ref="C24:O24"/>
    <mergeCell ref="A25:B25"/>
    <mergeCell ref="C25:O25"/>
    <mergeCell ref="A26:B26"/>
    <mergeCell ref="C26:O26"/>
    <mergeCell ref="A27:B27"/>
    <mergeCell ref="C27:O27"/>
    <mergeCell ref="C28:O28"/>
    <mergeCell ref="C29:O29"/>
    <mergeCell ref="C30:O30"/>
    <mergeCell ref="A31:B31"/>
    <mergeCell ref="C31:O31"/>
    <mergeCell ref="A32:B32"/>
    <mergeCell ref="C32:O32"/>
    <mergeCell ref="A33:B33"/>
    <mergeCell ref="C33:O33"/>
    <mergeCell ref="A34:B34"/>
    <mergeCell ref="C34:O34"/>
    <mergeCell ref="C35:O35"/>
    <mergeCell ref="C36:O36"/>
    <mergeCell ref="C37:O37"/>
    <mergeCell ref="A5:A9"/>
    <mergeCell ref="A10:A13"/>
    <mergeCell ref="O3:O4"/>
    <mergeCell ref="A28:B30"/>
    <mergeCell ref="A22:B24"/>
    <mergeCell ref="N17:O18"/>
    <mergeCell ref="A17:B21"/>
    <mergeCell ref="A35:B37"/>
    <mergeCell ref="C17:D18"/>
    <mergeCell ref="E17:G18"/>
    <mergeCell ref="H17:J18"/>
    <mergeCell ref="K17:M18"/>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sheetPr>
  <dimension ref="A1:AA41"/>
  <sheetViews>
    <sheetView showGridLines="0" zoomScale="55" zoomScaleNormal="55" workbookViewId="0">
      <pane xSplit="2" ySplit="5" topLeftCell="C6" activePane="bottomRight" state="frozen"/>
      <selection/>
      <selection pane="topRight"/>
      <selection pane="bottomLeft"/>
      <selection pane="bottomRight" activeCell="A1" sqref="A1:AA1"/>
    </sheetView>
  </sheetViews>
  <sheetFormatPr defaultColWidth="9" defaultRowHeight="16.5"/>
  <cols>
    <col min="1" max="1" width="15.7833333333333" style="62" customWidth="1"/>
    <col min="2" max="2" width="65.6333333333333" style="60" customWidth="1"/>
    <col min="3" max="26" width="12.6333333333333" style="60" customWidth="1"/>
    <col min="27" max="27" width="20.6333333333333" style="60" customWidth="1"/>
    <col min="28" max="16384" width="9" style="60"/>
  </cols>
  <sheetData>
    <row r="1" s="60" customFormat="1" ht="100.05" customHeight="1" spans="1:27">
      <c r="A1" s="64" t="str">
        <f>_xlfn.DISPIMG("ID_D6697A225B864C34A678052B48D4E660",1)</f>
        <v>=DISPIMG("ID_D6697A225B864C34A678052B48D4E660",1)</v>
      </c>
      <c r="B1" s="64"/>
      <c r="C1" s="64"/>
      <c r="D1" s="64"/>
      <c r="E1" s="64"/>
      <c r="F1" s="64"/>
      <c r="G1" s="64"/>
      <c r="H1" s="64"/>
      <c r="I1" s="64"/>
      <c r="J1" s="64"/>
      <c r="K1" s="64"/>
      <c r="L1" s="64"/>
      <c r="M1" s="64"/>
      <c r="N1" s="64"/>
      <c r="O1" s="64"/>
      <c r="P1" s="64"/>
      <c r="Q1" s="64"/>
      <c r="R1" s="64"/>
      <c r="S1" s="64"/>
      <c r="T1" s="64"/>
      <c r="U1" s="64"/>
      <c r="V1" s="64"/>
      <c r="W1" s="64"/>
      <c r="X1" s="64"/>
      <c r="Y1" s="64"/>
      <c r="Z1" s="64"/>
      <c r="AA1" s="64"/>
    </row>
    <row r="2" s="48" customFormat="1" ht="30" customHeight="1" spans="1:27">
      <c r="A2" s="65" t="s">
        <v>3</v>
      </c>
      <c r="B2" s="65"/>
      <c r="C2" s="66" t="s">
        <v>766</v>
      </c>
      <c r="D2" s="66"/>
      <c r="E2" s="66"/>
      <c r="F2" s="66"/>
      <c r="G2" s="66"/>
      <c r="H2" s="66"/>
      <c r="I2" s="66"/>
      <c r="J2" s="66"/>
      <c r="K2" s="66"/>
      <c r="L2" s="66"/>
      <c r="M2" s="66"/>
      <c r="N2" s="66"/>
      <c r="O2" s="66"/>
      <c r="P2" s="66"/>
      <c r="Q2" s="66"/>
      <c r="R2" s="66"/>
      <c r="S2" s="66"/>
      <c r="T2" s="66"/>
      <c r="U2" s="66"/>
      <c r="V2" s="66"/>
      <c r="W2" s="66"/>
      <c r="X2" s="66"/>
      <c r="Y2" s="66"/>
      <c r="Z2" s="66"/>
      <c r="AA2" s="66"/>
    </row>
    <row r="3" s="61" customFormat="1" ht="30" customHeight="1" spans="1:27">
      <c r="A3" s="67" t="s">
        <v>265</v>
      </c>
      <c r="B3" s="67"/>
      <c r="C3" s="9" t="s">
        <v>767</v>
      </c>
      <c r="D3" s="9"/>
      <c r="E3" s="9"/>
      <c r="F3" s="9"/>
      <c r="G3" s="9"/>
      <c r="H3" s="9"/>
      <c r="I3" s="9"/>
      <c r="J3" s="9"/>
      <c r="K3" s="9"/>
      <c r="L3" s="9"/>
      <c r="M3" s="9"/>
      <c r="N3" s="9"/>
      <c r="O3" s="9" t="s">
        <v>768</v>
      </c>
      <c r="P3" s="9"/>
      <c r="Q3" s="9"/>
      <c r="R3" s="9"/>
      <c r="S3" s="9"/>
      <c r="T3" s="9"/>
      <c r="U3" s="9"/>
      <c r="V3" s="9"/>
      <c r="W3" s="9"/>
      <c r="X3" s="9"/>
      <c r="Y3" s="9"/>
      <c r="Z3" s="9"/>
      <c r="AA3" s="67" t="s">
        <v>233</v>
      </c>
    </row>
    <row r="4" s="48" customFormat="1" ht="30" customHeight="1" spans="1:27">
      <c r="A4" s="68" t="s">
        <v>227</v>
      </c>
      <c r="B4" s="68"/>
      <c r="C4" s="69" t="s">
        <v>228</v>
      </c>
      <c r="D4" s="69"/>
      <c r="E4" s="69"/>
      <c r="F4" s="69" t="s">
        <v>229</v>
      </c>
      <c r="G4" s="69"/>
      <c r="H4" s="69"/>
      <c r="I4" s="69" t="s">
        <v>230</v>
      </c>
      <c r="J4" s="69"/>
      <c r="K4" s="69"/>
      <c r="L4" s="69" t="s">
        <v>231</v>
      </c>
      <c r="M4" s="69"/>
      <c r="N4" s="69"/>
      <c r="O4" s="69" t="s">
        <v>228</v>
      </c>
      <c r="P4" s="69"/>
      <c r="Q4" s="69"/>
      <c r="R4" s="69" t="s">
        <v>229</v>
      </c>
      <c r="S4" s="69"/>
      <c r="T4" s="69"/>
      <c r="U4" s="69" t="s">
        <v>230</v>
      </c>
      <c r="V4" s="69"/>
      <c r="W4" s="69"/>
      <c r="X4" s="69" t="s">
        <v>231</v>
      </c>
      <c r="Y4" s="69"/>
      <c r="Z4" s="69"/>
      <c r="AA4" s="67"/>
    </row>
    <row r="5" s="61" customFormat="1" ht="30" customHeight="1" spans="1:27">
      <c r="A5" s="67" t="s">
        <v>505</v>
      </c>
      <c r="B5" s="67" t="s">
        <v>235</v>
      </c>
      <c r="C5" s="67" t="s">
        <v>506</v>
      </c>
      <c r="D5" s="70" t="s">
        <v>237</v>
      </c>
      <c r="E5" s="70" t="s">
        <v>507</v>
      </c>
      <c r="F5" s="67" t="s">
        <v>506</v>
      </c>
      <c r="G5" s="70" t="s">
        <v>237</v>
      </c>
      <c r="H5" s="70" t="s">
        <v>507</v>
      </c>
      <c r="I5" s="67" t="s">
        <v>506</v>
      </c>
      <c r="J5" s="70" t="s">
        <v>237</v>
      </c>
      <c r="K5" s="70" t="s">
        <v>507</v>
      </c>
      <c r="L5" s="67" t="s">
        <v>506</v>
      </c>
      <c r="M5" s="70" t="s">
        <v>237</v>
      </c>
      <c r="N5" s="70" t="s">
        <v>507</v>
      </c>
      <c r="O5" s="70" t="s">
        <v>320</v>
      </c>
      <c r="P5" s="70" t="s">
        <v>769</v>
      </c>
      <c r="Q5" s="70" t="s">
        <v>770</v>
      </c>
      <c r="R5" s="70" t="s">
        <v>320</v>
      </c>
      <c r="S5" s="70" t="s">
        <v>769</v>
      </c>
      <c r="T5" s="70" t="s">
        <v>770</v>
      </c>
      <c r="U5" s="70" t="s">
        <v>320</v>
      </c>
      <c r="V5" s="70" t="s">
        <v>769</v>
      </c>
      <c r="W5" s="70" t="s">
        <v>770</v>
      </c>
      <c r="X5" s="70" t="s">
        <v>320</v>
      </c>
      <c r="Y5" s="70" t="s">
        <v>769</v>
      </c>
      <c r="Z5" s="70" t="s">
        <v>770</v>
      </c>
      <c r="AA5" s="67"/>
    </row>
    <row r="6" s="62" customFormat="1" ht="50" customHeight="1" spans="1:27">
      <c r="A6" s="67" t="s">
        <v>508</v>
      </c>
      <c r="B6" s="71" t="s">
        <v>752</v>
      </c>
      <c r="C6" s="72">
        <v>8.5</v>
      </c>
      <c r="D6" s="72">
        <v>7.5</v>
      </c>
      <c r="E6" s="72">
        <v>7</v>
      </c>
      <c r="F6" s="72">
        <f>C6+0.5</f>
        <v>9</v>
      </c>
      <c r="G6" s="72">
        <f>D6+0.5</f>
        <v>8</v>
      </c>
      <c r="H6" s="72">
        <f>E6+0.5</f>
        <v>7.5</v>
      </c>
      <c r="I6" s="72">
        <f>C6+0.2</f>
        <v>8.7</v>
      </c>
      <c r="J6" s="72">
        <f>D6+0.2</f>
        <v>7.7</v>
      </c>
      <c r="K6" s="72">
        <f>E6+0.2</f>
        <v>7.2</v>
      </c>
      <c r="L6" s="72">
        <f>C6+0.5</f>
        <v>9</v>
      </c>
      <c r="M6" s="72">
        <f>D6+0.5</f>
        <v>8</v>
      </c>
      <c r="N6" s="72">
        <f>E6+0.5</f>
        <v>7.5</v>
      </c>
      <c r="O6" s="73">
        <v>1050</v>
      </c>
      <c r="P6" s="73">
        <v>1000</v>
      </c>
      <c r="Q6" s="74">
        <v>900</v>
      </c>
      <c r="R6" s="75">
        <f>O6+80</f>
        <v>1130</v>
      </c>
      <c r="S6" s="75">
        <f>P6+80</f>
        <v>1080</v>
      </c>
      <c r="T6" s="75">
        <f>Q6+80</f>
        <v>980</v>
      </c>
      <c r="U6" s="76">
        <f>O6+50</f>
        <v>1100</v>
      </c>
      <c r="V6" s="76">
        <f>P6+50</f>
        <v>1050</v>
      </c>
      <c r="W6" s="76">
        <f>Q6+50</f>
        <v>950</v>
      </c>
      <c r="X6" s="75">
        <f>O6+80</f>
        <v>1130</v>
      </c>
      <c r="Y6" s="75">
        <f>P6+80</f>
        <v>1080</v>
      </c>
      <c r="Z6" s="75">
        <f>Q6+80</f>
        <v>980</v>
      </c>
      <c r="AA6" s="77" t="s">
        <v>753</v>
      </c>
    </row>
    <row r="7" s="62" customFormat="1" ht="50" customHeight="1" spans="1:27">
      <c r="A7" s="67"/>
      <c r="B7" s="71" t="s">
        <v>511</v>
      </c>
      <c r="C7" s="72">
        <v>8.5</v>
      </c>
      <c r="D7" s="72">
        <v>7.5</v>
      </c>
      <c r="E7" s="72">
        <v>7</v>
      </c>
      <c r="F7" s="72">
        <f>C7+0.5</f>
        <v>9</v>
      </c>
      <c r="G7" s="72">
        <f>D7+0.5</f>
        <v>8</v>
      </c>
      <c r="H7" s="72">
        <f>E7+0.5</f>
        <v>7.5</v>
      </c>
      <c r="I7" s="72">
        <f>C7+0.2</f>
        <v>8.7</v>
      </c>
      <c r="J7" s="72">
        <f>D7+0.2</f>
        <v>7.7</v>
      </c>
      <c r="K7" s="72">
        <f>E7+0.2</f>
        <v>7.2</v>
      </c>
      <c r="L7" s="72">
        <f>C7+0.5</f>
        <v>9</v>
      </c>
      <c r="M7" s="72">
        <f>D7+0.5</f>
        <v>8</v>
      </c>
      <c r="N7" s="72">
        <f>E7+0.5</f>
        <v>7.5</v>
      </c>
      <c r="O7" s="78">
        <v>1050</v>
      </c>
      <c r="P7" s="73">
        <v>1000</v>
      </c>
      <c r="Q7" s="74">
        <v>900</v>
      </c>
      <c r="R7" s="75">
        <f>O7+80</f>
        <v>1130</v>
      </c>
      <c r="S7" s="75">
        <f>P7+80</f>
        <v>1080</v>
      </c>
      <c r="T7" s="75">
        <f>Q7+80</f>
        <v>980</v>
      </c>
      <c r="U7" s="76">
        <f>O7+50</f>
        <v>1100</v>
      </c>
      <c r="V7" s="76">
        <f>P7+50</f>
        <v>1050</v>
      </c>
      <c r="W7" s="76">
        <f>Q7+50</f>
        <v>950</v>
      </c>
      <c r="X7" s="75">
        <f>O7+80</f>
        <v>1130</v>
      </c>
      <c r="Y7" s="75">
        <f>P7+80</f>
        <v>1080</v>
      </c>
      <c r="Z7" s="75">
        <f>Q7+80</f>
        <v>980</v>
      </c>
      <c r="AA7" s="77" t="s">
        <v>753</v>
      </c>
    </row>
    <row r="8" s="62" customFormat="1" ht="50" customHeight="1" spans="1:27">
      <c r="A8" s="67"/>
      <c r="B8" s="71" t="s">
        <v>754</v>
      </c>
      <c r="C8" s="72">
        <v>8.5</v>
      </c>
      <c r="D8" s="72">
        <v>7.5</v>
      </c>
      <c r="E8" s="72">
        <v>7</v>
      </c>
      <c r="F8" s="72">
        <f>C8+0.5</f>
        <v>9</v>
      </c>
      <c r="G8" s="72">
        <f>D8+0.5</f>
        <v>8</v>
      </c>
      <c r="H8" s="72">
        <f>E8+0.5</f>
        <v>7.5</v>
      </c>
      <c r="I8" s="72">
        <f>C8+0.2</f>
        <v>8.7</v>
      </c>
      <c r="J8" s="72">
        <f>D8+0.2</f>
        <v>7.7</v>
      </c>
      <c r="K8" s="72">
        <f>E8+0.2</f>
        <v>7.2</v>
      </c>
      <c r="L8" s="72">
        <f>C8+0.5</f>
        <v>9</v>
      </c>
      <c r="M8" s="72">
        <f>D8+0.5</f>
        <v>8</v>
      </c>
      <c r="N8" s="72">
        <f>E8+0.5</f>
        <v>7.5</v>
      </c>
      <c r="O8" s="78">
        <v>1150</v>
      </c>
      <c r="P8" s="73">
        <v>1100</v>
      </c>
      <c r="Q8" s="74">
        <v>1000</v>
      </c>
      <c r="R8" s="75">
        <f>O8+80</f>
        <v>1230</v>
      </c>
      <c r="S8" s="75">
        <f>P8+80</f>
        <v>1180</v>
      </c>
      <c r="T8" s="75">
        <f>Q8+80</f>
        <v>1080</v>
      </c>
      <c r="U8" s="76">
        <f>O8+50</f>
        <v>1200</v>
      </c>
      <c r="V8" s="76">
        <f>P8+50</f>
        <v>1150</v>
      </c>
      <c r="W8" s="76">
        <f>Q8+50</f>
        <v>1050</v>
      </c>
      <c r="X8" s="75">
        <f>O8+80</f>
        <v>1230</v>
      </c>
      <c r="Y8" s="75">
        <f>P8+80</f>
        <v>1180</v>
      </c>
      <c r="Z8" s="75">
        <f>Q8+80</f>
        <v>1080</v>
      </c>
      <c r="AA8" s="77" t="s">
        <v>753</v>
      </c>
    </row>
    <row r="9" s="62" customFormat="1" ht="50" customHeight="1" spans="1:27">
      <c r="A9" s="67"/>
      <c r="B9" s="71" t="s">
        <v>755</v>
      </c>
      <c r="C9" s="72">
        <v>9.5</v>
      </c>
      <c r="D9" s="72">
        <v>8.5</v>
      </c>
      <c r="E9" s="72">
        <v>8.5</v>
      </c>
      <c r="F9" s="72">
        <f>C9+0.5</f>
        <v>10</v>
      </c>
      <c r="G9" s="72">
        <f>D9+0.5</f>
        <v>9</v>
      </c>
      <c r="H9" s="72">
        <f>E9+0.5</f>
        <v>9</v>
      </c>
      <c r="I9" s="72">
        <f>C9+0.2</f>
        <v>9.7</v>
      </c>
      <c r="J9" s="72">
        <f>D9+0.2</f>
        <v>8.7</v>
      </c>
      <c r="K9" s="72">
        <f>E9+0.2</f>
        <v>8.7</v>
      </c>
      <c r="L9" s="72">
        <f>C9+0.5</f>
        <v>10</v>
      </c>
      <c r="M9" s="72">
        <f>D9+0.5</f>
        <v>9</v>
      </c>
      <c r="N9" s="72">
        <f>E9+0.5</f>
        <v>9</v>
      </c>
      <c r="O9" s="78">
        <v>1250</v>
      </c>
      <c r="P9" s="73">
        <v>1200</v>
      </c>
      <c r="Q9" s="74">
        <v>1100</v>
      </c>
      <c r="R9" s="75">
        <f>O9+80</f>
        <v>1330</v>
      </c>
      <c r="S9" s="75">
        <f>P9+80</f>
        <v>1280</v>
      </c>
      <c r="T9" s="75">
        <f>Q9+80</f>
        <v>1180</v>
      </c>
      <c r="U9" s="76">
        <f>O9+50</f>
        <v>1300</v>
      </c>
      <c r="V9" s="76">
        <f>P9+50</f>
        <v>1250</v>
      </c>
      <c r="W9" s="76">
        <f>Q9+50</f>
        <v>1150</v>
      </c>
      <c r="X9" s="75">
        <f>O9+80</f>
        <v>1330</v>
      </c>
      <c r="Y9" s="75">
        <f>P9+80</f>
        <v>1280</v>
      </c>
      <c r="Z9" s="75">
        <f>Q9+80</f>
        <v>1180</v>
      </c>
      <c r="AA9" s="77" t="s">
        <v>756</v>
      </c>
    </row>
    <row r="10" s="62" customFormat="1" ht="50" customHeight="1" spans="1:27">
      <c r="A10" s="67"/>
      <c r="B10" s="79" t="s">
        <v>515</v>
      </c>
      <c r="C10" s="72">
        <v>8.5</v>
      </c>
      <c r="D10" s="72">
        <v>7.5</v>
      </c>
      <c r="E10" s="72">
        <v>7</v>
      </c>
      <c r="F10" s="72">
        <f>C10+0.5</f>
        <v>9</v>
      </c>
      <c r="G10" s="72">
        <f>D10+0.5</f>
        <v>8</v>
      </c>
      <c r="H10" s="72">
        <f>E10+0.5</f>
        <v>7.5</v>
      </c>
      <c r="I10" s="72">
        <f>C10+0.2</f>
        <v>8.7</v>
      </c>
      <c r="J10" s="72">
        <f>D10+0.2</f>
        <v>7.7</v>
      </c>
      <c r="K10" s="72">
        <f>E10+0.2</f>
        <v>7.2</v>
      </c>
      <c r="L10" s="72">
        <f>C10+0.5</f>
        <v>9</v>
      </c>
      <c r="M10" s="72">
        <f>D10+0.5</f>
        <v>8</v>
      </c>
      <c r="N10" s="72">
        <f>E10+0.5</f>
        <v>7.5</v>
      </c>
      <c r="O10" s="78">
        <v>1050</v>
      </c>
      <c r="P10" s="73">
        <v>1000</v>
      </c>
      <c r="Q10" s="74">
        <v>900</v>
      </c>
      <c r="R10" s="75">
        <f>O10+80</f>
        <v>1130</v>
      </c>
      <c r="S10" s="75">
        <f>P10+80</f>
        <v>1080</v>
      </c>
      <c r="T10" s="75">
        <f>Q10+80</f>
        <v>980</v>
      </c>
      <c r="U10" s="76">
        <f>O10+50</f>
        <v>1100</v>
      </c>
      <c r="V10" s="76">
        <f>P10+50</f>
        <v>1050</v>
      </c>
      <c r="W10" s="76">
        <f>Q10+50</f>
        <v>950</v>
      </c>
      <c r="X10" s="75">
        <f>O10+80</f>
        <v>1130</v>
      </c>
      <c r="Y10" s="75">
        <f>P10+80</f>
        <v>1080</v>
      </c>
      <c r="Z10" s="75">
        <f>Q10+80</f>
        <v>980</v>
      </c>
      <c r="AA10" s="77" t="s">
        <v>757</v>
      </c>
    </row>
    <row r="11" s="62" customFormat="1" ht="30" customHeight="1" spans="1:27">
      <c r="A11" s="67" t="s">
        <v>265</v>
      </c>
      <c r="B11" s="67"/>
      <c r="C11" s="9" t="s">
        <v>767</v>
      </c>
      <c r="D11" s="9"/>
      <c r="E11" s="9"/>
      <c r="F11" s="9"/>
      <c r="G11" s="9"/>
      <c r="H11" s="9"/>
      <c r="I11" s="9"/>
      <c r="J11" s="9"/>
      <c r="K11" s="9"/>
      <c r="L11" s="9"/>
      <c r="M11" s="9"/>
      <c r="N11" s="9"/>
      <c r="O11" s="9" t="s">
        <v>768</v>
      </c>
      <c r="P11" s="9"/>
      <c r="Q11" s="9"/>
      <c r="R11" s="9"/>
      <c r="S11" s="9"/>
      <c r="T11" s="9"/>
      <c r="U11" s="9"/>
      <c r="V11" s="9"/>
      <c r="W11" s="9"/>
      <c r="X11" s="9"/>
      <c r="Y11" s="9"/>
      <c r="Z11" s="9"/>
      <c r="AA11" s="67" t="s">
        <v>233</v>
      </c>
    </row>
    <row r="12" s="62" customFormat="1" ht="30" customHeight="1" spans="1:27">
      <c r="A12" s="68" t="s">
        <v>227</v>
      </c>
      <c r="B12" s="68"/>
      <c r="C12" s="69" t="s">
        <v>228</v>
      </c>
      <c r="D12" s="69"/>
      <c r="E12" s="69"/>
      <c r="F12" s="69" t="s">
        <v>229</v>
      </c>
      <c r="G12" s="69"/>
      <c r="H12" s="69"/>
      <c r="I12" s="69" t="s">
        <v>230</v>
      </c>
      <c r="J12" s="69"/>
      <c r="K12" s="69"/>
      <c r="L12" s="80" t="s">
        <v>231</v>
      </c>
      <c r="M12" s="80"/>
      <c r="N12" s="80"/>
      <c r="O12" s="80" t="s">
        <v>228</v>
      </c>
      <c r="P12" s="80"/>
      <c r="Q12" s="80"/>
      <c r="R12" s="80" t="s">
        <v>229</v>
      </c>
      <c r="S12" s="80"/>
      <c r="T12" s="80"/>
      <c r="U12" s="80" t="s">
        <v>230</v>
      </c>
      <c r="V12" s="80"/>
      <c r="W12" s="80"/>
      <c r="X12" s="80" t="s">
        <v>231</v>
      </c>
      <c r="Y12" s="80"/>
      <c r="Z12" s="80"/>
      <c r="AA12" s="67"/>
    </row>
    <row r="13" s="62" customFormat="1" ht="30" customHeight="1" spans="1:27">
      <c r="A13" s="67" t="s">
        <v>771</v>
      </c>
      <c r="B13" s="65" t="s">
        <v>327</v>
      </c>
      <c r="C13" s="67" t="s">
        <v>506</v>
      </c>
      <c r="D13" s="70" t="s">
        <v>237</v>
      </c>
      <c r="E13" s="70" t="s">
        <v>507</v>
      </c>
      <c r="F13" s="67" t="s">
        <v>506</v>
      </c>
      <c r="G13" s="70" t="s">
        <v>237</v>
      </c>
      <c r="H13" s="70" t="s">
        <v>507</v>
      </c>
      <c r="I13" s="67" t="s">
        <v>506</v>
      </c>
      <c r="J13" s="70" t="s">
        <v>237</v>
      </c>
      <c r="K13" s="70" t="s">
        <v>507</v>
      </c>
      <c r="L13" s="81" t="s">
        <v>506</v>
      </c>
      <c r="M13" s="82" t="s">
        <v>237</v>
      </c>
      <c r="N13" s="82" t="s">
        <v>507</v>
      </c>
      <c r="O13" s="83" t="s">
        <v>772</v>
      </c>
      <c r="P13" s="83"/>
      <c r="Q13" s="84" t="s">
        <v>773</v>
      </c>
      <c r="R13" s="83" t="s">
        <v>772</v>
      </c>
      <c r="S13" s="83"/>
      <c r="T13" s="84" t="s">
        <v>773</v>
      </c>
      <c r="U13" s="83" t="s">
        <v>772</v>
      </c>
      <c r="V13" s="83"/>
      <c r="W13" s="84" t="s">
        <v>773</v>
      </c>
      <c r="X13" s="83" t="s">
        <v>772</v>
      </c>
      <c r="Y13" s="83"/>
      <c r="Z13" s="84" t="s">
        <v>773</v>
      </c>
      <c r="AA13" s="67"/>
    </row>
    <row r="14" s="62" customFormat="1" ht="30" customHeight="1" spans="1:27">
      <c r="A14" s="67" t="s">
        <v>516</v>
      </c>
      <c r="B14" s="71" t="s">
        <v>758</v>
      </c>
      <c r="C14" s="72">
        <v>9</v>
      </c>
      <c r="D14" s="72">
        <v>8</v>
      </c>
      <c r="E14" s="72">
        <v>7.5</v>
      </c>
      <c r="F14" s="72">
        <f>C14+0.5</f>
        <v>9.5</v>
      </c>
      <c r="G14" s="72">
        <f>D14+0.5</f>
        <v>8.5</v>
      </c>
      <c r="H14" s="72">
        <f>E14+0.5</f>
        <v>8</v>
      </c>
      <c r="I14" s="72">
        <f>C14+0.2</f>
        <v>9.2</v>
      </c>
      <c r="J14" s="72">
        <f>D14+0.2</f>
        <v>8.2</v>
      </c>
      <c r="K14" s="72">
        <f>E14+0.2</f>
        <v>7.7</v>
      </c>
      <c r="L14" s="72">
        <f>C14+0.5</f>
        <v>9.5</v>
      </c>
      <c r="M14" s="72">
        <f>D14+0.5</f>
        <v>8.5</v>
      </c>
      <c r="N14" s="72">
        <f>E14+0.5</f>
        <v>8</v>
      </c>
      <c r="O14" s="73">
        <v>1280</v>
      </c>
      <c r="P14" s="73"/>
      <c r="Q14" s="74">
        <v>950</v>
      </c>
      <c r="R14" s="73">
        <f>O14+80</f>
        <v>1360</v>
      </c>
      <c r="S14" s="73"/>
      <c r="T14" s="74">
        <f>Q14+80</f>
        <v>1030</v>
      </c>
      <c r="U14" s="73">
        <f>O14+50</f>
        <v>1330</v>
      </c>
      <c r="V14" s="73"/>
      <c r="W14" s="85">
        <f>Q14+50</f>
        <v>1000</v>
      </c>
      <c r="X14" s="73">
        <f>O14+80</f>
        <v>1360</v>
      </c>
      <c r="Y14" s="73"/>
      <c r="Z14" s="85">
        <f>Q14+80</f>
        <v>1030</v>
      </c>
      <c r="AA14" s="77" t="s">
        <v>753</v>
      </c>
    </row>
    <row r="15" s="62" customFormat="1" ht="30" customHeight="1" spans="1:27">
      <c r="A15" s="67"/>
      <c r="B15" s="71" t="s">
        <v>759</v>
      </c>
      <c r="C15" s="72">
        <v>9</v>
      </c>
      <c r="D15" s="72">
        <v>8</v>
      </c>
      <c r="E15" s="72">
        <v>7.5</v>
      </c>
      <c r="F15" s="72">
        <f>C15+0.5</f>
        <v>9.5</v>
      </c>
      <c r="G15" s="72">
        <f>D15+0.5</f>
        <v>8.5</v>
      </c>
      <c r="H15" s="72">
        <f>E15+0.5</f>
        <v>8</v>
      </c>
      <c r="I15" s="72">
        <f>C15+0.2</f>
        <v>9.2</v>
      </c>
      <c r="J15" s="72">
        <f>D15+0.2</f>
        <v>8.2</v>
      </c>
      <c r="K15" s="72">
        <f>E15+0.2</f>
        <v>7.7</v>
      </c>
      <c r="L15" s="72">
        <f>C15+0.5</f>
        <v>9.5</v>
      </c>
      <c r="M15" s="72">
        <f>D15+0.5</f>
        <v>8.5</v>
      </c>
      <c r="N15" s="72">
        <f>E15+0.5</f>
        <v>8</v>
      </c>
      <c r="O15" s="73">
        <v>1380</v>
      </c>
      <c r="P15" s="73"/>
      <c r="Q15" s="74">
        <v>1050</v>
      </c>
      <c r="R15" s="73">
        <f>O15+80</f>
        <v>1460</v>
      </c>
      <c r="S15" s="73"/>
      <c r="T15" s="74">
        <f>Q15+80</f>
        <v>1130</v>
      </c>
      <c r="U15" s="73">
        <f>O15+50</f>
        <v>1430</v>
      </c>
      <c r="V15" s="73"/>
      <c r="W15" s="85">
        <f>Q15+50</f>
        <v>1100</v>
      </c>
      <c r="X15" s="73">
        <f>O15+80</f>
        <v>1460</v>
      </c>
      <c r="Y15" s="73"/>
      <c r="Z15" s="85">
        <f>Q15+80</f>
        <v>1130</v>
      </c>
      <c r="AA15" s="77" t="s">
        <v>753</v>
      </c>
    </row>
    <row r="16" s="62" customFormat="1" ht="30" customHeight="1" spans="1:27">
      <c r="A16" s="67"/>
      <c r="B16" s="71" t="s">
        <v>760</v>
      </c>
      <c r="C16" s="72">
        <v>13</v>
      </c>
      <c r="D16" s="72">
        <v>11.5</v>
      </c>
      <c r="E16" s="72">
        <v>11</v>
      </c>
      <c r="F16" s="72">
        <f>C16+0.5</f>
        <v>13.5</v>
      </c>
      <c r="G16" s="72">
        <f>D16+0.5</f>
        <v>12</v>
      </c>
      <c r="H16" s="72">
        <f>E16+0.5</f>
        <v>11.5</v>
      </c>
      <c r="I16" s="72">
        <f>C16+0.2</f>
        <v>13.2</v>
      </c>
      <c r="J16" s="72">
        <f>D16+0.2</f>
        <v>11.7</v>
      </c>
      <c r="K16" s="72">
        <f>E16+0.2</f>
        <v>11.2</v>
      </c>
      <c r="L16" s="72">
        <f>C16+0.5</f>
        <v>13.5</v>
      </c>
      <c r="M16" s="72">
        <f>D16+0.5</f>
        <v>12</v>
      </c>
      <c r="N16" s="72">
        <f>E16+0.5</f>
        <v>11.5</v>
      </c>
      <c r="O16" s="73">
        <v>1530</v>
      </c>
      <c r="P16" s="73"/>
      <c r="Q16" s="74">
        <v>1350</v>
      </c>
      <c r="R16" s="73">
        <f>O16+80</f>
        <v>1610</v>
      </c>
      <c r="S16" s="73"/>
      <c r="T16" s="74">
        <f>Q16+80</f>
        <v>1430</v>
      </c>
      <c r="U16" s="73">
        <f>O16+50</f>
        <v>1580</v>
      </c>
      <c r="V16" s="73"/>
      <c r="W16" s="85">
        <f>Q16+50</f>
        <v>1400</v>
      </c>
      <c r="X16" s="73">
        <f>O16+80</f>
        <v>1610</v>
      </c>
      <c r="Y16" s="73"/>
      <c r="Z16" s="85">
        <f>Q16+80</f>
        <v>1430</v>
      </c>
      <c r="AA16" s="77" t="s">
        <v>756</v>
      </c>
    </row>
    <row r="17" s="62" customFormat="1" ht="30" customHeight="1" spans="1:27">
      <c r="A17" s="67"/>
      <c r="B17" s="71" t="s">
        <v>761</v>
      </c>
      <c r="C17" s="72">
        <v>10.5</v>
      </c>
      <c r="D17" s="72">
        <v>9.5</v>
      </c>
      <c r="E17" s="72">
        <v>9.5</v>
      </c>
      <c r="F17" s="72">
        <f>C17+0.5</f>
        <v>11</v>
      </c>
      <c r="G17" s="72">
        <f>D17+0.5</f>
        <v>10</v>
      </c>
      <c r="H17" s="72">
        <f>E17+0.5</f>
        <v>10</v>
      </c>
      <c r="I17" s="72">
        <f>C17+0.2</f>
        <v>10.7</v>
      </c>
      <c r="J17" s="72">
        <f>D17+0.2</f>
        <v>9.7</v>
      </c>
      <c r="K17" s="72">
        <f>E17+0.2</f>
        <v>9.7</v>
      </c>
      <c r="L17" s="72">
        <f>C17+0.5</f>
        <v>11</v>
      </c>
      <c r="M17" s="72">
        <f>D17+0.5</f>
        <v>10</v>
      </c>
      <c r="N17" s="72">
        <f>E17+0.5</f>
        <v>10</v>
      </c>
      <c r="O17" s="73">
        <v>1380</v>
      </c>
      <c r="P17" s="73"/>
      <c r="Q17" s="74">
        <v>1150</v>
      </c>
      <c r="R17" s="73">
        <f>O17+80</f>
        <v>1460</v>
      </c>
      <c r="S17" s="73"/>
      <c r="T17" s="74">
        <f>Q17+80</f>
        <v>1230</v>
      </c>
      <c r="U17" s="73">
        <f>O17+50</f>
        <v>1430</v>
      </c>
      <c r="V17" s="73"/>
      <c r="W17" s="85">
        <f>Q17+50</f>
        <v>1200</v>
      </c>
      <c r="X17" s="73">
        <f>O17+80</f>
        <v>1460</v>
      </c>
      <c r="Y17" s="73"/>
      <c r="Z17" s="85">
        <f>Q17+80</f>
        <v>1230</v>
      </c>
      <c r="AA17" s="77" t="s">
        <v>762</v>
      </c>
    </row>
    <row r="18" s="63" customFormat="1" ht="50" customHeight="1" spans="1:27">
      <c r="A18" s="86" t="s">
        <v>265</v>
      </c>
      <c r="B18" s="86"/>
      <c r="C18" s="87" t="s">
        <v>774</v>
      </c>
      <c r="D18" s="88"/>
      <c r="E18" s="87"/>
      <c r="F18" s="87"/>
      <c r="G18" s="87"/>
      <c r="H18" s="87"/>
      <c r="I18" s="87"/>
      <c r="J18" s="87"/>
      <c r="K18" s="87"/>
      <c r="L18" s="87"/>
      <c r="M18" s="87"/>
      <c r="N18" s="87"/>
      <c r="O18" s="89"/>
      <c r="P18" s="89"/>
      <c r="Q18" s="88"/>
      <c r="R18" s="88"/>
      <c r="S18" s="88"/>
      <c r="T18" s="88"/>
      <c r="U18" s="88"/>
      <c r="V18" s="88"/>
      <c r="W18" s="88"/>
      <c r="X18" s="88"/>
      <c r="Y18" s="88"/>
      <c r="Z18" s="88"/>
      <c r="AA18" s="88"/>
    </row>
    <row r="19" s="63" customFormat="1" ht="82" customHeight="1" spans="1:27">
      <c r="A19" s="86" t="s">
        <v>522</v>
      </c>
      <c r="B19" s="86"/>
      <c r="C19" s="87" t="s">
        <v>523</v>
      </c>
      <c r="D19" s="88"/>
      <c r="E19" s="87"/>
      <c r="F19" s="87"/>
      <c r="G19" s="87"/>
      <c r="H19" s="87"/>
      <c r="I19" s="87"/>
      <c r="J19" s="87"/>
      <c r="K19" s="87"/>
      <c r="L19" s="87"/>
      <c r="M19" s="87"/>
      <c r="N19" s="87"/>
      <c r="O19" s="89"/>
      <c r="P19" s="89"/>
      <c r="Q19" s="88"/>
      <c r="R19" s="88"/>
      <c r="S19" s="88"/>
      <c r="T19" s="88"/>
      <c r="U19" s="88"/>
      <c r="V19" s="88"/>
      <c r="W19" s="88"/>
      <c r="X19" s="88"/>
      <c r="Y19" s="88"/>
      <c r="Z19" s="88"/>
      <c r="AA19" s="88"/>
    </row>
    <row r="20" s="63" customFormat="1" ht="60" customHeight="1" spans="1:27">
      <c r="A20" s="86" t="s">
        <v>763</v>
      </c>
      <c r="B20" s="86"/>
      <c r="C20" s="87" t="s">
        <v>764</v>
      </c>
      <c r="D20" s="88"/>
      <c r="E20" s="87"/>
      <c r="F20" s="87"/>
      <c r="G20" s="87"/>
      <c r="H20" s="87"/>
      <c r="I20" s="87"/>
      <c r="J20" s="87"/>
      <c r="K20" s="87"/>
      <c r="L20" s="87"/>
      <c r="M20" s="87"/>
      <c r="N20" s="87"/>
      <c r="O20" s="89"/>
      <c r="P20" s="89"/>
      <c r="Q20" s="88"/>
      <c r="R20" s="88"/>
      <c r="S20" s="88"/>
      <c r="T20" s="88"/>
      <c r="U20" s="88"/>
      <c r="V20" s="88"/>
      <c r="W20" s="88"/>
      <c r="X20" s="88"/>
      <c r="Y20" s="88"/>
      <c r="Z20" s="88"/>
      <c r="AA20" s="88"/>
    </row>
    <row r="21" s="63" customFormat="1" ht="40" customHeight="1" spans="1:27">
      <c r="A21" s="86" t="s">
        <v>524</v>
      </c>
      <c r="B21" s="86"/>
      <c r="C21" s="87" t="s">
        <v>525</v>
      </c>
      <c r="D21" s="88"/>
      <c r="E21" s="87"/>
      <c r="F21" s="87"/>
      <c r="G21" s="87"/>
      <c r="H21" s="87"/>
      <c r="I21" s="87"/>
      <c r="J21" s="90" t="s">
        <v>526</v>
      </c>
      <c r="K21" s="91"/>
      <c r="L21" s="90"/>
      <c r="M21" s="90"/>
      <c r="N21" s="90"/>
      <c r="O21" s="90" t="s">
        <v>527</v>
      </c>
      <c r="P21" s="90"/>
      <c r="Q21" s="90"/>
      <c r="R21" s="91"/>
      <c r="S21" s="90" t="s">
        <v>528</v>
      </c>
      <c r="T21" s="91"/>
      <c r="U21" s="90"/>
      <c r="V21" s="90"/>
      <c r="W21" s="91"/>
      <c r="X21" s="90" t="s">
        <v>529</v>
      </c>
      <c r="Y21" s="90"/>
      <c r="Z21" s="91"/>
      <c r="AA21" s="91"/>
    </row>
    <row r="22" s="63" customFormat="1" ht="40" customHeight="1" spans="1:27">
      <c r="A22" s="86"/>
      <c r="B22" s="86"/>
      <c r="C22" s="92"/>
      <c r="D22" s="87"/>
      <c r="E22" s="87"/>
      <c r="F22" s="87"/>
      <c r="G22" s="87"/>
      <c r="H22" s="87"/>
      <c r="I22" s="87"/>
      <c r="J22" s="90"/>
      <c r="K22" s="90"/>
      <c r="L22" s="90"/>
      <c r="M22" s="90"/>
      <c r="N22" s="90"/>
      <c r="O22" s="90"/>
      <c r="P22" s="90"/>
      <c r="Q22" s="90"/>
      <c r="R22" s="91"/>
      <c r="S22" s="91"/>
      <c r="T22" s="90"/>
      <c r="U22" s="90"/>
      <c r="V22" s="90"/>
      <c r="W22" s="91"/>
      <c r="X22" s="90"/>
      <c r="Y22" s="90"/>
      <c r="Z22" s="91"/>
      <c r="AA22" s="91"/>
    </row>
    <row r="23" s="63" customFormat="1" ht="30" customHeight="1" spans="1:27">
      <c r="A23" s="86"/>
      <c r="B23" s="86"/>
      <c r="C23" s="87" t="s">
        <v>530</v>
      </c>
      <c r="D23" s="88"/>
      <c r="E23" s="87"/>
      <c r="F23" s="87"/>
      <c r="G23" s="87"/>
      <c r="H23" s="87"/>
      <c r="I23" s="87"/>
      <c r="J23" s="87"/>
      <c r="K23" s="87"/>
      <c r="L23" s="87"/>
      <c r="M23" s="87"/>
      <c r="N23" s="87"/>
      <c r="O23" s="88"/>
      <c r="P23" s="88"/>
      <c r="Q23" s="88"/>
      <c r="R23" s="88"/>
      <c r="S23" s="88"/>
      <c r="T23" s="88"/>
      <c r="U23" s="88"/>
      <c r="V23" s="88"/>
      <c r="W23" s="88"/>
      <c r="X23" s="88"/>
      <c r="Y23" s="88"/>
      <c r="Z23" s="88"/>
      <c r="AA23" s="88"/>
    </row>
    <row r="24" s="63" customFormat="1" ht="30" customHeight="1" spans="1:27">
      <c r="A24" s="86"/>
      <c r="B24" s="86"/>
      <c r="C24" s="87" t="s">
        <v>531</v>
      </c>
      <c r="D24" s="88"/>
      <c r="E24" s="87"/>
      <c r="F24" s="87"/>
      <c r="G24" s="87"/>
      <c r="H24" s="87"/>
      <c r="I24" s="87"/>
      <c r="J24" s="87"/>
      <c r="K24" s="87"/>
      <c r="L24" s="87"/>
      <c r="M24" s="87"/>
      <c r="N24" s="87"/>
      <c r="O24" s="88"/>
      <c r="P24" s="88"/>
      <c r="Q24" s="88"/>
      <c r="R24" s="88"/>
      <c r="S24" s="88"/>
      <c r="T24" s="88"/>
      <c r="U24" s="88"/>
      <c r="V24" s="88"/>
      <c r="W24" s="88"/>
      <c r="X24" s="88"/>
      <c r="Y24" s="88"/>
      <c r="Z24" s="88"/>
      <c r="AA24" s="88"/>
    </row>
    <row r="25" s="63" customFormat="1" ht="30" customHeight="1" spans="1:27">
      <c r="A25" s="86"/>
      <c r="B25" s="86"/>
      <c r="C25" s="87" t="s">
        <v>765</v>
      </c>
      <c r="D25" s="88"/>
      <c r="E25" s="87"/>
      <c r="F25" s="87"/>
      <c r="G25" s="87"/>
      <c r="H25" s="87"/>
      <c r="I25" s="87"/>
      <c r="J25" s="87"/>
      <c r="K25" s="87"/>
      <c r="L25" s="87"/>
      <c r="M25" s="87"/>
      <c r="N25" s="87"/>
      <c r="O25" s="89"/>
      <c r="P25" s="89"/>
      <c r="Q25" s="88"/>
      <c r="R25" s="88"/>
      <c r="S25" s="88"/>
      <c r="T25" s="88"/>
      <c r="U25" s="88"/>
      <c r="V25" s="88"/>
      <c r="W25" s="88"/>
      <c r="X25" s="88"/>
      <c r="Y25" s="88"/>
      <c r="Z25" s="88"/>
      <c r="AA25" s="88"/>
    </row>
    <row r="26" s="63" customFormat="1" ht="79" customHeight="1" spans="1:27">
      <c r="A26" s="86" t="s">
        <v>532</v>
      </c>
      <c r="B26" s="86"/>
      <c r="C26" s="87" t="s">
        <v>533</v>
      </c>
      <c r="D26" s="88"/>
      <c r="E26" s="87"/>
      <c r="F26" s="87"/>
      <c r="G26" s="87"/>
      <c r="H26" s="87"/>
      <c r="I26" s="87"/>
      <c r="J26" s="87"/>
      <c r="K26" s="87"/>
      <c r="L26" s="87"/>
      <c r="M26" s="87"/>
      <c r="N26" s="87"/>
      <c r="O26" s="88"/>
      <c r="P26" s="88"/>
      <c r="Q26" s="88"/>
      <c r="R26" s="88"/>
      <c r="S26" s="88"/>
      <c r="T26" s="88"/>
      <c r="U26" s="88"/>
      <c r="V26" s="88"/>
      <c r="W26" s="88"/>
      <c r="X26" s="88"/>
      <c r="Y26" s="88"/>
      <c r="Z26" s="88"/>
      <c r="AA26" s="88"/>
    </row>
    <row r="27" s="63" customFormat="1" ht="110" customHeight="1" spans="1:27">
      <c r="A27" s="86"/>
      <c r="B27" s="86"/>
      <c r="C27" s="87" t="s">
        <v>534</v>
      </c>
      <c r="D27" s="88"/>
      <c r="E27" s="87"/>
      <c r="F27" s="87"/>
      <c r="G27" s="87"/>
      <c r="H27" s="87"/>
      <c r="I27" s="87"/>
      <c r="J27" s="87"/>
      <c r="K27" s="87"/>
      <c r="L27" s="87"/>
      <c r="M27" s="87"/>
      <c r="N27" s="87"/>
      <c r="O27" s="88"/>
      <c r="P27" s="88"/>
      <c r="Q27" s="88"/>
      <c r="R27" s="88"/>
      <c r="S27" s="88"/>
      <c r="T27" s="88"/>
      <c r="U27" s="88"/>
      <c r="V27" s="88"/>
      <c r="W27" s="88"/>
      <c r="X27" s="88"/>
      <c r="Y27" s="88"/>
      <c r="Z27" s="88"/>
      <c r="AA27" s="88"/>
    </row>
    <row r="28" s="63" customFormat="1" ht="30" customHeight="1" spans="1:27">
      <c r="A28" s="86"/>
      <c r="B28" s="86"/>
      <c r="C28" s="87" t="s">
        <v>535</v>
      </c>
      <c r="D28" s="88"/>
      <c r="E28" s="87"/>
      <c r="F28" s="87"/>
      <c r="G28" s="87"/>
      <c r="H28" s="87"/>
      <c r="I28" s="87"/>
      <c r="J28" s="87"/>
      <c r="K28" s="87"/>
      <c r="L28" s="87"/>
      <c r="M28" s="87"/>
      <c r="N28" s="87"/>
      <c r="O28" s="89"/>
      <c r="P28" s="89"/>
      <c r="Q28" s="88"/>
      <c r="R28" s="88"/>
      <c r="S28" s="88"/>
      <c r="T28" s="88"/>
      <c r="U28" s="88"/>
      <c r="V28" s="88"/>
      <c r="W28" s="88"/>
      <c r="X28" s="88"/>
      <c r="Y28" s="88"/>
      <c r="Z28" s="88"/>
      <c r="AA28" s="88"/>
    </row>
    <row r="29" s="60" customFormat="1" ht="43" customHeight="1" spans="1:27">
      <c r="A29" s="86" t="s">
        <v>272</v>
      </c>
      <c r="B29" s="86"/>
      <c r="C29" s="87" t="s">
        <v>273</v>
      </c>
      <c r="D29" s="89"/>
      <c r="E29" s="87"/>
      <c r="F29" s="87"/>
      <c r="G29" s="87"/>
      <c r="H29" s="87"/>
      <c r="I29" s="87"/>
      <c r="J29" s="87"/>
      <c r="K29" s="87"/>
      <c r="L29" s="87"/>
      <c r="M29" s="87"/>
      <c r="N29" s="87"/>
      <c r="O29" s="89"/>
      <c r="P29" s="89"/>
      <c r="Q29" s="89"/>
      <c r="R29" s="89"/>
      <c r="S29" s="89"/>
      <c r="T29" s="89"/>
      <c r="U29" s="89"/>
      <c r="V29" s="89"/>
      <c r="W29" s="89"/>
      <c r="X29" s="89"/>
      <c r="Y29" s="89"/>
      <c r="Z29" s="89"/>
      <c r="AA29" s="89"/>
    </row>
    <row r="30" s="60" customFormat="1" ht="30" customHeight="1" spans="1:27">
      <c r="A30" s="86" t="s">
        <v>274</v>
      </c>
      <c r="B30" s="86"/>
      <c r="C30" s="87" t="s">
        <v>275</v>
      </c>
      <c r="D30" s="89"/>
      <c r="E30" s="87"/>
      <c r="F30" s="87"/>
      <c r="G30" s="87"/>
      <c r="H30" s="87"/>
      <c r="I30" s="87"/>
      <c r="J30" s="87"/>
      <c r="K30" s="87"/>
      <c r="L30" s="87"/>
      <c r="M30" s="87"/>
      <c r="N30" s="87"/>
      <c r="O30" s="89"/>
      <c r="P30" s="89"/>
      <c r="Q30" s="89"/>
      <c r="R30" s="89"/>
      <c r="S30" s="89"/>
      <c r="T30" s="89"/>
      <c r="U30" s="89"/>
      <c r="V30" s="89"/>
      <c r="W30" s="89"/>
      <c r="X30" s="89"/>
      <c r="Y30" s="89"/>
      <c r="Z30" s="89"/>
      <c r="AA30" s="89"/>
    </row>
    <row r="31" s="60" customFormat="1" ht="30" customHeight="1" spans="1:27">
      <c r="A31" s="86" t="s">
        <v>536</v>
      </c>
      <c r="B31" s="86"/>
      <c r="C31" s="87" t="s">
        <v>537</v>
      </c>
      <c r="D31" s="89"/>
      <c r="E31" s="87"/>
      <c r="F31" s="87"/>
      <c r="G31" s="87"/>
      <c r="H31" s="87"/>
      <c r="I31" s="87"/>
      <c r="J31" s="87"/>
      <c r="K31" s="87"/>
      <c r="L31" s="87"/>
      <c r="M31" s="87"/>
      <c r="N31" s="87"/>
      <c r="O31" s="89"/>
      <c r="P31" s="89"/>
      <c r="Q31" s="89"/>
      <c r="R31" s="89"/>
      <c r="S31" s="89"/>
      <c r="T31" s="89"/>
      <c r="U31" s="89"/>
      <c r="V31" s="89"/>
      <c r="W31" s="89"/>
      <c r="X31" s="89"/>
      <c r="Y31" s="89"/>
      <c r="Z31" s="89"/>
      <c r="AA31" s="89"/>
    </row>
    <row r="32" s="60" customFormat="1" ht="34" customHeight="1" spans="1:27">
      <c r="A32" s="86" t="s">
        <v>323</v>
      </c>
      <c r="B32" s="86"/>
      <c r="C32" s="87" t="s">
        <v>455</v>
      </c>
      <c r="D32" s="89"/>
      <c r="E32" s="87"/>
      <c r="F32" s="87"/>
      <c r="G32" s="87"/>
      <c r="H32" s="87"/>
      <c r="I32" s="87"/>
      <c r="J32" s="87"/>
      <c r="K32" s="87"/>
      <c r="L32" s="87"/>
      <c r="M32" s="87"/>
      <c r="N32" s="87"/>
      <c r="O32" s="89"/>
      <c r="P32" s="89"/>
      <c r="Q32" s="89"/>
      <c r="R32" s="89"/>
      <c r="S32" s="89"/>
      <c r="T32" s="89"/>
      <c r="U32" s="89"/>
      <c r="V32" s="89"/>
      <c r="W32" s="89"/>
      <c r="X32" s="89"/>
      <c r="Y32" s="89"/>
      <c r="Z32" s="89"/>
      <c r="AA32" s="89"/>
    </row>
    <row r="33" s="60" customFormat="1" ht="72" customHeight="1" spans="1:27">
      <c r="A33" s="86"/>
      <c r="B33" s="86"/>
      <c r="C33" s="87" t="s">
        <v>456</v>
      </c>
      <c r="D33" s="89"/>
      <c r="E33" s="87"/>
      <c r="F33" s="87"/>
      <c r="G33" s="87"/>
      <c r="H33" s="87"/>
      <c r="I33" s="87"/>
      <c r="J33" s="87"/>
      <c r="K33" s="87"/>
      <c r="L33" s="87"/>
      <c r="M33" s="87"/>
      <c r="N33" s="87"/>
      <c r="O33" s="89"/>
      <c r="P33" s="89"/>
      <c r="Q33" s="89"/>
      <c r="R33" s="89"/>
      <c r="S33" s="89"/>
      <c r="T33" s="89"/>
      <c r="U33" s="89"/>
      <c r="V33" s="89"/>
      <c r="W33" s="89"/>
      <c r="X33" s="89"/>
      <c r="Y33" s="89"/>
      <c r="Z33" s="89"/>
      <c r="AA33" s="89"/>
    </row>
    <row r="34" s="60" customFormat="1" ht="53" customHeight="1" spans="1:27">
      <c r="A34" s="86"/>
      <c r="B34" s="86"/>
      <c r="C34" s="87" t="s">
        <v>457</v>
      </c>
      <c r="D34" s="89"/>
      <c r="E34" s="87"/>
      <c r="F34" s="87"/>
      <c r="G34" s="87"/>
      <c r="H34" s="87"/>
      <c r="I34" s="87"/>
      <c r="J34" s="87"/>
      <c r="K34" s="87"/>
      <c r="L34" s="87"/>
      <c r="M34" s="87"/>
      <c r="N34" s="87"/>
      <c r="O34" s="89"/>
      <c r="P34" s="89"/>
      <c r="Q34" s="89"/>
      <c r="R34" s="89"/>
      <c r="S34" s="89"/>
      <c r="T34" s="89"/>
      <c r="U34" s="89"/>
      <c r="V34" s="89"/>
      <c r="W34" s="89"/>
      <c r="X34" s="89"/>
      <c r="Y34" s="89"/>
      <c r="Z34" s="89"/>
      <c r="AA34" s="89"/>
    </row>
    <row r="35" s="60" customFormat="1" ht="67" customHeight="1" spans="1:27">
      <c r="A35" s="86" t="s">
        <v>538</v>
      </c>
      <c r="B35" s="86"/>
      <c r="C35" s="87" t="s">
        <v>539</v>
      </c>
      <c r="D35" s="89"/>
      <c r="E35" s="87"/>
      <c r="F35" s="87"/>
      <c r="G35" s="87"/>
      <c r="H35" s="87"/>
      <c r="I35" s="87"/>
      <c r="J35" s="87"/>
      <c r="K35" s="87"/>
      <c r="L35" s="87"/>
      <c r="M35" s="87"/>
      <c r="N35" s="87"/>
      <c r="O35" s="89"/>
      <c r="P35" s="89"/>
      <c r="Q35" s="89"/>
      <c r="R35" s="89"/>
      <c r="S35" s="89"/>
      <c r="T35" s="89"/>
      <c r="U35" s="89"/>
      <c r="V35" s="89"/>
      <c r="W35" s="89"/>
      <c r="X35" s="89"/>
      <c r="Y35" s="89"/>
      <c r="Z35" s="89"/>
      <c r="AA35" s="89"/>
    </row>
    <row r="36" s="60" customFormat="1" ht="40" customHeight="1" spans="1:27">
      <c r="A36" s="86" t="s">
        <v>540</v>
      </c>
      <c r="B36" s="86"/>
      <c r="C36" s="87" t="s">
        <v>541</v>
      </c>
      <c r="D36" s="89"/>
      <c r="E36" s="87"/>
      <c r="F36" s="87"/>
      <c r="G36" s="87"/>
      <c r="H36" s="87"/>
      <c r="I36" s="87"/>
      <c r="J36" s="87"/>
      <c r="K36" s="87"/>
      <c r="L36" s="87"/>
      <c r="M36" s="87"/>
      <c r="N36" s="87"/>
      <c r="O36" s="89"/>
      <c r="P36" s="89"/>
      <c r="Q36" s="89"/>
      <c r="R36" s="89"/>
      <c r="S36" s="89"/>
      <c r="T36" s="89"/>
      <c r="U36" s="89"/>
      <c r="V36" s="89"/>
      <c r="W36" s="89"/>
      <c r="X36" s="89"/>
      <c r="Y36" s="89"/>
      <c r="Z36" s="89"/>
      <c r="AA36" s="89"/>
    </row>
    <row r="37" s="60" customFormat="1" ht="130" customHeight="1" spans="1:27">
      <c r="A37" s="86" t="s">
        <v>542</v>
      </c>
      <c r="B37" s="86" t="s">
        <v>542</v>
      </c>
      <c r="C37" s="87" t="s">
        <v>543</v>
      </c>
      <c r="D37" s="89"/>
      <c r="E37" s="87"/>
      <c r="F37" s="87"/>
      <c r="G37" s="87"/>
      <c r="H37" s="87"/>
      <c r="I37" s="87"/>
      <c r="J37" s="87"/>
      <c r="K37" s="87"/>
      <c r="L37" s="87"/>
      <c r="M37" s="87"/>
      <c r="N37" s="87"/>
      <c r="O37" s="89"/>
      <c r="P37" s="89"/>
      <c r="Q37" s="89"/>
      <c r="R37" s="89"/>
      <c r="S37" s="89"/>
      <c r="T37" s="89"/>
      <c r="U37" s="89"/>
      <c r="V37" s="89"/>
      <c r="W37" s="89"/>
      <c r="X37" s="89"/>
      <c r="Y37" s="89"/>
      <c r="Z37" s="89"/>
      <c r="AA37" s="89"/>
    </row>
    <row r="38" s="60" customFormat="1" ht="40" customHeight="1" spans="1:27">
      <c r="A38" s="86" t="s">
        <v>544</v>
      </c>
      <c r="B38" s="86"/>
      <c r="C38" s="87" t="s">
        <v>545</v>
      </c>
      <c r="D38" s="89"/>
      <c r="E38" s="87"/>
      <c r="F38" s="87"/>
      <c r="G38" s="87"/>
      <c r="H38" s="87"/>
      <c r="I38" s="87"/>
      <c r="J38" s="87"/>
      <c r="K38" s="87"/>
      <c r="L38" s="87"/>
      <c r="M38" s="87"/>
      <c r="N38" s="87"/>
      <c r="O38" s="89"/>
      <c r="P38" s="89"/>
      <c r="Q38" s="89"/>
      <c r="R38" s="89"/>
      <c r="S38" s="89"/>
      <c r="T38" s="89"/>
      <c r="U38" s="89"/>
      <c r="V38" s="89"/>
      <c r="W38" s="89"/>
      <c r="X38" s="89"/>
      <c r="Y38" s="89"/>
      <c r="Z38" s="89"/>
      <c r="AA38" s="89"/>
    </row>
    <row r="39" s="60" customFormat="1" ht="130" customHeight="1" spans="1:27">
      <c r="A39" s="86" t="s">
        <v>285</v>
      </c>
      <c r="B39" s="86"/>
      <c r="C39" s="87" t="s">
        <v>286</v>
      </c>
      <c r="D39" s="89"/>
      <c r="E39" s="87"/>
      <c r="F39" s="87"/>
      <c r="G39" s="87"/>
      <c r="H39" s="87"/>
      <c r="I39" s="87"/>
      <c r="J39" s="87"/>
      <c r="K39" s="87"/>
      <c r="L39" s="87"/>
      <c r="M39" s="87"/>
      <c r="N39" s="87"/>
      <c r="O39" s="89"/>
      <c r="P39" s="89"/>
      <c r="Q39" s="89"/>
      <c r="R39" s="89"/>
      <c r="S39" s="89"/>
      <c r="T39" s="89"/>
      <c r="U39" s="89"/>
      <c r="V39" s="89"/>
      <c r="W39" s="89"/>
      <c r="X39" s="89"/>
      <c r="Y39" s="89"/>
      <c r="Z39" s="89"/>
      <c r="AA39" s="89"/>
    </row>
    <row r="40" s="60" customFormat="1" ht="30" customHeight="1" spans="1:27">
      <c r="A40" s="86"/>
      <c r="B40" s="86"/>
      <c r="C40" s="87" t="s">
        <v>287</v>
      </c>
      <c r="D40" s="89"/>
      <c r="E40" s="87"/>
      <c r="F40" s="87"/>
      <c r="G40" s="87"/>
      <c r="H40" s="87"/>
      <c r="I40" s="87"/>
      <c r="J40" s="87"/>
      <c r="K40" s="87"/>
      <c r="L40" s="87"/>
      <c r="M40" s="87"/>
      <c r="N40" s="87"/>
      <c r="O40" s="89"/>
      <c r="P40" s="89"/>
      <c r="Q40" s="89"/>
      <c r="R40" s="89"/>
      <c r="S40" s="89"/>
      <c r="T40" s="89"/>
      <c r="U40" s="89"/>
      <c r="V40" s="89"/>
      <c r="W40" s="89"/>
      <c r="X40" s="89"/>
      <c r="Y40" s="89"/>
      <c r="Z40" s="89"/>
      <c r="AA40" s="89"/>
    </row>
    <row r="41" s="60" customFormat="1" ht="30" customHeight="1" spans="1:27">
      <c r="A41" s="86"/>
      <c r="B41" s="86"/>
      <c r="C41" s="87" t="s">
        <v>288</v>
      </c>
      <c r="D41" s="89"/>
      <c r="E41" s="87"/>
      <c r="F41" s="87"/>
      <c r="G41" s="87"/>
      <c r="H41" s="87"/>
      <c r="I41" s="87"/>
      <c r="J41" s="87"/>
      <c r="K41" s="87"/>
      <c r="L41" s="87"/>
      <c r="M41" s="87"/>
      <c r="N41" s="87"/>
      <c r="O41" s="89"/>
      <c r="P41" s="89"/>
      <c r="Q41" s="89"/>
      <c r="R41" s="89"/>
      <c r="S41" s="89"/>
      <c r="T41" s="89"/>
      <c r="U41" s="89"/>
      <c r="V41" s="89"/>
      <c r="W41" s="89"/>
      <c r="X41" s="89"/>
      <c r="Y41" s="89"/>
      <c r="Z41" s="89"/>
      <c r="AA41" s="89"/>
    </row>
  </sheetData>
  <mergeCells count="92">
    <mergeCell ref="A1:AA1"/>
    <mergeCell ref="A2:B2"/>
    <mergeCell ref="C2:AA2"/>
    <mergeCell ref="A3:B3"/>
    <mergeCell ref="C3:N3"/>
    <mergeCell ref="O3:Z3"/>
    <mergeCell ref="A4:B4"/>
    <mergeCell ref="C4:E4"/>
    <mergeCell ref="F4:H4"/>
    <mergeCell ref="I4:K4"/>
    <mergeCell ref="L4:N4"/>
    <mergeCell ref="O4:Q4"/>
    <mergeCell ref="R4:T4"/>
    <mergeCell ref="U4:W4"/>
    <mergeCell ref="X4:Z4"/>
    <mergeCell ref="A11:B11"/>
    <mergeCell ref="C11:N11"/>
    <mergeCell ref="O11:Z11"/>
    <mergeCell ref="A12:B12"/>
    <mergeCell ref="C12:E12"/>
    <mergeCell ref="F12:H12"/>
    <mergeCell ref="I12:K12"/>
    <mergeCell ref="L12:N12"/>
    <mergeCell ref="O12:Q12"/>
    <mergeCell ref="R12:T12"/>
    <mergeCell ref="U12:W12"/>
    <mergeCell ref="X12:Z12"/>
    <mergeCell ref="O13:P13"/>
    <mergeCell ref="R13:S13"/>
    <mergeCell ref="U13:V13"/>
    <mergeCell ref="X13:Y13"/>
    <mergeCell ref="O14:P14"/>
    <mergeCell ref="R14:S14"/>
    <mergeCell ref="U14:V14"/>
    <mergeCell ref="X14:Y14"/>
    <mergeCell ref="O15:P15"/>
    <mergeCell ref="R15:S15"/>
    <mergeCell ref="U15:V15"/>
    <mergeCell ref="X15:Y15"/>
    <mergeCell ref="O16:P16"/>
    <mergeCell ref="R16:S16"/>
    <mergeCell ref="U16:V16"/>
    <mergeCell ref="X16:Y16"/>
    <mergeCell ref="O17:P17"/>
    <mergeCell ref="R17:S17"/>
    <mergeCell ref="U17:V17"/>
    <mergeCell ref="X17:Y17"/>
    <mergeCell ref="A18:B18"/>
    <mergeCell ref="C18:AA18"/>
    <mergeCell ref="A19:B19"/>
    <mergeCell ref="C19:AA19"/>
    <mergeCell ref="A20:B20"/>
    <mergeCell ref="C20:AA20"/>
    <mergeCell ref="C23:AA23"/>
    <mergeCell ref="C24:AA24"/>
    <mergeCell ref="C25:AA25"/>
    <mergeCell ref="C26:AA26"/>
    <mergeCell ref="C27:AA27"/>
    <mergeCell ref="C28:AA28"/>
    <mergeCell ref="A29:B29"/>
    <mergeCell ref="C29:AA29"/>
    <mergeCell ref="A30:B30"/>
    <mergeCell ref="C30:AA30"/>
    <mergeCell ref="A31:B31"/>
    <mergeCell ref="C31:AA31"/>
    <mergeCell ref="C32:AA32"/>
    <mergeCell ref="C33:AA33"/>
    <mergeCell ref="C34:AA34"/>
    <mergeCell ref="A35:B35"/>
    <mergeCell ref="C35:AA35"/>
    <mergeCell ref="A36:B36"/>
    <mergeCell ref="C36:AA36"/>
    <mergeCell ref="A37:B37"/>
    <mergeCell ref="C37:AA37"/>
    <mergeCell ref="A38:B38"/>
    <mergeCell ref="C38:AA38"/>
    <mergeCell ref="C39:AA39"/>
    <mergeCell ref="C40:AA40"/>
    <mergeCell ref="C41:AA41"/>
    <mergeCell ref="A6:A10"/>
    <mergeCell ref="A14:A17"/>
    <mergeCell ref="AA3:AA5"/>
    <mergeCell ref="AA11:AA13"/>
    <mergeCell ref="A32:B34"/>
    <mergeCell ref="A21:B25"/>
    <mergeCell ref="A26:B28"/>
    <mergeCell ref="A39:B41"/>
    <mergeCell ref="O21:R22"/>
    <mergeCell ref="X21:AA22"/>
    <mergeCell ref="S21:W22"/>
    <mergeCell ref="C21:I22"/>
    <mergeCell ref="J21:N22"/>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7"/>
  </sheetPr>
  <dimension ref="A1:P208"/>
  <sheetViews>
    <sheetView showGridLines="0" zoomScale="55" zoomScaleNormal="55" workbookViewId="0">
      <pane xSplit="1" ySplit="2" topLeftCell="B3" activePane="bottomRight" state="frozen"/>
      <selection/>
      <selection pane="topRight"/>
      <selection pane="bottomLeft"/>
      <selection pane="bottomRight" activeCell="B1" sqref="B1:P1"/>
    </sheetView>
  </sheetViews>
  <sheetFormatPr defaultColWidth="20.6333333333333" defaultRowHeight="46" customHeight="1"/>
  <cols>
    <col min="1" max="1" width="5.78333333333333" style="49" customWidth="1"/>
    <col min="2" max="6" width="15.6333333333333" style="49" customWidth="1"/>
    <col min="7" max="7" width="5.78333333333333" style="49" customWidth="1"/>
    <col min="8" max="11" width="15.6333333333333" style="49" customWidth="1"/>
    <col min="12" max="12" width="5.78333333333333" style="49" customWidth="1"/>
    <col min="13" max="16" width="15.6333333333333" style="49" customWidth="1"/>
    <col min="17" max="16379" width="20.6333333333333" style="59" customWidth="1"/>
    <col min="16380" max="16384" width="20.6333333333333" style="59"/>
  </cols>
  <sheetData>
    <row r="1" ht="66" customHeight="1" spans="1:16">
      <c r="A1" s="50"/>
      <c r="B1" s="50" t="str">
        <f>_xlfn.DISPIMG("ID_D6697A225B864C34A678052B48D4E660",1)</f>
        <v>=DISPIMG("ID_D6697A225B864C34A678052B48D4E660",1)</v>
      </c>
      <c r="C1" s="50"/>
      <c r="D1" s="50"/>
      <c r="E1" s="50"/>
      <c r="F1" s="50"/>
      <c r="G1" s="50"/>
      <c r="H1" s="50"/>
      <c r="I1" s="50"/>
      <c r="J1" s="50"/>
      <c r="K1" s="50"/>
      <c r="L1" s="50"/>
      <c r="M1" s="50"/>
      <c r="N1" s="50"/>
      <c r="O1" s="50"/>
      <c r="P1" s="50"/>
    </row>
    <row r="2" s="48" customFormat="1" ht="31" customHeight="1" spans="1:16">
      <c r="A2" s="52"/>
      <c r="B2" s="9" t="s">
        <v>546</v>
      </c>
      <c r="C2" s="9"/>
      <c r="D2" s="9"/>
      <c r="E2" s="9"/>
      <c r="F2" s="9"/>
      <c r="G2" s="52"/>
      <c r="H2" s="9" t="s">
        <v>547</v>
      </c>
      <c r="I2" s="9"/>
      <c r="J2" s="9"/>
      <c r="K2" s="9"/>
      <c r="L2" s="52"/>
      <c r="M2" s="9" t="s">
        <v>548</v>
      </c>
      <c r="N2" s="9"/>
      <c r="O2" s="9"/>
      <c r="P2" s="9"/>
    </row>
    <row r="3" s="48" customFormat="1" customHeight="1" spans="1:16">
      <c r="A3" s="49"/>
      <c r="B3" s="11">
        <v>2000</v>
      </c>
      <c r="C3" s="11">
        <v>3000</v>
      </c>
      <c r="D3" s="11">
        <v>4000</v>
      </c>
      <c r="E3" s="11">
        <v>5000</v>
      </c>
      <c r="F3" s="11">
        <v>6000</v>
      </c>
      <c r="G3" s="49"/>
      <c r="H3" s="11">
        <v>2079</v>
      </c>
      <c r="I3" s="11">
        <v>3024</v>
      </c>
      <c r="J3" s="11">
        <v>4019</v>
      </c>
      <c r="K3" s="11">
        <v>6027</v>
      </c>
      <c r="L3" s="49"/>
      <c r="M3" s="11">
        <v>2251</v>
      </c>
      <c r="N3" s="11">
        <v>3212</v>
      </c>
      <c r="O3" s="11">
        <v>4072</v>
      </c>
      <c r="P3" s="11">
        <v>6037</v>
      </c>
    </row>
    <row r="4" s="48" customFormat="1" customHeight="1" spans="1:16">
      <c r="A4" s="49"/>
      <c r="B4" s="11">
        <v>2006</v>
      </c>
      <c r="C4" s="11">
        <v>3002</v>
      </c>
      <c r="D4" s="11">
        <v>4005</v>
      </c>
      <c r="E4" s="11">
        <v>5005</v>
      </c>
      <c r="F4" s="11">
        <v>6003</v>
      </c>
      <c r="G4" s="49"/>
      <c r="H4" s="11">
        <v>2080</v>
      </c>
      <c r="I4" s="11">
        <v>3139</v>
      </c>
      <c r="J4" s="11">
        <v>4020</v>
      </c>
      <c r="K4" s="11">
        <v>6028</v>
      </c>
      <c r="L4" s="49"/>
      <c r="M4" s="11">
        <v>2258</v>
      </c>
      <c r="N4" s="11">
        <v>3214</v>
      </c>
      <c r="O4" s="11">
        <v>4213</v>
      </c>
      <c r="P4" s="11">
        <v>6041</v>
      </c>
    </row>
    <row r="5" s="48" customFormat="1" customHeight="1" spans="1:16">
      <c r="A5" s="49"/>
      <c r="B5" s="11">
        <v>2007</v>
      </c>
      <c r="C5" s="11">
        <v>3003</v>
      </c>
      <c r="D5" s="11">
        <v>4006</v>
      </c>
      <c r="E5" s="11">
        <v>5006</v>
      </c>
      <c r="F5" s="11">
        <v>6004</v>
      </c>
      <c r="G5" s="49"/>
      <c r="H5" s="11">
        <v>2081</v>
      </c>
      <c r="I5" s="11">
        <v>3140</v>
      </c>
      <c r="J5" s="11">
        <v>4021</v>
      </c>
      <c r="K5" s="11">
        <v>6030</v>
      </c>
      <c r="L5" s="49"/>
      <c r="M5" s="11">
        <v>2259</v>
      </c>
      <c r="N5" s="11">
        <v>3215</v>
      </c>
      <c r="O5" s="11">
        <v>4217</v>
      </c>
      <c r="P5" s="11">
        <v>6042</v>
      </c>
    </row>
    <row r="6" s="48" customFormat="1" customHeight="1" spans="1:16">
      <c r="A6" s="49"/>
      <c r="B6" s="11">
        <v>2008</v>
      </c>
      <c r="C6" s="11">
        <v>3004</v>
      </c>
      <c r="D6" s="11">
        <v>4007</v>
      </c>
      <c r="E6" s="11">
        <v>5007</v>
      </c>
      <c r="F6" s="11">
        <v>6005</v>
      </c>
      <c r="G6" s="49"/>
      <c r="H6" s="11">
        <v>2082</v>
      </c>
      <c r="I6" s="11">
        <v>3154</v>
      </c>
      <c r="J6" s="11">
        <v>4022</v>
      </c>
      <c r="K6" s="11">
        <v>6031</v>
      </c>
      <c r="L6" s="49"/>
      <c r="M6" s="11">
        <v>2260</v>
      </c>
      <c r="N6" s="11">
        <v>3216</v>
      </c>
      <c r="O6" s="11">
        <v>4218</v>
      </c>
      <c r="P6" s="11">
        <v>6211</v>
      </c>
    </row>
    <row r="7" s="48" customFormat="1" customHeight="1" spans="1:16">
      <c r="A7" s="49"/>
      <c r="B7" s="11">
        <v>2009</v>
      </c>
      <c r="C7" s="11">
        <v>3005</v>
      </c>
      <c r="D7" s="11">
        <v>4008</v>
      </c>
      <c r="E7" s="11">
        <v>5008</v>
      </c>
      <c r="F7" s="11">
        <v>6006</v>
      </c>
      <c r="G7" s="49"/>
      <c r="H7" s="11">
        <v>2083</v>
      </c>
      <c r="I7" s="11">
        <v>3156</v>
      </c>
      <c r="J7" s="11">
        <v>4025</v>
      </c>
      <c r="K7" s="11">
        <v>6032</v>
      </c>
      <c r="L7" s="49"/>
      <c r="M7" s="11">
        <v>2261</v>
      </c>
      <c r="N7" s="11">
        <v>3217</v>
      </c>
      <c r="O7" s="11">
        <v>4219</v>
      </c>
      <c r="P7" s="11">
        <v>6213</v>
      </c>
    </row>
    <row r="8" s="48" customFormat="1" customHeight="1" spans="1:16">
      <c r="A8" s="49"/>
      <c r="B8" s="11">
        <v>2010</v>
      </c>
      <c r="C8" s="11">
        <v>3006</v>
      </c>
      <c r="D8" s="11">
        <v>4009</v>
      </c>
      <c r="E8" s="11">
        <v>5009</v>
      </c>
      <c r="F8" s="11">
        <v>6007</v>
      </c>
      <c r="G8" s="49"/>
      <c r="H8" s="11">
        <v>2084</v>
      </c>
      <c r="I8" s="11">
        <v>3158</v>
      </c>
      <c r="J8" s="11">
        <v>4036</v>
      </c>
      <c r="K8" s="11">
        <v>6033</v>
      </c>
      <c r="L8" s="49"/>
      <c r="M8" s="11">
        <v>2262</v>
      </c>
      <c r="N8" s="11">
        <v>3218</v>
      </c>
      <c r="O8" s="11">
        <v>4220</v>
      </c>
      <c r="P8" s="11">
        <v>6214</v>
      </c>
    </row>
    <row r="9" s="48" customFormat="1" customHeight="1" spans="1:16">
      <c r="A9" s="49"/>
      <c r="B9" s="11">
        <v>2011</v>
      </c>
      <c r="C9" s="11">
        <v>3008</v>
      </c>
      <c r="D9" s="11">
        <v>4010</v>
      </c>
      <c r="E9" s="11">
        <v>5010</v>
      </c>
      <c r="F9" s="11">
        <v>6008</v>
      </c>
      <c r="G9" s="49"/>
      <c r="H9" s="11">
        <v>2086</v>
      </c>
      <c r="I9" s="11">
        <v>3159</v>
      </c>
      <c r="J9" s="11">
        <v>4160</v>
      </c>
      <c r="K9" s="11">
        <v>6035</v>
      </c>
      <c r="L9" s="49"/>
      <c r="M9" s="11">
        <v>2263</v>
      </c>
      <c r="N9" s="11">
        <v>3219</v>
      </c>
      <c r="O9" s="11">
        <v>4221</v>
      </c>
      <c r="P9" s="11">
        <v>6215</v>
      </c>
    </row>
    <row r="10" s="48" customFormat="1" customHeight="1" spans="1:16">
      <c r="A10" s="49"/>
      <c r="B10" s="11">
        <v>2015</v>
      </c>
      <c r="C10" s="11">
        <v>3010</v>
      </c>
      <c r="D10" s="11">
        <v>4011</v>
      </c>
      <c r="E10" s="11">
        <v>5011</v>
      </c>
      <c r="F10" s="11">
        <v>6009</v>
      </c>
      <c r="G10" s="49"/>
      <c r="H10" s="11">
        <v>2094</v>
      </c>
      <c r="I10" s="11">
        <v>3160</v>
      </c>
      <c r="J10" s="11">
        <v>4163</v>
      </c>
      <c r="K10" s="11">
        <v>6036</v>
      </c>
      <c r="L10" s="49"/>
      <c r="M10" s="11">
        <v>2264</v>
      </c>
      <c r="N10" s="11">
        <v>3221</v>
      </c>
      <c r="O10" s="11">
        <v>4223</v>
      </c>
      <c r="P10" s="11">
        <v>6304</v>
      </c>
    </row>
    <row r="11" s="48" customFormat="1" customHeight="1" spans="1:16">
      <c r="A11" s="49"/>
      <c r="B11" s="11">
        <v>2016</v>
      </c>
      <c r="C11" s="11">
        <v>3011</v>
      </c>
      <c r="D11" s="11">
        <v>4012</v>
      </c>
      <c r="E11" s="11">
        <v>5012</v>
      </c>
      <c r="F11" s="11">
        <v>6010</v>
      </c>
      <c r="G11" s="49"/>
      <c r="H11" s="11">
        <v>2095</v>
      </c>
      <c r="I11" s="11">
        <v>3171</v>
      </c>
      <c r="J11" s="11">
        <v>4164</v>
      </c>
      <c r="K11" s="11">
        <v>6038</v>
      </c>
      <c r="L11" s="49"/>
      <c r="M11" s="11">
        <v>2265</v>
      </c>
      <c r="N11" s="11">
        <v>3222</v>
      </c>
      <c r="O11" s="11">
        <v>4224</v>
      </c>
      <c r="P11" s="11">
        <v>6306</v>
      </c>
    </row>
    <row r="12" s="48" customFormat="1" customHeight="1" spans="1:16">
      <c r="A12" s="49"/>
      <c r="B12" s="11">
        <v>2017</v>
      </c>
      <c r="C12" s="11">
        <v>3012</v>
      </c>
      <c r="D12" s="11">
        <v>4013</v>
      </c>
      <c r="E12" s="11">
        <v>5013</v>
      </c>
      <c r="F12" s="11">
        <v>6011</v>
      </c>
      <c r="G12" s="49"/>
      <c r="H12" s="11">
        <v>2096</v>
      </c>
      <c r="I12" s="11">
        <v>3172</v>
      </c>
      <c r="J12" s="11">
        <v>4183</v>
      </c>
      <c r="K12" s="11">
        <v>6072</v>
      </c>
      <c r="L12" s="49"/>
      <c r="M12" s="11">
        <v>2267</v>
      </c>
      <c r="N12" s="11">
        <v>3224</v>
      </c>
      <c r="O12" s="11">
        <v>4225</v>
      </c>
      <c r="P12" s="11">
        <v>6308</v>
      </c>
    </row>
    <row r="13" s="48" customFormat="1" customHeight="1" spans="1:16">
      <c r="A13" s="49"/>
      <c r="B13" s="11">
        <v>2018</v>
      </c>
      <c r="C13" s="11">
        <v>3013</v>
      </c>
      <c r="D13" s="11">
        <v>4014</v>
      </c>
      <c r="E13" s="11">
        <v>5014</v>
      </c>
      <c r="F13" s="11">
        <v>6012</v>
      </c>
      <c r="G13" s="49"/>
      <c r="H13" s="11">
        <v>2097</v>
      </c>
      <c r="I13" s="11">
        <v>3173</v>
      </c>
      <c r="J13" s="11">
        <v>4184</v>
      </c>
      <c r="K13" s="11">
        <v>6073</v>
      </c>
      <c r="L13" s="49"/>
      <c r="M13" s="11">
        <v>2278</v>
      </c>
      <c r="N13" s="11">
        <v>3225</v>
      </c>
      <c r="O13" s="11">
        <v>4226</v>
      </c>
      <c r="P13" s="11">
        <v>6401</v>
      </c>
    </row>
    <row r="14" s="48" customFormat="1" customHeight="1" spans="1:16">
      <c r="A14" s="49"/>
      <c r="B14" s="11">
        <v>2019</v>
      </c>
      <c r="C14" s="11">
        <v>3015</v>
      </c>
      <c r="D14" s="11">
        <v>4017</v>
      </c>
      <c r="E14" s="11">
        <v>5015</v>
      </c>
      <c r="F14" s="11">
        <v>6014</v>
      </c>
      <c r="G14" s="49"/>
      <c r="H14" s="11">
        <v>2099</v>
      </c>
      <c r="I14" s="11">
        <v>3174</v>
      </c>
      <c r="J14" s="11">
        <v>4208</v>
      </c>
      <c r="K14" s="11">
        <v>6074</v>
      </c>
      <c r="L14" s="49"/>
      <c r="M14" s="11">
        <v>2280</v>
      </c>
      <c r="N14" s="11">
        <v>3226</v>
      </c>
      <c r="O14" s="11">
        <v>4227</v>
      </c>
      <c r="P14" s="11">
        <v>6502</v>
      </c>
    </row>
    <row r="15" s="48" customFormat="1" customHeight="1" spans="1:16">
      <c r="A15" s="49"/>
      <c r="B15" s="11">
        <v>2020</v>
      </c>
      <c r="C15" s="11">
        <v>3016</v>
      </c>
      <c r="D15" s="11">
        <v>4018</v>
      </c>
      <c r="E15" s="11">
        <v>5016</v>
      </c>
      <c r="F15" s="11">
        <v>6015</v>
      </c>
      <c r="G15" s="49"/>
      <c r="H15" s="11">
        <v>2100</v>
      </c>
      <c r="I15" s="11">
        <v>3175</v>
      </c>
      <c r="J15" s="11">
        <v>4209</v>
      </c>
      <c r="K15" s="11">
        <v>6077</v>
      </c>
      <c r="L15" s="49"/>
      <c r="M15" s="11">
        <v>2281</v>
      </c>
      <c r="N15" s="11">
        <v>3227</v>
      </c>
      <c r="O15" s="11">
        <v>4228</v>
      </c>
      <c r="P15" s="11">
        <v>6503</v>
      </c>
    </row>
    <row r="16" s="48" customFormat="1" customHeight="1" spans="1:16">
      <c r="A16" s="49"/>
      <c r="B16" s="11">
        <v>2021</v>
      </c>
      <c r="C16" s="11">
        <v>3018</v>
      </c>
      <c r="D16" s="11">
        <v>4029</v>
      </c>
      <c r="E16" s="11">
        <v>5017</v>
      </c>
      <c r="F16" s="11">
        <v>6016</v>
      </c>
      <c r="G16" s="49"/>
      <c r="H16" s="11">
        <v>2101</v>
      </c>
      <c r="I16" s="11">
        <v>3177</v>
      </c>
      <c r="J16" s="11">
        <v>4210</v>
      </c>
      <c r="K16" s="11">
        <v>6081</v>
      </c>
      <c r="L16" s="49"/>
      <c r="M16" s="11">
        <v>2282</v>
      </c>
      <c r="N16" s="11">
        <v>3228</v>
      </c>
      <c r="O16" s="11">
        <v>4229</v>
      </c>
      <c r="P16" s="11">
        <v>6504</v>
      </c>
    </row>
    <row r="17" s="48" customFormat="1" customHeight="1" spans="1:16">
      <c r="A17" s="49"/>
      <c r="B17" s="11">
        <v>2022</v>
      </c>
      <c r="C17" s="11">
        <v>3019</v>
      </c>
      <c r="D17" s="11">
        <v>4030</v>
      </c>
      <c r="E17" s="11">
        <v>5018</v>
      </c>
      <c r="F17" s="11">
        <v>6017</v>
      </c>
      <c r="G17" s="49"/>
      <c r="H17" s="11">
        <v>2102</v>
      </c>
      <c r="I17" s="11">
        <v>3178</v>
      </c>
      <c r="J17" s="11">
        <v>4211</v>
      </c>
      <c r="K17" s="11">
        <v>6082</v>
      </c>
      <c r="L17" s="49"/>
      <c r="M17" s="11">
        <v>2283</v>
      </c>
      <c r="N17" s="11">
        <v>3240</v>
      </c>
      <c r="O17" s="11">
        <v>4230</v>
      </c>
      <c r="P17" s="11">
        <v>6505</v>
      </c>
    </row>
    <row r="18" s="48" customFormat="1" customHeight="1" spans="1:16">
      <c r="A18" s="49"/>
      <c r="B18" s="11">
        <v>2023</v>
      </c>
      <c r="C18" s="11">
        <v>3020</v>
      </c>
      <c r="D18" s="11">
        <v>4031</v>
      </c>
      <c r="E18" s="11">
        <v>5019</v>
      </c>
      <c r="F18" s="11">
        <v>6018</v>
      </c>
      <c r="G18" s="49"/>
      <c r="H18" s="11">
        <v>2103</v>
      </c>
      <c r="I18" s="11">
        <v>3180</v>
      </c>
      <c r="J18" s="11">
        <v>4212</v>
      </c>
      <c r="K18" s="11">
        <v>6083</v>
      </c>
      <c r="L18" s="49"/>
      <c r="M18" s="11">
        <v>2284</v>
      </c>
      <c r="N18" s="11">
        <v>3321</v>
      </c>
      <c r="O18" s="11">
        <v>4287</v>
      </c>
      <c r="P18" s="11">
        <v>6564</v>
      </c>
    </row>
    <row r="19" s="48" customFormat="1" customHeight="1" spans="1:16">
      <c r="A19" s="49"/>
      <c r="B19" s="11">
        <v>2024</v>
      </c>
      <c r="C19" s="11">
        <v>3021</v>
      </c>
      <c r="D19" s="11">
        <v>4032</v>
      </c>
      <c r="E19" s="11">
        <v>5020</v>
      </c>
      <c r="F19" s="11">
        <v>6019</v>
      </c>
      <c r="G19" s="49"/>
      <c r="H19" s="11">
        <v>2104</v>
      </c>
      <c r="I19" s="11">
        <v>3193</v>
      </c>
      <c r="J19" s="11">
        <v>4214</v>
      </c>
      <c r="K19" s="11">
        <v>6084</v>
      </c>
      <c r="L19" s="49"/>
      <c r="M19" s="11">
        <v>2285</v>
      </c>
      <c r="N19" s="11">
        <v>3328</v>
      </c>
      <c r="O19" s="11">
        <v>4313</v>
      </c>
      <c r="P19" s="11">
        <v>6566</v>
      </c>
    </row>
    <row r="20" s="48" customFormat="1" customHeight="1" spans="1:16">
      <c r="A20" s="49"/>
      <c r="B20" s="11">
        <v>2025</v>
      </c>
      <c r="C20" s="11">
        <v>3022</v>
      </c>
      <c r="D20" s="11">
        <v>4034</v>
      </c>
      <c r="E20" s="11">
        <v>5021</v>
      </c>
      <c r="F20" s="11">
        <v>6020</v>
      </c>
      <c r="G20" s="49"/>
      <c r="H20" s="11">
        <v>2105</v>
      </c>
      <c r="I20" s="11">
        <v>3194</v>
      </c>
      <c r="J20" s="11">
        <v>4215</v>
      </c>
      <c r="K20" s="11">
        <v>6124</v>
      </c>
      <c r="L20" s="49"/>
      <c r="M20" s="11">
        <v>2286</v>
      </c>
      <c r="N20" s="11">
        <v>3329</v>
      </c>
      <c r="O20" s="11">
        <v>4344</v>
      </c>
      <c r="P20" s="11">
        <v>6567</v>
      </c>
    </row>
    <row r="21" s="48" customFormat="1" customHeight="1" spans="1:16">
      <c r="A21" s="49"/>
      <c r="B21" s="11">
        <v>2026</v>
      </c>
      <c r="C21" s="11">
        <v>3023</v>
      </c>
      <c r="D21" s="11">
        <v>4035</v>
      </c>
      <c r="E21" s="11">
        <v>5022</v>
      </c>
      <c r="F21" s="11">
        <v>6021</v>
      </c>
      <c r="G21" s="49"/>
      <c r="H21" s="11">
        <v>2106</v>
      </c>
      <c r="I21" s="11">
        <v>3195</v>
      </c>
      <c r="J21" s="11">
        <v>4216</v>
      </c>
      <c r="K21" s="11">
        <v>6125</v>
      </c>
      <c r="L21" s="49"/>
      <c r="M21" s="11">
        <v>2287</v>
      </c>
      <c r="N21" s="11">
        <v>3331</v>
      </c>
      <c r="O21" s="11">
        <v>4345</v>
      </c>
      <c r="P21" s="11">
        <v>6568</v>
      </c>
    </row>
    <row r="22" s="48" customFormat="1" customHeight="1" spans="1:16">
      <c r="A22" s="49"/>
      <c r="B22" s="11">
        <v>2027</v>
      </c>
      <c r="C22" s="11">
        <v>3025</v>
      </c>
      <c r="D22" s="11">
        <v>4037</v>
      </c>
      <c r="E22" s="11">
        <v>5023</v>
      </c>
      <c r="F22" s="11">
        <v>6022</v>
      </c>
      <c r="G22" s="49"/>
      <c r="H22" s="11">
        <v>2107</v>
      </c>
      <c r="I22" s="11">
        <v>3196</v>
      </c>
      <c r="J22" s="11">
        <v>4270</v>
      </c>
      <c r="K22" s="11">
        <v>6126</v>
      </c>
      <c r="L22" s="49"/>
      <c r="M22" s="11">
        <v>2289</v>
      </c>
      <c r="N22" s="11">
        <v>3332</v>
      </c>
      <c r="O22" s="11">
        <v>4347</v>
      </c>
      <c r="P22" s="11"/>
    </row>
    <row r="23" s="48" customFormat="1" customHeight="1" spans="1:16">
      <c r="A23" s="49"/>
      <c r="B23" s="11">
        <v>2028</v>
      </c>
      <c r="C23" s="11">
        <v>3026</v>
      </c>
      <c r="D23" s="11">
        <v>4051</v>
      </c>
      <c r="E23" s="11">
        <v>5024</v>
      </c>
      <c r="F23" s="11">
        <v>6023</v>
      </c>
      <c r="G23" s="49"/>
      <c r="H23" s="11">
        <v>2108</v>
      </c>
      <c r="I23" s="11">
        <v>3197</v>
      </c>
      <c r="J23" s="11">
        <v>4271</v>
      </c>
      <c r="K23" s="11">
        <v>6161</v>
      </c>
      <c r="L23" s="49"/>
      <c r="M23" s="11">
        <v>2290</v>
      </c>
      <c r="N23" s="11">
        <v>3333</v>
      </c>
      <c r="O23" s="11">
        <v>4350</v>
      </c>
      <c r="P23" s="11"/>
    </row>
    <row r="24" s="48" customFormat="1" customHeight="1" spans="1:16">
      <c r="A24" s="49"/>
      <c r="B24" s="11">
        <v>2029</v>
      </c>
      <c r="C24" s="11">
        <v>3027</v>
      </c>
      <c r="D24" s="11">
        <v>4053</v>
      </c>
      <c r="E24" s="11">
        <v>5025</v>
      </c>
      <c r="F24" s="11">
        <v>6024</v>
      </c>
      <c r="G24" s="49"/>
      <c r="H24" s="11">
        <v>2157</v>
      </c>
      <c r="I24" s="11">
        <v>3198</v>
      </c>
      <c r="J24" s="11">
        <v>4272</v>
      </c>
      <c r="K24" s="11">
        <v>6169</v>
      </c>
      <c r="L24" s="49"/>
      <c r="M24" s="11">
        <v>2292</v>
      </c>
      <c r="N24" s="11">
        <v>3334</v>
      </c>
      <c r="O24" s="11">
        <v>4352</v>
      </c>
      <c r="P24" s="11"/>
    </row>
    <row r="25" s="48" customFormat="1" customHeight="1" spans="1:16">
      <c r="A25" s="49"/>
      <c r="B25" s="11">
        <v>2030</v>
      </c>
      <c r="C25" s="11">
        <v>3028</v>
      </c>
      <c r="D25" s="11">
        <v>4054</v>
      </c>
      <c r="E25" s="11">
        <v>5031</v>
      </c>
      <c r="F25" s="11">
        <v>6025</v>
      </c>
      <c r="G25" s="49"/>
      <c r="H25" s="11">
        <v>2159</v>
      </c>
      <c r="I25" s="11">
        <v>3199</v>
      </c>
      <c r="J25" s="11">
        <v>4275</v>
      </c>
      <c r="K25" s="11">
        <v>6170</v>
      </c>
      <c r="L25" s="49"/>
      <c r="M25" s="11">
        <v>2296</v>
      </c>
      <c r="N25" s="11">
        <v>3342</v>
      </c>
      <c r="O25" s="11">
        <v>4355</v>
      </c>
      <c r="P25" s="11"/>
    </row>
    <row r="26" s="48" customFormat="1" customHeight="1" spans="1:16">
      <c r="A26" s="49"/>
      <c r="B26" s="11">
        <v>2031</v>
      </c>
      <c r="C26" s="11">
        <v>3029</v>
      </c>
      <c r="D26" s="11">
        <v>4055</v>
      </c>
      <c r="E26" s="11">
        <v>5032</v>
      </c>
      <c r="F26" s="11">
        <v>6026</v>
      </c>
      <c r="G26" s="49"/>
      <c r="H26" s="11">
        <v>2250</v>
      </c>
      <c r="I26" s="11">
        <v>3200</v>
      </c>
      <c r="J26" s="11">
        <v>4307</v>
      </c>
      <c r="K26" s="11">
        <v>6171</v>
      </c>
      <c r="L26" s="49"/>
      <c r="M26" s="11">
        <v>2298</v>
      </c>
      <c r="N26" s="11">
        <v>3345</v>
      </c>
      <c r="O26" s="11">
        <v>4359</v>
      </c>
      <c r="P26" s="11"/>
    </row>
    <row r="27" s="48" customFormat="1" customHeight="1" spans="1:16">
      <c r="A27" s="49"/>
      <c r="B27" s="11">
        <v>2032</v>
      </c>
      <c r="C27" s="11">
        <v>3030</v>
      </c>
      <c r="D27" s="11">
        <v>4059</v>
      </c>
      <c r="E27" s="11">
        <v>5033</v>
      </c>
      <c r="F27" s="11">
        <v>6029</v>
      </c>
      <c r="G27" s="49"/>
      <c r="H27" s="11">
        <v>2256</v>
      </c>
      <c r="I27" s="11">
        <v>3201</v>
      </c>
      <c r="J27" s="11">
        <v>4309</v>
      </c>
      <c r="K27" s="11">
        <v>6172</v>
      </c>
      <c r="L27" s="49"/>
      <c r="M27" s="11">
        <v>2299</v>
      </c>
      <c r="N27" s="11">
        <v>3350</v>
      </c>
      <c r="O27" s="11">
        <v>4361</v>
      </c>
      <c r="P27" s="11"/>
    </row>
    <row r="28" s="48" customFormat="1" customHeight="1" spans="1:16">
      <c r="A28" s="49"/>
      <c r="B28" s="11">
        <v>2033</v>
      </c>
      <c r="C28" s="11">
        <v>3031</v>
      </c>
      <c r="D28" s="11">
        <v>4060</v>
      </c>
      <c r="E28" s="11">
        <v>5034</v>
      </c>
      <c r="F28" s="11">
        <v>6034</v>
      </c>
      <c r="G28" s="49"/>
      <c r="H28" s="11">
        <v>2257</v>
      </c>
      <c r="I28" s="11">
        <v>3202</v>
      </c>
      <c r="J28" s="11">
        <v>4310</v>
      </c>
      <c r="K28" s="11">
        <v>6173</v>
      </c>
      <c r="L28" s="49"/>
      <c r="M28" s="11">
        <v>2304</v>
      </c>
      <c r="N28" s="11">
        <v>3352</v>
      </c>
      <c r="O28" s="11">
        <v>4362</v>
      </c>
      <c r="P28" s="11"/>
    </row>
    <row r="29" s="48" customFormat="1" customHeight="1" spans="1:16">
      <c r="A29" s="49"/>
      <c r="B29" s="11">
        <v>2034</v>
      </c>
      <c r="C29" s="11">
        <v>3032</v>
      </c>
      <c r="D29" s="11">
        <v>4061</v>
      </c>
      <c r="E29" s="11">
        <v>5035</v>
      </c>
      <c r="F29" s="11">
        <v>6050</v>
      </c>
      <c r="G29" s="49"/>
      <c r="H29" s="11">
        <v>2500</v>
      </c>
      <c r="I29" s="11">
        <v>3211</v>
      </c>
      <c r="J29" s="11">
        <v>4311</v>
      </c>
      <c r="K29" s="11">
        <v>6174</v>
      </c>
      <c r="L29" s="49"/>
      <c r="M29" s="11">
        <v>2305</v>
      </c>
      <c r="N29" s="11">
        <v>3357</v>
      </c>
      <c r="O29" s="11">
        <v>4370</v>
      </c>
      <c r="P29" s="11"/>
    </row>
    <row r="30" s="48" customFormat="1" customHeight="1" spans="1:16">
      <c r="A30" s="49"/>
      <c r="B30" s="11">
        <v>2035</v>
      </c>
      <c r="C30" s="11">
        <v>3033</v>
      </c>
      <c r="D30" s="11">
        <v>4064</v>
      </c>
      <c r="E30" s="11">
        <v>5037</v>
      </c>
      <c r="F30" s="11">
        <v>6051</v>
      </c>
      <c r="G30" s="49"/>
      <c r="H30" s="11">
        <v>2515</v>
      </c>
      <c r="I30" s="11">
        <v>3220</v>
      </c>
      <c r="J30" s="11">
        <v>4312</v>
      </c>
      <c r="K30" s="11">
        <v>6175</v>
      </c>
      <c r="L30" s="49"/>
      <c r="M30" s="11">
        <v>2306</v>
      </c>
      <c r="N30" s="11">
        <v>3363</v>
      </c>
      <c r="O30" s="11">
        <v>4371</v>
      </c>
      <c r="P30" s="11"/>
    </row>
    <row r="31" s="48" customFormat="1" customHeight="1" spans="1:16">
      <c r="A31" s="49"/>
      <c r="B31" s="11">
        <v>2036</v>
      </c>
      <c r="C31" s="11">
        <v>3034</v>
      </c>
      <c r="D31" s="11">
        <v>4065</v>
      </c>
      <c r="E31" s="11">
        <v>5038</v>
      </c>
      <c r="F31" s="11">
        <v>6052</v>
      </c>
      <c r="G31" s="49"/>
      <c r="H31" s="11">
        <v>2516</v>
      </c>
      <c r="I31" s="11">
        <v>3223</v>
      </c>
      <c r="J31" s="11">
        <v>4341</v>
      </c>
      <c r="K31" s="11">
        <v>6176</v>
      </c>
      <c r="L31" s="49"/>
      <c r="M31" s="11">
        <v>2307</v>
      </c>
      <c r="N31" s="11">
        <v>3364</v>
      </c>
      <c r="O31" s="11">
        <v>4373</v>
      </c>
      <c r="P31" s="11"/>
    </row>
    <row r="32" s="48" customFormat="1" customHeight="1" spans="1:16">
      <c r="A32" s="49"/>
      <c r="B32" s="11">
        <v>2037</v>
      </c>
      <c r="C32" s="11">
        <v>3036</v>
      </c>
      <c r="D32" s="11">
        <v>4066</v>
      </c>
      <c r="E32" s="11">
        <v>5039</v>
      </c>
      <c r="F32" s="11">
        <v>6053</v>
      </c>
      <c r="G32" s="49"/>
      <c r="H32" s="11">
        <v>2517</v>
      </c>
      <c r="I32" s="11">
        <v>3336</v>
      </c>
      <c r="J32" s="11">
        <v>4342</v>
      </c>
      <c r="K32" s="11">
        <v>6180</v>
      </c>
      <c r="L32" s="49"/>
      <c r="M32" s="11">
        <v>2308</v>
      </c>
      <c r="N32" s="11">
        <v>3444</v>
      </c>
      <c r="O32" s="11">
        <v>4422</v>
      </c>
      <c r="P32" s="11"/>
    </row>
    <row r="33" s="48" customFormat="1" customHeight="1" spans="1:16">
      <c r="A33" s="49"/>
      <c r="B33" s="11">
        <v>2038</v>
      </c>
      <c r="C33" s="11">
        <v>3037</v>
      </c>
      <c r="D33" s="11">
        <v>4067</v>
      </c>
      <c r="E33" s="11">
        <v>5040</v>
      </c>
      <c r="F33" s="11">
        <v>6054</v>
      </c>
      <c r="G33" s="49"/>
      <c r="H33" s="11">
        <v>2518</v>
      </c>
      <c r="I33" s="11">
        <v>3337</v>
      </c>
      <c r="J33" s="11">
        <v>4343</v>
      </c>
      <c r="K33" s="11">
        <v>6207</v>
      </c>
      <c r="L33" s="49"/>
      <c r="M33" s="11">
        <v>2325</v>
      </c>
      <c r="N33" s="11">
        <v>3446</v>
      </c>
      <c r="O33" s="11">
        <v>4512</v>
      </c>
      <c r="P33" s="11"/>
    </row>
    <row r="34" s="48" customFormat="1" customHeight="1" spans="1:16">
      <c r="A34" s="49"/>
      <c r="B34" s="11">
        <v>2039</v>
      </c>
      <c r="C34" s="11">
        <v>3038</v>
      </c>
      <c r="D34" s="11">
        <v>4068</v>
      </c>
      <c r="E34" s="11">
        <v>5041</v>
      </c>
      <c r="F34" s="11">
        <v>6055</v>
      </c>
      <c r="G34" s="49"/>
      <c r="H34" s="11">
        <v>2519</v>
      </c>
      <c r="I34" s="11">
        <v>3338</v>
      </c>
      <c r="J34" s="11">
        <v>4346</v>
      </c>
      <c r="K34" s="11">
        <v>6208</v>
      </c>
      <c r="L34" s="49"/>
      <c r="M34" s="11">
        <v>2485</v>
      </c>
      <c r="N34" s="11">
        <v>3447</v>
      </c>
      <c r="O34" s="11">
        <v>4514</v>
      </c>
      <c r="P34" s="11"/>
    </row>
    <row r="35" s="48" customFormat="1" customHeight="1" spans="1:16">
      <c r="A35" s="49"/>
      <c r="B35" s="11">
        <v>2040</v>
      </c>
      <c r="C35" s="11">
        <v>3039</v>
      </c>
      <c r="D35" s="11">
        <v>4069</v>
      </c>
      <c r="E35" s="11">
        <v>5042</v>
      </c>
      <c r="F35" s="11">
        <v>6056</v>
      </c>
      <c r="G35" s="49"/>
      <c r="H35" s="11">
        <v>2522</v>
      </c>
      <c r="I35" s="11">
        <v>3340</v>
      </c>
      <c r="J35" s="11">
        <v>4380</v>
      </c>
      <c r="K35" s="11">
        <v>6209</v>
      </c>
      <c r="L35" s="49"/>
      <c r="M35" s="11">
        <v>2486</v>
      </c>
      <c r="N35" s="11">
        <v>3448</v>
      </c>
      <c r="O35" s="11">
        <v>4515</v>
      </c>
      <c r="P35" s="11"/>
    </row>
    <row r="36" s="48" customFormat="1" customHeight="1" spans="1:16">
      <c r="A36" s="49"/>
      <c r="B36" s="11">
        <v>2041</v>
      </c>
      <c r="C36" s="11">
        <v>3040</v>
      </c>
      <c r="D36" s="11">
        <v>4070</v>
      </c>
      <c r="E36" s="11">
        <v>5043</v>
      </c>
      <c r="F36" s="11">
        <v>6057</v>
      </c>
      <c r="G36" s="49"/>
      <c r="H36" s="11">
        <v>2525</v>
      </c>
      <c r="I36" s="11">
        <v>3341</v>
      </c>
      <c r="J36" s="11">
        <v>4500</v>
      </c>
      <c r="K36" s="11">
        <v>6210</v>
      </c>
      <c r="L36" s="49"/>
      <c r="M36" s="11">
        <v>2487</v>
      </c>
      <c r="N36" s="11">
        <v>3450</v>
      </c>
      <c r="O36" s="11">
        <v>4516</v>
      </c>
      <c r="P36" s="11"/>
    </row>
    <row r="37" s="48" customFormat="1" customHeight="1" spans="1:16">
      <c r="A37" s="49"/>
      <c r="B37" s="11">
        <v>2042</v>
      </c>
      <c r="C37" s="11">
        <v>3041</v>
      </c>
      <c r="D37" s="11">
        <v>4073</v>
      </c>
      <c r="E37" s="11">
        <v>5044</v>
      </c>
      <c r="F37" s="11">
        <v>6058</v>
      </c>
      <c r="G37" s="49"/>
      <c r="H37" s="11">
        <v>2526</v>
      </c>
      <c r="I37" s="11">
        <v>3430</v>
      </c>
      <c r="J37" s="11">
        <v>4501</v>
      </c>
      <c r="K37" s="11">
        <v>6302</v>
      </c>
      <c r="L37" s="49"/>
      <c r="M37" s="11">
        <v>2502</v>
      </c>
      <c r="N37" s="11">
        <v>3451</v>
      </c>
      <c r="O37" s="11">
        <v>4517</v>
      </c>
      <c r="P37" s="11"/>
    </row>
    <row r="38" s="48" customFormat="1" customHeight="1" spans="1:16">
      <c r="A38" s="49"/>
      <c r="B38" s="11">
        <v>2043</v>
      </c>
      <c r="C38" s="11">
        <v>3042</v>
      </c>
      <c r="D38" s="11">
        <v>4074</v>
      </c>
      <c r="E38" s="11">
        <v>5045</v>
      </c>
      <c r="F38" s="11">
        <v>6059</v>
      </c>
      <c r="G38" s="49"/>
      <c r="H38" s="11">
        <v>2569</v>
      </c>
      <c r="I38" s="11">
        <v>3431</v>
      </c>
      <c r="J38" s="11">
        <v>4502</v>
      </c>
      <c r="K38" s="11">
        <v>6390</v>
      </c>
      <c r="L38" s="49"/>
      <c r="M38" s="11">
        <v>2505</v>
      </c>
      <c r="N38" s="11">
        <v>3460</v>
      </c>
      <c r="O38" s="11">
        <v>4518</v>
      </c>
      <c r="P38" s="11"/>
    </row>
    <row r="39" s="48" customFormat="1" customHeight="1" spans="1:16">
      <c r="A39" s="49"/>
      <c r="B39" s="11">
        <v>2044</v>
      </c>
      <c r="C39" s="11">
        <v>3043</v>
      </c>
      <c r="D39" s="11">
        <v>4075</v>
      </c>
      <c r="E39" s="11">
        <v>5046</v>
      </c>
      <c r="F39" s="11">
        <v>6060</v>
      </c>
      <c r="G39" s="49"/>
      <c r="H39" s="11">
        <v>2571</v>
      </c>
      <c r="I39" s="11">
        <v>3432</v>
      </c>
      <c r="J39" s="11">
        <v>4503</v>
      </c>
      <c r="K39" s="11">
        <v>6501</v>
      </c>
      <c r="L39" s="49"/>
      <c r="M39" s="11">
        <v>2506</v>
      </c>
      <c r="N39" s="11">
        <v>3461</v>
      </c>
      <c r="O39" s="11">
        <v>4519</v>
      </c>
      <c r="P39" s="11"/>
    </row>
    <row r="40" s="48" customFormat="1" customHeight="1" spans="1:16">
      <c r="A40" s="49"/>
      <c r="B40" s="11">
        <v>2045</v>
      </c>
      <c r="C40" s="11">
        <v>3044</v>
      </c>
      <c r="D40" s="11">
        <v>4076</v>
      </c>
      <c r="E40" s="11">
        <v>5047</v>
      </c>
      <c r="F40" s="11">
        <v>6061</v>
      </c>
      <c r="G40" s="49"/>
      <c r="H40" s="11">
        <v>2572</v>
      </c>
      <c r="I40" s="11">
        <v>3434</v>
      </c>
      <c r="J40" s="11">
        <v>4504</v>
      </c>
      <c r="K40" s="11">
        <v>6556</v>
      </c>
      <c r="L40" s="49"/>
      <c r="M40" s="11">
        <v>2527</v>
      </c>
      <c r="N40" s="11">
        <v>3521</v>
      </c>
      <c r="O40" s="11">
        <v>4550</v>
      </c>
      <c r="P40" s="11"/>
    </row>
    <row r="41" s="48" customFormat="1" customHeight="1" spans="1:16">
      <c r="A41" s="49"/>
      <c r="B41" s="11">
        <v>2046</v>
      </c>
      <c r="C41" s="11">
        <v>3045</v>
      </c>
      <c r="D41" s="11">
        <v>4077</v>
      </c>
      <c r="E41" s="11">
        <v>5048</v>
      </c>
      <c r="F41" s="11">
        <v>6062</v>
      </c>
      <c r="G41" s="49"/>
      <c r="H41" s="11">
        <v>2573</v>
      </c>
      <c r="I41" s="11">
        <v>3435</v>
      </c>
      <c r="J41" s="11">
        <v>4505</v>
      </c>
      <c r="K41" s="11">
        <v>6558</v>
      </c>
      <c r="L41" s="49"/>
      <c r="M41" s="11">
        <v>2528</v>
      </c>
      <c r="N41" s="11">
        <v>3522</v>
      </c>
      <c r="O41" s="11">
        <v>4551</v>
      </c>
      <c r="P41" s="11"/>
    </row>
    <row r="42" s="48" customFormat="1" customHeight="1" spans="1:16">
      <c r="A42" s="49"/>
      <c r="B42" s="11">
        <v>2047</v>
      </c>
      <c r="C42" s="11">
        <v>3046</v>
      </c>
      <c r="D42" s="11">
        <v>4078</v>
      </c>
      <c r="E42" s="11">
        <v>5049</v>
      </c>
      <c r="F42" s="11">
        <v>6063</v>
      </c>
      <c r="G42" s="49"/>
      <c r="H42" s="11">
        <v>2574</v>
      </c>
      <c r="I42" s="11">
        <v>3437</v>
      </c>
      <c r="J42" s="11">
        <v>4506</v>
      </c>
      <c r="K42" s="11">
        <v>6560</v>
      </c>
      <c r="L42" s="49"/>
      <c r="M42" s="11">
        <v>2529</v>
      </c>
      <c r="N42" s="11">
        <v>3523</v>
      </c>
      <c r="O42" s="11">
        <v>4552</v>
      </c>
      <c r="P42" s="11"/>
    </row>
    <row r="43" s="48" customFormat="1" customHeight="1" spans="1:16">
      <c r="A43" s="49"/>
      <c r="B43" s="11">
        <v>2048</v>
      </c>
      <c r="C43" s="11">
        <v>3047</v>
      </c>
      <c r="D43" s="11">
        <v>4101</v>
      </c>
      <c r="E43" s="11">
        <v>5050</v>
      </c>
      <c r="F43" s="11">
        <v>6064</v>
      </c>
      <c r="G43" s="49"/>
      <c r="H43" s="11">
        <v>2749</v>
      </c>
      <c r="I43" s="11">
        <v>3438</v>
      </c>
      <c r="J43" s="11">
        <v>4507</v>
      </c>
      <c r="K43" s="11">
        <v>6562</v>
      </c>
      <c r="L43" s="49"/>
      <c r="M43" s="11">
        <v>2530</v>
      </c>
      <c r="N43" s="11">
        <v>3551</v>
      </c>
      <c r="O43" s="11">
        <v>4553</v>
      </c>
      <c r="P43" s="11"/>
    </row>
    <row r="44" s="48" customFormat="1" customHeight="1" spans="1:16">
      <c r="A44" s="49"/>
      <c r="B44" s="11">
        <v>2049</v>
      </c>
      <c r="C44" s="11">
        <v>3048</v>
      </c>
      <c r="D44" s="11">
        <v>4102</v>
      </c>
      <c r="E44" s="11">
        <v>5051</v>
      </c>
      <c r="F44" s="11">
        <v>6065</v>
      </c>
      <c r="G44" s="49"/>
      <c r="H44" s="11">
        <v>2752</v>
      </c>
      <c r="I44" s="11">
        <v>3440</v>
      </c>
      <c r="J44" s="11">
        <v>4508</v>
      </c>
      <c r="K44" s="11"/>
      <c r="L44" s="49"/>
      <c r="M44" s="11">
        <v>2533</v>
      </c>
      <c r="N44" s="11">
        <v>3607</v>
      </c>
      <c r="O44" s="11">
        <v>4554</v>
      </c>
      <c r="P44" s="11"/>
    </row>
    <row r="45" s="48" customFormat="1" customHeight="1" spans="1:16">
      <c r="A45" s="49"/>
      <c r="B45" s="11">
        <v>2050</v>
      </c>
      <c r="C45" s="11">
        <v>3049</v>
      </c>
      <c r="D45" s="11">
        <v>4103</v>
      </c>
      <c r="E45" s="11">
        <v>5052</v>
      </c>
      <c r="F45" s="11">
        <v>6066</v>
      </c>
      <c r="G45" s="49"/>
      <c r="H45" s="11">
        <v>2753</v>
      </c>
      <c r="I45" s="11">
        <v>3441</v>
      </c>
      <c r="J45" s="11">
        <v>4509</v>
      </c>
      <c r="K45" s="11"/>
      <c r="L45" s="49"/>
      <c r="M45" s="11">
        <v>2534</v>
      </c>
      <c r="N45" s="11">
        <v>3608</v>
      </c>
      <c r="O45" s="11">
        <v>4555</v>
      </c>
      <c r="P45" s="11"/>
    </row>
    <row r="46" s="48" customFormat="1" customHeight="1" spans="1:16">
      <c r="A46" s="49"/>
      <c r="B46" s="11">
        <v>2052</v>
      </c>
      <c r="C46" s="11">
        <v>3050</v>
      </c>
      <c r="D46" s="11">
        <v>4104</v>
      </c>
      <c r="E46" s="11">
        <v>5061</v>
      </c>
      <c r="F46" s="11">
        <v>6067</v>
      </c>
      <c r="G46" s="49"/>
      <c r="H46" s="11">
        <v>2754</v>
      </c>
      <c r="I46" s="11">
        <v>3442</v>
      </c>
      <c r="J46" s="11">
        <v>4510</v>
      </c>
      <c r="K46" s="11"/>
      <c r="L46" s="49"/>
      <c r="M46" s="11">
        <v>2535</v>
      </c>
      <c r="N46" s="11">
        <v>3659</v>
      </c>
      <c r="O46" s="11">
        <v>4556</v>
      </c>
      <c r="P46" s="11"/>
    </row>
    <row r="47" s="48" customFormat="1" customHeight="1" spans="1:16">
      <c r="A47" s="49"/>
      <c r="B47" s="11">
        <v>2055</v>
      </c>
      <c r="C47" s="11">
        <v>3051</v>
      </c>
      <c r="D47" s="11">
        <v>4105</v>
      </c>
      <c r="E47" s="11">
        <v>5062</v>
      </c>
      <c r="F47" s="11">
        <v>6068</v>
      </c>
      <c r="G47" s="49"/>
      <c r="H47" s="11">
        <v>2755</v>
      </c>
      <c r="I47" s="11">
        <v>3458</v>
      </c>
      <c r="J47" s="11">
        <v>4511</v>
      </c>
      <c r="K47" s="11"/>
      <c r="L47" s="49"/>
      <c r="M47" s="11">
        <v>2575</v>
      </c>
      <c r="N47" s="11">
        <v>3660</v>
      </c>
      <c r="O47" s="11">
        <v>4557</v>
      </c>
      <c r="P47" s="11"/>
    </row>
    <row r="48" s="48" customFormat="1" customHeight="1" spans="1:16">
      <c r="A48" s="49"/>
      <c r="B48" s="11">
        <v>2060</v>
      </c>
      <c r="C48" s="11">
        <v>3052</v>
      </c>
      <c r="D48" s="11">
        <v>4106</v>
      </c>
      <c r="E48" s="11">
        <v>5063</v>
      </c>
      <c r="F48" s="11">
        <v>6069</v>
      </c>
      <c r="G48" s="49"/>
      <c r="H48" s="11">
        <v>2756</v>
      </c>
      <c r="I48" s="11">
        <v>3658</v>
      </c>
      <c r="J48" s="11">
        <v>4521</v>
      </c>
      <c r="K48" s="11"/>
      <c r="L48" s="49"/>
      <c r="M48" s="11">
        <v>2576</v>
      </c>
      <c r="N48" s="11">
        <v>3663</v>
      </c>
      <c r="O48" s="11">
        <v>4558</v>
      </c>
      <c r="P48" s="11"/>
    </row>
    <row r="49" s="48" customFormat="1" customHeight="1" spans="1:16">
      <c r="A49" s="49"/>
      <c r="B49" s="11">
        <v>2061</v>
      </c>
      <c r="C49" s="11">
        <v>3053</v>
      </c>
      <c r="D49" s="11">
        <v>4107</v>
      </c>
      <c r="E49" s="11">
        <v>5064</v>
      </c>
      <c r="F49" s="11">
        <v>6070</v>
      </c>
      <c r="G49" s="49"/>
      <c r="H49" s="11">
        <v>2757</v>
      </c>
      <c r="I49" s="11">
        <v>3695</v>
      </c>
      <c r="J49" s="11"/>
      <c r="K49" s="11"/>
      <c r="L49" s="49"/>
      <c r="M49" s="11">
        <v>2577</v>
      </c>
      <c r="N49" s="11">
        <v>3664</v>
      </c>
      <c r="O49" s="11">
        <v>4559</v>
      </c>
      <c r="P49" s="11"/>
    </row>
    <row r="50" s="48" customFormat="1" customHeight="1" spans="1:16">
      <c r="A50" s="49"/>
      <c r="B50" s="11">
        <v>2062</v>
      </c>
      <c r="C50" s="11">
        <v>3054</v>
      </c>
      <c r="D50" s="11">
        <v>4108</v>
      </c>
      <c r="E50" s="11">
        <v>5065</v>
      </c>
      <c r="F50" s="11">
        <v>6071</v>
      </c>
      <c r="G50" s="49"/>
      <c r="H50" s="11">
        <v>2758</v>
      </c>
      <c r="I50" s="11">
        <v>3717</v>
      </c>
      <c r="J50" s="11"/>
      <c r="K50" s="11"/>
      <c r="L50" s="49"/>
      <c r="M50" s="11">
        <v>2578</v>
      </c>
      <c r="N50" s="11">
        <v>3666</v>
      </c>
      <c r="O50" s="11">
        <v>4560</v>
      </c>
      <c r="P50" s="11"/>
    </row>
    <row r="51" s="48" customFormat="1" customHeight="1" spans="1:16">
      <c r="A51" s="49"/>
      <c r="B51" s="11">
        <v>2063</v>
      </c>
      <c r="C51" s="11">
        <v>3055</v>
      </c>
      <c r="D51" s="11">
        <v>4109</v>
      </c>
      <c r="E51" s="11">
        <v>5066</v>
      </c>
      <c r="F51" s="11">
        <v>6076</v>
      </c>
      <c r="G51" s="49"/>
      <c r="H51" s="11">
        <v>2773</v>
      </c>
      <c r="I51" s="11">
        <v>3758</v>
      </c>
      <c r="J51" s="11"/>
      <c r="K51" s="11"/>
      <c r="L51" s="49"/>
      <c r="M51" s="11">
        <v>2579</v>
      </c>
      <c r="N51" s="11">
        <v>3711</v>
      </c>
      <c r="O51" s="11">
        <v>4561</v>
      </c>
      <c r="P51" s="11"/>
    </row>
    <row r="52" s="48" customFormat="1" customHeight="1" spans="1:16">
      <c r="A52" s="49"/>
      <c r="B52" s="11">
        <v>2064</v>
      </c>
      <c r="C52" s="11">
        <v>3056</v>
      </c>
      <c r="D52" s="11">
        <v>4110</v>
      </c>
      <c r="E52" s="11">
        <v>5067</v>
      </c>
      <c r="F52" s="11">
        <v>6090</v>
      </c>
      <c r="G52" s="49"/>
      <c r="H52" s="11">
        <v>2774</v>
      </c>
      <c r="I52" s="11">
        <v>3763</v>
      </c>
      <c r="J52" s="11"/>
      <c r="K52" s="11"/>
      <c r="L52" s="49"/>
      <c r="M52" s="11">
        <v>2580</v>
      </c>
      <c r="N52" s="11">
        <v>3712</v>
      </c>
      <c r="O52" s="11">
        <v>4562</v>
      </c>
      <c r="P52" s="11"/>
    </row>
    <row r="53" s="48" customFormat="1" customHeight="1" spans="1:16">
      <c r="A53" s="49"/>
      <c r="B53" s="11">
        <v>2065</v>
      </c>
      <c r="C53" s="11">
        <v>3057</v>
      </c>
      <c r="D53" s="11">
        <v>4111</v>
      </c>
      <c r="E53" s="11">
        <v>5068</v>
      </c>
      <c r="F53" s="11">
        <v>6100</v>
      </c>
      <c r="G53" s="49"/>
      <c r="H53" s="11">
        <v>2775</v>
      </c>
      <c r="I53" s="11">
        <v>3764</v>
      </c>
      <c r="J53" s="11"/>
      <c r="K53" s="11"/>
      <c r="L53" s="49"/>
      <c r="M53" s="11">
        <v>2780</v>
      </c>
      <c r="N53" s="11">
        <v>3713</v>
      </c>
      <c r="O53" s="11">
        <v>4563</v>
      </c>
      <c r="P53" s="11"/>
    </row>
    <row r="54" s="48" customFormat="1" customHeight="1" spans="1:16">
      <c r="A54" s="49"/>
      <c r="B54" s="11">
        <v>2066</v>
      </c>
      <c r="C54" s="11">
        <v>3058</v>
      </c>
      <c r="D54" s="11">
        <v>4112</v>
      </c>
      <c r="E54" s="11">
        <v>5069</v>
      </c>
      <c r="F54" s="11">
        <v>6101</v>
      </c>
      <c r="G54" s="49"/>
      <c r="H54" s="11">
        <v>2776</v>
      </c>
      <c r="I54" s="11">
        <v>3765</v>
      </c>
      <c r="J54" s="11"/>
      <c r="K54" s="11"/>
      <c r="L54" s="49"/>
      <c r="M54" s="11">
        <v>2785</v>
      </c>
      <c r="N54" s="11">
        <v>3714</v>
      </c>
      <c r="O54" s="11">
        <v>4564</v>
      </c>
      <c r="P54" s="11"/>
    </row>
    <row r="55" s="48" customFormat="1" customHeight="1" spans="1:16">
      <c r="A55" s="49"/>
      <c r="B55" s="11">
        <v>2067</v>
      </c>
      <c r="C55" s="11">
        <v>3059</v>
      </c>
      <c r="D55" s="11">
        <v>4113</v>
      </c>
      <c r="E55" s="11">
        <v>5070</v>
      </c>
      <c r="F55" s="11">
        <v>6102</v>
      </c>
      <c r="G55" s="49"/>
      <c r="H55" s="11">
        <v>2777</v>
      </c>
      <c r="I55" s="11">
        <v>3766</v>
      </c>
      <c r="J55" s="11"/>
      <c r="K55" s="11"/>
      <c r="L55" s="49"/>
      <c r="M55" s="11">
        <v>2786</v>
      </c>
      <c r="N55" s="11">
        <v>3718</v>
      </c>
      <c r="O55" s="11">
        <v>4565</v>
      </c>
      <c r="P55" s="11"/>
    </row>
    <row r="56" customHeight="1" spans="1:16">
      <c r="B56" s="11">
        <v>2068</v>
      </c>
      <c r="C56" s="11">
        <v>3060</v>
      </c>
      <c r="D56" s="11">
        <v>4114</v>
      </c>
      <c r="E56" s="11">
        <v>5072</v>
      </c>
      <c r="F56" s="11">
        <v>6103</v>
      </c>
      <c r="H56" s="11">
        <v>2778</v>
      </c>
      <c r="I56" s="11">
        <v>3767</v>
      </c>
      <c r="J56" s="11"/>
      <c r="K56" s="11"/>
      <c r="M56" s="11">
        <v>2787</v>
      </c>
      <c r="N56" s="11">
        <v>3719</v>
      </c>
      <c r="O56" s="11">
        <v>4566</v>
      </c>
      <c r="P56" s="11"/>
    </row>
    <row r="57" customHeight="1" spans="1:16">
      <c r="B57" s="11">
        <v>2069</v>
      </c>
      <c r="C57" s="11">
        <v>3061</v>
      </c>
      <c r="D57" s="11">
        <v>4115</v>
      </c>
      <c r="E57" s="11">
        <v>5073</v>
      </c>
      <c r="F57" s="11">
        <v>6104</v>
      </c>
      <c r="H57" s="11">
        <v>2779</v>
      </c>
      <c r="I57" s="11">
        <v>3770</v>
      </c>
      <c r="J57" s="11"/>
      <c r="K57" s="11"/>
      <c r="M57" s="11">
        <v>2790</v>
      </c>
      <c r="N57" s="11">
        <v>3723</v>
      </c>
      <c r="O57" s="11">
        <v>4567</v>
      </c>
      <c r="P57" s="11"/>
    </row>
    <row r="58" customHeight="1" spans="1:16">
      <c r="B58" s="11">
        <v>2070</v>
      </c>
      <c r="C58" s="11">
        <v>3062</v>
      </c>
      <c r="D58" s="11">
        <v>4116</v>
      </c>
      <c r="E58" s="11">
        <v>5074</v>
      </c>
      <c r="F58" s="11">
        <v>6105</v>
      </c>
      <c r="H58" s="11">
        <v>2782</v>
      </c>
      <c r="I58" s="11">
        <v>3777</v>
      </c>
      <c r="J58" s="11"/>
      <c r="K58" s="11"/>
      <c r="M58" s="11">
        <v>2849</v>
      </c>
      <c r="N58" s="11">
        <v>3779</v>
      </c>
      <c r="O58" s="11">
        <v>4572</v>
      </c>
      <c r="P58" s="11"/>
    </row>
    <row r="59" customHeight="1" spans="1:16">
      <c r="B59" s="11">
        <v>2071</v>
      </c>
      <c r="C59" s="11">
        <v>3063</v>
      </c>
      <c r="D59" s="11">
        <v>4117</v>
      </c>
      <c r="E59" s="11">
        <v>5075</v>
      </c>
      <c r="F59" s="11">
        <v>6106</v>
      </c>
      <c r="H59" s="11">
        <v>2783</v>
      </c>
      <c r="I59" s="11">
        <v>3778</v>
      </c>
      <c r="J59" s="11"/>
      <c r="K59" s="11"/>
      <c r="M59" s="11"/>
      <c r="N59" s="11">
        <v>3785</v>
      </c>
      <c r="O59" s="11">
        <v>4573</v>
      </c>
      <c r="P59" s="11"/>
    </row>
    <row r="60" customHeight="1" spans="1:16">
      <c r="B60" s="11">
        <v>2072</v>
      </c>
      <c r="C60" s="11">
        <v>3064</v>
      </c>
      <c r="D60" s="11">
        <v>4118</v>
      </c>
      <c r="E60" s="11">
        <v>5076</v>
      </c>
      <c r="F60" s="11">
        <v>6107</v>
      </c>
      <c r="H60" s="11">
        <v>2784</v>
      </c>
      <c r="I60" s="11">
        <v>3781</v>
      </c>
      <c r="J60" s="11"/>
      <c r="K60" s="11"/>
      <c r="M60" s="11"/>
      <c r="N60" s="11">
        <v>3812</v>
      </c>
      <c r="O60" s="11">
        <v>4574</v>
      </c>
      <c r="P60" s="11"/>
    </row>
    <row r="61" customHeight="1" spans="1:16">
      <c r="B61" s="11">
        <v>2073</v>
      </c>
      <c r="C61" s="11">
        <v>3065</v>
      </c>
      <c r="D61" s="11">
        <v>4119</v>
      </c>
      <c r="E61" s="11">
        <v>5081</v>
      </c>
      <c r="F61" s="11">
        <v>6108</v>
      </c>
      <c r="H61" s="11"/>
      <c r="I61" s="11">
        <v>3782</v>
      </c>
      <c r="J61" s="11"/>
      <c r="K61" s="11"/>
      <c r="M61" s="11"/>
      <c r="N61" s="11">
        <v>3813</v>
      </c>
      <c r="O61" s="11">
        <v>4575</v>
      </c>
      <c r="P61" s="11"/>
    </row>
    <row r="62" customHeight="1" spans="1:16">
      <c r="B62" s="11">
        <v>2074</v>
      </c>
      <c r="C62" s="11">
        <v>3066</v>
      </c>
      <c r="D62" s="11">
        <v>4120</v>
      </c>
      <c r="E62" s="11">
        <v>5082</v>
      </c>
      <c r="F62" s="11">
        <v>6109</v>
      </c>
      <c r="H62" s="11"/>
      <c r="I62" s="11">
        <v>3783</v>
      </c>
      <c r="J62" s="11"/>
      <c r="K62" s="11"/>
      <c r="M62" s="11"/>
      <c r="N62" s="11">
        <v>3814</v>
      </c>
      <c r="O62" s="11">
        <v>4865</v>
      </c>
      <c r="P62" s="11"/>
    </row>
    <row r="63" customHeight="1" spans="1:16">
      <c r="B63" s="11">
        <v>2075</v>
      </c>
      <c r="C63" s="11">
        <v>3067</v>
      </c>
      <c r="D63" s="11">
        <v>4121</v>
      </c>
      <c r="E63" s="11">
        <v>5083</v>
      </c>
      <c r="F63" s="11">
        <v>6110</v>
      </c>
      <c r="H63" s="11"/>
      <c r="I63" s="11">
        <v>3786</v>
      </c>
      <c r="J63" s="11"/>
      <c r="K63" s="11"/>
      <c r="M63" s="11"/>
      <c r="N63" s="11">
        <v>3815</v>
      </c>
      <c r="O63" s="11"/>
      <c r="P63" s="11"/>
    </row>
    <row r="64" customHeight="1" spans="1:16">
      <c r="B64" s="11">
        <v>2076</v>
      </c>
      <c r="C64" s="11">
        <v>3068</v>
      </c>
      <c r="D64" s="11">
        <v>4122</v>
      </c>
      <c r="E64" s="11">
        <v>5084</v>
      </c>
      <c r="F64" s="11">
        <v>6111</v>
      </c>
      <c r="H64" s="11"/>
      <c r="I64" s="11">
        <v>3787</v>
      </c>
      <c r="J64" s="11"/>
      <c r="K64" s="11"/>
      <c r="M64" s="11"/>
      <c r="N64" s="11">
        <v>3816</v>
      </c>
      <c r="O64" s="11"/>
      <c r="P64" s="11"/>
    </row>
    <row r="65" customHeight="1" spans="2:16">
      <c r="B65" s="11">
        <v>2077</v>
      </c>
      <c r="C65" s="11">
        <v>3070</v>
      </c>
      <c r="D65" s="11">
        <v>4123</v>
      </c>
      <c r="E65" s="11">
        <v>5085</v>
      </c>
      <c r="F65" s="11">
        <v>6112</v>
      </c>
      <c r="H65" s="11"/>
      <c r="I65" s="11">
        <v>3788</v>
      </c>
      <c r="J65" s="11"/>
      <c r="K65" s="11"/>
      <c r="M65" s="11"/>
      <c r="N65" s="11">
        <v>3818</v>
      </c>
      <c r="O65" s="11"/>
      <c r="P65" s="11"/>
    </row>
    <row r="66" customHeight="1" spans="2:16">
      <c r="B66" s="11">
        <v>2085</v>
      </c>
      <c r="C66" s="11">
        <v>3071</v>
      </c>
      <c r="D66" s="11">
        <v>4124</v>
      </c>
      <c r="E66" s="11">
        <v>5086</v>
      </c>
      <c r="F66" s="11">
        <v>6121</v>
      </c>
      <c r="H66" s="11"/>
      <c r="I66" s="11">
        <v>3789</v>
      </c>
      <c r="J66" s="11"/>
      <c r="K66" s="11"/>
      <c r="M66" s="11"/>
      <c r="N66" s="11">
        <v>3820</v>
      </c>
      <c r="O66" s="11"/>
      <c r="P66" s="11"/>
    </row>
    <row r="67" customHeight="1" spans="2:16">
      <c r="B67" s="11">
        <v>2087</v>
      </c>
      <c r="C67" s="11">
        <v>3072</v>
      </c>
      <c r="D67" s="11">
        <v>4125</v>
      </c>
      <c r="E67" s="11">
        <v>5087</v>
      </c>
      <c r="F67" s="11">
        <v>6122</v>
      </c>
      <c r="H67" s="11"/>
      <c r="I67" s="11">
        <v>3791</v>
      </c>
      <c r="J67" s="11"/>
      <c r="K67" s="11"/>
      <c r="M67" s="11"/>
      <c r="N67" s="11">
        <v>3821</v>
      </c>
      <c r="O67" s="11"/>
      <c r="P67" s="11"/>
    </row>
    <row r="68" customHeight="1" spans="2:16">
      <c r="B68" s="11">
        <v>2088</v>
      </c>
      <c r="C68" s="11">
        <v>3073</v>
      </c>
      <c r="D68" s="11">
        <v>4127</v>
      </c>
      <c r="E68" s="11">
        <v>5088</v>
      </c>
      <c r="F68" s="11">
        <v>6123</v>
      </c>
      <c r="H68" s="11"/>
      <c r="I68" s="11">
        <v>3792</v>
      </c>
      <c r="J68" s="11"/>
      <c r="K68" s="11"/>
      <c r="M68" s="11"/>
      <c r="N68" s="11">
        <v>3825</v>
      </c>
      <c r="O68" s="11"/>
      <c r="P68" s="11"/>
    </row>
    <row r="69" customHeight="1" spans="2:16">
      <c r="B69" s="11">
        <v>2089</v>
      </c>
      <c r="C69" s="11">
        <v>3074</v>
      </c>
      <c r="D69" s="11">
        <v>4128</v>
      </c>
      <c r="E69" s="11">
        <v>5089</v>
      </c>
      <c r="F69" s="11">
        <v>6147</v>
      </c>
      <c r="H69" s="11"/>
      <c r="I69" s="11">
        <v>3793</v>
      </c>
      <c r="J69" s="11"/>
      <c r="K69" s="11"/>
      <c r="M69" s="11"/>
      <c r="N69" s="11">
        <v>3831</v>
      </c>
      <c r="O69" s="11"/>
      <c r="P69" s="11"/>
    </row>
    <row r="70" customHeight="1" spans="2:16">
      <c r="B70" s="11">
        <v>2090</v>
      </c>
      <c r="C70" s="11">
        <v>3075</v>
      </c>
      <c r="D70" s="11">
        <v>4129</v>
      </c>
      <c r="E70" s="11">
        <v>5090</v>
      </c>
      <c r="F70" s="11">
        <v>6148</v>
      </c>
      <c r="H70" s="11"/>
      <c r="I70" s="11">
        <v>3795</v>
      </c>
      <c r="J70" s="11"/>
      <c r="K70" s="11"/>
      <c r="M70" s="11"/>
      <c r="N70" s="11">
        <v>3832</v>
      </c>
      <c r="O70" s="11"/>
      <c r="P70" s="11"/>
    </row>
    <row r="71" customHeight="1" spans="2:16">
      <c r="B71" s="11">
        <v>2092</v>
      </c>
      <c r="C71" s="11">
        <v>3076</v>
      </c>
      <c r="D71" s="11">
        <v>4130</v>
      </c>
      <c r="E71" s="11">
        <v>5091</v>
      </c>
      <c r="F71" s="11">
        <v>6149</v>
      </c>
      <c r="H71" s="11"/>
      <c r="I71" s="11">
        <v>3796</v>
      </c>
      <c r="J71" s="11"/>
      <c r="K71" s="11"/>
      <c r="M71" s="11"/>
      <c r="N71" s="11">
        <v>3833</v>
      </c>
      <c r="O71" s="11"/>
      <c r="P71" s="11"/>
    </row>
    <row r="72" customHeight="1" spans="2:16">
      <c r="B72" s="11">
        <v>2093</v>
      </c>
      <c r="C72" s="11">
        <v>3078</v>
      </c>
      <c r="D72" s="11">
        <v>4131</v>
      </c>
      <c r="E72" s="11">
        <v>5092</v>
      </c>
      <c r="F72" s="11">
        <v>6150</v>
      </c>
      <c r="H72" s="11"/>
      <c r="I72" s="11">
        <v>3797</v>
      </c>
      <c r="J72" s="11"/>
      <c r="K72" s="11"/>
      <c r="M72" s="11"/>
      <c r="N72" s="11">
        <v>3889</v>
      </c>
      <c r="O72" s="11"/>
      <c r="P72" s="11"/>
    </row>
    <row r="73" customHeight="1" spans="2:16">
      <c r="B73" s="11">
        <v>2109</v>
      </c>
      <c r="C73" s="11">
        <v>3079</v>
      </c>
      <c r="D73" s="11">
        <v>4132</v>
      </c>
      <c r="E73" s="11">
        <v>5093</v>
      </c>
      <c r="F73" s="11">
        <v>6151</v>
      </c>
      <c r="H73" s="11"/>
      <c r="I73" s="11">
        <v>3799</v>
      </c>
      <c r="J73" s="11"/>
      <c r="K73" s="11"/>
      <c r="M73" s="11"/>
      <c r="N73" s="11">
        <v>3912</v>
      </c>
      <c r="O73" s="11"/>
      <c r="P73" s="11"/>
    </row>
    <row r="74" customHeight="1" spans="2:16">
      <c r="B74" s="11">
        <v>2110</v>
      </c>
      <c r="C74" s="11">
        <v>3081</v>
      </c>
      <c r="D74" s="11">
        <v>4133</v>
      </c>
      <c r="E74" s="11">
        <v>5094</v>
      </c>
      <c r="F74" s="11">
        <v>6152</v>
      </c>
      <c r="H74" s="11"/>
      <c r="I74" s="11">
        <v>3802</v>
      </c>
      <c r="J74" s="11"/>
      <c r="K74" s="11"/>
      <c r="M74" s="11"/>
      <c r="N74" s="11">
        <v>3913</v>
      </c>
      <c r="O74" s="11"/>
      <c r="P74" s="11"/>
    </row>
    <row r="75" customHeight="1" spans="2:16">
      <c r="B75" s="11">
        <v>2111</v>
      </c>
      <c r="C75" s="11">
        <v>3082</v>
      </c>
      <c r="D75" s="11">
        <v>4151</v>
      </c>
      <c r="E75" s="11">
        <v>5095</v>
      </c>
      <c r="F75" s="11">
        <v>6153</v>
      </c>
      <c r="H75" s="11"/>
      <c r="I75" s="11">
        <v>3803</v>
      </c>
      <c r="J75" s="11"/>
      <c r="K75" s="11"/>
      <c r="M75" s="11"/>
      <c r="N75" s="11">
        <v>3915</v>
      </c>
      <c r="O75" s="11"/>
      <c r="P75" s="11"/>
    </row>
    <row r="76" customHeight="1" spans="2:16">
      <c r="B76" s="11">
        <v>2112</v>
      </c>
      <c r="C76" s="11">
        <v>3083</v>
      </c>
      <c r="D76" s="11">
        <v>4152</v>
      </c>
      <c r="E76" s="11">
        <v>5096</v>
      </c>
      <c r="F76" s="11">
        <v>6154</v>
      </c>
      <c r="H76" s="11"/>
      <c r="I76" s="11">
        <v>3804</v>
      </c>
      <c r="J76" s="11"/>
      <c r="K76" s="11"/>
      <c r="M76" s="11"/>
      <c r="N76" s="11">
        <v>3916</v>
      </c>
      <c r="O76" s="11"/>
      <c r="P76" s="11"/>
    </row>
    <row r="77" customHeight="1" spans="2:16">
      <c r="B77" s="11">
        <v>2113</v>
      </c>
      <c r="C77" s="11">
        <v>3084</v>
      </c>
      <c r="D77" s="11">
        <v>4153</v>
      </c>
      <c r="E77" s="11">
        <v>5097</v>
      </c>
      <c r="F77" s="11">
        <v>6155</v>
      </c>
      <c r="H77" s="11"/>
      <c r="I77" s="11">
        <v>3805</v>
      </c>
      <c r="J77" s="11"/>
      <c r="K77" s="11"/>
      <c r="M77" s="11"/>
      <c r="N77" s="11">
        <v>3918</v>
      </c>
      <c r="O77" s="11"/>
      <c r="P77" s="11"/>
    </row>
    <row r="78" customHeight="1" spans="2:16">
      <c r="B78" s="11">
        <v>2114</v>
      </c>
      <c r="C78" s="11">
        <v>3085</v>
      </c>
      <c r="D78" s="11">
        <v>4154</v>
      </c>
      <c r="E78" s="11">
        <v>5098</v>
      </c>
      <c r="F78" s="11">
        <v>6156</v>
      </c>
      <c r="H78" s="11"/>
      <c r="I78" s="11">
        <v>3806</v>
      </c>
      <c r="J78" s="11"/>
      <c r="K78" s="11"/>
      <c r="M78" s="11"/>
      <c r="N78" s="11">
        <v>3919</v>
      </c>
      <c r="O78" s="11"/>
      <c r="P78" s="11"/>
    </row>
    <row r="79" customHeight="1" spans="2:16">
      <c r="B79" s="11">
        <v>2115</v>
      </c>
      <c r="C79" s="11">
        <v>3086</v>
      </c>
      <c r="D79" s="11">
        <v>4155</v>
      </c>
      <c r="E79" s="11">
        <v>5106</v>
      </c>
      <c r="F79" s="11">
        <v>6157</v>
      </c>
      <c r="H79" s="11"/>
      <c r="I79" s="11">
        <v>3807</v>
      </c>
      <c r="J79" s="11"/>
      <c r="K79" s="11"/>
      <c r="M79" s="11"/>
      <c r="N79" s="11">
        <v>3921</v>
      </c>
      <c r="O79" s="11"/>
      <c r="P79" s="11"/>
    </row>
    <row r="80" customHeight="1" spans="2:16">
      <c r="B80" s="11">
        <v>2116</v>
      </c>
      <c r="C80" s="11">
        <v>3087</v>
      </c>
      <c r="D80" s="11">
        <v>4156</v>
      </c>
      <c r="E80" s="11">
        <v>5107</v>
      </c>
      <c r="F80" s="11">
        <v>6158</v>
      </c>
      <c r="H80" s="11"/>
      <c r="I80" s="11">
        <v>3808</v>
      </c>
      <c r="J80" s="11"/>
      <c r="K80" s="11"/>
      <c r="M80" s="11"/>
      <c r="N80" s="11">
        <v>3922</v>
      </c>
      <c r="O80" s="11"/>
      <c r="P80" s="11"/>
    </row>
    <row r="81" customHeight="1" spans="2:16">
      <c r="B81" s="11">
        <v>2117</v>
      </c>
      <c r="C81" s="11">
        <v>3088</v>
      </c>
      <c r="D81" s="11">
        <v>4157</v>
      </c>
      <c r="E81" s="11">
        <v>5108</v>
      </c>
      <c r="F81" s="11">
        <v>6159</v>
      </c>
      <c r="H81" s="11"/>
      <c r="I81" s="11">
        <v>3809</v>
      </c>
      <c r="J81" s="11"/>
      <c r="K81" s="11"/>
      <c r="M81" s="11"/>
      <c r="N81" s="11">
        <v>3923</v>
      </c>
      <c r="O81" s="11"/>
      <c r="P81" s="11"/>
    </row>
    <row r="82" customHeight="1" spans="2:16">
      <c r="B82" s="11">
        <v>2118</v>
      </c>
      <c r="C82" s="11">
        <v>3089</v>
      </c>
      <c r="D82" s="11">
        <v>4158</v>
      </c>
      <c r="E82" s="11">
        <v>5109</v>
      </c>
      <c r="F82" s="11">
        <v>6160</v>
      </c>
      <c r="H82" s="11"/>
      <c r="I82" s="11">
        <v>3810</v>
      </c>
      <c r="J82" s="11"/>
      <c r="K82" s="11"/>
      <c r="M82" s="11"/>
      <c r="N82" s="11">
        <v>3925</v>
      </c>
      <c r="O82" s="11"/>
      <c r="P82" s="11"/>
    </row>
    <row r="83" customHeight="1" spans="2:16">
      <c r="B83" s="11">
        <v>2119</v>
      </c>
      <c r="C83" s="11">
        <v>3090</v>
      </c>
      <c r="D83" s="11">
        <v>4159</v>
      </c>
      <c r="E83" s="11">
        <v>5110</v>
      </c>
      <c r="F83" s="11">
        <v>6162</v>
      </c>
      <c r="H83" s="11"/>
      <c r="I83" s="11">
        <v>3910</v>
      </c>
      <c r="J83" s="11"/>
      <c r="K83" s="11"/>
      <c r="M83" s="11"/>
      <c r="N83" s="11">
        <v>3926</v>
      </c>
      <c r="O83" s="11"/>
      <c r="P83" s="11"/>
    </row>
    <row r="84" customHeight="1" spans="2:16">
      <c r="B84" s="11">
        <v>2120</v>
      </c>
      <c r="C84" s="11">
        <v>3091</v>
      </c>
      <c r="D84" s="11">
        <v>4161</v>
      </c>
      <c r="E84" s="11">
        <v>5111</v>
      </c>
      <c r="F84" s="11">
        <v>6163</v>
      </c>
      <c r="H84" s="11"/>
      <c r="I84" s="11">
        <v>3911</v>
      </c>
      <c r="J84" s="11"/>
      <c r="K84" s="11"/>
      <c r="M84" s="11"/>
      <c r="N84" s="11">
        <v>3927</v>
      </c>
      <c r="O84" s="11"/>
      <c r="P84" s="11"/>
    </row>
    <row r="85" customHeight="1" spans="2:16">
      <c r="B85" s="11">
        <v>2121</v>
      </c>
      <c r="C85" s="11">
        <v>3093</v>
      </c>
      <c r="D85" s="11">
        <v>4165</v>
      </c>
      <c r="E85" s="11">
        <v>5112</v>
      </c>
      <c r="F85" s="11">
        <v>6164</v>
      </c>
      <c r="H85" s="11"/>
      <c r="I85" s="11">
        <v>3930</v>
      </c>
      <c r="J85" s="11"/>
      <c r="K85" s="11"/>
      <c r="M85" s="11"/>
      <c r="N85" s="11">
        <v>3928</v>
      </c>
      <c r="O85" s="11"/>
      <c r="P85" s="11"/>
    </row>
    <row r="86" customHeight="1" spans="2:16">
      <c r="B86" s="11">
        <v>2122</v>
      </c>
      <c r="C86" s="11">
        <v>3094</v>
      </c>
      <c r="D86" s="11">
        <v>4169</v>
      </c>
      <c r="E86" s="11">
        <v>5113</v>
      </c>
      <c r="F86" s="11">
        <v>6165</v>
      </c>
      <c r="H86" s="11"/>
      <c r="I86" s="11">
        <v>3975</v>
      </c>
      <c r="J86" s="11"/>
      <c r="K86" s="11"/>
      <c r="M86" s="11"/>
      <c r="N86" s="11">
        <v>3929</v>
      </c>
      <c r="O86" s="11"/>
      <c r="P86" s="11"/>
    </row>
    <row r="87" customHeight="1" spans="2:16">
      <c r="B87" s="11">
        <v>2123</v>
      </c>
      <c r="C87" s="11">
        <v>3095</v>
      </c>
      <c r="D87" s="11">
        <v>4170</v>
      </c>
      <c r="E87" s="11">
        <v>5114</v>
      </c>
      <c r="F87" s="11">
        <v>6166</v>
      </c>
      <c r="H87" s="11"/>
      <c r="I87" s="11">
        <v>3976</v>
      </c>
      <c r="J87" s="11"/>
      <c r="K87" s="11"/>
      <c r="M87" s="11"/>
      <c r="N87" s="11">
        <v>3931</v>
      </c>
      <c r="O87" s="11"/>
      <c r="P87" s="11"/>
    </row>
    <row r="88" customHeight="1" spans="2:16">
      <c r="B88" s="11">
        <v>2125</v>
      </c>
      <c r="C88" s="11">
        <v>3096</v>
      </c>
      <c r="D88" s="11">
        <v>4171</v>
      </c>
      <c r="E88" s="11">
        <v>5115</v>
      </c>
      <c r="F88" s="11">
        <v>6167</v>
      </c>
      <c r="H88" s="11"/>
      <c r="I88" s="11">
        <v>3977</v>
      </c>
      <c r="J88" s="11"/>
      <c r="K88" s="11"/>
      <c r="M88" s="11"/>
      <c r="N88" s="11">
        <v>3933</v>
      </c>
      <c r="O88" s="11"/>
      <c r="P88" s="11"/>
    </row>
    <row r="89" customHeight="1" spans="2:16">
      <c r="B89" s="11">
        <v>2126</v>
      </c>
      <c r="C89" s="11">
        <v>3097</v>
      </c>
      <c r="D89" s="11">
        <v>4172</v>
      </c>
      <c r="E89" s="11">
        <v>5117</v>
      </c>
      <c r="F89" s="11">
        <v>6168</v>
      </c>
      <c r="H89" s="11"/>
      <c r="I89" s="11">
        <v>3978</v>
      </c>
      <c r="J89" s="11"/>
      <c r="K89" s="11"/>
      <c r="M89" s="11"/>
      <c r="N89" s="11">
        <v>3934</v>
      </c>
      <c r="O89" s="11"/>
      <c r="P89" s="11"/>
    </row>
    <row r="90" customHeight="1" spans="2:16">
      <c r="B90" s="11">
        <v>2127</v>
      </c>
      <c r="C90" s="11">
        <v>3099</v>
      </c>
      <c r="D90" s="11">
        <v>4173</v>
      </c>
      <c r="E90" s="11">
        <v>5120</v>
      </c>
      <c r="F90" s="11">
        <v>6809</v>
      </c>
      <c r="M90" s="11"/>
      <c r="N90" s="11">
        <v>3936</v>
      </c>
      <c r="O90" s="11"/>
      <c r="P90" s="11"/>
    </row>
    <row r="91" customHeight="1" spans="2:16">
      <c r="B91" s="11">
        <v>2128</v>
      </c>
      <c r="C91" s="11">
        <v>3101</v>
      </c>
      <c r="D91" s="11">
        <v>4174</v>
      </c>
      <c r="E91" s="11">
        <v>5121</v>
      </c>
      <c r="F91" s="11">
        <v>6817</v>
      </c>
      <c r="M91" s="11"/>
      <c r="N91" s="11">
        <v>3937</v>
      </c>
      <c r="O91" s="11"/>
      <c r="P91" s="11"/>
    </row>
    <row r="92" customHeight="1" spans="2:16">
      <c r="B92" s="11">
        <v>2130</v>
      </c>
      <c r="C92" s="11">
        <v>3102</v>
      </c>
      <c r="D92" s="11">
        <v>4178</v>
      </c>
      <c r="E92" s="11">
        <v>5125</v>
      </c>
      <c r="F92" s="11">
        <v>6820</v>
      </c>
      <c r="M92" s="11"/>
      <c r="N92" s="11">
        <v>3938</v>
      </c>
      <c r="O92" s="11"/>
      <c r="P92" s="11"/>
    </row>
    <row r="93" customHeight="1" spans="2:16">
      <c r="B93" s="11">
        <v>2131</v>
      </c>
      <c r="C93" s="11">
        <v>3103</v>
      </c>
      <c r="D93" s="11">
        <v>4179</v>
      </c>
      <c r="E93" s="11">
        <v>5126</v>
      </c>
      <c r="F93" s="11">
        <v>6827</v>
      </c>
      <c r="M93" s="11"/>
      <c r="N93" s="11">
        <v>3939</v>
      </c>
      <c r="O93" s="11"/>
      <c r="P93" s="11"/>
    </row>
    <row r="94" customHeight="1" spans="2:16">
      <c r="B94" s="11">
        <v>2132</v>
      </c>
      <c r="C94" s="11">
        <v>3104</v>
      </c>
      <c r="D94" s="11">
        <v>4205</v>
      </c>
      <c r="E94" s="11">
        <v>5127</v>
      </c>
      <c r="F94" s="11">
        <v>6830</v>
      </c>
      <c r="M94" s="11"/>
      <c r="N94" s="11">
        <v>3941</v>
      </c>
      <c r="O94" s="11"/>
      <c r="P94" s="11"/>
    </row>
    <row r="95" customHeight="1" spans="2:16">
      <c r="B95" s="11">
        <v>2133</v>
      </c>
      <c r="C95" s="11">
        <v>3105</v>
      </c>
      <c r="D95" s="11">
        <v>4207</v>
      </c>
      <c r="E95" s="11">
        <v>5131</v>
      </c>
      <c r="F95" s="11">
        <v>6937</v>
      </c>
      <c r="M95" s="11"/>
      <c r="N95" s="11">
        <v>3942</v>
      </c>
      <c r="O95" s="11"/>
      <c r="P95" s="11"/>
    </row>
    <row r="96" customHeight="1" spans="2:16">
      <c r="B96" s="11">
        <v>2134</v>
      </c>
      <c r="C96" s="11">
        <v>3106</v>
      </c>
      <c r="D96" s="11">
        <v>4280</v>
      </c>
      <c r="E96" s="11">
        <v>5132</v>
      </c>
      <c r="F96" s="11">
        <v>6938</v>
      </c>
      <c r="M96" s="11"/>
      <c r="N96" s="11">
        <v>3943</v>
      </c>
      <c r="O96" s="11"/>
      <c r="P96" s="11"/>
    </row>
    <row r="97" customHeight="1" spans="2:16">
      <c r="B97" s="11">
        <v>2135</v>
      </c>
      <c r="C97" s="11">
        <v>3107</v>
      </c>
      <c r="D97" s="11">
        <v>4285</v>
      </c>
      <c r="E97" s="11">
        <v>5133</v>
      </c>
      <c r="F97" s="11">
        <v>6940</v>
      </c>
      <c r="M97" s="11"/>
      <c r="N97" s="11">
        <v>3944</v>
      </c>
      <c r="O97" s="11"/>
      <c r="P97" s="11"/>
    </row>
    <row r="98" customHeight="1" spans="2:16">
      <c r="B98" s="11">
        <v>2136</v>
      </c>
      <c r="C98" s="11">
        <v>3108</v>
      </c>
      <c r="D98" s="11">
        <v>4300</v>
      </c>
      <c r="E98" s="11">
        <v>5134</v>
      </c>
      <c r="F98" s="11"/>
      <c r="M98" s="11"/>
      <c r="N98" s="11">
        <v>3945</v>
      </c>
      <c r="O98" s="11"/>
      <c r="P98" s="11"/>
    </row>
    <row r="99" customHeight="1" spans="2:16">
      <c r="B99" s="11">
        <v>2137</v>
      </c>
      <c r="C99" s="11">
        <v>3109</v>
      </c>
      <c r="D99" s="11">
        <v>4301</v>
      </c>
      <c r="E99" s="11">
        <v>5136</v>
      </c>
      <c r="F99" s="11"/>
      <c r="M99" s="11"/>
      <c r="N99" s="11">
        <v>3979</v>
      </c>
      <c r="O99" s="11"/>
      <c r="P99" s="11"/>
    </row>
    <row r="100" customHeight="1" spans="2:16">
      <c r="B100" s="11">
        <v>2138</v>
      </c>
      <c r="C100" s="11">
        <v>3111</v>
      </c>
      <c r="D100" s="11">
        <v>4303</v>
      </c>
      <c r="E100" s="11">
        <v>5137</v>
      </c>
      <c r="F100" s="11"/>
      <c r="M100" s="11"/>
      <c r="N100" s="11">
        <v>3980</v>
      </c>
      <c r="O100" s="11"/>
      <c r="P100" s="11"/>
    </row>
    <row r="101" customHeight="1" spans="2:16">
      <c r="B101" s="11">
        <v>2139</v>
      </c>
      <c r="C101" s="11">
        <v>3113</v>
      </c>
      <c r="D101" s="11">
        <v>4304</v>
      </c>
      <c r="E101" s="11">
        <v>5138</v>
      </c>
      <c r="F101" s="11"/>
      <c r="M101" s="11"/>
      <c r="N101" s="11">
        <v>3981</v>
      </c>
      <c r="O101" s="11"/>
      <c r="P101" s="11"/>
    </row>
    <row r="102" customHeight="1" spans="2:16">
      <c r="B102" s="11">
        <v>2140</v>
      </c>
      <c r="C102" s="11">
        <v>3114</v>
      </c>
      <c r="D102" s="11">
        <v>4305</v>
      </c>
      <c r="E102" s="11">
        <v>5139</v>
      </c>
      <c r="F102" s="11"/>
      <c r="M102" s="11"/>
      <c r="N102" s="11">
        <v>3984</v>
      </c>
      <c r="O102" s="11"/>
      <c r="P102" s="11"/>
    </row>
    <row r="103" customHeight="1" spans="2:16">
      <c r="B103" s="11">
        <v>2141</v>
      </c>
      <c r="C103" s="11">
        <v>3115</v>
      </c>
      <c r="D103" s="11">
        <v>4306</v>
      </c>
      <c r="E103" s="11">
        <v>5140</v>
      </c>
      <c r="F103" s="11"/>
      <c r="M103" s="11"/>
      <c r="N103" s="11">
        <v>3987</v>
      </c>
      <c r="O103" s="11"/>
      <c r="P103" s="11"/>
    </row>
    <row r="104" customHeight="1" spans="2:16">
      <c r="B104" s="11">
        <v>2142</v>
      </c>
      <c r="C104" s="11">
        <v>3116</v>
      </c>
      <c r="D104" s="11">
        <v>4340</v>
      </c>
      <c r="E104" s="11">
        <v>5141</v>
      </c>
      <c r="F104" s="11"/>
      <c r="M104" s="11"/>
      <c r="N104" s="11">
        <v>3988</v>
      </c>
      <c r="O104" s="11"/>
      <c r="P104" s="11"/>
    </row>
    <row r="105" customHeight="1" spans="2:16">
      <c r="B105" s="11">
        <v>2143</v>
      </c>
      <c r="C105" s="11">
        <v>3121</v>
      </c>
      <c r="D105" s="11">
        <v>4520</v>
      </c>
      <c r="E105" s="11">
        <v>5142</v>
      </c>
      <c r="F105" s="11"/>
      <c r="M105" s="11"/>
      <c r="N105" s="11">
        <v>3990</v>
      </c>
      <c r="O105" s="11"/>
      <c r="P105" s="11"/>
    </row>
    <row r="106" customHeight="1" spans="2:16">
      <c r="B106" s="11">
        <v>2144</v>
      </c>
      <c r="C106" s="11">
        <v>3122</v>
      </c>
      <c r="D106" s="11"/>
      <c r="E106" s="11">
        <v>5144</v>
      </c>
      <c r="F106" s="11"/>
      <c r="M106" s="11"/>
      <c r="N106" s="11">
        <v>3991</v>
      </c>
      <c r="O106" s="11"/>
      <c r="P106" s="11"/>
    </row>
    <row r="107" customHeight="1" spans="2:16">
      <c r="B107" s="11">
        <v>2145</v>
      </c>
      <c r="C107" s="11">
        <v>3123</v>
      </c>
      <c r="D107" s="11"/>
      <c r="E107" s="11">
        <v>5150</v>
      </c>
      <c r="F107" s="11"/>
    </row>
    <row r="108" customHeight="1" spans="2:16">
      <c r="B108" s="11">
        <v>2146</v>
      </c>
      <c r="C108" s="11">
        <v>3124</v>
      </c>
      <c r="D108" s="11"/>
      <c r="E108" s="11">
        <v>5152</v>
      </c>
      <c r="F108" s="11"/>
    </row>
    <row r="109" customHeight="1" spans="2:16">
      <c r="B109" s="11">
        <v>2147</v>
      </c>
      <c r="C109" s="11">
        <v>3125</v>
      </c>
      <c r="D109" s="11"/>
      <c r="E109" s="11">
        <v>5153</v>
      </c>
      <c r="F109" s="11"/>
    </row>
    <row r="110" customHeight="1" spans="2:16">
      <c r="B110" s="11">
        <v>2148</v>
      </c>
      <c r="C110" s="11">
        <v>3126</v>
      </c>
      <c r="D110" s="11"/>
      <c r="E110" s="11">
        <v>5154</v>
      </c>
      <c r="F110" s="11"/>
    </row>
    <row r="111" customHeight="1" spans="2:16">
      <c r="B111" s="11">
        <v>2150</v>
      </c>
      <c r="C111" s="11">
        <v>3127</v>
      </c>
      <c r="D111" s="11"/>
      <c r="E111" s="11">
        <v>5155</v>
      </c>
      <c r="F111" s="11"/>
    </row>
    <row r="112" customHeight="1" spans="2:16">
      <c r="B112" s="11">
        <v>2151</v>
      </c>
      <c r="C112" s="11">
        <v>3128</v>
      </c>
      <c r="D112" s="11"/>
      <c r="E112" s="11">
        <v>5156</v>
      </c>
      <c r="F112" s="11"/>
    </row>
    <row r="113" customHeight="1" spans="2:6">
      <c r="B113" s="11">
        <v>2152</v>
      </c>
      <c r="C113" s="11">
        <v>3129</v>
      </c>
      <c r="D113" s="11"/>
      <c r="E113" s="11">
        <v>5157</v>
      </c>
      <c r="F113" s="11"/>
    </row>
    <row r="114" customHeight="1" spans="2:6">
      <c r="B114" s="11">
        <v>2153</v>
      </c>
      <c r="C114" s="11">
        <v>3130</v>
      </c>
      <c r="D114" s="11"/>
      <c r="E114" s="11">
        <v>5158</v>
      </c>
      <c r="F114" s="11"/>
    </row>
    <row r="115" customHeight="1" spans="2:6">
      <c r="B115" s="11">
        <v>2154</v>
      </c>
      <c r="C115" s="11">
        <v>3131</v>
      </c>
      <c r="D115" s="11"/>
      <c r="E115" s="11">
        <v>5159</v>
      </c>
      <c r="F115" s="11"/>
    </row>
    <row r="116" customHeight="1" spans="2:6">
      <c r="B116" s="11">
        <v>2155</v>
      </c>
      <c r="C116" s="11">
        <v>3132</v>
      </c>
      <c r="D116" s="11"/>
      <c r="E116" s="11">
        <v>5160</v>
      </c>
      <c r="F116" s="11"/>
    </row>
    <row r="117" customHeight="1" spans="2:6">
      <c r="B117" s="11">
        <v>2156</v>
      </c>
      <c r="C117" s="11">
        <v>3133</v>
      </c>
      <c r="D117" s="11"/>
      <c r="E117" s="11">
        <v>5161</v>
      </c>
      <c r="F117" s="11"/>
    </row>
    <row r="118" customHeight="1" spans="2:6">
      <c r="B118" s="11">
        <v>2158</v>
      </c>
      <c r="C118" s="11">
        <v>3134</v>
      </c>
      <c r="D118" s="11"/>
      <c r="E118" s="11">
        <v>5162</v>
      </c>
      <c r="F118" s="11"/>
    </row>
    <row r="119" customHeight="1" spans="2:6">
      <c r="B119" s="11">
        <v>2160</v>
      </c>
      <c r="C119" s="11">
        <v>3135</v>
      </c>
      <c r="D119" s="11"/>
      <c r="E119" s="11">
        <v>5163</v>
      </c>
      <c r="F119" s="11"/>
    </row>
    <row r="120" customHeight="1" spans="2:6">
      <c r="B120" s="11">
        <v>2161</v>
      </c>
      <c r="C120" s="11">
        <v>3136</v>
      </c>
      <c r="D120" s="11"/>
      <c r="E120" s="11">
        <v>5164</v>
      </c>
      <c r="F120" s="11"/>
    </row>
    <row r="121" customHeight="1" spans="2:6">
      <c r="B121" s="11">
        <v>2162</v>
      </c>
      <c r="C121" s="11">
        <v>3137</v>
      </c>
      <c r="D121" s="11"/>
      <c r="E121" s="11">
        <v>5165</v>
      </c>
      <c r="F121" s="11"/>
    </row>
    <row r="122" customHeight="1" spans="2:6">
      <c r="B122" s="11">
        <v>2163</v>
      </c>
      <c r="C122" s="11">
        <v>3138</v>
      </c>
      <c r="D122" s="11"/>
      <c r="E122" s="11">
        <v>5166</v>
      </c>
      <c r="F122" s="11"/>
    </row>
    <row r="123" customHeight="1" spans="2:6">
      <c r="B123" s="11">
        <v>2164</v>
      </c>
      <c r="C123" s="11">
        <v>3141</v>
      </c>
      <c r="D123" s="11"/>
      <c r="E123" s="11">
        <v>5167</v>
      </c>
      <c r="F123" s="11"/>
    </row>
    <row r="124" customHeight="1" spans="2:6">
      <c r="B124" s="11">
        <v>2165</v>
      </c>
      <c r="C124" s="11">
        <v>3142</v>
      </c>
      <c r="D124" s="11"/>
      <c r="E124" s="11">
        <v>5168</v>
      </c>
      <c r="F124" s="11"/>
    </row>
    <row r="125" customHeight="1" spans="2:6">
      <c r="B125" s="11">
        <v>2166</v>
      </c>
      <c r="C125" s="11">
        <v>3143</v>
      </c>
      <c r="D125" s="11"/>
      <c r="E125" s="11"/>
      <c r="F125" s="11"/>
    </row>
    <row r="126" customHeight="1" spans="2:6">
      <c r="B126" s="11">
        <v>2167</v>
      </c>
      <c r="C126" s="11">
        <v>3144</v>
      </c>
      <c r="D126" s="11"/>
      <c r="E126" s="11"/>
      <c r="F126" s="11"/>
    </row>
    <row r="127" customHeight="1" spans="2:6">
      <c r="B127" s="11">
        <v>2168</v>
      </c>
      <c r="C127" s="11">
        <v>3145</v>
      </c>
      <c r="D127" s="11"/>
      <c r="E127" s="11"/>
      <c r="F127" s="11"/>
    </row>
    <row r="128" customHeight="1" spans="2:6">
      <c r="B128" s="11">
        <v>2170</v>
      </c>
      <c r="C128" s="11">
        <v>3146</v>
      </c>
      <c r="D128" s="11"/>
      <c r="E128" s="11"/>
      <c r="F128" s="11"/>
    </row>
    <row r="129" customHeight="1" spans="2:6">
      <c r="B129" s="11">
        <v>2171</v>
      </c>
      <c r="C129" s="11">
        <v>3147</v>
      </c>
      <c r="D129" s="11"/>
      <c r="E129" s="11"/>
      <c r="F129" s="11"/>
    </row>
    <row r="130" customHeight="1" spans="2:6">
      <c r="B130" s="11">
        <v>2172</v>
      </c>
      <c r="C130" s="11">
        <v>3148</v>
      </c>
      <c r="D130" s="11"/>
      <c r="E130" s="11"/>
      <c r="F130" s="11"/>
    </row>
    <row r="131" customHeight="1" spans="2:6">
      <c r="B131" s="11">
        <v>2173</v>
      </c>
      <c r="C131" s="11">
        <v>3149</v>
      </c>
      <c r="D131" s="11"/>
      <c r="E131" s="11"/>
      <c r="F131" s="11"/>
    </row>
    <row r="132" customHeight="1" spans="2:6">
      <c r="B132" s="11">
        <v>2174</v>
      </c>
      <c r="C132" s="11">
        <v>3150</v>
      </c>
      <c r="D132" s="11"/>
      <c r="E132" s="11"/>
      <c r="F132" s="11"/>
    </row>
    <row r="133" customHeight="1" spans="2:6">
      <c r="B133" s="11">
        <v>2175</v>
      </c>
      <c r="C133" s="11">
        <v>3151</v>
      </c>
      <c r="D133" s="11"/>
      <c r="E133" s="11"/>
      <c r="F133" s="11"/>
    </row>
    <row r="134" customHeight="1" spans="2:6">
      <c r="B134" s="11">
        <v>2176</v>
      </c>
      <c r="C134" s="11">
        <v>3152</v>
      </c>
      <c r="D134" s="11"/>
      <c r="E134" s="11"/>
      <c r="F134" s="11"/>
    </row>
    <row r="135" customHeight="1" spans="2:6">
      <c r="B135" s="11">
        <v>2177</v>
      </c>
      <c r="C135" s="11">
        <v>3153</v>
      </c>
      <c r="D135" s="11"/>
      <c r="E135" s="11"/>
      <c r="F135" s="11"/>
    </row>
    <row r="136" customHeight="1" spans="2:6">
      <c r="B136" s="11">
        <v>2178</v>
      </c>
      <c r="C136" s="11">
        <v>3155</v>
      </c>
      <c r="D136" s="11"/>
      <c r="E136" s="11"/>
      <c r="F136" s="11"/>
    </row>
    <row r="137" customHeight="1" spans="2:6">
      <c r="B137" s="11">
        <v>2179</v>
      </c>
      <c r="C137" s="11">
        <v>3161</v>
      </c>
      <c r="D137" s="11"/>
      <c r="E137" s="11"/>
      <c r="F137" s="11"/>
    </row>
    <row r="138" customHeight="1" spans="2:6">
      <c r="B138" s="11">
        <v>2190</v>
      </c>
      <c r="C138" s="11">
        <v>3162</v>
      </c>
      <c r="D138" s="11"/>
      <c r="E138" s="11"/>
      <c r="F138" s="11"/>
    </row>
    <row r="139" customHeight="1" spans="2:6">
      <c r="B139" s="11">
        <v>2191</v>
      </c>
      <c r="C139" s="11">
        <v>3163</v>
      </c>
      <c r="D139" s="11"/>
      <c r="E139" s="11"/>
      <c r="F139" s="11"/>
    </row>
    <row r="140" customHeight="1" spans="2:6">
      <c r="B140" s="11">
        <v>2192</v>
      </c>
      <c r="C140" s="11">
        <v>3165</v>
      </c>
      <c r="D140" s="11"/>
      <c r="E140" s="11"/>
      <c r="F140" s="11"/>
    </row>
    <row r="141" customHeight="1" spans="2:6">
      <c r="B141" s="11">
        <v>2193</v>
      </c>
      <c r="C141" s="11">
        <v>3166</v>
      </c>
      <c r="D141" s="11"/>
      <c r="E141" s="11"/>
      <c r="F141" s="11"/>
    </row>
    <row r="142" customHeight="1" spans="2:6">
      <c r="B142" s="11">
        <v>2194</v>
      </c>
      <c r="C142" s="11">
        <v>3167</v>
      </c>
      <c r="D142" s="11"/>
      <c r="E142" s="11"/>
      <c r="F142" s="11"/>
    </row>
    <row r="143" customHeight="1" spans="2:6">
      <c r="B143" s="11">
        <v>2195</v>
      </c>
      <c r="C143" s="11">
        <v>3168</v>
      </c>
      <c r="D143" s="11"/>
      <c r="E143" s="11"/>
      <c r="F143" s="11"/>
    </row>
    <row r="144" customHeight="1" spans="2:6">
      <c r="B144" s="11">
        <v>2196</v>
      </c>
      <c r="C144" s="11">
        <v>3169</v>
      </c>
      <c r="D144" s="11"/>
      <c r="E144" s="11"/>
      <c r="F144" s="11"/>
    </row>
    <row r="145" customHeight="1" spans="2:6">
      <c r="B145" s="11">
        <v>2197</v>
      </c>
      <c r="C145" s="11">
        <v>3170</v>
      </c>
      <c r="D145" s="11"/>
      <c r="E145" s="11"/>
      <c r="F145" s="11"/>
    </row>
    <row r="146" customHeight="1" spans="2:6">
      <c r="B146" s="11">
        <v>2198</v>
      </c>
      <c r="C146" s="11">
        <v>3179</v>
      </c>
      <c r="D146" s="11"/>
      <c r="E146" s="11"/>
      <c r="F146" s="11"/>
    </row>
    <row r="147" customHeight="1" spans="2:6">
      <c r="B147" s="11">
        <v>2199</v>
      </c>
      <c r="C147" s="11">
        <v>3181</v>
      </c>
      <c r="D147" s="11"/>
      <c r="E147" s="11"/>
      <c r="F147" s="11"/>
    </row>
    <row r="148" customHeight="1" spans="2:6">
      <c r="B148" s="11">
        <v>2200</v>
      </c>
      <c r="C148" s="11">
        <v>3182</v>
      </c>
      <c r="D148" s="11"/>
      <c r="E148" s="11"/>
      <c r="F148" s="11"/>
    </row>
    <row r="149" customHeight="1" spans="2:6">
      <c r="B149" s="11">
        <v>2203</v>
      </c>
      <c r="C149" s="11">
        <v>3183</v>
      </c>
      <c r="D149" s="11"/>
      <c r="E149" s="11"/>
      <c r="F149" s="11"/>
    </row>
    <row r="150" customHeight="1" spans="2:6">
      <c r="B150" s="11">
        <v>2204</v>
      </c>
      <c r="C150" s="11">
        <v>3184</v>
      </c>
      <c r="D150" s="11"/>
      <c r="E150" s="11"/>
      <c r="F150" s="11"/>
    </row>
    <row r="151" customHeight="1" spans="2:6">
      <c r="B151" s="11">
        <v>2205</v>
      </c>
      <c r="C151" s="11">
        <v>3185</v>
      </c>
      <c r="D151" s="11"/>
      <c r="E151" s="11"/>
      <c r="F151" s="11"/>
    </row>
    <row r="152" customHeight="1" spans="2:6">
      <c r="B152" s="11">
        <v>2206</v>
      </c>
      <c r="C152" s="11">
        <v>3186</v>
      </c>
      <c r="D152" s="11"/>
      <c r="E152" s="11"/>
      <c r="F152" s="11"/>
    </row>
    <row r="153" customHeight="1" spans="2:6">
      <c r="B153" s="11">
        <v>2207</v>
      </c>
      <c r="C153" s="11">
        <v>3187</v>
      </c>
      <c r="D153" s="11"/>
      <c r="E153" s="11"/>
      <c r="F153" s="11"/>
    </row>
    <row r="154" customHeight="1" spans="2:6">
      <c r="B154" s="11">
        <v>2208</v>
      </c>
      <c r="C154" s="11">
        <v>3188</v>
      </c>
      <c r="D154" s="11"/>
      <c r="E154" s="11"/>
      <c r="F154" s="11"/>
    </row>
    <row r="155" customHeight="1" spans="2:6">
      <c r="B155" s="11">
        <v>2209</v>
      </c>
      <c r="C155" s="11">
        <v>3189</v>
      </c>
      <c r="D155" s="11"/>
      <c r="E155" s="11"/>
      <c r="F155" s="11"/>
    </row>
    <row r="156" customHeight="1" spans="2:6">
      <c r="B156" s="11">
        <v>2210</v>
      </c>
      <c r="C156" s="11">
        <v>3190</v>
      </c>
      <c r="D156" s="11"/>
      <c r="E156" s="11"/>
      <c r="F156" s="11"/>
    </row>
    <row r="157" customHeight="1" spans="2:6">
      <c r="B157" s="11">
        <v>2211</v>
      </c>
      <c r="C157" s="11">
        <v>3191</v>
      </c>
      <c r="D157" s="11"/>
      <c r="E157" s="11"/>
      <c r="F157" s="11"/>
    </row>
    <row r="158" customHeight="1" spans="2:6">
      <c r="B158" s="11">
        <v>2212</v>
      </c>
      <c r="C158" s="11">
        <v>3192</v>
      </c>
      <c r="D158" s="11"/>
      <c r="E158" s="11"/>
      <c r="F158" s="11"/>
    </row>
    <row r="159" customHeight="1" spans="2:6">
      <c r="B159" s="11">
        <v>2213</v>
      </c>
      <c r="C159" s="11">
        <v>3204</v>
      </c>
      <c r="D159" s="11"/>
      <c r="E159" s="11"/>
      <c r="F159" s="11"/>
    </row>
    <row r="160" customHeight="1" spans="2:6">
      <c r="B160" s="11">
        <v>2214</v>
      </c>
      <c r="C160" s="11">
        <v>3205</v>
      </c>
      <c r="D160" s="11"/>
      <c r="E160" s="11"/>
      <c r="F160" s="11"/>
    </row>
    <row r="161" customHeight="1" spans="2:6">
      <c r="B161" s="11">
        <v>2216</v>
      </c>
      <c r="C161" s="11">
        <v>3206</v>
      </c>
      <c r="D161" s="11"/>
      <c r="E161" s="11"/>
      <c r="F161" s="11"/>
    </row>
    <row r="162" customHeight="1" spans="2:6">
      <c r="B162" s="11">
        <v>2217</v>
      </c>
      <c r="C162" s="11">
        <v>3207</v>
      </c>
      <c r="D162" s="11"/>
      <c r="E162" s="11"/>
      <c r="F162" s="11"/>
    </row>
    <row r="163" customHeight="1" spans="2:6">
      <c r="B163" s="11">
        <v>2218</v>
      </c>
      <c r="C163" s="11">
        <v>3335</v>
      </c>
      <c r="D163" s="11"/>
      <c r="E163" s="11"/>
      <c r="F163" s="11"/>
    </row>
    <row r="164" customHeight="1" spans="2:6">
      <c r="B164" s="11">
        <v>2219</v>
      </c>
      <c r="C164" s="11">
        <v>3427</v>
      </c>
      <c r="D164" s="11"/>
      <c r="E164" s="11"/>
      <c r="F164" s="11"/>
    </row>
    <row r="165" customHeight="1" spans="2:6">
      <c r="B165" s="11">
        <v>2220</v>
      </c>
      <c r="C165" s="11">
        <v>3428</v>
      </c>
      <c r="D165" s="11"/>
      <c r="E165" s="11"/>
      <c r="F165" s="11"/>
    </row>
    <row r="166" customHeight="1" spans="2:6">
      <c r="B166" s="11">
        <v>2221</v>
      </c>
      <c r="C166" s="11">
        <v>3429</v>
      </c>
      <c r="D166" s="11"/>
      <c r="E166" s="11"/>
      <c r="F166" s="11"/>
    </row>
    <row r="167" customHeight="1" spans="2:6">
      <c r="B167" s="11">
        <v>2222</v>
      </c>
      <c r="C167" s="11">
        <v>3750</v>
      </c>
      <c r="D167" s="11"/>
      <c r="E167" s="11"/>
      <c r="F167" s="11"/>
    </row>
    <row r="168" customHeight="1" spans="2:6">
      <c r="B168" s="11">
        <v>2223</v>
      </c>
      <c r="C168" s="11">
        <v>3751</v>
      </c>
      <c r="D168" s="11"/>
      <c r="E168" s="11"/>
      <c r="F168" s="11"/>
    </row>
    <row r="169" customHeight="1" spans="2:6">
      <c r="B169" s="11">
        <v>2224</v>
      </c>
      <c r="C169" s="11">
        <v>3752</v>
      </c>
      <c r="D169" s="11"/>
      <c r="E169" s="11"/>
      <c r="F169" s="11"/>
    </row>
    <row r="170" customHeight="1" spans="2:6">
      <c r="B170" s="11">
        <v>2225</v>
      </c>
      <c r="C170" s="11">
        <v>3753</v>
      </c>
      <c r="D170" s="11"/>
      <c r="E170" s="11"/>
      <c r="F170" s="11"/>
    </row>
    <row r="171" customHeight="1" spans="2:6">
      <c r="B171" s="11">
        <v>2226</v>
      </c>
      <c r="C171" s="11">
        <v>3754</v>
      </c>
      <c r="D171" s="11"/>
      <c r="E171" s="11"/>
      <c r="F171" s="11"/>
    </row>
    <row r="172" customHeight="1" spans="2:6">
      <c r="B172" s="11">
        <v>2227</v>
      </c>
      <c r="C172" s="11">
        <v>3755</v>
      </c>
      <c r="D172" s="11"/>
      <c r="E172" s="11"/>
      <c r="F172" s="11"/>
    </row>
    <row r="173" customHeight="1" spans="2:6">
      <c r="B173" s="11">
        <v>2228</v>
      </c>
      <c r="C173" s="11">
        <v>3756</v>
      </c>
      <c r="D173" s="11"/>
      <c r="E173" s="11"/>
      <c r="F173" s="11"/>
    </row>
    <row r="174" customHeight="1" spans="2:6">
      <c r="B174" s="11">
        <v>2229</v>
      </c>
      <c r="C174" s="11">
        <v>3757</v>
      </c>
      <c r="D174" s="11"/>
      <c r="E174" s="11"/>
      <c r="F174" s="11"/>
    </row>
    <row r="175" customHeight="1" spans="2:6">
      <c r="B175" s="11">
        <v>2230</v>
      </c>
      <c r="C175" s="11">
        <v>3759</v>
      </c>
      <c r="D175" s="11"/>
      <c r="E175" s="11"/>
      <c r="F175" s="11"/>
    </row>
    <row r="176" customHeight="1" spans="2:6">
      <c r="B176" s="11">
        <v>2231</v>
      </c>
      <c r="C176" s="11">
        <v>3760</v>
      </c>
      <c r="D176" s="11"/>
      <c r="E176" s="11"/>
      <c r="F176" s="11"/>
    </row>
    <row r="177" customHeight="1" spans="2:6">
      <c r="B177" s="11">
        <v>2232</v>
      </c>
      <c r="C177" s="11">
        <v>3775</v>
      </c>
      <c r="D177" s="11"/>
      <c r="E177" s="11"/>
      <c r="F177" s="11"/>
    </row>
    <row r="178" customHeight="1" spans="2:6">
      <c r="B178" s="11">
        <v>2233</v>
      </c>
      <c r="C178" s="11">
        <v>3800</v>
      </c>
      <c r="D178" s="11"/>
      <c r="E178" s="11"/>
      <c r="F178" s="11"/>
    </row>
    <row r="179" customHeight="1" spans="2:6">
      <c r="B179" s="11">
        <v>2234</v>
      </c>
      <c r="C179" s="11"/>
      <c r="D179" s="11"/>
      <c r="E179" s="11"/>
      <c r="F179" s="11"/>
    </row>
    <row r="180" customHeight="1" spans="2:6">
      <c r="B180" s="11">
        <v>2508</v>
      </c>
      <c r="C180" s="11"/>
      <c r="D180" s="11"/>
      <c r="E180" s="11"/>
      <c r="F180" s="11"/>
    </row>
    <row r="181" customHeight="1" spans="2:6">
      <c r="B181" s="11">
        <v>2555</v>
      </c>
      <c r="C181" s="11"/>
      <c r="D181" s="11"/>
      <c r="E181" s="11"/>
      <c r="F181" s="11"/>
    </row>
    <row r="182" customHeight="1" spans="2:6">
      <c r="B182" s="11">
        <v>2556</v>
      </c>
      <c r="C182" s="11"/>
      <c r="D182" s="11"/>
      <c r="E182" s="11"/>
      <c r="F182" s="11"/>
    </row>
    <row r="183" customHeight="1" spans="2:6">
      <c r="B183" s="11">
        <v>2557</v>
      </c>
      <c r="C183" s="11"/>
      <c r="D183" s="11"/>
      <c r="E183" s="11"/>
      <c r="F183" s="11"/>
    </row>
    <row r="184" customHeight="1" spans="2:6">
      <c r="B184" s="11">
        <v>2558</v>
      </c>
      <c r="C184" s="11"/>
      <c r="D184" s="11"/>
      <c r="E184" s="11"/>
      <c r="F184" s="11"/>
    </row>
    <row r="185" customHeight="1" spans="2:6">
      <c r="B185" s="11">
        <v>2559</v>
      </c>
      <c r="C185" s="11"/>
      <c r="D185" s="11"/>
      <c r="E185" s="11"/>
      <c r="F185" s="11"/>
    </row>
    <row r="186" customHeight="1" spans="2:6">
      <c r="B186" s="11">
        <v>2560</v>
      </c>
      <c r="C186" s="11"/>
      <c r="D186" s="11"/>
      <c r="E186" s="11"/>
      <c r="F186" s="11"/>
    </row>
    <row r="187" customHeight="1" spans="2:6">
      <c r="B187" s="11">
        <v>2563</v>
      </c>
      <c r="C187" s="11"/>
      <c r="D187" s="11"/>
      <c r="E187" s="11"/>
      <c r="F187" s="11"/>
    </row>
    <row r="188" customHeight="1" spans="2:6">
      <c r="B188" s="11">
        <v>2564</v>
      </c>
      <c r="C188" s="11"/>
      <c r="D188" s="11"/>
      <c r="E188" s="11"/>
      <c r="F188" s="11"/>
    </row>
    <row r="189" customHeight="1" spans="2:6">
      <c r="B189" s="11">
        <v>2565</v>
      </c>
      <c r="C189" s="11"/>
      <c r="D189" s="11"/>
      <c r="E189" s="11"/>
      <c r="F189" s="11"/>
    </row>
    <row r="190" customHeight="1" spans="2:6">
      <c r="B190" s="11">
        <v>2566</v>
      </c>
      <c r="C190" s="11"/>
      <c r="D190" s="11"/>
      <c r="E190" s="11"/>
      <c r="F190" s="11"/>
    </row>
    <row r="191" customHeight="1" spans="2:6">
      <c r="B191" s="11">
        <v>2567</v>
      </c>
      <c r="C191" s="11"/>
      <c r="D191" s="11"/>
      <c r="E191" s="11"/>
      <c r="F191" s="11"/>
    </row>
    <row r="192" customHeight="1" spans="2:6">
      <c r="B192" s="11">
        <v>2568</v>
      </c>
      <c r="C192" s="11"/>
      <c r="D192" s="11"/>
      <c r="E192" s="11"/>
      <c r="F192" s="11"/>
    </row>
    <row r="193" customHeight="1" spans="2:6">
      <c r="B193" s="11">
        <v>2570</v>
      </c>
      <c r="C193" s="11"/>
      <c r="D193" s="11"/>
      <c r="E193" s="11"/>
      <c r="F193" s="11"/>
    </row>
    <row r="194" customHeight="1" spans="2:6">
      <c r="B194" s="11">
        <v>2745</v>
      </c>
      <c r="C194" s="11"/>
      <c r="D194" s="11"/>
      <c r="E194" s="11"/>
      <c r="F194" s="11"/>
    </row>
    <row r="195" customHeight="1" spans="2:6">
      <c r="B195" s="11">
        <v>2747</v>
      </c>
      <c r="C195" s="11"/>
      <c r="D195" s="11"/>
      <c r="E195" s="11"/>
      <c r="F195" s="11"/>
    </row>
    <row r="196" customHeight="1" spans="2:6">
      <c r="B196" s="11">
        <v>2748</v>
      </c>
      <c r="C196" s="11"/>
      <c r="D196" s="11"/>
      <c r="E196" s="11"/>
      <c r="F196" s="11"/>
    </row>
    <row r="197" customHeight="1" spans="2:6">
      <c r="B197" s="11">
        <v>2750</v>
      </c>
      <c r="C197" s="11"/>
      <c r="D197" s="11"/>
      <c r="E197" s="11"/>
      <c r="F197" s="11"/>
    </row>
    <row r="198" customHeight="1" spans="2:6">
      <c r="B198" s="11">
        <v>2759</v>
      </c>
      <c r="C198" s="11"/>
      <c r="D198" s="11"/>
      <c r="E198" s="11"/>
      <c r="F198" s="11"/>
    </row>
    <row r="199" customHeight="1" spans="2:6">
      <c r="B199" s="11">
        <v>2760</v>
      </c>
      <c r="C199" s="11"/>
      <c r="D199" s="11"/>
      <c r="E199" s="11"/>
      <c r="F199" s="11"/>
    </row>
    <row r="200" customHeight="1" spans="2:6">
      <c r="B200" s="11">
        <v>2761</v>
      </c>
      <c r="C200" s="11"/>
      <c r="D200" s="11"/>
      <c r="E200" s="11"/>
      <c r="F200" s="11"/>
    </row>
    <row r="201" customHeight="1" spans="2:6">
      <c r="B201" s="11">
        <v>2762</v>
      </c>
      <c r="C201" s="11"/>
      <c r="D201" s="11"/>
      <c r="E201" s="11"/>
      <c r="F201" s="11"/>
    </row>
    <row r="202" customHeight="1" spans="2:6">
      <c r="B202" s="11">
        <v>2763</v>
      </c>
      <c r="C202" s="11"/>
      <c r="D202" s="11"/>
      <c r="E202" s="11"/>
      <c r="F202" s="11"/>
    </row>
    <row r="203" customHeight="1" spans="2:6">
      <c r="B203" s="11">
        <v>2765</v>
      </c>
      <c r="C203" s="11"/>
      <c r="D203" s="11"/>
      <c r="E203" s="11"/>
      <c r="F203" s="11"/>
    </row>
    <row r="204" customHeight="1" spans="2:6">
      <c r="B204" s="11">
        <v>2766</v>
      </c>
      <c r="C204" s="11"/>
      <c r="D204" s="11"/>
      <c r="E204" s="11"/>
      <c r="F204" s="11"/>
    </row>
    <row r="205" customHeight="1" spans="2:6">
      <c r="B205" s="11">
        <v>2767</v>
      </c>
      <c r="C205" s="11"/>
      <c r="D205" s="11"/>
      <c r="E205" s="11"/>
      <c r="F205" s="11"/>
    </row>
    <row r="206" customHeight="1" spans="2:6">
      <c r="B206" s="11">
        <v>2768</v>
      </c>
      <c r="C206" s="11"/>
      <c r="D206" s="11"/>
      <c r="E206" s="11"/>
      <c r="F206" s="11"/>
    </row>
    <row r="207" customHeight="1" spans="2:6">
      <c r="B207" s="11">
        <v>2769</v>
      </c>
      <c r="C207" s="11"/>
      <c r="D207" s="11"/>
      <c r="E207" s="11"/>
      <c r="F207" s="11"/>
    </row>
    <row r="208" customHeight="1" spans="2:6">
      <c r="B208" s="11">
        <v>2770</v>
      </c>
      <c r="C208" s="11"/>
      <c r="D208" s="11"/>
      <c r="E208" s="11"/>
      <c r="F208" s="11"/>
    </row>
  </sheetData>
  <mergeCells count="4">
    <mergeCell ref="B1:P1"/>
    <mergeCell ref="B2:F2"/>
    <mergeCell ref="H2:K2"/>
    <mergeCell ref="M2:P2"/>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sheetPr>
  <dimension ref="A1:P10"/>
  <sheetViews>
    <sheetView showGridLines="0" zoomScale="70" zoomScaleNormal="70" workbookViewId="0">
      <pane xSplit="3" ySplit="3" topLeftCell="D4" activePane="bottomRight" state="frozen"/>
      <selection/>
      <selection pane="topRight"/>
      <selection pane="bottomLeft"/>
      <selection pane="bottomRight" activeCell="B1" sqref="B1:O1"/>
    </sheetView>
  </sheetViews>
  <sheetFormatPr defaultColWidth="20.6333333333333" defaultRowHeight="46" customHeight="1"/>
  <cols>
    <col min="1" max="1" width="5.78333333333333" style="49" customWidth="1"/>
    <col min="2" max="2" width="20.6333333333333" style="49" customWidth="1"/>
    <col min="3" max="3" width="40.6333333333333" style="49" customWidth="1"/>
    <col min="4" max="15" width="15.6333333333333" style="49" customWidth="1"/>
    <col min="16" max="16" width="5.78333333333333" style="49" customWidth="1"/>
    <col min="17" max="16379" width="20.6333333333333" style="48" customWidth="1"/>
    <col min="16380" max="16384" width="20.6333333333333" style="48"/>
  </cols>
  <sheetData>
    <row r="1" ht="66" customHeight="1" spans="1:16">
      <c r="A1" s="50"/>
      <c r="B1" s="37" t="str">
        <f>_xlfn.DISPIMG("ID_D6697A225B864C34A678052B48D4E660",1)</f>
        <v>=DISPIMG("ID_D6697A225B864C34A678052B48D4E660",1)</v>
      </c>
      <c r="C1" s="37"/>
      <c r="D1" s="37"/>
      <c r="E1" s="37"/>
      <c r="F1" s="37"/>
      <c r="G1" s="37"/>
      <c r="H1" s="37"/>
      <c r="I1" s="37"/>
      <c r="J1" s="37"/>
      <c r="K1" s="37"/>
      <c r="L1" s="37"/>
      <c r="M1" s="37"/>
      <c r="N1" s="37"/>
      <c r="O1" s="37"/>
      <c r="P1" s="51"/>
    </row>
    <row r="2" s="48" customFormat="1" ht="31" customHeight="1" spans="1:16">
      <c r="A2" s="52"/>
      <c r="B2" s="53" t="s">
        <v>775</v>
      </c>
      <c r="C2" s="53"/>
      <c r="D2" s="53"/>
      <c r="E2" s="53"/>
      <c r="F2" s="53"/>
      <c r="G2" s="53"/>
      <c r="H2" s="53"/>
      <c r="I2" s="53"/>
      <c r="J2" s="53"/>
      <c r="K2" s="53"/>
      <c r="L2" s="53"/>
      <c r="M2" s="53"/>
      <c r="N2" s="53"/>
      <c r="O2" s="53"/>
      <c r="P2" s="52"/>
    </row>
    <row r="3" s="48" customFormat="1" customHeight="1" spans="1:16">
      <c r="A3" s="49"/>
      <c r="B3" s="54" t="s">
        <v>776</v>
      </c>
      <c r="C3" s="54" t="s">
        <v>777</v>
      </c>
      <c r="D3" s="54" t="s">
        <v>778</v>
      </c>
      <c r="E3" s="54" t="s">
        <v>779</v>
      </c>
      <c r="F3" s="54" t="s">
        <v>780</v>
      </c>
      <c r="G3" s="54" t="s">
        <v>781</v>
      </c>
      <c r="H3" s="54" t="s">
        <v>782</v>
      </c>
      <c r="I3" s="54" t="s">
        <v>783</v>
      </c>
      <c r="J3" s="54" t="s">
        <v>784</v>
      </c>
      <c r="K3" s="54" t="s">
        <v>785</v>
      </c>
      <c r="L3" s="54" t="s">
        <v>786</v>
      </c>
      <c r="M3" s="54" t="s">
        <v>787</v>
      </c>
      <c r="N3" s="54" t="s">
        <v>788</v>
      </c>
      <c r="O3" s="54" t="s">
        <v>789</v>
      </c>
      <c r="P3" s="49"/>
    </row>
    <row r="4" s="48" customFormat="1" customHeight="1" spans="1:16">
      <c r="A4" s="49"/>
      <c r="B4" s="55" t="s">
        <v>790</v>
      </c>
      <c r="C4" s="55" t="s">
        <v>791</v>
      </c>
      <c r="D4" s="56">
        <v>12.2194</v>
      </c>
      <c r="E4" s="56">
        <v>20.4477</v>
      </c>
      <c r="F4" s="56">
        <v>23.8075</v>
      </c>
      <c r="G4" s="56">
        <v>25.9475</v>
      </c>
      <c r="H4" s="56">
        <v>28.141</v>
      </c>
      <c r="I4" s="56">
        <v>31.7576</v>
      </c>
      <c r="J4" s="56">
        <v>38.0813</v>
      </c>
      <c r="K4" s="56">
        <v>50.1723</v>
      </c>
      <c r="L4" s="56">
        <v>64.3284</v>
      </c>
      <c r="M4" s="56">
        <v>91.8488</v>
      </c>
      <c r="N4" s="56">
        <v>29.9814</v>
      </c>
      <c r="O4" s="56">
        <v>6.4093</v>
      </c>
      <c r="P4" s="49"/>
    </row>
    <row r="5" s="48" customFormat="1" customHeight="1" spans="1:16">
      <c r="A5" s="49"/>
      <c r="B5" s="55" t="s">
        <v>792</v>
      </c>
      <c r="C5" s="55" t="s">
        <v>793</v>
      </c>
      <c r="D5" s="56">
        <v>12.2194</v>
      </c>
      <c r="E5" s="56">
        <v>21.1004</v>
      </c>
      <c r="F5" s="56">
        <v>25.1557</v>
      </c>
      <c r="G5" s="56">
        <v>27.9591</v>
      </c>
      <c r="H5" s="56">
        <v>30.7732</v>
      </c>
      <c r="I5" s="56">
        <v>35.1923</v>
      </c>
      <c r="J5" s="56">
        <v>43.0033</v>
      </c>
      <c r="K5" s="56">
        <v>57.8763</v>
      </c>
      <c r="L5" s="56">
        <v>75.9486</v>
      </c>
      <c r="M5" s="56">
        <v>110.8092</v>
      </c>
      <c r="N5" s="56">
        <v>32.9988</v>
      </c>
      <c r="O5" s="56">
        <v>8.0785</v>
      </c>
      <c r="P5" s="49"/>
    </row>
    <row r="6" s="48" customFormat="1" customHeight="1" spans="1:16">
      <c r="A6" s="49"/>
      <c r="B6" s="55" t="s">
        <v>794</v>
      </c>
      <c r="C6" s="55" t="s">
        <v>795</v>
      </c>
      <c r="D6" s="56">
        <v>12.2194</v>
      </c>
      <c r="E6" s="56">
        <v>23.219</v>
      </c>
      <c r="F6" s="56">
        <v>29.532</v>
      </c>
      <c r="G6" s="56">
        <v>34.3149</v>
      </c>
      <c r="H6" s="56">
        <v>39.0764</v>
      </c>
      <c r="I6" s="56">
        <v>45.9886</v>
      </c>
      <c r="J6" s="56">
        <v>58.5932</v>
      </c>
      <c r="K6" s="56">
        <v>82.069</v>
      </c>
      <c r="L6" s="56">
        <v>112.2858</v>
      </c>
      <c r="M6" s="56">
        <v>170.1835</v>
      </c>
      <c r="N6" s="56">
        <v>42.479</v>
      </c>
      <c r="O6" s="56">
        <v>13.2894</v>
      </c>
      <c r="P6" s="49"/>
    </row>
    <row r="7" s="48" customFormat="1" customHeight="1" spans="1:16">
      <c r="A7" s="49"/>
      <c r="B7" s="55" t="s">
        <v>796</v>
      </c>
      <c r="C7" s="55" t="s">
        <v>797</v>
      </c>
      <c r="D7" s="56">
        <v>12.2194</v>
      </c>
      <c r="E7" s="56">
        <v>23.219</v>
      </c>
      <c r="F7" s="56">
        <v>29.532</v>
      </c>
      <c r="G7" s="56">
        <v>34.3149</v>
      </c>
      <c r="H7" s="56">
        <v>39.0764</v>
      </c>
      <c r="I7" s="56">
        <v>45.9886</v>
      </c>
      <c r="J7" s="56">
        <v>58.5932</v>
      </c>
      <c r="K7" s="56">
        <v>82.069</v>
      </c>
      <c r="L7" s="56">
        <v>112.2858</v>
      </c>
      <c r="M7" s="56">
        <v>170.1835</v>
      </c>
      <c r="N7" s="56">
        <v>42.479</v>
      </c>
      <c r="O7" s="56">
        <v>13.2894</v>
      </c>
      <c r="P7" s="49"/>
    </row>
    <row r="8" s="48" customFormat="1" customHeight="1" spans="1:16">
      <c r="A8" s="49"/>
      <c r="B8" s="57" t="s">
        <v>798</v>
      </c>
      <c r="C8" s="57" t="s">
        <v>799</v>
      </c>
      <c r="D8" s="57"/>
      <c r="E8" s="57"/>
      <c r="F8" s="57"/>
      <c r="G8" s="57"/>
      <c r="H8" s="57"/>
      <c r="I8" s="57"/>
      <c r="J8" s="57"/>
      <c r="K8" s="57"/>
      <c r="L8" s="57"/>
      <c r="M8" s="57"/>
      <c r="N8" s="57"/>
      <c r="O8" s="57"/>
      <c r="P8" s="49"/>
    </row>
    <row r="9" s="48" customFormat="1" customHeight="1" spans="1:16">
      <c r="A9" s="49"/>
      <c r="B9" s="58" t="s">
        <v>800</v>
      </c>
      <c r="C9" s="58"/>
      <c r="D9" s="58"/>
      <c r="E9" s="58"/>
      <c r="F9" s="58"/>
      <c r="G9" s="58"/>
      <c r="H9" s="58"/>
      <c r="I9" s="58"/>
      <c r="J9" s="58"/>
      <c r="K9" s="58"/>
      <c r="L9" s="58"/>
      <c r="M9" s="58"/>
      <c r="N9" s="58"/>
      <c r="O9" s="58"/>
      <c r="P9" s="49"/>
    </row>
    <row r="10" s="48" customFormat="1" customHeight="1" spans="1:16">
      <c r="A10" s="49"/>
      <c r="B10" s="58" t="s">
        <v>801</v>
      </c>
      <c r="C10" s="58"/>
      <c r="D10" s="58"/>
      <c r="E10" s="58"/>
      <c r="F10" s="58"/>
      <c r="G10" s="58"/>
      <c r="H10" s="58"/>
      <c r="I10" s="58"/>
      <c r="J10" s="58"/>
      <c r="K10" s="58"/>
      <c r="L10" s="58"/>
      <c r="M10" s="58"/>
      <c r="N10" s="58"/>
      <c r="O10" s="58"/>
      <c r="P10" s="49"/>
    </row>
  </sheetData>
  <mergeCells count="5">
    <mergeCell ref="B1:O1"/>
    <mergeCell ref="B2:O2"/>
    <mergeCell ref="C8:O8"/>
    <mergeCell ref="B9:O9"/>
    <mergeCell ref="B10:O10"/>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G29"/>
  <sheetViews>
    <sheetView zoomScale="85" zoomScaleNormal="85" workbookViewId="0">
      <pane ySplit="3" topLeftCell="A4" activePane="bottomLeft" state="frozen"/>
      <selection/>
      <selection pane="bottomLeft" activeCell="A1" sqref="A1:D1"/>
    </sheetView>
  </sheetViews>
  <sheetFormatPr defaultColWidth="9" defaultRowHeight="16.5" outlineLevelCol="6"/>
  <cols>
    <col min="1" max="1" width="40.6333333333333" style="36" customWidth="1"/>
    <col min="2" max="2" width="30.6333333333333" style="36" customWidth="1"/>
    <col min="3" max="3" width="15.6333333333333" style="36" customWidth="1"/>
    <col min="4" max="4" width="100.633333333333" style="36" customWidth="1"/>
    <col min="5" max="5" width="15.8833333333333" style="33" customWidth="1"/>
    <col min="6" max="30" width="8" style="33"/>
    <col min="31" max="16384" width="9" style="33"/>
  </cols>
  <sheetData>
    <row r="1" s="33" customFormat="1" ht="100.05" customHeight="1" spans="1:7">
      <c r="A1" s="37" t="str">
        <f>_xlfn.DISPIMG("ID_D6697A225B864C34A678052B48D4E660",1)</f>
        <v>=DISPIMG("ID_D6697A225B864C34A678052B48D4E660",1)</v>
      </c>
      <c r="B1" s="37"/>
      <c r="C1" s="37"/>
      <c r="D1" s="37"/>
    </row>
    <row r="2" s="34" customFormat="1" ht="30" customHeight="1" spans="1:7">
      <c r="A2" s="38" t="s">
        <v>65</v>
      </c>
      <c r="B2" s="38"/>
      <c r="C2" s="38"/>
      <c r="D2" s="38"/>
      <c r="E2" s="39"/>
    </row>
    <row r="3" s="35" customFormat="1" ht="30" customHeight="1" spans="1:7">
      <c r="A3" s="40" t="s">
        <v>459</v>
      </c>
      <c r="B3" s="40" t="s">
        <v>802</v>
      </c>
      <c r="C3" s="40" t="s">
        <v>803</v>
      </c>
      <c r="D3" s="40" t="s">
        <v>462</v>
      </c>
      <c r="E3" s="41"/>
    </row>
    <row r="4" s="33" customFormat="1" ht="20" customHeight="1" spans="1:7">
      <c r="A4" s="40" t="s">
        <v>472</v>
      </c>
      <c r="B4" s="42" t="s">
        <v>804</v>
      </c>
      <c r="C4" s="43" t="s">
        <v>805</v>
      </c>
      <c r="D4" s="44" t="s">
        <v>806</v>
      </c>
      <c r="E4" s="45"/>
      <c r="F4" s="45"/>
      <c r="G4" s="45"/>
    </row>
    <row r="5" s="33" customFormat="1" ht="20" customHeight="1" spans="1:7">
      <c r="A5" s="40"/>
      <c r="B5" s="42" t="s">
        <v>807</v>
      </c>
      <c r="C5" s="43" t="s">
        <v>808</v>
      </c>
      <c r="D5" s="46" t="s">
        <v>809</v>
      </c>
      <c r="E5" s="45"/>
      <c r="F5" s="45"/>
      <c r="G5" s="45"/>
    </row>
    <row r="6" s="33" customFormat="1" ht="20" customHeight="1" spans="1:7">
      <c r="A6" s="40" t="s">
        <v>475</v>
      </c>
      <c r="B6" s="42" t="s">
        <v>804</v>
      </c>
      <c r="C6" s="43">
        <v>3.5</v>
      </c>
      <c r="D6" s="44" t="s">
        <v>810</v>
      </c>
      <c r="E6" s="45"/>
      <c r="F6" s="45"/>
      <c r="G6" s="45"/>
    </row>
    <row r="7" s="33" customFormat="1" ht="20" customHeight="1" spans="1:7">
      <c r="A7" s="40" t="s">
        <v>463</v>
      </c>
      <c r="B7" s="42" t="s">
        <v>811</v>
      </c>
      <c r="C7" s="43" t="s">
        <v>812</v>
      </c>
      <c r="D7" s="44" t="s">
        <v>813</v>
      </c>
      <c r="E7" s="45"/>
      <c r="F7" s="45"/>
      <c r="G7" s="45"/>
    </row>
    <row r="8" s="33" customFormat="1" ht="20" customHeight="1" spans="1:7">
      <c r="A8" s="40"/>
      <c r="B8" s="42" t="s">
        <v>814</v>
      </c>
      <c r="C8" s="43" t="s">
        <v>815</v>
      </c>
      <c r="D8" s="44"/>
      <c r="E8" s="45"/>
      <c r="F8" s="45"/>
      <c r="G8" s="45"/>
    </row>
    <row r="9" s="33" customFormat="1" ht="20" customHeight="1" spans="1:7">
      <c r="A9" s="40"/>
      <c r="B9" s="42" t="s">
        <v>816</v>
      </c>
      <c r="C9" s="43" t="s">
        <v>817</v>
      </c>
      <c r="D9" s="44"/>
      <c r="E9" s="45"/>
      <c r="F9" s="45"/>
      <c r="G9" s="45"/>
    </row>
    <row r="10" ht="20" customHeight="1" spans="1:7">
      <c r="A10" s="40" t="s">
        <v>818</v>
      </c>
      <c r="B10" s="42" t="s">
        <v>819</v>
      </c>
      <c r="C10" s="43">
        <v>18</v>
      </c>
      <c r="D10" s="46" t="s">
        <v>820</v>
      </c>
    </row>
    <row r="11" ht="20" customHeight="1" spans="1:7">
      <c r="A11" s="40" t="s">
        <v>821</v>
      </c>
      <c r="B11" s="42" t="s">
        <v>819</v>
      </c>
      <c r="C11" s="43">
        <v>4</v>
      </c>
      <c r="D11" s="46" t="s">
        <v>822</v>
      </c>
    </row>
    <row r="12" ht="20" customHeight="1" spans="1:7">
      <c r="A12" s="40" t="s">
        <v>141</v>
      </c>
      <c r="B12" s="42" t="s">
        <v>823</v>
      </c>
      <c r="C12" s="43" t="s">
        <v>824</v>
      </c>
      <c r="D12" s="46" t="s">
        <v>825</v>
      </c>
    </row>
    <row r="13" ht="20" customHeight="1" spans="1:7">
      <c r="A13" s="40" t="s">
        <v>826</v>
      </c>
      <c r="B13" s="42" t="s">
        <v>827</v>
      </c>
      <c r="C13" s="43">
        <v>7</v>
      </c>
      <c r="D13" s="46" t="s">
        <v>828</v>
      </c>
    </row>
    <row r="14" ht="20" customHeight="1" spans="1:7">
      <c r="A14" s="40"/>
      <c r="B14" s="42" t="s">
        <v>829</v>
      </c>
      <c r="C14" s="43">
        <v>3</v>
      </c>
      <c r="D14" s="46" t="s">
        <v>830</v>
      </c>
    </row>
    <row r="15" ht="20" customHeight="1" spans="1:7">
      <c r="A15" s="40" t="s">
        <v>831</v>
      </c>
      <c r="B15" s="42" t="s">
        <v>832</v>
      </c>
      <c r="C15" s="43">
        <v>4</v>
      </c>
      <c r="D15" s="46" t="s">
        <v>833</v>
      </c>
    </row>
    <row r="16" ht="20" customHeight="1" spans="1:7">
      <c r="A16" s="40"/>
      <c r="B16" s="42" t="s">
        <v>834</v>
      </c>
      <c r="C16" s="43">
        <v>1.5</v>
      </c>
      <c r="D16" s="46" t="s">
        <v>833</v>
      </c>
    </row>
    <row r="17" ht="20" customHeight="1" spans="1:7">
      <c r="A17" s="40" t="s">
        <v>835</v>
      </c>
      <c r="B17" s="42" t="s">
        <v>807</v>
      </c>
      <c r="C17" s="43">
        <v>40</v>
      </c>
      <c r="D17" s="46" t="s">
        <v>836</v>
      </c>
    </row>
    <row r="18" ht="20" customHeight="1" spans="1:7">
      <c r="A18" s="40" t="s">
        <v>837</v>
      </c>
      <c r="B18" s="42" t="s">
        <v>838</v>
      </c>
      <c r="C18" s="43">
        <v>1.5</v>
      </c>
      <c r="D18" s="46" t="s">
        <v>839</v>
      </c>
    </row>
    <row r="19" ht="20" customHeight="1" spans="1:7">
      <c r="A19" s="40" t="s">
        <v>840</v>
      </c>
      <c r="B19" s="42" t="s">
        <v>841</v>
      </c>
      <c r="C19" s="43" t="s">
        <v>842</v>
      </c>
      <c r="D19" s="46" t="s">
        <v>843</v>
      </c>
    </row>
    <row r="20" ht="20" customHeight="1" spans="1:7">
      <c r="A20" s="40" t="s">
        <v>844</v>
      </c>
      <c r="B20" s="42" t="s">
        <v>845</v>
      </c>
      <c r="C20" s="43" t="s">
        <v>846</v>
      </c>
      <c r="D20" s="46" t="s">
        <v>847</v>
      </c>
    </row>
    <row r="21" ht="20" customHeight="1" spans="1:7">
      <c r="A21" s="40" t="s">
        <v>848</v>
      </c>
      <c r="B21" s="42" t="s">
        <v>849</v>
      </c>
      <c r="C21" s="43">
        <v>3.5</v>
      </c>
      <c r="D21" s="46" t="s">
        <v>850</v>
      </c>
    </row>
    <row r="22" ht="20" customHeight="1" spans="1:7">
      <c r="A22" s="40" t="s">
        <v>851</v>
      </c>
      <c r="B22" s="42" t="s">
        <v>849</v>
      </c>
      <c r="C22" s="43">
        <v>0.8</v>
      </c>
      <c r="D22" s="46" t="s">
        <v>852</v>
      </c>
    </row>
    <row r="23" ht="20" customHeight="1" spans="1:7">
      <c r="A23" s="40" t="s">
        <v>853</v>
      </c>
      <c r="B23" s="42" t="s">
        <v>849</v>
      </c>
      <c r="C23" s="43">
        <v>1.8</v>
      </c>
      <c r="D23" s="46" t="s">
        <v>854</v>
      </c>
    </row>
    <row r="24" ht="20" customHeight="1" spans="1:7">
      <c r="A24" s="40" t="s">
        <v>855</v>
      </c>
      <c r="B24" s="42" t="s">
        <v>856</v>
      </c>
      <c r="C24" s="43" t="s">
        <v>496</v>
      </c>
      <c r="D24" s="46" t="s">
        <v>857</v>
      </c>
    </row>
    <row r="25" ht="20" customHeight="1" spans="1:7">
      <c r="A25" s="40" t="s">
        <v>858</v>
      </c>
      <c r="B25" s="42" t="s">
        <v>859</v>
      </c>
      <c r="C25" s="43">
        <v>45</v>
      </c>
      <c r="D25" s="46" t="s">
        <v>860</v>
      </c>
    </row>
    <row r="26" ht="20" customHeight="1" spans="1:7">
      <c r="A26" s="40" t="s">
        <v>861</v>
      </c>
      <c r="B26" s="42" t="s">
        <v>859</v>
      </c>
      <c r="C26" s="43">
        <v>55</v>
      </c>
      <c r="D26" s="46" t="s">
        <v>862</v>
      </c>
    </row>
    <row r="27" ht="20" customHeight="1" spans="1:7">
      <c r="A27" s="40" t="s">
        <v>863</v>
      </c>
      <c r="B27" s="42" t="s">
        <v>864</v>
      </c>
      <c r="C27" s="43">
        <v>1.5</v>
      </c>
      <c r="D27" s="46" t="s">
        <v>865</v>
      </c>
    </row>
    <row r="28" ht="20" customHeight="1" spans="1:7">
      <c r="A28" s="40" t="s">
        <v>866</v>
      </c>
      <c r="B28" s="42" t="s">
        <v>867</v>
      </c>
      <c r="C28" s="43" t="s">
        <v>496</v>
      </c>
      <c r="D28" s="46" t="s">
        <v>868</v>
      </c>
    </row>
    <row r="29" s="33" customFormat="1" ht="20" customHeight="1" spans="1:7">
      <c r="A29" s="40" t="s">
        <v>869</v>
      </c>
      <c r="B29" s="42" t="s">
        <v>870</v>
      </c>
      <c r="C29" s="42" t="s">
        <v>871</v>
      </c>
      <c r="D29" s="47" t="s">
        <v>872</v>
      </c>
      <c r="E29" s="45"/>
      <c r="F29" s="45"/>
      <c r="G29" s="45"/>
    </row>
  </sheetData>
  <mergeCells count="7">
    <mergeCell ref="A1:D1"/>
    <mergeCell ref="A2:D2"/>
    <mergeCell ref="A4:A5"/>
    <mergeCell ref="A7:A9"/>
    <mergeCell ref="A13:A14"/>
    <mergeCell ref="A15:A16"/>
    <mergeCell ref="D7:D9"/>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FF00"/>
  </sheetPr>
  <dimension ref="A1:L11"/>
  <sheetViews>
    <sheetView workbookViewId="0">
      <selection activeCell="A1" sqref="A1:K1"/>
    </sheetView>
  </sheetViews>
  <sheetFormatPr defaultColWidth="13.725" defaultRowHeight="22" customHeight="1"/>
  <cols>
    <col min="1" max="1" width="16.725" style="23" customWidth="1"/>
    <col min="2" max="2" width="13.725" style="23" customWidth="1"/>
    <col min="3" max="3" width="19" style="23" customWidth="1"/>
    <col min="4" max="4" width="20.1833333333333" style="23" customWidth="1"/>
    <col min="5" max="5" width="36.8583333333333" style="23" customWidth="1"/>
    <col min="6" max="8" width="13.725" style="23" customWidth="1"/>
    <col min="9" max="9" width="15.5416666666667" style="23" customWidth="1"/>
    <col min="10" max="16384" width="13.725" style="23" customWidth="1"/>
  </cols>
  <sheetData>
    <row r="1" ht="61" customHeight="1" spans="1:12">
      <c r="A1" s="8" t="str">
        <f>_xlfn.DISPIMG("ID_D6697A225B864C34A678052B48D4E660",1)</f>
        <v>=DISPIMG("ID_D6697A225B864C34A678052B48D4E660",1)</v>
      </c>
      <c r="B1" s="8"/>
      <c r="C1" s="8"/>
      <c r="D1" s="8"/>
      <c r="E1" s="8"/>
      <c r="F1" s="8"/>
      <c r="G1" s="24"/>
      <c r="H1" s="24"/>
      <c r="I1" s="24"/>
      <c r="J1" s="24"/>
      <c r="K1" s="24"/>
    </row>
    <row r="2" ht="30" customHeight="1" spans="1:12">
      <c r="A2" s="25" t="s">
        <v>873</v>
      </c>
      <c r="B2" s="25"/>
      <c r="C2" s="25"/>
      <c r="D2" s="25"/>
      <c r="E2" s="25"/>
      <c r="F2" s="25"/>
      <c r="G2" s="25"/>
      <c r="H2" s="25"/>
      <c r="I2" s="25"/>
      <c r="J2" s="25"/>
      <c r="K2" s="25"/>
    </row>
    <row r="3" customHeight="1" spans="1:12">
      <c r="A3" s="26" t="s">
        <v>874</v>
      </c>
      <c r="B3" s="26" t="s">
        <v>875</v>
      </c>
      <c r="C3" s="26" t="s">
        <v>876</v>
      </c>
      <c r="D3" s="26" t="s">
        <v>877</v>
      </c>
      <c r="E3" s="26" t="s">
        <v>878</v>
      </c>
      <c r="F3" s="26" t="s">
        <v>879</v>
      </c>
      <c r="G3" s="26"/>
      <c r="H3" s="26"/>
      <c r="I3" s="26"/>
      <c r="J3" s="27" t="s">
        <v>880</v>
      </c>
      <c r="K3" s="27"/>
      <c r="L3" s="28"/>
    </row>
    <row r="4" ht="31" customHeight="1" spans="1:12">
      <c r="A4" s="27" t="s">
        <v>881</v>
      </c>
      <c r="B4" s="29" t="s">
        <v>882</v>
      </c>
      <c r="C4" s="27" t="s">
        <v>883</v>
      </c>
      <c r="D4" s="27" t="s">
        <v>884</v>
      </c>
      <c r="E4" s="30" t="s">
        <v>885</v>
      </c>
      <c r="F4" s="31" t="s">
        <v>886</v>
      </c>
      <c r="G4" s="32"/>
      <c r="H4" s="32"/>
      <c r="I4" s="32"/>
      <c r="J4" s="27"/>
      <c r="K4" s="27"/>
      <c r="L4" s="28"/>
    </row>
    <row r="5" ht="31" customHeight="1" spans="1:12">
      <c r="A5" s="27"/>
      <c r="B5" s="29"/>
      <c r="C5" s="27"/>
      <c r="D5" s="27"/>
      <c r="E5" s="30"/>
      <c r="F5" s="32"/>
      <c r="G5" s="32"/>
      <c r="H5" s="32"/>
      <c r="I5" s="32"/>
      <c r="J5" s="27"/>
      <c r="K5" s="27"/>
      <c r="L5" s="28"/>
    </row>
    <row r="6" ht="31" customHeight="1" spans="1:12">
      <c r="A6" s="27"/>
      <c r="B6" s="29" t="s">
        <v>887</v>
      </c>
      <c r="C6" s="29" t="s">
        <v>883</v>
      </c>
      <c r="D6" s="27" t="s">
        <v>884</v>
      </c>
      <c r="E6" s="30" t="s">
        <v>885</v>
      </c>
      <c r="F6" s="32"/>
      <c r="G6" s="32"/>
      <c r="H6" s="32"/>
      <c r="I6" s="32"/>
      <c r="J6" s="27"/>
      <c r="K6" s="27"/>
      <c r="L6" s="28"/>
    </row>
    <row r="7" ht="31" customHeight="1" spans="1:12">
      <c r="A7" s="27"/>
      <c r="B7" s="29"/>
      <c r="C7" s="29"/>
      <c r="D7" s="27"/>
      <c r="E7" s="30"/>
      <c r="F7" s="32"/>
      <c r="G7" s="32"/>
      <c r="H7" s="32"/>
      <c r="I7" s="32"/>
      <c r="J7" s="27"/>
      <c r="K7" s="27"/>
      <c r="L7" s="28"/>
    </row>
    <row r="8" ht="31" customHeight="1" spans="1:12">
      <c r="A8" s="27" t="s">
        <v>888</v>
      </c>
      <c r="B8" s="29" t="s">
        <v>882</v>
      </c>
      <c r="C8" s="29" t="s">
        <v>889</v>
      </c>
      <c r="D8" s="27" t="s">
        <v>890</v>
      </c>
      <c r="E8" s="30" t="s">
        <v>891</v>
      </c>
      <c r="F8" s="32"/>
      <c r="G8" s="32"/>
      <c r="H8" s="32"/>
      <c r="I8" s="32"/>
      <c r="J8" s="27"/>
      <c r="K8" s="27"/>
      <c r="L8" s="28"/>
    </row>
    <row r="9" ht="31" customHeight="1" spans="1:12">
      <c r="A9" s="27"/>
      <c r="B9" s="29"/>
      <c r="C9" s="29"/>
      <c r="D9" s="27"/>
      <c r="E9" s="30"/>
      <c r="F9" s="32"/>
      <c r="G9" s="32"/>
      <c r="H9" s="32"/>
      <c r="I9" s="32"/>
      <c r="J9" s="27"/>
      <c r="K9" s="27"/>
      <c r="L9" s="28"/>
    </row>
    <row r="10" ht="31" customHeight="1" spans="1:12">
      <c r="A10" s="27"/>
      <c r="B10" s="29" t="s">
        <v>887</v>
      </c>
      <c r="C10" s="29" t="s">
        <v>889</v>
      </c>
      <c r="D10" s="27" t="s">
        <v>890</v>
      </c>
      <c r="E10" s="30" t="s">
        <v>891</v>
      </c>
      <c r="F10" s="32"/>
      <c r="G10" s="32"/>
      <c r="H10" s="32"/>
      <c r="I10" s="32"/>
      <c r="J10" s="27"/>
      <c r="K10" s="27"/>
      <c r="L10" s="28"/>
    </row>
    <row r="11" ht="31" customHeight="1" spans="1:12">
      <c r="A11" s="27"/>
      <c r="B11" s="29"/>
      <c r="C11" s="29"/>
      <c r="D11" s="27"/>
      <c r="E11" s="30"/>
      <c r="F11" s="32"/>
      <c r="G11" s="32"/>
      <c r="H11" s="32"/>
      <c r="I11" s="32"/>
      <c r="J11" s="27"/>
      <c r="K11" s="27"/>
      <c r="L11" s="28"/>
    </row>
  </sheetData>
  <mergeCells count="23">
    <mergeCell ref="A1:K1"/>
    <mergeCell ref="A2:K2"/>
    <mergeCell ref="F3:I3"/>
    <mergeCell ref="A4:A7"/>
    <mergeCell ref="A8:A11"/>
    <mergeCell ref="B4:B5"/>
    <mergeCell ref="B6:B7"/>
    <mergeCell ref="B8:B9"/>
    <mergeCell ref="B10:B11"/>
    <mergeCell ref="C4:C5"/>
    <mergeCell ref="C6:C7"/>
    <mergeCell ref="C8:C9"/>
    <mergeCell ref="C10:C11"/>
    <mergeCell ref="D4:D5"/>
    <mergeCell ref="D6:D7"/>
    <mergeCell ref="D8:D9"/>
    <mergeCell ref="D10:D11"/>
    <mergeCell ref="E4:E5"/>
    <mergeCell ref="E6:E7"/>
    <mergeCell ref="E8:E9"/>
    <mergeCell ref="E10:E11"/>
    <mergeCell ref="J3:K11"/>
    <mergeCell ref="F4:I11"/>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FF00"/>
  </sheetPr>
  <dimension ref="A1:H55"/>
  <sheetViews>
    <sheetView zoomScale="55" zoomScaleNormal="55" workbookViewId="0">
      <pane xSplit="2" ySplit="2" topLeftCell="C3" activePane="bottomRight" state="frozen"/>
      <selection/>
      <selection pane="topRight"/>
      <selection pane="bottomLeft"/>
      <selection pane="bottomRight" activeCell="A1" sqref="A1:H1"/>
    </sheetView>
  </sheetViews>
  <sheetFormatPr defaultColWidth="20.6333333333333" defaultRowHeight="46" customHeight="1" outlineLevelCol="7"/>
  <cols>
    <col min="1" max="2" width="14.3083333333333" customWidth="1"/>
    <col min="3" max="3" width="33.4" customWidth="1"/>
    <col min="4" max="4" width="24.1666666666667" customWidth="1"/>
    <col min="5" max="6" width="12.5" customWidth="1"/>
    <col min="7" max="7" width="20.6333333333333" customWidth="1"/>
    <col min="8" max="8" width="120.625" customWidth="1"/>
    <col min="9" max="16382" width="20.6333333333333" customWidth="1"/>
  </cols>
  <sheetData>
    <row r="1" ht="100" customHeight="1" spans="1:8">
      <c r="A1" s="8" t="str">
        <f>_xlfn.DISPIMG("ID_D6697A225B864C34A678052B48D4E660",1)</f>
        <v>=DISPIMG("ID_D6697A225B864C34A678052B48D4E660",1)</v>
      </c>
      <c r="B1" s="8"/>
      <c r="C1" s="8"/>
      <c r="D1" s="8"/>
      <c r="E1" s="8"/>
      <c r="F1" s="8"/>
      <c r="G1" s="8"/>
      <c r="H1" s="8"/>
    </row>
    <row r="2" s="7" customFormat="1" ht="40" customHeight="1" spans="1:8">
      <c r="A2" s="9" t="s">
        <v>235</v>
      </c>
      <c r="B2" s="9"/>
      <c r="C2" s="10" t="s">
        <v>892</v>
      </c>
      <c r="D2" s="9" t="s">
        <v>326</v>
      </c>
      <c r="E2" s="9" t="s">
        <v>325</v>
      </c>
      <c r="F2" s="9" t="s">
        <v>327</v>
      </c>
      <c r="G2" s="9" t="s">
        <v>505</v>
      </c>
      <c r="H2" s="9" t="s">
        <v>893</v>
      </c>
    </row>
    <row r="3" s="7" customFormat="1" ht="40" customHeight="1" spans="1:8">
      <c r="A3" s="11" t="s">
        <v>894</v>
      </c>
      <c r="B3" s="11" t="s">
        <v>895</v>
      </c>
      <c r="C3" s="11" t="s">
        <v>896</v>
      </c>
      <c r="D3" s="11" t="s">
        <v>376</v>
      </c>
      <c r="E3" s="11" t="s">
        <v>897</v>
      </c>
      <c r="F3" s="11" t="s">
        <v>898</v>
      </c>
      <c r="G3" s="11" t="s">
        <v>899</v>
      </c>
      <c r="H3" s="11" t="s">
        <v>900</v>
      </c>
    </row>
    <row r="4" s="7" customFormat="1" ht="40" customHeight="1" spans="1:8">
      <c r="A4" s="11"/>
      <c r="B4" s="11" t="s">
        <v>901</v>
      </c>
      <c r="C4" s="11" t="s">
        <v>902</v>
      </c>
      <c r="D4" s="11" t="s">
        <v>903</v>
      </c>
      <c r="E4" s="11" t="s">
        <v>897</v>
      </c>
      <c r="F4" s="11" t="s">
        <v>904</v>
      </c>
      <c r="G4" s="11" t="s">
        <v>905</v>
      </c>
      <c r="H4" s="18" t="s">
        <v>906</v>
      </c>
    </row>
    <row r="5" s="7" customFormat="1" ht="40" customHeight="1" spans="1:8">
      <c r="A5" s="11"/>
      <c r="B5" s="11" t="s">
        <v>907</v>
      </c>
      <c r="C5" s="11" t="s">
        <v>908</v>
      </c>
      <c r="D5" s="11" t="s">
        <v>909</v>
      </c>
      <c r="E5" s="11" t="s">
        <v>897</v>
      </c>
      <c r="F5" s="11" t="s">
        <v>910</v>
      </c>
      <c r="G5" s="11" t="s">
        <v>899</v>
      </c>
      <c r="H5" s="11" t="s">
        <v>900</v>
      </c>
    </row>
    <row r="6" s="7" customFormat="1" ht="40" customHeight="1" spans="1:8">
      <c r="A6" s="11"/>
      <c r="B6" s="11" t="s">
        <v>911</v>
      </c>
      <c r="C6" s="11" t="s">
        <v>912</v>
      </c>
      <c r="D6" s="11" t="s">
        <v>403</v>
      </c>
      <c r="E6" s="11" t="s">
        <v>897</v>
      </c>
      <c r="F6" s="12" t="s">
        <v>913</v>
      </c>
      <c r="G6" s="11"/>
      <c r="H6" s="11"/>
    </row>
    <row r="7" s="7" customFormat="1" ht="40" customHeight="1" spans="1:8">
      <c r="A7" s="11"/>
      <c r="B7" s="11" t="s">
        <v>914</v>
      </c>
      <c r="C7" s="11" t="s">
        <v>915</v>
      </c>
      <c r="D7" s="11" t="s">
        <v>916</v>
      </c>
      <c r="E7" s="11" t="s">
        <v>897</v>
      </c>
      <c r="F7" s="11" t="s">
        <v>917</v>
      </c>
      <c r="G7" s="11" t="s">
        <v>905</v>
      </c>
      <c r="H7" s="11" t="s">
        <v>918</v>
      </c>
    </row>
    <row r="8" s="7" customFormat="1" ht="40" customHeight="1" spans="1:8">
      <c r="A8" s="11"/>
      <c r="B8" s="11" t="s">
        <v>919</v>
      </c>
      <c r="C8" s="11" t="s">
        <v>920</v>
      </c>
      <c r="D8" s="11" t="s">
        <v>368</v>
      </c>
      <c r="E8" s="11" t="s">
        <v>897</v>
      </c>
      <c r="F8" s="11" t="s">
        <v>921</v>
      </c>
      <c r="G8" s="11"/>
      <c r="H8" s="11" t="s">
        <v>922</v>
      </c>
    </row>
    <row r="9" s="7" customFormat="1" ht="40" customHeight="1" spans="1:8">
      <c r="A9" s="11"/>
      <c r="B9" s="11" t="s">
        <v>923</v>
      </c>
      <c r="C9" s="11" t="s">
        <v>924</v>
      </c>
      <c r="D9" s="11" t="s">
        <v>925</v>
      </c>
      <c r="E9" s="11" t="s">
        <v>897</v>
      </c>
      <c r="F9" s="11" t="s">
        <v>926</v>
      </c>
      <c r="G9" s="11"/>
      <c r="H9" s="11" t="s">
        <v>927</v>
      </c>
    </row>
    <row r="10" s="7" customFormat="1" ht="40" customHeight="1" spans="1:8">
      <c r="A10" s="11" t="s">
        <v>928</v>
      </c>
      <c r="B10" s="11" t="s">
        <v>929</v>
      </c>
      <c r="C10" s="11" t="s">
        <v>930</v>
      </c>
      <c r="D10" s="11" t="s">
        <v>931</v>
      </c>
      <c r="E10" s="11" t="s">
        <v>932</v>
      </c>
      <c r="F10" s="11" t="s">
        <v>933</v>
      </c>
      <c r="G10" s="11" t="s">
        <v>905</v>
      </c>
      <c r="H10" s="11" t="s">
        <v>934</v>
      </c>
    </row>
    <row r="11" s="7" customFormat="1" ht="40" customHeight="1" spans="1:8">
      <c r="A11" s="11"/>
      <c r="B11" s="11" t="s">
        <v>935</v>
      </c>
      <c r="C11" s="11" t="s">
        <v>936</v>
      </c>
      <c r="D11" s="11" t="s">
        <v>937</v>
      </c>
      <c r="E11" s="11" t="s">
        <v>932</v>
      </c>
      <c r="F11" s="11" t="s">
        <v>938</v>
      </c>
      <c r="G11" s="11" t="s">
        <v>899</v>
      </c>
      <c r="H11" s="11" t="s">
        <v>939</v>
      </c>
    </row>
    <row r="12" s="7" customFormat="1" ht="40" customHeight="1" spans="1:8">
      <c r="A12" s="11" t="s">
        <v>245</v>
      </c>
      <c r="B12" s="11" t="s">
        <v>940</v>
      </c>
      <c r="C12" s="11" t="s">
        <v>941</v>
      </c>
      <c r="D12" s="11" t="s">
        <v>942</v>
      </c>
      <c r="E12" s="11" t="s">
        <v>932</v>
      </c>
      <c r="F12" s="11" t="s">
        <v>943</v>
      </c>
      <c r="G12" s="11" t="s">
        <v>899</v>
      </c>
      <c r="H12" s="11" t="s">
        <v>939</v>
      </c>
    </row>
    <row r="13" s="7" customFormat="1" ht="40" customHeight="1" spans="1:8">
      <c r="A13" s="11"/>
      <c r="B13" s="11" t="s">
        <v>944</v>
      </c>
      <c r="C13" s="11" t="s">
        <v>945</v>
      </c>
      <c r="D13" s="11" t="s">
        <v>946</v>
      </c>
      <c r="E13" s="11" t="s">
        <v>932</v>
      </c>
      <c r="F13" s="11" t="s">
        <v>947</v>
      </c>
      <c r="G13" s="11" t="s">
        <v>905</v>
      </c>
      <c r="H13" s="11" t="s">
        <v>948</v>
      </c>
    </row>
    <row r="14" s="7" customFormat="1" ht="40" customHeight="1" spans="1:8">
      <c r="A14" s="11"/>
      <c r="B14" s="11" t="s">
        <v>949</v>
      </c>
      <c r="C14" s="11" t="s">
        <v>950</v>
      </c>
      <c r="D14" s="11" t="s">
        <v>951</v>
      </c>
      <c r="E14" s="11" t="s">
        <v>932</v>
      </c>
      <c r="F14" s="11" t="s">
        <v>952</v>
      </c>
      <c r="G14" s="11" t="s">
        <v>953</v>
      </c>
      <c r="H14" s="11" t="s">
        <v>954</v>
      </c>
    </row>
    <row r="15" s="7" customFormat="1" ht="40" customHeight="1" spans="1:8">
      <c r="A15" s="11" t="s">
        <v>239</v>
      </c>
      <c r="B15" s="11" t="s">
        <v>955</v>
      </c>
      <c r="C15" s="11" t="s">
        <v>956</v>
      </c>
      <c r="D15" s="11" t="s">
        <v>331</v>
      </c>
      <c r="E15" s="11" t="s">
        <v>957</v>
      </c>
      <c r="F15" s="11" t="s">
        <v>958</v>
      </c>
      <c r="G15" s="11" t="s">
        <v>959</v>
      </c>
      <c r="H15" s="11" t="s">
        <v>960</v>
      </c>
    </row>
    <row r="16" s="7" customFormat="1" ht="40" customHeight="1" spans="1:8">
      <c r="A16" s="11"/>
      <c r="B16" s="11" t="s">
        <v>961</v>
      </c>
      <c r="C16" s="11" t="s">
        <v>962</v>
      </c>
      <c r="D16" s="11" t="s">
        <v>345</v>
      </c>
      <c r="E16" s="11" t="s">
        <v>957</v>
      </c>
      <c r="F16" s="11" t="s">
        <v>963</v>
      </c>
      <c r="G16" s="11" t="s">
        <v>959</v>
      </c>
      <c r="H16" s="11" t="s">
        <v>959</v>
      </c>
    </row>
    <row r="17" s="7" customFormat="1" ht="60" customHeight="1" spans="1:8">
      <c r="A17" s="11"/>
      <c r="B17" s="11" t="s">
        <v>964</v>
      </c>
      <c r="C17" s="11" t="s">
        <v>965</v>
      </c>
      <c r="D17" s="11" t="s">
        <v>329</v>
      </c>
      <c r="E17" s="11" t="s">
        <v>957</v>
      </c>
      <c r="F17" s="11" t="s">
        <v>966</v>
      </c>
      <c r="G17" s="11" t="s">
        <v>905</v>
      </c>
      <c r="H17" s="11" t="s">
        <v>967</v>
      </c>
    </row>
    <row r="18" s="7" customFormat="1" ht="40" customHeight="1" spans="1:8">
      <c r="A18" s="11"/>
      <c r="B18" s="11" t="s">
        <v>968</v>
      </c>
      <c r="C18" s="11" t="s">
        <v>969</v>
      </c>
      <c r="D18" s="11" t="s">
        <v>970</v>
      </c>
      <c r="E18" s="11" t="s">
        <v>957</v>
      </c>
      <c r="F18" s="11" t="s">
        <v>971</v>
      </c>
      <c r="G18" s="11" t="s">
        <v>899</v>
      </c>
      <c r="H18" s="11" t="s">
        <v>972</v>
      </c>
    </row>
    <row r="19" s="7" customFormat="1" ht="40" customHeight="1" spans="1:8">
      <c r="A19" s="11"/>
      <c r="B19" s="11" t="s">
        <v>973</v>
      </c>
      <c r="C19" s="11" t="s">
        <v>974</v>
      </c>
      <c r="D19" s="11" t="s">
        <v>329</v>
      </c>
      <c r="E19" s="11" t="s">
        <v>957</v>
      </c>
      <c r="F19" s="11" t="s">
        <v>975</v>
      </c>
      <c r="G19" s="11" t="s">
        <v>959</v>
      </c>
      <c r="H19" s="11" t="s">
        <v>959</v>
      </c>
    </row>
    <row r="20" s="7" customFormat="1" ht="40" customHeight="1" spans="1:8">
      <c r="A20" s="11"/>
      <c r="B20" s="11" t="s">
        <v>976</v>
      </c>
      <c r="C20" s="11" t="s">
        <v>977</v>
      </c>
      <c r="D20" s="11" t="s">
        <v>341</v>
      </c>
      <c r="E20" s="11" t="s">
        <v>957</v>
      </c>
      <c r="F20" s="11" t="s">
        <v>978</v>
      </c>
      <c r="G20" s="11" t="s">
        <v>905</v>
      </c>
      <c r="H20" s="11" t="s">
        <v>972</v>
      </c>
    </row>
    <row r="21" s="7" customFormat="1" ht="100" customHeight="1" spans="1:8">
      <c r="A21" s="11"/>
      <c r="B21" s="11" t="s">
        <v>979</v>
      </c>
      <c r="C21" s="11" t="s">
        <v>980</v>
      </c>
      <c r="D21" s="11" t="s">
        <v>349</v>
      </c>
      <c r="E21" s="11" t="s">
        <v>957</v>
      </c>
      <c r="F21" s="11" t="s">
        <v>981</v>
      </c>
      <c r="G21" s="11" t="s">
        <v>905</v>
      </c>
      <c r="H21" s="11" t="s">
        <v>982</v>
      </c>
    </row>
    <row r="22" s="7" customFormat="1" ht="40" customHeight="1" spans="1:8">
      <c r="A22" s="11"/>
      <c r="B22" s="11" t="s">
        <v>983</v>
      </c>
      <c r="C22" s="11" t="s">
        <v>980</v>
      </c>
      <c r="D22" s="11" t="s">
        <v>349</v>
      </c>
      <c r="E22" s="11" t="s">
        <v>957</v>
      </c>
      <c r="F22" s="11" t="s">
        <v>981</v>
      </c>
      <c r="G22" s="11" t="s">
        <v>899</v>
      </c>
      <c r="H22" s="11" t="s">
        <v>984</v>
      </c>
    </row>
    <row r="23" s="7" customFormat="1" ht="40" customHeight="1" spans="1:8">
      <c r="A23" s="11"/>
      <c r="B23" s="11" t="s">
        <v>985</v>
      </c>
      <c r="C23" s="11" t="s">
        <v>986</v>
      </c>
      <c r="D23" s="11" t="s">
        <v>359</v>
      </c>
      <c r="E23" s="11" t="s">
        <v>957</v>
      </c>
      <c r="F23" s="18" t="s">
        <v>987</v>
      </c>
      <c r="G23" s="11" t="s">
        <v>905</v>
      </c>
      <c r="H23" s="11" t="s">
        <v>988</v>
      </c>
    </row>
    <row r="24" s="7" customFormat="1" ht="70" customHeight="1" spans="1:8">
      <c r="A24" s="11"/>
      <c r="B24" s="11" t="s">
        <v>989</v>
      </c>
      <c r="C24" s="11" t="s">
        <v>990</v>
      </c>
      <c r="D24" s="11" t="s">
        <v>991</v>
      </c>
      <c r="E24" s="11" t="s">
        <v>957</v>
      </c>
      <c r="F24" s="18" t="s">
        <v>992</v>
      </c>
      <c r="G24" s="11" t="s">
        <v>905</v>
      </c>
      <c r="H24" s="11" t="s">
        <v>993</v>
      </c>
    </row>
    <row r="25" s="7" customFormat="1" ht="40" customHeight="1" spans="1:8">
      <c r="A25" s="11"/>
      <c r="B25" s="11" t="s">
        <v>994</v>
      </c>
      <c r="C25" s="11" t="s">
        <v>995</v>
      </c>
      <c r="D25" s="11" t="s">
        <v>359</v>
      </c>
      <c r="E25" s="11" t="s">
        <v>957</v>
      </c>
      <c r="F25" s="18" t="s">
        <v>996</v>
      </c>
      <c r="G25" s="11"/>
      <c r="H25" s="11"/>
    </row>
    <row r="26" s="7" customFormat="1" ht="40" customHeight="1" spans="1:8">
      <c r="A26" s="11"/>
      <c r="B26" s="11" t="s">
        <v>997</v>
      </c>
      <c r="C26" s="11" t="s">
        <v>998</v>
      </c>
      <c r="D26" s="11" t="s">
        <v>999</v>
      </c>
      <c r="E26" s="11" t="s">
        <v>957</v>
      </c>
      <c r="F26" s="11" t="s">
        <v>1000</v>
      </c>
      <c r="G26" s="11" t="s">
        <v>953</v>
      </c>
      <c r="H26" s="11" t="s">
        <v>1001</v>
      </c>
    </row>
    <row r="27" s="7" customFormat="1" ht="60" customHeight="1" spans="1:8">
      <c r="A27" s="11"/>
      <c r="B27" s="11" t="s">
        <v>1002</v>
      </c>
      <c r="C27" s="11" t="s">
        <v>1003</v>
      </c>
      <c r="D27" s="11" t="s">
        <v>1004</v>
      </c>
      <c r="E27" s="11" t="s">
        <v>957</v>
      </c>
      <c r="F27" s="11" t="s">
        <v>1005</v>
      </c>
      <c r="G27" s="11" t="s">
        <v>899</v>
      </c>
      <c r="H27" s="11" t="s">
        <v>1006</v>
      </c>
    </row>
    <row r="28" s="7" customFormat="1" ht="40" customHeight="1" spans="1:8">
      <c r="A28" s="11"/>
      <c r="B28" s="11" t="s">
        <v>1007</v>
      </c>
      <c r="C28" s="11" t="s">
        <v>1008</v>
      </c>
      <c r="D28" s="11" t="s">
        <v>331</v>
      </c>
      <c r="E28" s="11" t="s">
        <v>957</v>
      </c>
      <c r="F28" s="11" t="s">
        <v>1009</v>
      </c>
      <c r="G28" s="11" t="s">
        <v>959</v>
      </c>
      <c r="H28" s="11" t="s">
        <v>959</v>
      </c>
    </row>
    <row r="29" s="7" customFormat="1" ht="40" customHeight="1" spans="1:8">
      <c r="A29" s="11" t="s">
        <v>1010</v>
      </c>
      <c r="B29" s="11" t="s">
        <v>1011</v>
      </c>
      <c r="C29" s="11" t="s">
        <v>1012</v>
      </c>
      <c r="D29" s="11" t="s">
        <v>1013</v>
      </c>
      <c r="E29" s="11" t="s">
        <v>957</v>
      </c>
      <c r="F29" s="11" t="s">
        <v>1014</v>
      </c>
      <c r="G29" s="11" t="s">
        <v>905</v>
      </c>
      <c r="H29" s="11" t="s">
        <v>1015</v>
      </c>
    </row>
    <row r="30" s="7" customFormat="1" ht="40" customHeight="1" spans="1:8">
      <c r="A30" s="11"/>
      <c r="B30" s="11" t="s">
        <v>1016</v>
      </c>
      <c r="C30" s="11" t="s">
        <v>1017</v>
      </c>
      <c r="D30" s="11" t="s">
        <v>1018</v>
      </c>
      <c r="E30" s="11" t="s">
        <v>957</v>
      </c>
      <c r="F30" s="11" t="s">
        <v>1019</v>
      </c>
      <c r="G30" s="11" t="s">
        <v>899</v>
      </c>
      <c r="H30" s="11" t="s">
        <v>1020</v>
      </c>
    </row>
    <row r="31" s="7" customFormat="1" ht="40" customHeight="1" spans="1:8">
      <c r="A31" s="19" t="s">
        <v>1021</v>
      </c>
      <c r="B31" s="11" t="s">
        <v>1022</v>
      </c>
      <c r="C31" s="19" t="s">
        <v>1023</v>
      </c>
      <c r="D31" s="19" t="s">
        <v>1024</v>
      </c>
      <c r="E31" s="19" t="s">
        <v>1025</v>
      </c>
      <c r="F31" s="19" t="s">
        <v>1026</v>
      </c>
      <c r="G31" s="11" t="s">
        <v>959</v>
      </c>
      <c r="H31" s="11" t="s">
        <v>959</v>
      </c>
    </row>
    <row r="32" s="7" customFormat="1" ht="40" customHeight="1" spans="1:8">
      <c r="A32" s="11" t="s">
        <v>1027</v>
      </c>
      <c r="B32" s="11" t="s">
        <v>1028</v>
      </c>
      <c r="C32" s="11" t="s">
        <v>1029</v>
      </c>
      <c r="D32" s="11" t="s">
        <v>970</v>
      </c>
      <c r="E32" s="11" t="s">
        <v>957</v>
      </c>
      <c r="F32" s="11" t="s">
        <v>1030</v>
      </c>
      <c r="G32" s="11"/>
      <c r="H32" s="11" t="s">
        <v>1031</v>
      </c>
    </row>
    <row r="33" s="7" customFormat="1" ht="40" customHeight="1" spans="1:8">
      <c r="A33" s="11"/>
      <c r="B33" s="11" t="s">
        <v>1032</v>
      </c>
      <c r="C33" s="11" t="s">
        <v>1033</v>
      </c>
      <c r="D33" s="11" t="s">
        <v>970</v>
      </c>
      <c r="E33" s="11" t="s">
        <v>957</v>
      </c>
      <c r="F33" s="11" t="s">
        <v>1034</v>
      </c>
      <c r="G33" s="11"/>
      <c r="H33" s="11" t="s">
        <v>1035</v>
      </c>
    </row>
    <row r="34" s="7" customFormat="1" ht="40" customHeight="1" spans="1:8">
      <c r="A34" s="11"/>
      <c r="B34" s="11" t="s">
        <v>1036</v>
      </c>
      <c r="C34" s="11" t="s">
        <v>1037</v>
      </c>
      <c r="D34" s="11" t="s">
        <v>359</v>
      </c>
      <c r="E34" s="11" t="s">
        <v>957</v>
      </c>
      <c r="F34" s="11" t="s">
        <v>1038</v>
      </c>
      <c r="G34" s="11"/>
      <c r="H34" s="11" t="s">
        <v>1039</v>
      </c>
    </row>
    <row r="35" s="7" customFormat="1" ht="40" customHeight="1" spans="1:8">
      <c r="A35" s="11"/>
      <c r="B35" s="11" t="s">
        <v>1040</v>
      </c>
      <c r="C35" s="11" t="s">
        <v>1041</v>
      </c>
      <c r="D35" s="11" t="s">
        <v>329</v>
      </c>
      <c r="E35" s="11" t="s">
        <v>957</v>
      </c>
      <c r="F35" s="11" t="s">
        <v>1042</v>
      </c>
      <c r="G35" s="11"/>
      <c r="H35" s="11" t="s">
        <v>1039</v>
      </c>
    </row>
    <row r="36" s="7" customFormat="1" ht="40" customHeight="1" spans="1:8">
      <c r="A36" s="11"/>
      <c r="B36" s="11" t="s">
        <v>1043</v>
      </c>
      <c r="C36" s="11" t="s">
        <v>1044</v>
      </c>
      <c r="D36" s="11" t="s">
        <v>365</v>
      </c>
      <c r="E36" s="11" t="s">
        <v>957</v>
      </c>
      <c r="F36" s="11" t="s">
        <v>1045</v>
      </c>
      <c r="G36" s="11"/>
      <c r="H36" s="11" t="s">
        <v>1046</v>
      </c>
    </row>
    <row r="37" s="7" customFormat="1" ht="40" customHeight="1" spans="1:8">
      <c r="A37" s="11"/>
      <c r="B37" s="11" t="s">
        <v>1047</v>
      </c>
      <c r="C37" s="11" t="s">
        <v>1048</v>
      </c>
      <c r="D37" s="11" t="s">
        <v>335</v>
      </c>
      <c r="E37" s="11" t="s">
        <v>957</v>
      </c>
      <c r="F37" s="11" t="s">
        <v>1049</v>
      </c>
      <c r="G37" s="11"/>
      <c r="H37" s="11" t="s">
        <v>1050</v>
      </c>
    </row>
    <row r="38" s="7" customFormat="1" ht="40" customHeight="1" spans="1:8">
      <c r="A38" s="11"/>
      <c r="B38" s="11" t="s">
        <v>1051</v>
      </c>
      <c r="C38" s="11" t="s">
        <v>1052</v>
      </c>
      <c r="D38" s="11" t="s">
        <v>331</v>
      </c>
      <c r="E38" s="11" t="s">
        <v>957</v>
      </c>
      <c r="F38" s="11" t="s">
        <v>1053</v>
      </c>
      <c r="G38" s="11"/>
      <c r="H38" s="11" t="s">
        <v>1050</v>
      </c>
    </row>
    <row r="39" s="7" customFormat="1" ht="40" customHeight="1" spans="1:8">
      <c r="A39" s="11"/>
      <c r="B39" s="11" t="s">
        <v>1054</v>
      </c>
      <c r="C39" s="11" t="s">
        <v>1055</v>
      </c>
      <c r="D39" s="11" t="s">
        <v>331</v>
      </c>
      <c r="E39" s="11" t="s">
        <v>957</v>
      </c>
      <c r="F39" s="11" t="s">
        <v>1056</v>
      </c>
      <c r="G39" s="11"/>
      <c r="H39" s="11" t="s">
        <v>1050</v>
      </c>
    </row>
    <row r="40" s="7" customFormat="1" ht="40" customHeight="1" spans="1:8">
      <c r="A40" s="11"/>
      <c r="B40" s="11" t="s">
        <v>1057</v>
      </c>
      <c r="C40" s="11" t="s">
        <v>1058</v>
      </c>
      <c r="D40" s="11" t="s">
        <v>331</v>
      </c>
      <c r="E40" s="11" t="s">
        <v>957</v>
      </c>
      <c r="F40" s="11" t="s">
        <v>1059</v>
      </c>
      <c r="G40" s="11"/>
      <c r="H40" s="11" t="s">
        <v>1050</v>
      </c>
    </row>
    <row r="41" s="7" customFormat="1" ht="40" customHeight="1" spans="1:8">
      <c r="A41" s="11"/>
      <c r="B41" s="11" t="s">
        <v>1060</v>
      </c>
      <c r="C41" s="11" t="s">
        <v>1061</v>
      </c>
      <c r="D41" s="11" t="s">
        <v>331</v>
      </c>
      <c r="E41" s="11" t="s">
        <v>957</v>
      </c>
      <c r="F41" s="11" t="s">
        <v>1056</v>
      </c>
      <c r="G41" s="20"/>
      <c r="H41" s="11" t="s">
        <v>1050</v>
      </c>
    </row>
    <row r="42" s="7" customFormat="1" ht="40" customHeight="1" spans="1:8">
      <c r="A42" s="11"/>
      <c r="B42" s="11" t="s">
        <v>1062</v>
      </c>
      <c r="C42" s="19" t="s">
        <v>1063</v>
      </c>
      <c r="D42" s="19" t="s">
        <v>331</v>
      </c>
      <c r="E42" s="19" t="s">
        <v>957</v>
      </c>
      <c r="F42" s="19" t="s">
        <v>1064</v>
      </c>
      <c r="G42" s="11"/>
      <c r="H42" s="11" t="s">
        <v>1050</v>
      </c>
    </row>
    <row r="43" s="7" customFormat="1" ht="40" customHeight="1" spans="1:8">
      <c r="A43" s="11"/>
      <c r="B43" s="11" t="s">
        <v>1065</v>
      </c>
      <c r="C43" s="19" t="s">
        <v>1066</v>
      </c>
      <c r="D43" s="19" t="s">
        <v>341</v>
      </c>
      <c r="E43" s="19" t="s">
        <v>957</v>
      </c>
      <c r="F43" s="19" t="s">
        <v>1067</v>
      </c>
      <c r="G43" s="11"/>
      <c r="H43" s="11" t="s">
        <v>1050</v>
      </c>
    </row>
    <row r="44" s="7" customFormat="1" customHeight="1" spans="1:8">
      <c r="A44" s="21"/>
      <c r="B44" s="22"/>
      <c r="C44" s="21"/>
      <c r="D44" s="21"/>
      <c r="E44" s="21"/>
      <c r="F44" s="21"/>
      <c r="G44" s="22"/>
      <c r="H44" s="22"/>
    </row>
    <row r="45" s="7" customFormat="1" customHeight="1"/>
    <row r="46" s="7" customFormat="1" customHeight="1"/>
    <row r="47" s="7" customFormat="1" customHeight="1"/>
    <row r="48" s="7" customFormat="1" customHeight="1"/>
    <row r="49" s="7" customFormat="1" customHeight="1"/>
    <row r="50" s="7" customFormat="1" customHeight="1"/>
    <row r="51" s="7" customFormat="1" customHeight="1"/>
    <row r="52" s="7" customFormat="1" customHeight="1"/>
    <row r="53" s="7" customFormat="1" customHeight="1"/>
    <row r="54" s="7" customFormat="1" customHeight="1"/>
    <row r="55" s="7" customFormat="1" customHeight="1"/>
  </sheetData>
  <mergeCells count="8">
    <mergeCell ref="A1:H1"/>
    <mergeCell ref="A2:B2"/>
    <mergeCell ref="A3:A9"/>
    <mergeCell ref="A10:A11"/>
    <mergeCell ref="A12:A14"/>
    <mergeCell ref="A15:A28"/>
    <mergeCell ref="A29:A30"/>
    <mergeCell ref="A32:A43"/>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FFFF00"/>
  </sheetPr>
  <dimension ref="A1:E56"/>
  <sheetViews>
    <sheetView zoomScale="70" zoomScaleNormal="70" workbookViewId="0">
      <pane xSplit="1" ySplit="2" topLeftCell="B3" activePane="bottomRight" state="frozen"/>
      <selection/>
      <selection pane="topRight"/>
      <selection pane="bottomLeft"/>
      <selection pane="bottomRight" activeCell="A1" sqref="A1:E1"/>
    </sheetView>
  </sheetViews>
  <sheetFormatPr defaultColWidth="20.6333333333333" defaultRowHeight="46" customHeight="1" outlineLevelCol="4"/>
  <cols>
    <col min="1" max="3" width="20.7833333333333" style="7" customWidth="1"/>
    <col min="4" max="4" width="20.7833333333333" customWidth="1"/>
    <col min="5" max="5" width="76.825" customWidth="1"/>
    <col min="6" max="16375" width="20.6333333333333" customWidth="1"/>
  </cols>
  <sheetData>
    <row r="1" ht="100" customHeight="1" spans="1:5">
      <c r="A1" s="8" t="str">
        <f>_xlfn.DISPIMG("ID_D6697A225B864C34A678052B48D4E660",1)</f>
        <v>=DISPIMG("ID_D6697A225B864C34A678052B48D4E660",1)</v>
      </c>
      <c r="B1" s="8"/>
      <c r="C1" s="8"/>
      <c r="D1" s="8"/>
      <c r="E1" s="8"/>
    </row>
    <row r="2" s="7" customFormat="1" ht="40" customHeight="1" spans="1:5">
      <c r="A2" s="9" t="s">
        <v>505</v>
      </c>
      <c r="B2" s="9" t="s">
        <v>1068</v>
      </c>
      <c r="C2" s="9" t="s">
        <v>235</v>
      </c>
      <c r="D2" s="9" t="s">
        <v>327</v>
      </c>
      <c r="E2" s="10" t="s">
        <v>1069</v>
      </c>
    </row>
    <row r="3" s="7" customFormat="1" customHeight="1" spans="1:5">
      <c r="A3" s="11" t="s">
        <v>1070</v>
      </c>
      <c r="B3" s="11" t="s">
        <v>1071</v>
      </c>
      <c r="C3" s="11" t="s">
        <v>1072</v>
      </c>
      <c r="D3" s="11">
        <v>2170</v>
      </c>
      <c r="E3" s="11" t="s">
        <v>1073</v>
      </c>
    </row>
    <row r="4" s="7" customFormat="1" customHeight="1" spans="1:5">
      <c r="A4" s="11"/>
      <c r="B4" s="11" t="s">
        <v>1071</v>
      </c>
      <c r="C4" s="11" t="s">
        <v>1074</v>
      </c>
      <c r="D4" s="11">
        <v>2178</v>
      </c>
      <c r="E4" s="11" t="s">
        <v>1075</v>
      </c>
    </row>
    <row r="5" s="7" customFormat="1" customHeight="1" spans="1:5">
      <c r="A5" s="11"/>
      <c r="B5" s="11" t="s">
        <v>1071</v>
      </c>
      <c r="C5" s="11" t="s">
        <v>1076</v>
      </c>
      <c r="D5" s="11">
        <v>2175</v>
      </c>
      <c r="E5" s="11" t="s">
        <v>1077</v>
      </c>
    </row>
    <row r="6" s="7" customFormat="1" customHeight="1" spans="1:5">
      <c r="A6" s="11"/>
      <c r="B6" s="11" t="s">
        <v>1071</v>
      </c>
      <c r="C6" s="11" t="s">
        <v>1078</v>
      </c>
      <c r="D6" s="12">
        <v>2178</v>
      </c>
      <c r="E6" s="11" t="s">
        <v>1079</v>
      </c>
    </row>
    <row r="7" s="7" customFormat="1" customHeight="1" spans="1:5">
      <c r="A7" s="11"/>
      <c r="B7" s="11" t="s">
        <v>1071</v>
      </c>
      <c r="C7" s="11" t="s">
        <v>1080</v>
      </c>
      <c r="D7" s="11">
        <v>2178</v>
      </c>
      <c r="E7" s="11" t="s">
        <v>1081</v>
      </c>
    </row>
    <row r="8" s="7" customFormat="1" customHeight="1" spans="1:5">
      <c r="A8" s="11"/>
      <c r="B8" s="11" t="s">
        <v>1071</v>
      </c>
      <c r="C8" s="11" t="s">
        <v>1082</v>
      </c>
      <c r="D8" s="11">
        <v>2178</v>
      </c>
      <c r="E8" s="11" t="s">
        <v>1083</v>
      </c>
    </row>
    <row r="9" s="7" customFormat="1" customHeight="1" spans="1:5">
      <c r="A9" s="11"/>
      <c r="B9" s="11" t="s">
        <v>1071</v>
      </c>
      <c r="C9" s="11" t="s">
        <v>1084</v>
      </c>
      <c r="D9" s="11">
        <v>2178</v>
      </c>
      <c r="E9" s="11" t="s">
        <v>1085</v>
      </c>
    </row>
    <row r="10" s="7" customFormat="1" customHeight="1" spans="1:5">
      <c r="A10" s="11"/>
      <c r="B10" s="11" t="s">
        <v>1086</v>
      </c>
      <c r="C10" s="11" t="s">
        <v>1087</v>
      </c>
      <c r="D10" s="11">
        <v>3175</v>
      </c>
      <c r="E10" s="11" t="s">
        <v>1088</v>
      </c>
    </row>
    <row r="11" s="7" customFormat="1" customHeight="1" spans="1:5">
      <c r="A11" s="11"/>
      <c r="B11" s="11" t="s">
        <v>1086</v>
      </c>
      <c r="C11" s="11" t="s">
        <v>1089</v>
      </c>
      <c r="D11" s="11">
        <v>3175</v>
      </c>
      <c r="E11" s="11" t="s">
        <v>1090</v>
      </c>
    </row>
    <row r="12" s="7" customFormat="1" customHeight="1" spans="1:5">
      <c r="A12" s="11"/>
      <c r="B12" s="11" t="s">
        <v>1086</v>
      </c>
      <c r="C12" s="11" t="s">
        <v>1091</v>
      </c>
      <c r="D12" s="11">
        <v>3977</v>
      </c>
      <c r="E12" s="11" t="s">
        <v>1092</v>
      </c>
    </row>
    <row r="13" s="7" customFormat="1" customHeight="1" spans="1:5">
      <c r="A13" s="11"/>
      <c r="B13" s="11" t="s">
        <v>1086</v>
      </c>
      <c r="C13" s="11" t="s">
        <v>1093</v>
      </c>
      <c r="D13" s="11">
        <v>3023</v>
      </c>
      <c r="E13" s="11" t="s">
        <v>1094</v>
      </c>
    </row>
    <row r="14" s="7" customFormat="1" customHeight="1" spans="1:5">
      <c r="A14" s="11"/>
      <c r="B14" s="11" t="s">
        <v>1086</v>
      </c>
      <c r="C14" s="11" t="s">
        <v>1095</v>
      </c>
      <c r="D14" s="11">
        <v>3064</v>
      </c>
      <c r="E14" s="11" t="s">
        <v>1096</v>
      </c>
    </row>
    <row r="15" s="7" customFormat="1" customHeight="1" spans="1:5">
      <c r="A15" s="11"/>
      <c r="B15" s="11" t="s">
        <v>1097</v>
      </c>
      <c r="C15" s="11" t="s">
        <v>1098</v>
      </c>
      <c r="D15" s="11">
        <v>4110</v>
      </c>
      <c r="E15" s="11" t="s">
        <v>1099</v>
      </c>
    </row>
    <row r="16" s="7" customFormat="1" customHeight="1" spans="1:5">
      <c r="A16" s="11"/>
      <c r="B16" s="11" t="s">
        <v>1097</v>
      </c>
      <c r="C16" s="11" t="s">
        <v>1100</v>
      </c>
      <c r="D16" s="11">
        <v>4178</v>
      </c>
      <c r="E16" s="11" t="s">
        <v>1101</v>
      </c>
    </row>
    <row r="17" s="7" customFormat="1" customHeight="1" spans="1:5">
      <c r="A17" s="11"/>
      <c r="B17" s="11" t="s">
        <v>1102</v>
      </c>
      <c r="C17" s="11" t="s">
        <v>1103</v>
      </c>
      <c r="D17" s="11">
        <v>6105</v>
      </c>
      <c r="E17" s="11" t="s">
        <v>1104</v>
      </c>
    </row>
    <row r="18" s="7" customFormat="1" customHeight="1" spans="1:5">
      <c r="A18" s="13"/>
      <c r="B18" s="13" t="s">
        <v>1102</v>
      </c>
      <c r="C18" s="13" t="s">
        <v>1105</v>
      </c>
      <c r="D18" s="13">
        <v>6164</v>
      </c>
      <c r="E18" s="13" t="s">
        <v>1106</v>
      </c>
    </row>
    <row r="19" s="7" customFormat="1" customHeight="1" spans="1:5">
      <c r="A19" s="14" t="s">
        <v>1107</v>
      </c>
      <c r="B19" s="15" t="s">
        <v>1071</v>
      </c>
      <c r="C19" s="15" t="s">
        <v>1108</v>
      </c>
      <c r="D19" s="15">
        <v>2142</v>
      </c>
      <c r="E19" s="15" t="s">
        <v>1109</v>
      </c>
    </row>
    <row r="20" s="7" customFormat="1" customHeight="1" spans="1:5">
      <c r="A20" s="16"/>
      <c r="B20" s="15" t="s">
        <v>1086</v>
      </c>
      <c r="C20" s="15" t="s">
        <v>1110</v>
      </c>
      <c r="D20" s="15">
        <v>3029</v>
      </c>
      <c r="E20" s="15" t="s">
        <v>1111</v>
      </c>
    </row>
    <row r="21" s="7" customFormat="1" customHeight="1" spans="1:5">
      <c r="A21" s="14" t="s">
        <v>1112</v>
      </c>
      <c r="B21" s="15" t="s">
        <v>1071</v>
      </c>
      <c r="C21" s="15" t="s">
        <v>1113</v>
      </c>
      <c r="D21" s="15">
        <v>2163</v>
      </c>
      <c r="E21" s="15" t="s">
        <v>1114</v>
      </c>
    </row>
    <row r="22" s="7" customFormat="1" customHeight="1" spans="1:5">
      <c r="A22" s="16"/>
      <c r="B22" s="15" t="s">
        <v>1071</v>
      </c>
      <c r="C22" s="15" t="s">
        <v>1113</v>
      </c>
      <c r="D22" s="15">
        <v>2211</v>
      </c>
      <c r="E22" s="15" t="s">
        <v>1115</v>
      </c>
    </row>
    <row r="23" s="7" customFormat="1" customHeight="1" spans="1:5">
      <c r="A23" s="14" t="s">
        <v>1116</v>
      </c>
      <c r="B23" s="15" t="s">
        <v>1071</v>
      </c>
      <c r="C23" s="15" t="s">
        <v>1117</v>
      </c>
      <c r="D23" s="15">
        <v>2143</v>
      </c>
      <c r="E23" s="15" t="s">
        <v>1118</v>
      </c>
    </row>
    <row r="24" s="7" customFormat="1" customHeight="1" spans="1:5">
      <c r="A24" s="17"/>
      <c r="B24" s="15" t="s">
        <v>1086</v>
      </c>
      <c r="C24" s="15" t="s">
        <v>1119</v>
      </c>
      <c r="D24" s="15">
        <v>3168</v>
      </c>
      <c r="E24" s="15" t="s">
        <v>1120</v>
      </c>
    </row>
    <row r="25" s="7" customFormat="1" customHeight="1" spans="1:5">
      <c r="A25" s="14" t="s">
        <v>1121</v>
      </c>
      <c r="B25" s="15" t="s">
        <v>1071</v>
      </c>
      <c r="C25" s="15" t="s">
        <v>1122</v>
      </c>
      <c r="D25" s="15">
        <v>2164</v>
      </c>
      <c r="E25" s="15" t="s">
        <v>1123</v>
      </c>
    </row>
    <row r="26" s="7" customFormat="1" customHeight="1" spans="1:5">
      <c r="A26" s="16"/>
      <c r="B26" s="15" t="s">
        <v>1071</v>
      </c>
      <c r="C26" s="15" t="s">
        <v>1124</v>
      </c>
      <c r="D26" s="15">
        <v>2143</v>
      </c>
      <c r="E26" s="15" t="s">
        <v>1125</v>
      </c>
    </row>
    <row r="27" s="7" customFormat="1" customHeight="1" spans="1:5">
      <c r="A27" s="14" t="s">
        <v>1126</v>
      </c>
      <c r="B27" s="15" t="s">
        <v>1071</v>
      </c>
      <c r="C27" s="15" t="s">
        <v>1127</v>
      </c>
      <c r="D27" s="15">
        <v>2143</v>
      </c>
      <c r="E27" s="15" t="s">
        <v>1128</v>
      </c>
    </row>
    <row r="28" s="7" customFormat="1" customHeight="1" spans="1:5">
      <c r="A28" s="16"/>
      <c r="B28" s="15" t="s">
        <v>1071</v>
      </c>
      <c r="C28" s="15" t="s">
        <v>1129</v>
      </c>
      <c r="D28" s="15">
        <v>2144</v>
      </c>
      <c r="E28" s="15" t="s">
        <v>1130</v>
      </c>
    </row>
    <row r="29" s="7" customFormat="1" customHeight="1" spans="1:5">
      <c r="A29" s="14" t="s">
        <v>1131</v>
      </c>
      <c r="B29" s="15" t="s">
        <v>1071</v>
      </c>
      <c r="C29" s="15" t="s">
        <v>1132</v>
      </c>
      <c r="D29" s="15">
        <v>2163</v>
      </c>
      <c r="E29" s="15" t="s">
        <v>1133</v>
      </c>
    </row>
    <row r="30" s="7" customFormat="1" customHeight="1" spans="1:5">
      <c r="A30" s="17"/>
      <c r="B30" s="15" t="s">
        <v>1086</v>
      </c>
      <c r="C30" s="15" t="s">
        <v>1134</v>
      </c>
      <c r="D30" s="15">
        <v>3175</v>
      </c>
      <c r="E30" s="15" t="s">
        <v>1135</v>
      </c>
    </row>
    <row r="31" s="7" customFormat="1" customHeight="1" spans="1:5">
      <c r="A31" s="16"/>
      <c r="B31" s="15" t="s">
        <v>1086</v>
      </c>
      <c r="C31" s="15" t="s">
        <v>1136</v>
      </c>
      <c r="D31" s="15">
        <v>3175</v>
      </c>
      <c r="E31" s="15" t="s">
        <v>1137</v>
      </c>
    </row>
    <row r="32" s="7" customFormat="1" customHeight="1" spans="1:5">
      <c r="A32" s="15" t="s">
        <v>1138</v>
      </c>
      <c r="B32" s="15" t="s">
        <v>1071</v>
      </c>
      <c r="C32" s="15" t="s">
        <v>1139</v>
      </c>
      <c r="D32" s="15">
        <v>2144</v>
      </c>
      <c r="E32" s="15" t="s">
        <v>1140</v>
      </c>
    </row>
    <row r="33" s="7" customFormat="1" customHeight="1"/>
    <row r="34" s="7" customFormat="1" customHeight="1"/>
    <row r="35" s="7" customFormat="1" customHeight="1"/>
    <row r="36" s="7" customFormat="1" customHeight="1"/>
    <row r="37" s="7" customFormat="1" customHeight="1"/>
    <row r="38" s="7" customFormat="1" customHeight="1"/>
    <row r="39" s="7" customFormat="1" customHeight="1"/>
    <row r="40" s="7" customFormat="1" customHeight="1" spans="4:5">
      <c r="D40"/>
      <c r="E40"/>
    </row>
    <row r="41" s="7" customFormat="1" customHeight="1" spans="4:5">
      <c r="D41"/>
      <c r="E41"/>
    </row>
    <row r="42" s="7" customFormat="1" customHeight="1" spans="4:5">
      <c r="D42"/>
      <c r="E42"/>
    </row>
    <row r="43" s="7" customFormat="1" customHeight="1" spans="4:5">
      <c r="D43"/>
      <c r="E43"/>
    </row>
    <row r="44" s="7" customFormat="1" customHeight="1" spans="4:5">
      <c r="D44"/>
      <c r="E44"/>
    </row>
    <row r="45" s="7" customFormat="1" customHeight="1" spans="4:5">
      <c r="D45"/>
      <c r="E45"/>
    </row>
    <row r="46" s="7" customFormat="1" customHeight="1" spans="4:5">
      <c r="D46"/>
      <c r="E46"/>
    </row>
    <row r="47" s="7" customFormat="1" customHeight="1" spans="4:5">
      <c r="D47"/>
      <c r="E47"/>
    </row>
    <row r="48" s="7" customFormat="1" customHeight="1" spans="4:5">
      <c r="D48"/>
      <c r="E48"/>
    </row>
    <row r="49" s="7" customFormat="1" customHeight="1" spans="4:5">
      <c r="D49"/>
      <c r="E49"/>
    </row>
    <row r="50" s="7" customFormat="1" customHeight="1" spans="4:5">
      <c r="D50"/>
      <c r="E50"/>
    </row>
    <row r="51" s="7" customFormat="1" customHeight="1" spans="4:5">
      <c r="D51"/>
      <c r="E51"/>
    </row>
    <row r="52" s="7" customFormat="1" customHeight="1" spans="4:5">
      <c r="D52"/>
      <c r="E52"/>
    </row>
    <row r="53" s="7" customFormat="1" customHeight="1" spans="4:5">
      <c r="D53"/>
      <c r="E53"/>
    </row>
    <row r="54" s="7" customFormat="1" customHeight="1" spans="4:5">
      <c r="D54"/>
      <c r="E54"/>
    </row>
    <row r="55" s="7" customFormat="1" customHeight="1" spans="4:5">
      <c r="D55"/>
      <c r="E55"/>
    </row>
    <row r="56" s="7" customFormat="1" customHeight="1" spans="4:5">
      <c r="D56"/>
      <c r="E56"/>
    </row>
  </sheetData>
  <mergeCells count="8">
    <mergeCell ref="A1:E1"/>
    <mergeCell ref="A3:A18"/>
    <mergeCell ref="A19:A20"/>
    <mergeCell ref="A21:A22"/>
    <mergeCell ref="A23:A24"/>
    <mergeCell ref="A25:A26"/>
    <mergeCell ref="A27:A28"/>
    <mergeCell ref="A29:A31"/>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B1:J1082"/>
  <sheetViews>
    <sheetView workbookViewId="0">
      <selection activeCell="F17" sqref="F17"/>
    </sheetView>
  </sheetViews>
  <sheetFormatPr defaultColWidth="27.8166666666667" defaultRowHeight="15" customHeight="1"/>
  <cols>
    <col min="1" max="1" width="1.09166666666667" style="1" customWidth="1"/>
    <col min="2" max="4" width="16.8166666666667" style="1" customWidth="1"/>
    <col min="5" max="5" width="36.5416666666667" style="1" customWidth="1"/>
    <col min="6" max="16384" width="27.8166666666667" style="1" customWidth="1"/>
  </cols>
  <sheetData>
    <row r="1" ht="5" customHeight="1"/>
    <row r="2" ht="56" customHeight="1" spans="2:10">
      <c r="B2" s="2" t="str">
        <f>_xlfn.DISPIMG("ID_D6697A225B864C34A678052B48D4E660",1)</f>
        <v>=DISPIMG("ID_D6697A225B864C34A678052B48D4E660",1)</v>
      </c>
      <c r="C2" s="3"/>
      <c r="D2" s="3"/>
      <c r="E2" s="3"/>
      <c r="F2" s="4"/>
      <c r="G2" s="4"/>
      <c r="H2" s="4"/>
      <c r="I2" s="4"/>
      <c r="J2" s="4"/>
    </row>
    <row r="3" ht="31" customHeight="1" spans="2:10">
      <c r="B3" s="5" t="s">
        <v>1141</v>
      </c>
      <c r="C3" s="5"/>
      <c r="D3" s="5"/>
      <c r="E3" s="5"/>
    </row>
    <row r="4" customHeight="1" spans="2:10">
      <c r="B4" s="5" t="s">
        <v>1142</v>
      </c>
      <c r="C4" s="5" t="s">
        <v>1143</v>
      </c>
      <c r="D4" s="5" t="s">
        <v>1144</v>
      </c>
      <c r="E4" s="5" t="s">
        <v>1145</v>
      </c>
    </row>
    <row r="5" customHeight="1" spans="2:10">
      <c r="B5" s="6" t="s">
        <v>1146</v>
      </c>
      <c r="C5" s="6" t="s">
        <v>1147</v>
      </c>
      <c r="D5" s="6" t="s">
        <v>276</v>
      </c>
      <c r="E5" s="6" t="s">
        <v>1148</v>
      </c>
    </row>
    <row r="6" customHeight="1" spans="2:10">
      <c r="B6" s="6" t="s">
        <v>1149</v>
      </c>
      <c r="C6" s="6" t="s">
        <v>1150</v>
      </c>
      <c r="D6" s="6" t="s">
        <v>276</v>
      </c>
      <c r="E6" s="6" t="s">
        <v>1148</v>
      </c>
    </row>
    <row r="7" customHeight="1" spans="2:10">
      <c r="B7" s="6" t="s">
        <v>1151</v>
      </c>
      <c r="C7" s="6" t="s">
        <v>1152</v>
      </c>
      <c r="D7" s="6" t="s">
        <v>276</v>
      </c>
      <c r="E7" s="6" t="s">
        <v>1148</v>
      </c>
    </row>
    <row r="8" customHeight="1" spans="2:10">
      <c r="B8" s="6" t="s">
        <v>1153</v>
      </c>
      <c r="C8" s="6" t="s">
        <v>1154</v>
      </c>
      <c r="D8" s="6" t="s">
        <v>276</v>
      </c>
      <c r="E8" s="6" t="s">
        <v>1148</v>
      </c>
    </row>
    <row r="9" customHeight="1" spans="2:10">
      <c r="B9" s="6" t="s">
        <v>1155</v>
      </c>
      <c r="C9" s="6" t="s">
        <v>1156</v>
      </c>
      <c r="D9" s="6" t="s">
        <v>276</v>
      </c>
      <c r="E9" s="6" t="s">
        <v>1148</v>
      </c>
    </row>
    <row r="10" customHeight="1" spans="2:10">
      <c r="B10" s="6" t="s">
        <v>1157</v>
      </c>
      <c r="C10" s="6" t="s">
        <v>1158</v>
      </c>
      <c r="D10" s="6" t="s">
        <v>276</v>
      </c>
      <c r="E10" s="6" t="s">
        <v>1148</v>
      </c>
    </row>
    <row r="11" customHeight="1" spans="2:10">
      <c r="B11" s="6" t="s">
        <v>1159</v>
      </c>
      <c r="C11" s="6" t="s">
        <v>1160</v>
      </c>
      <c r="D11" s="6" t="s">
        <v>276</v>
      </c>
      <c r="E11" s="6" t="s">
        <v>1148</v>
      </c>
    </row>
    <row r="12" customHeight="1" spans="2:10">
      <c r="B12" s="6" t="s">
        <v>1161</v>
      </c>
      <c r="C12" s="6" t="s">
        <v>1162</v>
      </c>
      <c r="D12" s="6" t="s">
        <v>276</v>
      </c>
      <c r="E12" s="6" t="s">
        <v>1148</v>
      </c>
    </row>
    <row r="13" customHeight="1" spans="2:10">
      <c r="B13" s="6" t="s">
        <v>1163</v>
      </c>
      <c r="C13" s="6" t="s">
        <v>1164</v>
      </c>
      <c r="D13" s="6" t="s">
        <v>276</v>
      </c>
      <c r="E13" s="6" t="s">
        <v>1148</v>
      </c>
    </row>
    <row r="14" customHeight="1" spans="2:10">
      <c r="B14" s="6" t="s">
        <v>1165</v>
      </c>
      <c r="C14" s="6" t="s">
        <v>1165</v>
      </c>
      <c r="D14" s="6" t="s">
        <v>276</v>
      </c>
      <c r="E14" s="6" t="s">
        <v>1148</v>
      </c>
    </row>
    <row r="15" customHeight="1" spans="2:10">
      <c r="B15" s="6" t="s">
        <v>1166</v>
      </c>
      <c r="C15" s="6" t="s">
        <v>1167</v>
      </c>
      <c r="D15" s="6" t="s">
        <v>276</v>
      </c>
      <c r="E15" s="6" t="s">
        <v>1148</v>
      </c>
    </row>
    <row r="16" customHeight="1" spans="2:10">
      <c r="B16" s="6" t="s">
        <v>1168</v>
      </c>
      <c r="C16" s="6" t="s">
        <v>1169</v>
      </c>
      <c r="D16" s="6" t="s">
        <v>276</v>
      </c>
      <c r="E16" s="6" t="s">
        <v>1148</v>
      </c>
    </row>
    <row r="17" customHeight="1" spans="2:5">
      <c r="B17" s="6" t="s">
        <v>1170</v>
      </c>
      <c r="C17" s="6" t="s">
        <v>1171</v>
      </c>
      <c r="D17" s="6" t="s">
        <v>276</v>
      </c>
      <c r="E17" s="6" t="s">
        <v>1148</v>
      </c>
    </row>
    <row r="18" customHeight="1" spans="2:5">
      <c r="B18" s="6" t="s">
        <v>1172</v>
      </c>
      <c r="C18" s="6" t="s">
        <v>1173</v>
      </c>
      <c r="D18" s="6" t="s">
        <v>276</v>
      </c>
      <c r="E18" s="6" t="s">
        <v>1148</v>
      </c>
    </row>
    <row r="19" customHeight="1" spans="2:5">
      <c r="B19" s="6" t="s">
        <v>1174</v>
      </c>
      <c r="C19" s="6" t="s">
        <v>1175</v>
      </c>
      <c r="D19" s="6" t="s">
        <v>276</v>
      </c>
      <c r="E19" s="6" t="s">
        <v>1148</v>
      </c>
    </row>
    <row r="20" customHeight="1" spans="2:5">
      <c r="B20" s="6" t="s">
        <v>1176</v>
      </c>
      <c r="C20" s="6" t="s">
        <v>1176</v>
      </c>
      <c r="D20" s="6" t="s">
        <v>276</v>
      </c>
      <c r="E20" s="6" t="s">
        <v>1148</v>
      </c>
    </row>
    <row r="21" customHeight="1" spans="2:5">
      <c r="B21" s="6" t="s">
        <v>1177</v>
      </c>
      <c r="C21" s="6" t="s">
        <v>1178</v>
      </c>
      <c r="D21" s="6" t="s">
        <v>276</v>
      </c>
      <c r="E21" s="6" t="s">
        <v>1148</v>
      </c>
    </row>
    <row r="22" customHeight="1" spans="2:5">
      <c r="B22" s="6" t="s">
        <v>1179</v>
      </c>
      <c r="C22" s="6" t="s">
        <v>1180</v>
      </c>
      <c r="D22" s="6" t="s">
        <v>276</v>
      </c>
      <c r="E22" s="6" t="s">
        <v>1148</v>
      </c>
    </row>
    <row r="23" customHeight="1" spans="2:5">
      <c r="B23" s="6" t="s">
        <v>1181</v>
      </c>
      <c r="C23" s="6" t="s">
        <v>1182</v>
      </c>
      <c r="D23" s="6" t="s">
        <v>276</v>
      </c>
      <c r="E23" s="6" t="s">
        <v>1148</v>
      </c>
    </row>
    <row r="24" customHeight="1" spans="2:5">
      <c r="B24" s="6" t="s">
        <v>1183</v>
      </c>
      <c r="C24" s="6" t="s">
        <v>1184</v>
      </c>
      <c r="D24" s="6" t="s">
        <v>276</v>
      </c>
      <c r="E24" s="6" t="s">
        <v>1148</v>
      </c>
    </row>
    <row r="25" customHeight="1" spans="2:5">
      <c r="B25" s="6" t="s">
        <v>1185</v>
      </c>
      <c r="C25" s="6" t="s">
        <v>1185</v>
      </c>
      <c r="D25" s="6" t="s">
        <v>276</v>
      </c>
      <c r="E25" s="6" t="s">
        <v>1148</v>
      </c>
    </row>
    <row r="26" customHeight="1" spans="2:5">
      <c r="B26" s="6" t="s">
        <v>1186</v>
      </c>
      <c r="C26" s="6" t="s">
        <v>1186</v>
      </c>
      <c r="D26" s="6" t="s">
        <v>276</v>
      </c>
      <c r="E26" s="6" t="s">
        <v>1148</v>
      </c>
    </row>
    <row r="27" customHeight="1" spans="2:5">
      <c r="B27" s="6" t="s">
        <v>1187</v>
      </c>
      <c r="C27" s="6" t="s">
        <v>1188</v>
      </c>
      <c r="D27" s="6" t="s">
        <v>276</v>
      </c>
      <c r="E27" s="6" t="s">
        <v>1148</v>
      </c>
    </row>
    <row r="28" customHeight="1" spans="2:5">
      <c r="B28" s="6" t="s">
        <v>1189</v>
      </c>
      <c r="C28" s="6" t="s">
        <v>1189</v>
      </c>
      <c r="D28" s="6" t="s">
        <v>276</v>
      </c>
      <c r="E28" s="6" t="s">
        <v>1148</v>
      </c>
    </row>
    <row r="29" customHeight="1" spans="2:5">
      <c r="B29" s="6" t="s">
        <v>1190</v>
      </c>
      <c r="C29" s="6" t="s">
        <v>1190</v>
      </c>
      <c r="D29" s="6" t="s">
        <v>276</v>
      </c>
      <c r="E29" s="6" t="s">
        <v>1148</v>
      </c>
    </row>
    <row r="30" customHeight="1" spans="2:5">
      <c r="B30" s="6" t="s">
        <v>1191</v>
      </c>
      <c r="C30" s="6" t="s">
        <v>1191</v>
      </c>
      <c r="D30" s="6" t="s">
        <v>276</v>
      </c>
      <c r="E30" s="6" t="s">
        <v>1148</v>
      </c>
    </row>
    <row r="31" customHeight="1" spans="2:5">
      <c r="B31" s="6" t="s">
        <v>1192</v>
      </c>
      <c r="C31" s="6" t="s">
        <v>1193</v>
      </c>
      <c r="D31" s="6" t="s">
        <v>276</v>
      </c>
      <c r="E31" s="6" t="s">
        <v>1148</v>
      </c>
    </row>
    <row r="32" customHeight="1" spans="2:5">
      <c r="B32" s="6" t="s">
        <v>1194</v>
      </c>
      <c r="C32" s="6" t="s">
        <v>1195</v>
      </c>
      <c r="D32" s="6" t="s">
        <v>276</v>
      </c>
      <c r="E32" s="6" t="s">
        <v>1148</v>
      </c>
    </row>
    <row r="33" customHeight="1" spans="2:5">
      <c r="B33" s="6" t="s">
        <v>1196</v>
      </c>
      <c r="C33" s="6" t="s">
        <v>1197</v>
      </c>
      <c r="D33" s="6" t="s">
        <v>276</v>
      </c>
      <c r="E33" s="6" t="s">
        <v>1148</v>
      </c>
    </row>
    <row r="34" customHeight="1" spans="2:5">
      <c r="B34" s="6" t="s">
        <v>1198</v>
      </c>
      <c r="C34" s="6" t="s">
        <v>1199</v>
      </c>
      <c r="D34" s="6" t="s">
        <v>276</v>
      </c>
      <c r="E34" s="6" t="s">
        <v>1148</v>
      </c>
    </row>
    <row r="35" customHeight="1" spans="2:5">
      <c r="B35" s="6" t="s">
        <v>1200</v>
      </c>
      <c r="C35" s="6" t="s">
        <v>1201</v>
      </c>
      <c r="D35" s="6" t="s">
        <v>276</v>
      </c>
      <c r="E35" s="6" t="s">
        <v>1148</v>
      </c>
    </row>
    <row r="36" customHeight="1" spans="2:5">
      <c r="B36" s="6" t="s">
        <v>1202</v>
      </c>
      <c r="C36" s="6" t="s">
        <v>1203</v>
      </c>
      <c r="D36" s="6" t="s">
        <v>276</v>
      </c>
      <c r="E36" s="6" t="s">
        <v>1148</v>
      </c>
    </row>
    <row r="37" customHeight="1" spans="2:5">
      <c r="B37" s="6" t="s">
        <v>1204</v>
      </c>
      <c r="C37" s="6" t="s">
        <v>1205</v>
      </c>
      <c r="D37" s="6" t="s">
        <v>276</v>
      </c>
      <c r="E37" s="6" t="s">
        <v>1148</v>
      </c>
    </row>
    <row r="38" customHeight="1" spans="2:5">
      <c r="B38" s="6" t="s">
        <v>1206</v>
      </c>
      <c r="C38" s="6" t="s">
        <v>1207</v>
      </c>
      <c r="D38" s="6" t="s">
        <v>276</v>
      </c>
      <c r="E38" s="6" t="s">
        <v>1148</v>
      </c>
    </row>
    <row r="39" customHeight="1" spans="2:5">
      <c r="B39" s="6" t="s">
        <v>1208</v>
      </c>
      <c r="C39" s="6" t="s">
        <v>1208</v>
      </c>
      <c r="D39" s="6" t="s">
        <v>276</v>
      </c>
      <c r="E39" s="6" t="s">
        <v>1148</v>
      </c>
    </row>
    <row r="40" customHeight="1" spans="2:5">
      <c r="B40" s="6" t="s">
        <v>1209</v>
      </c>
      <c r="C40" s="6" t="s">
        <v>1209</v>
      </c>
      <c r="D40" s="6" t="s">
        <v>276</v>
      </c>
      <c r="E40" s="6" t="s">
        <v>1148</v>
      </c>
    </row>
    <row r="41" customHeight="1" spans="2:5">
      <c r="B41" s="6" t="s">
        <v>1210</v>
      </c>
      <c r="C41" s="6" t="s">
        <v>1211</v>
      </c>
      <c r="D41" s="6" t="s">
        <v>276</v>
      </c>
      <c r="E41" s="6" t="s">
        <v>1148</v>
      </c>
    </row>
    <row r="42" customHeight="1" spans="2:5">
      <c r="B42" s="6" t="s">
        <v>1212</v>
      </c>
      <c r="C42" s="6" t="s">
        <v>1212</v>
      </c>
      <c r="D42" s="6" t="s">
        <v>276</v>
      </c>
      <c r="E42" s="6" t="s">
        <v>1148</v>
      </c>
    </row>
    <row r="43" customHeight="1" spans="2:5">
      <c r="B43" s="6" t="s">
        <v>1213</v>
      </c>
      <c r="C43" s="6" t="s">
        <v>1214</v>
      </c>
      <c r="D43" s="6" t="s">
        <v>276</v>
      </c>
      <c r="E43" s="6" t="s">
        <v>1148</v>
      </c>
    </row>
    <row r="44" customHeight="1" spans="2:5">
      <c r="B44" s="6" t="s">
        <v>1215</v>
      </c>
      <c r="C44" s="6" t="s">
        <v>1216</v>
      </c>
      <c r="D44" s="6" t="s">
        <v>276</v>
      </c>
      <c r="E44" s="6" t="s">
        <v>1148</v>
      </c>
    </row>
    <row r="45" customHeight="1" spans="2:5">
      <c r="B45" s="6" t="s">
        <v>1217</v>
      </c>
      <c r="C45" s="6" t="s">
        <v>1217</v>
      </c>
      <c r="D45" s="6" t="s">
        <v>276</v>
      </c>
      <c r="E45" s="6" t="s">
        <v>1148</v>
      </c>
    </row>
    <row r="46" customHeight="1" spans="2:5">
      <c r="B46" s="6" t="s">
        <v>1218</v>
      </c>
      <c r="C46" s="6" t="s">
        <v>1218</v>
      </c>
      <c r="D46" s="6" t="s">
        <v>276</v>
      </c>
      <c r="E46" s="6" t="s">
        <v>1148</v>
      </c>
    </row>
    <row r="47" customHeight="1" spans="2:5">
      <c r="B47" s="6" t="s">
        <v>1219</v>
      </c>
      <c r="C47" s="6" t="s">
        <v>1219</v>
      </c>
      <c r="D47" s="6" t="s">
        <v>276</v>
      </c>
      <c r="E47" s="6" t="s">
        <v>1148</v>
      </c>
    </row>
    <row r="48" customHeight="1" spans="2:5">
      <c r="B48" s="6" t="s">
        <v>1220</v>
      </c>
      <c r="C48" s="6" t="s">
        <v>1221</v>
      </c>
      <c r="D48" s="6" t="s">
        <v>276</v>
      </c>
      <c r="E48" s="6" t="s">
        <v>1148</v>
      </c>
    </row>
    <row r="49" customHeight="1" spans="2:5">
      <c r="B49" s="6" t="s">
        <v>1222</v>
      </c>
      <c r="C49" s="6" t="s">
        <v>1223</v>
      </c>
      <c r="D49" s="6" t="s">
        <v>276</v>
      </c>
      <c r="E49" s="6" t="s">
        <v>1148</v>
      </c>
    </row>
    <row r="50" customHeight="1" spans="2:5">
      <c r="B50" s="6" t="s">
        <v>1224</v>
      </c>
      <c r="C50" s="6" t="s">
        <v>1225</v>
      </c>
      <c r="D50" s="6" t="s">
        <v>276</v>
      </c>
      <c r="E50" s="6" t="s">
        <v>1148</v>
      </c>
    </row>
    <row r="51" customHeight="1" spans="2:5">
      <c r="B51" s="6" t="s">
        <v>1226</v>
      </c>
      <c r="C51" s="6" t="s">
        <v>1227</v>
      </c>
      <c r="D51" s="6" t="s">
        <v>276</v>
      </c>
      <c r="E51" s="6" t="s">
        <v>1148</v>
      </c>
    </row>
    <row r="52" customHeight="1" spans="2:5">
      <c r="B52" s="6" t="s">
        <v>1228</v>
      </c>
      <c r="C52" s="6" t="s">
        <v>1228</v>
      </c>
      <c r="D52" s="6" t="s">
        <v>276</v>
      </c>
      <c r="E52" s="6" t="s">
        <v>1148</v>
      </c>
    </row>
    <row r="53" customHeight="1" spans="2:5">
      <c r="B53" s="6" t="s">
        <v>1229</v>
      </c>
      <c r="C53" s="6" t="s">
        <v>1229</v>
      </c>
      <c r="D53" s="6" t="s">
        <v>276</v>
      </c>
      <c r="E53" s="6" t="s">
        <v>1148</v>
      </c>
    </row>
    <row r="54" customHeight="1" spans="2:5">
      <c r="B54" s="6" t="s">
        <v>1230</v>
      </c>
      <c r="C54" s="6" t="s">
        <v>1231</v>
      </c>
      <c r="D54" s="6" t="s">
        <v>276</v>
      </c>
      <c r="E54" s="6" t="s">
        <v>1148</v>
      </c>
    </row>
    <row r="55" customHeight="1" spans="2:5">
      <c r="B55" s="6" t="s">
        <v>1232</v>
      </c>
      <c r="C55" s="6" t="s">
        <v>1233</v>
      </c>
      <c r="D55" s="6" t="s">
        <v>276</v>
      </c>
      <c r="E55" s="6" t="s">
        <v>1148</v>
      </c>
    </row>
    <row r="56" customHeight="1" spans="2:5">
      <c r="B56" s="6" t="s">
        <v>1234</v>
      </c>
      <c r="C56" s="6" t="s">
        <v>1234</v>
      </c>
      <c r="D56" s="6" t="s">
        <v>276</v>
      </c>
      <c r="E56" s="6" t="s">
        <v>1148</v>
      </c>
    </row>
    <row r="57" customHeight="1" spans="2:5">
      <c r="B57" s="6" t="s">
        <v>1235</v>
      </c>
      <c r="C57" s="6" t="s">
        <v>1235</v>
      </c>
      <c r="D57" s="6" t="s">
        <v>276</v>
      </c>
      <c r="E57" s="6" t="s">
        <v>1148</v>
      </c>
    </row>
    <row r="58" customHeight="1" spans="2:5">
      <c r="B58" s="6" t="s">
        <v>1236</v>
      </c>
      <c r="C58" s="6" t="s">
        <v>1236</v>
      </c>
      <c r="D58" s="6" t="s">
        <v>276</v>
      </c>
      <c r="E58" s="6" t="s">
        <v>1148</v>
      </c>
    </row>
    <row r="59" customHeight="1" spans="2:5">
      <c r="B59" s="6" t="s">
        <v>1237</v>
      </c>
      <c r="C59" s="6" t="s">
        <v>1237</v>
      </c>
      <c r="D59" s="6" t="s">
        <v>276</v>
      </c>
      <c r="E59" s="6" t="s">
        <v>1148</v>
      </c>
    </row>
    <row r="60" customHeight="1" spans="2:5">
      <c r="B60" s="6" t="s">
        <v>1238</v>
      </c>
      <c r="C60" s="6" t="s">
        <v>1239</v>
      </c>
      <c r="D60" s="6" t="s">
        <v>276</v>
      </c>
      <c r="E60" s="6" t="s">
        <v>1148</v>
      </c>
    </row>
    <row r="61" customHeight="1" spans="2:5">
      <c r="B61" s="6" t="s">
        <v>1240</v>
      </c>
      <c r="C61" s="6" t="s">
        <v>1240</v>
      </c>
      <c r="D61" s="6" t="s">
        <v>276</v>
      </c>
      <c r="E61" s="6" t="s">
        <v>1148</v>
      </c>
    </row>
    <row r="62" customHeight="1" spans="2:5">
      <c r="B62" s="6" t="s">
        <v>1241</v>
      </c>
      <c r="C62" s="6" t="s">
        <v>1242</v>
      </c>
      <c r="D62" s="6" t="s">
        <v>276</v>
      </c>
      <c r="E62" s="6" t="s">
        <v>1148</v>
      </c>
    </row>
    <row r="63" customHeight="1" spans="2:5">
      <c r="B63" s="6" t="s">
        <v>1243</v>
      </c>
      <c r="C63" s="6" t="s">
        <v>1244</v>
      </c>
      <c r="D63" s="6" t="s">
        <v>276</v>
      </c>
      <c r="E63" s="6" t="s">
        <v>1148</v>
      </c>
    </row>
    <row r="64" customHeight="1" spans="2:5">
      <c r="B64" s="6" t="s">
        <v>1245</v>
      </c>
      <c r="C64" s="6" t="s">
        <v>1246</v>
      </c>
      <c r="D64" s="6" t="s">
        <v>276</v>
      </c>
      <c r="E64" s="6" t="s">
        <v>1148</v>
      </c>
    </row>
    <row r="65" customHeight="1" spans="2:5">
      <c r="B65" s="6" t="s">
        <v>1247</v>
      </c>
      <c r="C65" s="6" t="s">
        <v>1248</v>
      </c>
      <c r="D65" s="6" t="s">
        <v>276</v>
      </c>
      <c r="E65" s="6" t="s">
        <v>1148</v>
      </c>
    </row>
    <row r="66" customHeight="1" spans="2:5">
      <c r="B66" s="6" t="s">
        <v>1249</v>
      </c>
      <c r="C66" s="6" t="s">
        <v>1249</v>
      </c>
      <c r="D66" s="6" t="s">
        <v>276</v>
      </c>
      <c r="E66" s="6" t="s">
        <v>1148</v>
      </c>
    </row>
    <row r="67" customHeight="1" spans="2:5">
      <c r="B67" s="6" t="s">
        <v>1250</v>
      </c>
      <c r="C67" s="6" t="s">
        <v>1251</v>
      </c>
      <c r="D67" s="6" t="s">
        <v>276</v>
      </c>
      <c r="E67" s="6" t="s">
        <v>1148</v>
      </c>
    </row>
    <row r="68" customHeight="1" spans="2:5">
      <c r="B68" s="6" t="s">
        <v>1252</v>
      </c>
      <c r="C68" s="6" t="s">
        <v>1252</v>
      </c>
      <c r="D68" s="6" t="s">
        <v>276</v>
      </c>
      <c r="E68" s="6" t="s">
        <v>1148</v>
      </c>
    </row>
    <row r="69" customHeight="1" spans="2:5">
      <c r="B69" s="6" t="s">
        <v>1253</v>
      </c>
      <c r="C69" s="6" t="s">
        <v>1253</v>
      </c>
      <c r="D69" s="6" t="s">
        <v>276</v>
      </c>
      <c r="E69" s="6" t="s">
        <v>1148</v>
      </c>
    </row>
    <row r="70" customHeight="1" spans="2:5">
      <c r="B70" s="6" t="s">
        <v>1254</v>
      </c>
      <c r="C70" s="6" t="s">
        <v>1255</v>
      </c>
      <c r="D70" s="6" t="s">
        <v>276</v>
      </c>
      <c r="E70" s="6" t="s">
        <v>1148</v>
      </c>
    </row>
    <row r="71" customHeight="1" spans="2:5">
      <c r="B71" s="6" t="s">
        <v>1256</v>
      </c>
      <c r="C71" s="6" t="s">
        <v>1256</v>
      </c>
      <c r="D71" s="6" t="s">
        <v>276</v>
      </c>
      <c r="E71" s="6" t="s">
        <v>1148</v>
      </c>
    </row>
    <row r="72" customHeight="1" spans="2:5">
      <c r="B72" s="6" t="s">
        <v>1257</v>
      </c>
      <c r="C72" s="6" t="s">
        <v>1258</v>
      </c>
      <c r="D72" s="6" t="s">
        <v>276</v>
      </c>
      <c r="E72" s="6" t="s">
        <v>1148</v>
      </c>
    </row>
    <row r="73" customHeight="1" spans="2:5">
      <c r="B73" s="6" t="s">
        <v>1259</v>
      </c>
      <c r="C73" s="6" t="s">
        <v>1259</v>
      </c>
      <c r="D73" s="6" t="s">
        <v>276</v>
      </c>
      <c r="E73" s="6" t="s">
        <v>1148</v>
      </c>
    </row>
    <row r="74" customHeight="1" spans="2:5">
      <c r="B74" s="6" t="s">
        <v>1260</v>
      </c>
      <c r="C74" s="6" t="s">
        <v>1260</v>
      </c>
      <c r="D74" s="6" t="s">
        <v>276</v>
      </c>
      <c r="E74" s="6" t="s">
        <v>1148</v>
      </c>
    </row>
    <row r="75" customHeight="1" spans="2:5">
      <c r="B75" s="6" t="s">
        <v>1261</v>
      </c>
      <c r="C75" s="6" t="s">
        <v>1262</v>
      </c>
      <c r="D75" s="6" t="s">
        <v>276</v>
      </c>
      <c r="E75" s="6" t="s">
        <v>1148</v>
      </c>
    </row>
    <row r="76" customHeight="1" spans="2:5">
      <c r="B76" s="6" t="s">
        <v>1263</v>
      </c>
      <c r="C76" s="6" t="s">
        <v>1263</v>
      </c>
      <c r="D76" s="6" t="s">
        <v>276</v>
      </c>
      <c r="E76" s="6" t="s">
        <v>1148</v>
      </c>
    </row>
    <row r="77" customHeight="1" spans="2:5">
      <c r="B77" s="6" t="s">
        <v>1264</v>
      </c>
      <c r="C77" s="6" t="s">
        <v>1264</v>
      </c>
      <c r="D77" s="6" t="s">
        <v>276</v>
      </c>
      <c r="E77" s="6" t="s">
        <v>1148</v>
      </c>
    </row>
    <row r="78" customHeight="1" spans="2:5">
      <c r="B78" s="6" t="s">
        <v>1265</v>
      </c>
      <c r="C78" s="6" t="s">
        <v>1266</v>
      </c>
      <c r="D78" s="6" t="s">
        <v>276</v>
      </c>
      <c r="E78" s="6" t="s">
        <v>1148</v>
      </c>
    </row>
    <row r="79" customHeight="1" spans="2:5">
      <c r="B79" s="6" t="s">
        <v>1267</v>
      </c>
      <c r="C79" s="6" t="s">
        <v>1268</v>
      </c>
      <c r="D79" s="6" t="s">
        <v>276</v>
      </c>
      <c r="E79" s="6" t="s">
        <v>1148</v>
      </c>
    </row>
    <row r="80" customHeight="1" spans="2:5">
      <c r="B80" s="6" t="s">
        <v>1269</v>
      </c>
      <c r="C80" s="6" t="s">
        <v>1270</v>
      </c>
      <c r="D80" s="6" t="s">
        <v>276</v>
      </c>
      <c r="E80" s="6" t="s">
        <v>1148</v>
      </c>
    </row>
    <row r="81" customHeight="1" spans="2:5">
      <c r="B81" s="6" t="s">
        <v>1271</v>
      </c>
      <c r="C81" s="6" t="s">
        <v>1272</v>
      </c>
      <c r="D81" s="6" t="s">
        <v>276</v>
      </c>
      <c r="E81" s="6" t="s">
        <v>1148</v>
      </c>
    </row>
    <row r="82" customHeight="1" spans="2:5">
      <c r="B82" s="6" t="s">
        <v>1273</v>
      </c>
      <c r="C82" s="6" t="s">
        <v>1274</v>
      </c>
      <c r="D82" s="6" t="s">
        <v>276</v>
      </c>
      <c r="E82" s="6" t="s">
        <v>1148</v>
      </c>
    </row>
    <row r="83" customHeight="1" spans="2:5">
      <c r="B83" s="6" t="s">
        <v>1275</v>
      </c>
      <c r="C83" s="6" t="s">
        <v>1276</v>
      </c>
      <c r="D83" s="6" t="s">
        <v>276</v>
      </c>
      <c r="E83" s="6" t="s">
        <v>1148</v>
      </c>
    </row>
    <row r="84" customHeight="1" spans="2:5">
      <c r="B84" s="6" t="s">
        <v>1277</v>
      </c>
      <c r="C84" s="6" t="s">
        <v>1277</v>
      </c>
      <c r="D84" s="6" t="s">
        <v>276</v>
      </c>
      <c r="E84" s="6" t="s">
        <v>1148</v>
      </c>
    </row>
    <row r="85" customHeight="1" spans="2:5">
      <c r="B85" s="6" t="s">
        <v>1278</v>
      </c>
      <c r="C85" s="6" t="s">
        <v>1279</v>
      </c>
      <c r="D85" s="6" t="s">
        <v>276</v>
      </c>
      <c r="E85" s="6" t="s">
        <v>1148</v>
      </c>
    </row>
    <row r="86" customHeight="1" spans="2:5">
      <c r="B86" s="6" t="s">
        <v>1280</v>
      </c>
      <c r="C86" s="6" t="s">
        <v>1281</v>
      </c>
      <c r="D86" s="6" t="s">
        <v>276</v>
      </c>
      <c r="E86" s="6" t="s">
        <v>1148</v>
      </c>
    </row>
    <row r="87" customHeight="1" spans="2:5">
      <c r="B87" s="6" t="s">
        <v>1282</v>
      </c>
      <c r="C87" s="6" t="s">
        <v>1283</v>
      </c>
      <c r="D87" s="6" t="s">
        <v>276</v>
      </c>
      <c r="E87" s="6" t="s">
        <v>1148</v>
      </c>
    </row>
    <row r="88" customHeight="1" spans="2:5">
      <c r="B88" s="6" t="s">
        <v>1284</v>
      </c>
      <c r="C88" s="6" t="s">
        <v>1284</v>
      </c>
      <c r="D88" s="6" t="s">
        <v>276</v>
      </c>
      <c r="E88" s="6" t="s">
        <v>1148</v>
      </c>
    </row>
    <row r="89" customHeight="1" spans="2:5">
      <c r="B89" s="6" t="s">
        <v>1285</v>
      </c>
      <c r="C89" s="6" t="s">
        <v>1286</v>
      </c>
      <c r="D89" s="6" t="s">
        <v>276</v>
      </c>
      <c r="E89" s="6" t="s">
        <v>1148</v>
      </c>
    </row>
    <row r="90" customHeight="1" spans="2:5">
      <c r="B90" s="6" t="s">
        <v>1287</v>
      </c>
      <c r="C90" s="6" t="s">
        <v>1287</v>
      </c>
      <c r="D90" s="6" t="s">
        <v>276</v>
      </c>
      <c r="E90" s="6" t="s">
        <v>1148</v>
      </c>
    </row>
    <row r="91" customHeight="1" spans="2:5">
      <c r="B91" s="6" t="s">
        <v>1288</v>
      </c>
      <c r="C91" s="6" t="s">
        <v>1289</v>
      </c>
      <c r="D91" s="6" t="s">
        <v>276</v>
      </c>
      <c r="E91" s="6" t="s">
        <v>1148</v>
      </c>
    </row>
    <row r="92" customHeight="1" spans="2:5">
      <c r="B92" s="6" t="s">
        <v>1290</v>
      </c>
      <c r="C92" s="6" t="s">
        <v>1291</v>
      </c>
      <c r="D92" s="6" t="s">
        <v>276</v>
      </c>
      <c r="E92" s="6" t="s">
        <v>1148</v>
      </c>
    </row>
    <row r="93" customHeight="1" spans="2:5">
      <c r="B93" s="6" t="s">
        <v>1292</v>
      </c>
      <c r="C93" s="6" t="s">
        <v>1292</v>
      </c>
      <c r="D93" s="6" t="s">
        <v>276</v>
      </c>
      <c r="E93" s="6" t="s">
        <v>1148</v>
      </c>
    </row>
    <row r="94" customHeight="1" spans="2:5">
      <c r="B94" s="6" t="s">
        <v>1293</v>
      </c>
      <c r="C94" s="6" t="s">
        <v>1294</v>
      </c>
      <c r="D94" s="6" t="s">
        <v>276</v>
      </c>
      <c r="E94" s="6" t="s">
        <v>1148</v>
      </c>
    </row>
    <row r="95" customHeight="1" spans="2:5">
      <c r="B95" s="6" t="s">
        <v>1295</v>
      </c>
      <c r="C95" s="6" t="s">
        <v>1296</v>
      </c>
      <c r="D95" s="6" t="s">
        <v>276</v>
      </c>
      <c r="E95" s="6" t="s">
        <v>1148</v>
      </c>
    </row>
    <row r="96" customHeight="1" spans="2:5">
      <c r="B96" s="6" t="s">
        <v>1297</v>
      </c>
      <c r="C96" s="6" t="s">
        <v>1297</v>
      </c>
      <c r="D96" s="6" t="s">
        <v>276</v>
      </c>
      <c r="E96" s="6" t="s">
        <v>1148</v>
      </c>
    </row>
    <row r="97" customHeight="1" spans="2:5">
      <c r="B97" s="6" t="s">
        <v>1298</v>
      </c>
      <c r="C97" s="6" t="s">
        <v>1299</v>
      </c>
      <c r="D97" s="6" t="s">
        <v>276</v>
      </c>
      <c r="E97" s="6" t="s">
        <v>1148</v>
      </c>
    </row>
    <row r="98" customHeight="1" spans="2:5">
      <c r="B98" s="6" t="s">
        <v>1300</v>
      </c>
      <c r="C98" s="6" t="s">
        <v>1301</v>
      </c>
      <c r="D98" s="6" t="s">
        <v>276</v>
      </c>
      <c r="E98" s="6" t="s">
        <v>1148</v>
      </c>
    </row>
    <row r="99" customHeight="1" spans="2:5">
      <c r="B99" s="6" t="s">
        <v>1302</v>
      </c>
      <c r="C99" s="6" t="s">
        <v>1303</v>
      </c>
      <c r="D99" s="6" t="s">
        <v>276</v>
      </c>
      <c r="E99" s="6" t="s">
        <v>1148</v>
      </c>
    </row>
    <row r="100" customHeight="1" spans="2:5">
      <c r="B100" s="6" t="s">
        <v>1304</v>
      </c>
      <c r="C100" s="6" t="s">
        <v>1304</v>
      </c>
      <c r="D100" s="6" t="s">
        <v>276</v>
      </c>
      <c r="E100" s="6" t="s">
        <v>1148</v>
      </c>
    </row>
    <row r="101" customHeight="1" spans="2:5">
      <c r="B101" s="6" t="s">
        <v>1305</v>
      </c>
      <c r="C101" s="6" t="s">
        <v>1306</v>
      </c>
      <c r="D101" s="6" t="s">
        <v>276</v>
      </c>
      <c r="E101" s="6" t="s">
        <v>1148</v>
      </c>
    </row>
    <row r="102" customHeight="1" spans="2:5">
      <c r="B102" s="6" t="s">
        <v>1307</v>
      </c>
      <c r="C102" s="6" t="s">
        <v>1307</v>
      </c>
      <c r="D102" s="6" t="s">
        <v>276</v>
      </c>
      <c r="E102" s="6" t="s">
        <v>1148</v>
      </c>
    </row>
    <row r="103" customHeight="1" spans="2:5">
      <c r="B103" s="6" t="s">
        <v>1308</v>
      </c>
      <c r="C103" s="6" t="s">
        <v>1308</v>
      </c>
      <c r="D103" s="6" t="s">
        <v>276</v>
      </c>
      <c r="E103" s="6" t="s">
        <v>1148</v>
      </c>
    </row>
    <row r="104" customHeight="1" spans="2:5">
      <c r="B104" s="6" t="s">
        <v>1309</v>
      </c>
      <c r="C104" s="6" t="s">
        <v>1310</v>
      </c>
      <c r="D104" s="6" t="s">
        <v>276</v>
      </c>
      <c r="E104" s="6" t="s">
        <v>1148</v>
      </c>
    </row>
    <row r="105" customHeight="1" spans="2:5">
      <c r="B105" s="6" t="s">
        <v>1311</v>
      </c>
      <c r="C105" s="6" t="s">
        <v>1312</v>
      </c>
      <c r="D105" s="6" t="s">
        <v>276</v>
      </c>
      <c r="E105" s="6" t="s">
        <v>1148</v>
      </c>
    </row>
    <row r="106" customHeight="1" spans="2:5">
      <c r="B106" s="6" t="s">
        <v>1313</v>
      </c>
      <c r="C106" s="6" t="s">
        <v>1314</v>
      </c>
      <c r="D106" s="6" t="s">
        <v>276</v>
      </c>
      <c r="E106" s="6" t="s">
        <v>1148</v>
      </c>
    </row>
    <row r="107" customHeight="1" spans="2:5">
      <c r="B107" s="6" t="s">
        <v>1315</v>
      </c>
      <c r="C107" s="6" t="s">
        <v>1315</v>
      </c>
      <c r="D107" s="6" t="s">
        <v>276</v>
      </c>
      <c r="E107" s="6" t="s">
        <v>1148</v>
      </c>
    </row>
    <row r="108" customHeight="1" spans="2:5">
      <c r="B108" s="6" t="s">
        <v>1316</v>
      </c>
      <c r="C108" s="6" t="s">
        <v>1316</v>
      </c>
      <c r="D108" s="6" t="s">
        <v>276</v>
      </c>
      <c r="E108" s="6" t="s">
        <v>1148</v>
      </c>
    </row>
    <row r="109" customHeight="1" spans="2:5">
      <c r="B109" s="6" t="s">
        <v>1317</v>
      </c>
      <c r="C109" s="6" t="s">
        <v>1318</v>
      </c>
      <c r="D109" s="6" t="s">
        <v>276</v>
      </c>
      <c r="E109" s="6" t="s">
        <v>1148</v>
      </c>
    </row>
    <row r="110" customHeight="1" spans="2:5">
      <c r="B110" s="6" t="s">
        <v>1319</v>
      </c>
      <c r="C110" s="6" t="s">
        <v>1320</v>
      </c>
      <c r="D110" s="6" t="s">
        <v>276</v>
      </c>
      <c r="E110" s="6" t="s">
        <v>1148</v>
      </c>
    </row>
    <row r="111" customHeight="1" spans="2:5">
      <c r="B111" s="6" t="s">
        <v>1321</v>
      </c>
      <c r="C111" s="6" t="s">
        <v>1322</v>
      </c>
      <c r="D111" s="6" t="s">
        <v>276</v>
      </c>
      <c r="E111" s="6" t="s">
        <v>1148</v>
      </c>
    </row>
    <row r="112" customHeight="1" spans="2:5">
      <c r="B112" s="6" t="s">
        <v>1323</v>
      </c>
      <c r="C112" s="6" t="s">
        <v>1324</v>
      </c>
      <c r="D112" s="6" t="s">
        <v>276</v>
      </c>
      <c r="E112" s="6" t="s">
        <v>1148</v>
      </c>
    </row>
    <row r="113" customHeight="1" spans="2:5">
      <c r="B113" s="6" t="s">
        <v>1325</v>
      </c>
      <c r="C113" s="6" t="s">
        <v>1326</v>
      </c>
      <c r="D113" s="6" t="s">
        <v>276</v>
      </c>
      <c r="E113" s="6" t="s">
        <v>1148</v>
      </c>
    </row>
    <row r="114" customHeight="1" spans="2:5">
      <c r="B114" s="6" t="s">
        <v>1327</v>
      </c>
      <c r="C114" s="6" t="s">
        <v>1328</v>
      </c>
      <c r="D114" s="6" t="s">
        <v>276</v>
      </c>
      <c r="E114" s="6" t="s">
        <v>1148</v>
      </c>
    </row>
    <row r="115" customHeight="1" spans="2:5">
      <c r="B115" s="6" t="s">
        <v>1329</v>
      </c>
      <c r="C115" s="6" t="s">
        <v>1330</v>
      </c>
      <c r="D115" s="6" t="s">
        <v>276</v>
      </c>
      <c r="E115" s="6" t="s">
        <v>1148</v>
      </c>
    </row>
    <row r="116" customHeight="1" spans="2:5">
      <c r="B116" s="6" t="s">
        <v>1331</v>
      </c>
      <c r="C116" s="6" t="s">
        <v>1331</v>
      </c>
      <c r="D116" s="6" t="s">
        <v>276</v>
      </c>
      <c r="E116" s="6" t="s">
        <v>1148</v>
      </c>
    </row>
    <row r="117" customHeight="1" spans="2:5">
      <c r="B117" s="6" t="s">
        <v>1332</v>
      </c>
      <c r="C117" s="6" t="s">
        <v>1333</v>
      </c>
      <c r="D117" s="6" t="s">
        <v>276</v>
      </c>
      <c r="E117" s="6" t="s">
        <v>1148</v>
      </c>
    </row>
    <row r="118" customHeight="1" spans="2:5">
      <c r="B118" s="6" t="s">
        <v>1334</v>
      </c>
      <c r="C118" s="6" t="s">
        <v>1335</v>
      </c>
      <c r="D118" s="6" t="s">
        <v>276</v>
      </c>
      <c r="E118" s="6" t="s">
        <v>1148</v>
      </c>
    </row>
    <row r="119" customHeight="1" spans="2:5">
      <c r="B119" s="6" t="s">
        <v>1336</v>
      </c>
      <c r="C119" s="6" t="s">
        <v>1336</v>
      </c>
      <c r="D119" s="6" t="s">
        <v>276</v>
      </c>
      <c r="E119" s="6" t="s">
        <v>1148</v>
      </c>
    </row>
    <row r="120" customHeight="1" spans="2:5">
      <c r="B120" s="6" t="s">
        <v>1337</v>
      </c>
      <c r="C120" s="6" t="s">
        <v>1338</v>
      </c>
      <c r="D120" s="6" t="s">
        <v>276</v>
      </c>
      <c r="E120" s="6" t="s">
        <v>1148</v>
      </c>
    </row>
    <row r="121" customHeight="1" spans="2:5">
      <c r="B121" s="6" t="s">
        <v>1339</v>
      </c>
      <c r="C121" s="6" t="s">
        <v>1340</v>
      </c>
      <c r="D121" s="6" t="s">
        <v>276</v>
      </c>
      <c r="E121" s="6" t="s">
        <v>1148</v>
      </c>
    </row>
    <row r="122" customHeight="1" spans="2:5">
      <c r="B122" s="6" t="s">
        <v>1341</v>
      </c>
      <c r="C122" s="6" t="s">
        <v>1342</v>
      </c>
      <c r="D122" s="6" t="s">
        <v>276</v>
      </c>
      <c r="E122" s="6" t="s">
        <v>1148</v>
      </c>
    </row>
    <row r="123" customHeight="1" spans="2:5">
      <c r="B123" s="6" t="s">
        <v>1343</v>
      </c>
      <c r="C123" s="6" t="s">
        <v>1344</v>
      </c>
      <c r="D123" s="6" t="s">
        <v>276</v>
      </c>
      <c r="E123" s="6" t="s">
        <v>1148</v>
      </c>
    </row>
    <row r="124" customHeight="1" spans="2:5">
      <c r="B124" s="6" t="s">
        <v>1345</v>
      </c>
      <c r="C124" s="6" t="s">
        <v>1346</v>
      </c>
      <c r="D124" s="6" t="s">
        <v>276</v>
      </c>
      <c r="E124" s="6" t="s">
        <v>1148</v>
      </c>
    </row>
    <row r="125" customHeight="1" spans="2:5">
      <c r="B125" s="6" t="s">
        <v>1347</v>
      </c>
      <c r="C125" s="6" t="s">
        <v>1348</v>
      </c>
      <c r="D125" s="6" t="s">
        <v>276</v>
      </c>
      <c r="E125" s="6" t="s">
        <v>1148</v>
      </c>
    </row>
    <row r="126" customHeight="1" spans="2:5">
      <c r="B126" s="6" t="s">
        <v>1349</v>
      </c>
      <c r="C126" s="6" t="s">
        <v>1349</v>
      </c>
      <c r="D126" s="6" t="s">
        <v>276</v>
      </c>
      <c r="E126" s="6" t="s">
        <v>1148</v>
      </c>
    </row>
    <row r="127" customHeight="1" spans="2:5">
      <c r="B127" s="6" t="s">
        <v>1350</v>
      </c>
      <c r="C127" s="6" t="s">
        <v>1351</v>
      </c>
      <c r="D127" s="6" t="s">
        <v>276</v>
      </c>
      <c r="E127" s="6" t="s">
        <v>1148</v>
      </c>
    </row>
    <row r="128" customHeight="1" spans="2:5">
      <c r="B128" s="6" t="s">
        <v>1352</v>
      </c>
      <c r="C128" s="6" t="s">
        <v>1353</v>
      </c>
      <c r="D128" s="6" t="s">
        <v>276</v>
      </c>
      <c r="E128" s="6" t="s">
        <v>1148</v>
      </c>
    </row>
    <row r="129" customHeight="1" spans="2:5">
      <c r="B129" s="6" t="s">
        <v>1354</v>
      </c>
      <c r="C129" s="6" t="s">
        <v>1355</v>
      </c>
      <c r="D129" s="6" t="s">
        <v>276</v>
      </c>
      <c r="E129" s="6" t="s">
        <v>1148</v>
      </c>
    </row>
    <row r="130" customHeight="1" spans="2:5">
      <c r="B130" s="6" t="s">
        <v>1356</v>
      </c>
      <c r="C130" s="6" t="s">
        <v>1357</v>
      </c>
      <c r="D130" s="6" t="s">
        <v>276</v>
      </c>
      <c r="E130" s="6" t="s">
        <v>1148</v>
      </c>
    </row>
    <row r="131" customHeight="1" spans="2:5">
      <c r="B131" s="6" t="s">
        <v>1358</v>
      </c>
      <c r="C131" s="6" t="s">
        <v>1358</v>
      </c>
      <c r="D131" s="6" t="s">
        <v>276</v>
      </c>
      <c r="E131" s="6" t="s">
        <v>1148</v>
      </c>
    </row>
    <row r="132" customHeight="1" spans="2:5">
      <c r="B132" s="6" t="s">
        <v>1359</v>
      </c>
      <c r="C132" s="6" t="s">
        <v>1360</v>
      </c>
      <c r="D132" s="6" t="s">
        <v>276</v>
      </c>
      <c r="E132" s="6" t="s">
        <v>1148</v>
      </c>
    </row>
    <row r="133" customHeight="1" spans="2:5">
      <c r="B133" s="6" t="s">
        <v>1361</v>
      </c>
      <c r="C133" s="6" t="s">
        <v>1362</v>
      </c>
      <c r="D133" s="6" t="s">
        <v>276</v>
      </c>
      <c r="E133" s="6" t="s">
        <v>1148</v>
      </c>
    </row>
    <row r="134" customHeight="1" spans="2:5">
      <c r="B134" s="6" t="s">
        <v>1363</v>
      </c>
      <c r="C134" s="6" t="s">
        <v>1364</v>
      </c>
      <c r="D134" s="6" t="s">
        <v>276</v>
      </c>
      <c r="E134" s="6" t="s">
        <v>1148</v>
      </c>
    </row>
    <row r="135" customHeight="1" spans="2:5">
      <c r="B135" s="6" t="s">
        <v>1365</v>
      </c>
      <c r="C135" s="6" t="s">
        <v>1366</v>
      </c>
      <c r="D135" s="6" t="s">
        <v>276</v>
      </c>
      <c r="E135" s="6" t="s">
        <v>1148</v>
      </c>
    </row>
    <row r="136" customHeight="1" spans="2:5">
      <c r="B136" s="6" t="s">
        <v>1367</v>
      </c>
      <c r="C136" s="6" t="s">
        <v>1368</v>
      </c>
      <c r="D136" s="6" t="s">
        <v>276</v>
      </c>
      <c r="E136" s="6" t="s">
        <v>1148</v>
      </c>
    </row>
    <row r="137" customHeight="1" spans="2:5">
      <c r="B137" s="6" t="s">
        <v>1369</v>
      </c>
      <c r="C137" s="6" t="s">
        <v>1370</v>
      </c>
      <c r="D137" s="6" t="s">
        <v>276</v>
      </c>
      <c r="E137" s="6" t="s">
        <v>1148</v>
      </c>
    </row>
    <row r="138" customHeight="1" spans="2:5">
      <c r="B138" s="6" t="s">
        <v>1371</v>
      </c>
      <c r="C138" s="6" t="s">
        <v>1372</v>
      </c>
      <c r="D138" s="6" t="s">
        <v>276</v>
      </c>
      <c r="E138" s="6" t="s">
        <v>1148</v>
      </c>
    </row>
    <row r="139" customHeight="1" spans="2:5">
      <c r="B139" s="6" t="s">
        <v>1373</v>
      </c>
      <c r="C139" s="6" t="s">
        <v>1373</v>
      </c>
      <c r="D139" s="6" t="s">
        <v>276</v>
      </c>
      <c r="E139" s="6" t="s">
        <v>1148</v>
      </c>
    </row>
    <row r="140" customHeight="1" spans="2:5">
      <c r="B140" s="6" t="s">
        <v>1374</v>
      </c>
      <c r="C140" s="6" t="s">
        <v>1375</v>
      </c>
      <c r="D140" s="6" t="s">
        <v>276</v>
      </c>
      <c r="E140" s="6" t="s">
        <v>1148</v>
      </c>
    </row>
    <row r="141" customHeight="1" spans="2:5">
      <c r="B141" s="6" t="s">
        <v>1376</v>
      </c>
      <c r="C141" s="6" t="s">
        <v>1377</v>
      </c>
      <c r="D141" s="6" t="s">
        <v>276</v>
      </c>
      <c r="E141" s="6" t="s">
        <v>1148</v>
      </c>
    </row>
    <row r="142" customHeight="1" spans="2:5">
      <c r="B142" s="6" t="s">
        <v>1378</v>
      </c>
      <c r="C142" s="6" t="s">
        <v>1379</v>
      </c>
      <c r="D142" s="6" t="s">
        <v>276</v>
      </c>
      <c r="E142" s="6" t="s">
        <v>1148</v>
      </c>
    </row>
    <row r="143" customHeight="1" spans="2:5">
      <c r="B143" s="6" t="s">
        <v>1380</v>
      </c>
      <c r="C143" s="6" t="s">
        <v>1381</v>
      </c>
      <c r="D143" s="6" t="s">
        <v>276</v>
      </c>
      <c r="E143" s="6" t="s">
        <v>1148</v>
      </c>
    </row>
    <row r="144" customHeight="1" spans="2:5">
      <c r="B144" s="6" t="s">
        <v>1382</v>
      </c>
      <c r="C144" s="6" t="s">
        <v>1383</v>
      </c>
      <c r="D144" s="6" t="s">
        <v>276</v>
      </c>
      <c r="E144" s="6" t="s">
        <v>1148</v>
      </c>
    </row>
    <row r="145" customHeight="1" spans="2:5">
      <c r="B145" s="6" t="s">
        <v>1384</v>
      </c>
      <c r="C145" s="6" t="s">
        <v>1385</v>
      </c>
      <c r="D145" s="6" t="s">
        <v>276</v>
      </c>
      <c r="E145" s="6" t="s">
        <v>1148</v>
      </c>
    </row>
    <row r="146" customHeight="1" spans="2:5">
      <c r="B146" s="6" t="s">
        <v>1386</v>
      </c>
      <c r="C146" s="6" t="s">
        <v>1387</v>
      </c>
      <c r="D146" s="6" t="s">
        <v>276</v>
      </c>
      <c r="E146" s="6" t="s">
        <v>1148</v>
      </c>
    </row>
    <row r="147" customHeight="1" spans="2:5">
      <c r="B147" s="6" t="s">
        <v>1388</v>
      </c>
      <c r="C147" s="6" t="s">
        <v>1389</v>
      </c>
      <c r="D147" s="6" t="s">
        <v>276</v>
      </c>
      <c r="E147" s="6" t="s">
        <v>1148</v>
      </c>
    </row>
    <row r="148" customHeight="1" spans="2:5">
      <c r="B148" s="6" t="s">
        <v>1390</v>
      </c>
      <c r="C148" s="6" t="s">
        <v>1391</v>
      </c>
      <c r="D148" s="6" t="s">
        <v>276</v>
      </c>
      <c r="E148" s="6" t="s">
        <v>1148</v>
      </c>
    </row>
    <row r="149" customHeight="1" spans="2:5">
      <c r="B149" s="6" t="s">
        <v>1392</v>
      </c>
      <c r="C149" s="6" t="s">
        <v>1393</v>
      </c>
      <c r="D149" s="6" t="s">
        <v>276</v>
      </c>
      <c r="E149" s="6" t="s">
        <v>1148</v>
      </c>
    </row>
    <row r="150" customHeight="1" spans="2:5">
      <c r="B150" s="6" t="s">
        <v>1394</v>
      </c>
      <c r="C150" s="6" t="s">
        <v>1394</v>
      </c>
      <c r="D150" s="6" t="s">
        <v>276</v>
      </c>
      <c r="E150" s="6" t="s">
        <v>1148</v>
      </c>
    </row>
    <row r="151" customHeight="1" spans="2:5">
      <c r="B151" s="6" t="s">
        <v>1395</v>
      </c>
      <c r="C151" s="6" t="s">
        <v>1395</v>
      </c>
      <c r="D151" s="6" t="s">
        <v>276</v>
      </c>
      <c r="E151" s="6" t="s">
        <v>1148</v>
      </c>
    </row>
    <row r="152" customHeight="1" spans="2:5">
      <c r="B152" s="6" t="s">
        <v>1396</v>
      </c>
      <c r="C152" s="6" t="s">
        <v>1397</v>
      </c>
      <c r="D152" s="6" t="s">
        <v>276</v>
      </c>
      <c r="E152" s="6" t="s">
        <v>1148</v>
      </c>
    </row>
    <row r="153" customHeight="1" spans="2:5">
      <c r="B153" s="6" t="s">
        <v>1398</v>
      </c>
      <c r="C153" s="6" t="s">
        <v>1399</v>
      </c>
      <c r="D153" s="6" t="s">
        <v>276</v>
      </c>
      <c r="E153" s="6" t="s">
        <v>1148</v>
      </c>
    </row>
    <row r="154" customHeight="1" spans="2:5">
      <c r="B154" s="6" t="s">
        <v>1400</v>
      </c>
      <c r="C154" s="6" t="s">
        <v>1401</v>
      </c>
      <c r="D154" s="6" t="s">
        <v>276</v>
      </c>
      <c r="E154" s="6" t="s">
        <v>1148</v>
      </c>
    </row>
    <row r="155" customHeight="1" spans="2:5">
      <c r="B155" s="6" t="s">
        <v>1402</v>
      </c>
      <c r="C155" s="6" t="s">
        <v>1403</v>
      </c>
      <c r="D155" s="6" t="s">
        <v>276</v>
      </c>
      <c r="E155" s="6" t="s">
        <v>1148</v>
      </c>
    </row>
    <row r="156" customHeight="1" spans="2:5">
      <c r="B156" s="6" t="s">
        <v>1404</v>
      </c>
      <c r="C156" s="6" t="s">
        <v>1405</v>
      </c>
      <c r="D156" s="6" t="s">
        <v>276</v>
      </c>
      <c r="E156" s="6" t="s">
        <v>1148</v>
      </c>
    </row>
    <row r="157" customHeight="1" spans="2:5">
      <c r="B157" s="6" t="s">
        <v>1406</v>
      </c>
      <c r="C157" s="6" t="s">
        <v>1407</v>
      </c>
      <c r="D157" s="6" t="s">
        <v>276</v>
      </c>
      <c r="E157" s="6" t="s">
        <v>1148</v>
      </c>
    </row>
    <row r="158" customHeight="1" spans="2:5">
      <c r="B158" s="6" t="s">
        <v>1408</v>
      </c>
      <c r="C158" s="6" t="s">
        <v>1409</v>
      </c>
      <c r="D158" s="6" t="s">
        <v>276</v>
      </c>
      <c r="E158" s="6" t="s">
        <v>1148</v>
      </c>
    </row>
    <row r="159" customHeight="1" spans="2:5">
      <c r="B159" s="6" t="s">
        <v>1410</v>
      </c>
      <c r="C159" s="6" t="s">
        <v>1410</v>
      </c>
      <c r="D159" s="6" t="s">
        <v>276</v>
      </c>
      <c r="E159" s="6" t="s">
        <v>1148</v>
      </c>
    </row>
    <row r="160" customHeight="1" spans="2:5">
      <c r="B160" s="6" t="s">
        <v>1411</v>
      </c>
      <c r="C160" s="6" t="s">
        <v>1412</v>
      </c>
      <c r="D160" s="6" t="s">
        <v>276</v>
      </c>
      <c r="E160" s="6" t="s">
        <v>1148</v>
      </c>
    </row>
    <row r="161" customHeight="1" spans="2:5">
      <c r="B161" s="6" t="s">
        <v>1413</v>
      </c>
      <c r="C161" s="6" t="s">
        <v>1414</v>
      </c>
      <c r="D161" s="6" t="s">
        <v>276</v>
      </c>
      <c r="E161" s="6" t="s">
        <v>1148</v>
      </c>
    </row>
    <row r="162" customHeight="1" spans="2:5">
      <c r="B162" s="6" t="s">
        <v>1415</v>
      </c>
      <c r="C162" s="6" t="s">
        <v>1416</v>
      </c>
      <c r="D162" s="6" t="s">
        <v>276</v>
      </c>
      <c r="E162" s="6" t="s">
        <v>1148</v>
      </c>
    </row>
    <row r="163" customHeight="1" spans="2:5">
      <c r="B163" s="6" t="s">
        <v>1417</v>
      </c>
      <c r="C163" s="6" t="s">
        <v>1418</v>
      </c>
      <c r="D163" s="6" t="s">
        <v>276</v>
      </c>
      <c r="E163" s="6" t="s">
        <v>1148</v>
      </c>
    </row>
    <row r="164" customHeight="1" spans="2:5">
      <c r="B164" s="6" t="s">
        <v>1419</v>
      </c>
      <c r="C164" s="6" t="s">
        <v>1420</v>
      </c>
      <c r="D164" s="6" t="s">
        <v>276</v>
      </c>
      <c r="E164" s="6" t="s">
        <v>1148</v>
      </c>
    </row>
    <row r="165" customHeight="1" spans="2:5">
      <c r="B165" s="6" t="s">
        <v>1421</v>
      </c>
      <c r="C165" s="6" t="s">
        <v>1422</v>
      </c>
      <c r="D165" s="6" t="s">
        <v>276</v>
      </c>
      <c r="E165" s="6" t="s">
        <v>1148</v>
      </c>
    </row>
    <row r="166" customHeight="1" spans="2:5">
      <c r="B166" s="6" t="s">
        <v>1423</v>
      </c>
      <c r="C166" s="6" t="s">
        <v>1424</v>
      </c>
      <c r="D166" s="6" t="s">
        <v>276</v>
      </c>
      <c r="E166" s="6" t="s">
        <v>1148</v>
      </c>
    </row>
    <row r="167" customHeight="1" spans="2:5">
      <c r="B167" s="6" t="s">
        <v>1425</v>
      </c>
      <c r="C167" s="6" t="s">
        <v>1426</v>
      </c>
      <c r="D167" s="6" t="s">
        <v>276</v>
      </c>
      <c r="E167" s="6" t="s">
        <v>1148</v>
      </c>
    </row>
    <row r="168" customHeight="1" spans="2:5">
      <c r="B168" s="6" t="s">
        <v>1427</v>
      </c>
      <c r="C168" s="6" t="s">
        <v>1428</v>
      </c>
      <c r="D168" s="6" t="s">
        <v>276</v>
      </c>
      <c r="E168" s="6" t="s">
        <v>1148</v>
      </c>
    </row>
    <row r="169" customHeight="1" spans="2:5">
      <c r="B169" s="6" t="s">
        <v>1429</v>
      </c>
      <c r="C169" s="6" t="s">
        <v>1430</v>
      </c>
      <c r="D169" s="6" t="s">
        <v>276</v>
      </c>
      <c r="E169" s="6" t="s">
        <v>1148</v>
      </c>
    </row>
    <row r="170" customHeight="1" spans="2:5">
      <c r="B170" s="6" t="s">
        <v>1431</v>
      </c>
      <c r="C170" s="6" t="s">
        <v>1432</v>
      </c>
      <c r="D170" s="6" t="s">
        <v>276</v>
      </c>
      <c r="E170" s="6" t="s">
        <v>1148</v>
      </c>
    </row>
    <row r="171" customHeight="1" spans="2:5">
      <c r="B171" s="6" t="s">
        <v>1433</v>
      </c>
      <c r="C171" s="6" t="s">
        <v>1434</v>
      </c>
      <c r="D171" s="6" t="s">
        <v>276</v>
      </c>
      <c r="E171" s="6" t="s">
        <v>1148</v>
      </c>
    </row>
    <row r="172" customHeight="1" spans="2:5">
      <c r="B172" s="6" t="s">
        <v>1435</v>
      </c>
      <c r="C172" s="6" t="s">
        <v>1436</v>
      </c>
      <c r="D172" s="6" t="s">
        <v>276</v>
      </c>
      <c r="E172" s="6" t="s">
        <v>1148</v>
      </c>
    </row>
    <row r="173" customHeight="1" spans="2:5">
      <c r="B173" s="6" t="s">
        <v>1437</v>
      </c>
      <c r="C173" s="6" t="s">
        <v>1438</v>
      </c>
      <c r="D173" s="6" t="s">
        <v>276</v>
      </c>
      <c r="E173" s="6" t="s">
        <v>1148</v>
      </c>
    </row>
    <row r="174" customHeight="1" spans="2:5">
      <c r="B174" s="6" t="s">
        <v>1439</v>
      </c>
      <c r="C174" s="6" t="s">
        <v>1440</v>
      </c>
      <c r="D174" s="6" t="s">
        <v>276</v>
      </c>
      <c r="E174" s="6" t="s">
        <v>1148</v>
      </c>
    </row>
    <row r="175" customHeight="1" spans="2:5">
      <c r="B175" s="6" t="s">
        <v>1441</v>
      </c>
      <c r="C175" s="6" t="s">
        <v>1442</v>
      </c>
      <c r="D175" s="6" t="s">
        <v>276</v>
      </c>
      <c r="E175" s="6" t="s">
        <v>1148</v>
      </c>
    </row>
    <row r="176" customHeight="1" spans="2:5">
      <c r="B176" s="6" t="s">
        <v>1443</v>
      </c>
      <c r="C176" s="6" t="s">
        <v>1444</v>
      </c>
      <c r="D176" s="6" t="s">
        <v>276</v>
      </c>
      <c r="E176" s="6" t="s">
        <v>1148</v>
      </c>
    </row>
    <row r="177" customHeight="1" spans="2:5">
      <c r="B177" s="6" t="s">
        <v>1445</v>
      </c>
      <c r="C177" s="6" t="s">
        <v>1446</v>
      </c>
      <c r="D177" s="6" t="s">
        <v>276</v>
      </c>
      <c r="E177" s="6" t="s">
        <v>1148</v>
      </c>
    </row>
    <row r="178" customHeight="1" spans="2:5">
      <c r="B178" s="6" t="s">
        <v>1447</v>
      </c>
      <c r="C178" s="6" t="s">
        <v>1448</v>
      </c>
      <c r="D178" s="6" t="s">
        <v>276</v>
      </c>
      <c r="E178" s="6" t="s">
        <v>1148</v>
      </c>
    </row>
    <row r="179" customHeight="1" spans="2:5">
      <c r="B179" s="6" t="s">
        <v>1449</v>
      </c>
      <c r="C179" s="6" t="s">
        <v>1449</v>
      </c>
      <c r="D179" s="6" t="s">
        <v>276</v>
      </c>
      <c r="E179" s="6" t="s">
        <v>1148</v>
      </c>
    </row>
    <row r="180" customHeight="1" spans="2:5">
      <c r="B180" s="6" t="s">
        <v>1450</v>
      </c>
      <c r="C180" s="6" t="s">
        <v>1451</v>
      </c>
      <c r="D180" s="6" t="s">
        <v>276</v>
      </c>
      <c r="E180" s="6" t="s">
        <v>1148</v>
      </c>
    </row>
    <row r="181" customHeight="1" spans="2:5">
      <c r="B181" s="6" t="s">
        <v>1452</v>
      </c>
      <c r="C181" s="6" t="s">
        <v>1453</v>
      </c>
      <c r="D181" s="6" t="s">
        <v>276</v>
      </c>
      <c r="E181" s="6" t="s">
        <v>1148</v>
      </c>
    </row>
    <row r="182" customHeight="1" spans="2:5">
      <c r="B182" s="6" t="s">
        <v>1454</v>
      </c>
      <c r="C182" s="6" t="s">
        <v>1455</v>
      </c>
      <c r="D182" s="6" t="s">
        <v>276</v>
      </c>
      <c r="E182" s="6" t="s">
        <v>1148</v>
      </c>
    </row>
    <row r="183" customHeight="1" spans="2:5">
      <c r="B183" s="6" t="s">
        <v>1456</v>
      </c>
      <c r="C183" s="6" t="s">
        <v>1457</v>
      </c>
      <c r="D183" s="6" t="s">
        <v>276</v>
      </c>
      <c r="E183" s="6" t="s">
        <v>1148</v>
      </c>
    </row>
    <row r="184" customHeight="1" spans="2:5">
      <c r="B184" s="6" t="s">
        <v>1458</v>
      </c>
      <c r="C184" s="6" t="s">
        <v>1459</v>
      </c>
      <c r="D184" s="6" t="s">
        <v>276</v>
      </c>
      <c r="E184" s="6" t="s">
        <v>1148</v>
      </c>
    </row>
    <row r="185" customHeight="1" spans="2:5">
      <c r="B185" s="6" t="s">
        <v>1460</v>
      </c>
      <c r="C185" s="6" t="s">
        <v>1461</v>
      </c>
      <c r="D185" s="6" t="s">
        <v>276</v>
      </c>
      <c r="E185" s="6" t="s">
        <v>1148</v>
      </c>
    </row>
    <row r="186" customHeight="1" spans="2:5">
      <c r="B186" s="6" t="s">
        <v>1462</v>
      </c>
      <c r="C186" s="6" t="s">
        <v>1463</v>
      </c>
      <c r="D186" s="6" t="s">
        <v>276</v>
      </c>
      <c r="E186" s="6" t="s">
        <v>1148</v>
      </c>
    </row>
    <row r="187" customHeight="1" spans="2:5">
      <c r="B187" s="6" t="s">
        <v>1464</v>
      </c>
      <c r="C187" s="6" t="s">
        <v>1464</v>
      </c>
      <c r="D187" s="6" t="s">
        <v>276</v>
      </c>
      <c r="E187" s="6" t="s">
        <v>1148</v>
      </c>
    </row>
    <row r="188" customHeight="1" spans="2:5">
      <c r="B188" s="6" t="s">
        <v>1465</v>
      </c>
      <c r="C188" s="6" t="s">
        <v>1465</v>
      </c>
      <c r="D188" s="6" t="s">
        <v>276</v>
      </c>
      <c r="E188" s="6" t="s">
        <v>1148</v>
      </c>
    </row>
    <row r="189" customHeight="1" spans="2:5">
      <c r="B189" s="6" t="s">
        <v>1466</v>
      </c>
      <c r="C189" s="6" t="s">
        <v>1467</v>
      </c>
      <c r="D189" s="6" t="s">
        <v>276</v>
      </c>
      <c r="E189" s="6" t="s">
        <v>1148</v>
      </c>
    </row>
    <row r="190" customHeight="1" spans="2:5">
      <c r="B190" s="6" t="s">
        <v>1468</v>
      </c>
      <c r="C190" s="6" t="s">
        <v>1469</v>
      </c>
      <c r="D190" s="6" t="s">
        <v>276</v>
      </c>
      <c r="E190" s="6" t="s">
        <v>1148</v>
      </c>
    </row>
    <row r="191" customHeight="1" spans="2:5">
      <c r="B191" s="6" t="s">
        <v>1470</v>
      </c>
      <c r="C191" s="6" t="s">
        <v>1471</v>
      </c>
      <c r="D191" s="6" t="s">
        <v>276</v>
      </c>
      <c r="E191" s="6" t="s">
        <v>1148</v>
      </c>
    </row>
    <row r="192" customHeight="1" spans="2:5">
      <c r="B192" s="6" t="s">
        <v>1472</v>
      </c>
      <c r="C192" s="6" t="s">
        <v>1473</v>
      </c>
      <c r="D192" s="6" t="s">
        <v>276</v>
      </c>
      <c r="E192" s="6" t="s">
        <v>1148</v>
      </c>
    </row>
    <row r="193" customHeight="1" spans="2:5">
      <c r="B193" s="6" t="s">
        <v>1474</v>
      </c>
      <c r="C193" s="6" t="s">
        <v>1475</v>
      </c>
      <c r="D193" s="6" t="s">
        <v>276</v>
      </c>
      <c r="E193" s="6" t="s">
        <v>1148</v>
      </c>
    </row>
    <row r="194" customHeight="1" spans="2:5">
      <c r="B194" s="6" t="s">
        <v>1476</v>
      </c>
      <c r="C194" s="6" t="s">
        <v>1476</v>
      </c>
      <c r="D194" s="6" t="s">
        <v>276</v>
      </c>
      <c r="E194" s="6" t="s">
        <v>1148</v>
      </c>
    </row>
    <row r="195" customHeight="1" spans="2:5">
      <c r="B195" s="6" t="s">
        <v>1477</v>
      </c>
      <c r="C195" s="6" t="s">
        <v>1477</v>
      </c>
      <c r="D195" s="6" t="s">
        <v>276</v>
      </c>
      <c r="E195" s="6" t="s">
        <v>1148</v>
      </c>
    </row>
    <row r="196" customHeight="1" spans="2:5">
      <c r="B196" s="6" t="s">
        <v>1478</v>
      </c>
      <c r="C196" s="6" t="s">
        <v>1479</v>
      </c>
      <c r="D196" s="6" t="s">
        <v>276</v>
      </c>
      <c r="E196" s="6" t="s">
        <v>1148</v>
      </c>
    </row>
    <row r="197" customHeight="1" spans="2:5">
      <c r="B197" s="6" t="s">
        <v>1480</v>
      </c>
      <c r="C197" s="6" t="s">
        <v>1480</v>
      </c>
      <c r="D197" s="6" t="s">
        <v>276</v>
      </c>
      <c r="E197" s="6" t="s">
        <v>1148</v>
      </c>
    </row>
    <row r="198" customHeight="1" spans="2:5">
      <c r="B198" s="6" t="s">
        <v>1481</v>
      </c>
      <c r="C198" s="6" t="s">
        <v>1482</v>
      </c>
      <c r="D198" s="6" t="s">
        <v>276</v>
      </c>
      <c r="E198" s="6" t="s">
        <v>1148</v>
      </c>
    </row>
    <row r="199" customHeight="1" spans="2:5">
      <c r="B199" s="6" t="s">
        <v>1483</v>
      </c>
      <c r="C199" s="6" t="s">
        <v>1483</v>
      </c>
      <c r="D199" s="6" t="s">
        <v>276</v>
      </c>
      <c r="E199" s="6" t="s">
        <v>1148</v>
      </c>
    </row>
    <row r="200" customHeight="1" spans="2:5">
      <c r="B200" s="6" t="s">
        <v>1484</v>
      </c>
      <c r="C200" s="6" t="s">
        <v>1485</v>
      </c>
      <c r="D200" s="6" t="s">
        <v>276</v>
      </c>
      <c r="E200" s="6" t="s">
        <v>1148</v>
      </c>
    </row>
    <row r="201" customHeight="1" spans="2:5">
      <c r="B201" s="6" t="s">
        <v>1486</v>
      </c>
      <c r="C201" s="6" t="s">
        <v>1487</v>
      </c>
      <c r="D201" s="6" t="s">
        <v>276</v>
      </c>
      <c r="E201" s="6" t="s">
        <v>1148</v>
      </c>
    </row>
    <row r="202" customHeight="1" spans="2:5">
      <c r="B202" s="6" t="s">
        <v>1488</v>
      </c>
      <c r="C202" s="6" t="s">
        <v>1488</v>
      </c>
      <c r="D202" s="6" t="s">
        <v>276</v>
      </c>
      <c r="E202" s="6" t="s">
        <v>1148</v>
      </c>
    </row>
    <row r="203" customHeight="1" spans="2:5">
      <c r="B203" s="6" t="s">
        <v>1489</v>
      </c>
      <c r="C203" s="6" t="s">
        <v>1490</v>
      </c>
      <c r="D203" s="6" t="s">
        <v>276</v>
      </c>
      <c r="E203" s="6" t="s">
        <v>1148</v>
      </c>
    </row>
    <row r="204" customHeight="1" spans="2:5">
      <c r="B204" s="6" t="s">
        <v>1491</v>
      </c>
      <c r="C204" s="6" t="s">
        <v>1491</v>
      </c>
      <c r="D204" s="6" t="s">
        <v>276</v>
      </c>
      <c r="E204" s="6" t="s">
        <v>1148</v>
      </c>
    </row>
    <row r="205" customHeight="1" spans="2:5">
      <c r="B205" s="6" t="s">
        <v>1492</v>
      </c>
      <c r="C205" s="6" t="s">
        <v>1493</v>
      </c>
      <c r="D205" s="6" t="s">
        <v>276</v>
      </c>
      <c r="E205" s="6" t="s">
        <v>1148</v>
      </c>
    </row>
    <row r="206" customHeight="1" spans="2:5">
      <c r="B206" s="6" t="s">
        <v>1494</v>
      </c>
      <c r="C206" s="6" t="s">
        <v>1495</v>
      </c>
      <c r="D206" s="6" t="s">
        <v>276</v>
      </c>
      <c r="E206" s="6" t="s">
        <v>1148</v>
      </c>
    </row>
    <row r="207" customHeight="1" spans="2:5">
      <c r="B207" s="6" t="s">
        <v>1496</v>
      </c>
      <c r="C207" s="6" t="s">
        <v>1496</v>
      </c>
      <c r="D207" s="6" t="s">
        <v>276</v>
      </c>
      <c r="E207" s="6" t="s">
        <v>1148</v>
      </c>
    </row>
    <row r="208" customHeight="1" spans="2:5">
      <c r="B208" s="6" t="s">
        <v>1497</v>
      </c>
      <c r="C208" s="6" t="s">
        <v>1498</v>
      </c>
      <c r="D208" s="6" t="s">
        <v>276</v>
      </c>
      <c r="E208" s="6" t="s">
        <v>1148</v>
      </c>
    </row>
    <row r="209" customHeight="1" spans="2:5">
      <c r="B209" s="6" t="s">
        <v>1499</v>
      </c>
      <c r="C209" s="6" t="s">
        <v>1500</v>
      </c>
      <c r="D209" s="6" t="s">
        <v>276</v>
      </c>
      <c r="E209" s="6" t="s">
        <v>1148</v>
      </c>
    </row>
    <row r="210" customHeight="1" spans="2:5">
      <c r="B210" s="6" t="s">
        <v>1501</v>
      </c>
      <c r="C210" s="6" t="s">
        <v>1501</v>
      </c>
      <c r="D210" s="6" t="s">
        <v>276</v>
      </c>
      <c r="E210" s="6" t="s">
        <v>1148</v>
      </c>
    </row>
    <row r="211" customHeight="1" spans="2:5">
      <c r="B211" s="6" t="s">
        <v>1502</v>
      </c>
      <c r="C211" s="6" t="s">
        <v>1503</v>
      </c>
      <c r="D211" s="6" t="s">
        <v>276</v>
      </c>
      <c r="E211" s="6" t="s">
        <v>1148</v>
      </c>
    </row>
    <row r="212" customHeight="1" spans="2:5">
      <c r="B212" s="6" t="s">
        <v>1504</v>
      </c>
      <c r="C212" s="6" t="s">
        <v>1505</v>
      </c>
      <c r="D212" s="6" t="s">
        <v>276</v>
      </c>
      <c r="E212" s="6" t="s">
        <v>1148</v>
      </c>
    </row>
    <row r="213" customHeight="1" spans="2:5">
      <c r="B213" s="6" t="s">
        <v>1506</v>
      </c>
      <c r="C213" s="6" t="s">
        <v>1506</v>
      </c>
      <c r="D213" s="6" t="s">
        <v>276</v>
      </c>
      <c r="E213" s="6" t="s">
        <v>1148</v>
      </c>
    </row>
    <row r="214" customHeight="1" spans="2:5">
      <c r="B214" s="6" t="s">
        <v>1507</v>
      </c>
      <c r="C214" s="6" t="s">
        <v>1508</v>
      </c>
      <c r="D214" s="6" t="s">
        <v>276</v>
      </c>
      <c r="E214" s="6" t="s">
        <v>1148</v>
      </c>
    </row>
    <row r="215" customHeight="1" spans="2:5">
      <c r="B215" s="6" t="s">
        <v>1509</v>
      </c>
      <c r="C215" s="6" t="s">
        <v>1509</v>
      </c>
      <c r="D215" s="6" t="s">
        <v>276</v>
      </c>
      <c r="E215" s="6" t="s">
        <v>1148</v>
      </c>
    </row>
    <row r="216" customHeight="1" spans="2:5">
      <c r="B216" s="6" t="s">
        <v>1510</v>
      </c>
      <c r="C216" s="6" t="s">
        <v>1511</v>
      </c>
      <c r="D216" s="6" t="s">
        <v>276</v>
      </c>
      <c r="E216" s="6" t="s">
        <v>1148</v>
      </c>
    </row>
    <row r="217" customHeight="1" spans="2:5">
      <c r="B217" s="6" t="s">
        <v>1512</v>
      </c>
      <c r="C217" s="6" t="s">
        <v>1513</v>
      </c>
      <c r="D217" s="6" t="s">
        <v>276</v>
      </c>
      <c r="E217" s="6" t="s">
        <v>1148</v>
      </c>
    </row>
    <row r="218" customHeight="1" spans="2:5">
      <c r="B218" s="6" t="s">
        <v>1514</v>
      </c>
      <c r="C218" s="6" t="s">
        <v>1515</v>
      </c>
      <c r="D218" s="6" t="s">
        <v>276</v>
      </c>
      <c r="E218" s="6" t="s">
        <v>1148</v>
      </c>
    </row>
    <row r="219" customHeight="1" spans="2:5">
      <c r="B219" s="6" t="s">
        <v>1516</v>
      </c>
      <c r="C219" s="6" t="s">
        <v>1517</v>
      </c>
      <c r="D219" s="6" t="s">
        <v>276</v>
      </c>
      <c r="E219" s="6" t="s">
        <v>1148</v>
      </c>
    </row>
    <row r="220" customHeight="1" spans="2:5">
      <c r="B220" s="6" t="s">
        <v>1518</v>
      </c>
      <c r="C220" s="6" t="s">
        <v>1519</v>
      </c>
      <c r="D220" s="6" t="s">
        <v>276</v>
      </c>
      <c r="E220" s="6" t="s">
        <v>1148</v>
      </c>
    </row>
    <row r="221" customHeight="1" spans="2:5">
      <c r="B221" s="6" t="s">
        <v>1520</v>
      </c>
      <c r="C221" s="6" t="s">
        <v>1521</v>
      </c>
      <c r="D221" s="6" t="s">
        <v>276</v>
      </c>
      <c r="E221" s="6" t="s">
        <v>1148</v>
      </c>
    </row>
    <row r="222" customHeight="1" spans="2:5">
      <c r="B222" s="6" t="s">
        <v>1522</v>
      </c>
      <c r="C222" s="6" t="s">
        <v>1523</v>
      </c>
      <c r="D222" s="6" t="s">
        <v>276</v>
      </c>
      <c r="E222" s="6" t="s">
        <v>1148</v>
      </c>
    </row>
    <row r="223" customHeight="1" spans="2:5">
      <c r="B223" s="6" t="s">
        <v>1524</v>
      </c>
      <c r="C223" s="6" t="s">
        <v>1525</v>
      </c>
      <c r="D223" s="6" t="s">
        <v>276</v>
      </c>
      <c r="E223" s="6" t="s">
        <v>1148</v>
      </c>
    </row>
    <row r="224" customHeight="1" spans="2:5">
      <c r="B224" s="6" t="s">
        <v>1526</v>
      </c>
      <c r="C224" s="6" t="s">
        <v>1527</v>
      </c>
      <c r="D224" s="6" t="s">
        <v>276</v>
      </c>
      <c r="E224" s="6" t="s">
        <v>1148</v>
      </c>
    </row>
    <row r="225" customHeight="1" spans="2:5">
      <c r="B225" s="6" t="s">
        <v>1528</v>
      </c>
      <c r="C225" s="6" t="s">
        <v>1529</v>
      </c>
      <c r="D225" s="6" t="s">
        <v>276</v>
      </c>
      <c r="E225" s="6" t="s">
        <v>1148</v>
      </c>
    </row>
    <row r="226" customHeight="1" spans="2:5">
      <c r="B226" s="6" t="s">
        <v>1530</v>
      </c>
      <c r="C226" s="6" t="s">
        <v>1531</v>
      </c>
      <c r="D226" s="6" t="s">
        <v>276</v>
      </c>
      <c r="E226" s="6" t="s">
        <v>1148</v>
      </c>
    </row>
    <row r="227" customHeight="1" spans="2:5">
      <c r="B227" s="6" t="s">
        <v>1532</v>
      </c>
      <c r="C227" s="6" t="s">
        <v>1533</v>
      </c>
      <c r="D227" s="6" t="s">
        <v>276</v>
      </c>
      <c r="E227" s="6" t="s">
        <v>1148</v>
      </c>
    </row>
    <row r="228" customHeight="1" spans="2:5">
      <c r="B228" s="6" t="s">
        <v>1534</v>
      </c>
      <c r="C228" s="6" t="s">
        <v>1535</v>
      </c>
      <c r="D228" s="6" t="s">
        <v>276</v>
      </c>
      <c r="E228" s="6" t="s">
        <v>1148</v>
      </c>
    </row>
    <row r="229" customHeight="1" spans="2:5">
      <c r="B229" s="6" t="s">
        <v>1536</v>
      </c>
      <c r="C229" s="6" t="s">
        <v>1537</v>
      </c>
      <c r="D229" s="6" t="s">
        <v>276</v>
      </c>
      <c r="E229" s="6" t="s">
        <v>1148</v>
      </c>
    </row>
    <row r="230" customHeight="1" spans="2:5">
      <c r="B230" s="6" t="s">
        <v>1538</v>
      </c>
      <c r="C230" s="6" t="s">
        <v>1539</v>
      </c>
      <c r="D230" s="6" t="s">
        <v>276</v>
      </c>
      <c r="E230" s="6" t="s">
        <v>1148</v>
      </c>
    </row>
    <row r="231" customHeight="1" spans="2:5">
      <c r="B231" s="6" t="s">
        <v>1540</v>
      </c>
      <c r="C231" s="6" t="s">
        <v>1541</v>
      </c>
      <c r="D231" s="6" t="s">
        <v>276</v>
      </c>
      <c r="E231" s="6" t="s">
        <v>1148</v>
      </c>
    </row>
    <row r="232" customHeight="1" spans="2:5">
      <c r="B232" s="6" t="s">
        <v>1542</v>
      </c>
      <c r="C232" s="6" t="s">
        <v>1543</v>
      </c>
      <c r="D232" s="6" t="s">
        <v>276</v>
      </c>
      <c r="E232" s="6" t="s">
        <v>1148</v>
      </c>
    </row>
    <row r="233" customHeight="1" spans="2:5">
      <c r="B233" s="6" t="s">
        <v>1544</v>
      </c>
      <c r="C233" s="6" t="s">
        <v>1545</v>
      </c>
      <c r="D233" s="6" t="s">
        <v>276</v>
      </c>
      <c r="E233" s="6" t="s">
        <v>1148</v>
      </c>
    </row>
    <row r="234" customHeight="1" spans="2:5">
      <c r="B234" s="6" t="s">
        <v>1546</v>
      </c>
      <c r="C234" s="6" t="s">
        <v>1547</v>
      </c>
      <c r="D234" s="6" t="s">
        <v>276</v>
      </c>
      <c r="E234" s="6" t="s">
        <v>1148</v>
      </c>
    </row>
    <row r="235" customHeight="1" spans="2:5">
      <c r="B235" s="6" t="s">
        <v>1548</v>
      </c>
      <c r="C235" s="6" t="s">
        <v>1549</v>
      </c>
      <c r="D235" s="6" t="s">
        <v>276</v>
      </c>
      <c r="E235" s="6" t="s">
        <v>1148</v>
      </c>
    </row>
    <row r="236" customHeight="1" spans="2:5">
      <c r="B236" s="6" t="s">
        <v>1550</v>
      </c>
      <c r="C236" s="6" t="s">
        <v>1550</v>
      </c>
      <c r="D236" s="6" t="s">
        <v>276</v>
      </c>
      <c r="E236" s="6" t="s">
        <v>1148</v>
      </c>
    </row>
    <row r="237" customHeight="1" spans="2:5">
      <c r="B237" s="6" t="s">
        <v>1551</v>
      </c>
      <c r="C237" s="6" t="s">
        <v>1551</v>
      </c>
      <c r="D237" s="6" t="s">
        <v>276</v>
      </c>
      <c r="E237" s="6" t="s">
        <v>1148</v>
      </c>
    </row>
    <row r="238" customHeight="1" spans="2:5">
      <c r="B238" s="6" t="s">
        <v>1552</v>
      </c>
      <c r="C238" s="6" t="s">
        <v>1552</v>
      </c>
      <c r="D238" s="6" t="s">
        <v>276</v>
      </c>
      <c r="E238" s="6" t="s">
        <v>1148</v>
      </c>
    </row>
    <row r="239" customHeight="1" spans="2:5">
      <c r="B239" s="6" t="s">
        <v>1553</v>
      </c>
      <c r="C239" s="6" t="s">
        <v>1554</v>
      </c>
      <c r="D239" s="6" t="s">
        <v>276</v>
      </c>
      <c r="E239" s="6" t="s">
        <v>1148</v>
      </c>
    </row>
    <row r="240" customHeight="1" spans="2:5">
      <c r="B240" s="6" t="s">
        <v>1555</v>
      </c>
      <c r="C240" s="6" t="s">
        <v>1555</v>
      </c>
      <c r="D240" s="6" t="s">
        <v>276</v>
      </c>
      <c r="E240" s="6" t="s">
        <v>1148</v>
      </c>
    </row>
    <row r="241" customHeight="1" spans="2:5">
      <c r="B241" s="6" t="s">
        <v>1556</v>
      </c>
      <c r="C241" s="6" t="s">
        <v>1557</v>
      </c>
      <c r="D241" s="6" t="s">
        <v>276</v>
      </c>
      <c r="E241" s="6" t="s">
        <v>1148</v>
      </c>
    </row>
    <row r="242" customHeight="1" spans="2:5">
      <c r="B242" s="6" t="s">
        <v>1558</v>
      </c>
      <c r="C242" s="6" t="s">
        <v>1559</v>
      </c>
      <c r="D242" s="6" t="s">
        <v>276</v>
      </c>
      <c r="E242" s="6" t="s">
        <v>1148</v>
      </c>
    </row>
    <row r="243" customHeight="1" spans="2:5">
      <c r="B243" s="6" t="s">
        <v>1560</v>
      </c>
      <c r="C243" s="6" t="s">
        <v>1560</v>
      </c>
      <c r="D243" s="6" t="s">
        <v>276</v>
      </c>
      <c r="E243" s="6" t="s">
        <v>1148</v>
      </c>
    </row>
    <row r="244" customHeight="1" spans="2:5">
      <c r="B244" s="6" t="s">
        <v>1561</v>
      </c>
      <c r="C244" s="6" t="s">
        <v>1562</v>
      </c>
      <c r="D244" s="6" t="s">
        <v>276</v>
      </c>
      <c r="E244" s="6" t="s">
        <v>1148</v>
      </c>
    </row>
    <row r="245" customHeight="1" spans="2:5">
      <c r="B245" s="6" t="s">
        <v>1563</v>
      </c>
      <c r="C245" s="6" t="s">
        <v>1563</v>
      </c>
      <c r="D245" s="6" t="s">
        <v>276</v>
      </c>
      <c r="E245" s="6" t="s">
        <v>1148</v>
      </c>
    </row>
    <row r="246" customHeight="1" spans="2:5">
      <c r="B246" s="6" t="s">
        <v>1564</v>
      </c>
      <c r="C246" s="6" t="s">
        <v>1564</v>
      </c>
      <c r="D246" s="6" t="s">
        <v>276</v>
      </c>
      <c r="E246" s="6" t="s">
        <v>1148</v>
      </c>
    </row>
    <row r="247" customHeight="1" spans="2:5">
      <c r="B247" s="6" t="s">
        <v>1565</v>
      </c>
      <c r="C247" s="6" t="s">
        <v>1566</v>
      </c>
      <c r="D247" s="6" t="s">
        <v>276</v>
      </c>
      <c r="E247" s="6" t="s">
        <v>1148</v>
      </c>
    </row>
    <row r="248" customHeight="1" spans="2:5">
      <c r="B248" s="6" t="s">
        <v>1567</v>
      </c>
      <c r="C248" s="6" t="s">
        <v>1567</v>
      </c>
      <c r="D248" s="6" t="s">
        <v>276</v>
      </c>
      <c r="E248" s="6" t="s">
        <v>1148</v>
      </c>
    </row>
    <row r="249" customHeight="1" spans="2:5">
      <c r="B249" s="6" t="s">
        <v>1568</v>
      </c>
      <c r="C249" s="6" t="s">
        <v>1568</v>
      </c>
      <c r="D249" s="6" t="s">
        <v>276</v>
      </c>
      <c r="E249" s="6" t="s">
        <v>1148</v>
      </c>
    </row>
    <row r="250" customHeight="1" spans="2:5">
      <c r="B250" s="6" t="s">
        <v>1569</v>
      </c>
      <c r="C250" s="6" t="s">
        <v>1569</v>
      </c>
      <c r="D250" s="6" t="s">
        <v>276</v>
      </c>
      <c r="E250" s="6" t="s">
        <v>1148</v>
      </c>
    </row>
    <row r="251" customHeight="1" spans="2:5">
      <c r="B251" s="6" t="s">
        <v>1570</v>
      </c>
      <c r="C251" s="6" t="s">
        <v>1570</v>
      </c>
      <c r="D251" s="6" t="s">
        <v>276</v>
      </c>
      <c r="E251" s="6" t="s">
        <v>1148</v>
      </c>
    </row>
    <row r="252" customHeight="1" spans="2:5">
      <c r="B252" s="6" t="s">
        <v>1571</v>
      </c>
      <c r="C252" s="6" t="s">
        <v>1571</v>
      </c>
      <c r="D252" s="6" t="s">
        <v>276</v>
      </c>
      <c r="E252" s="6" t="s">
        <v>1148</v>
      </c>
    </row>
    <row r="253" customHeight="1" spans="2:5">
      <c r="B253" s="6" t="s">
        <v>1572</v>
      </c>
      <c r="C253" s="6" t="s">
        <v>1573</v>
      </c>
      <c r="D253" s="6" t="s">
        <v>276</v>
      </c>
      <c r="E253" s="6" t="s">
        <v>1148</v>
      </c>
    </row>
    <row r="254" customHeight="1" spans="2:5">
      <c r="B254" s="6" t="s">
        <v>1574</v>
      </c>
      <c r="C254" s="6" t="s">
        <v>1575</v>
      </c>
      <c r="D254" s="6" t="s">
        <v>276</v>
      </c>
      <c r="E254" s="6" t="s">
        <v>1148</v>
      </c>
    </row>
    <row r="255" customHeight="1" spans="2:5">
      <c r="B255" s="6" t="s">
        <v>1576</v>
      </c>
      <c r="C255" s="6" t="s">
        <v>1577</v>
      </c>
      <c r="D255" s="6" t="s">
        <v>276</v>
      </c>
      <c r="E255" s="6" t="s">
        <v>1148</v>
      </c>
    </row>
    <row r="256" customHeight="1" spans="2:5">
      <c r="B256" s="6" t="s">
        <v>1578</v>
      </c>
      <c r="C256" s="6" t="s">
        <v>1579</v>
      </c>
      <c r="D256" s="6" t="s">
        <v>276</v>
      </c>
      <c r="E256" s="6" t="s">
        <v>1148</v>
      </c>
    </row>
    <row r="257" customHeight="1" spans="2:5">
      <c r="B257" s="6" t="s">
        <v>1580</v>
      </c>
      <c r="C257" s="6" t="s">
        <v>1581</v>
      </c>
      <c r="D257" s="6" t="s">
        <v>276</v>
      </c>
      <c r="E257" s="6" t="s">
        <v>1148</v>
      </c>
    </row>
    <row r="258" customHeight="1" spans="2:5">
      <c r="B258" s="6" t="s">
        <v>1582</v>
      </c>
      <c r="C258" s="6" t="s">
        <v>1583</v>
      </c>
      <c r="D258" s="6" t="s">
        <v>276</v>
      </c>
      <c r="E258" s="6" t="s">
        <v>1148</v>
      </c>
    </row>
    <row r="259" customHeight="1" spans="2:5">
      <c r="B259" s="6" t="s">
        <v>1584</v>
      </c>
      <c r="C259" s="6" t="s">
        <v>1585</v>
      </c>
      <c r="D259" s="6" t="s">
        <v>276</v>
      </c>
      <c r="E259" s="6" t="s">
        <v>1148</v>
      </c>
    </row>
    <row r="260" customHeight="1" spans="2:5">
      <c r="B260" s="6" t="s">
        <v>1586</v>
      </c>
      <c r="C260" s="6" t="s">
        <v>1587</v>
      </c>
      <c r="D260" s="6" t="s">
        <v>276</v>
      </c>
      <c r="E260" s="6" t="s">
        <v>1148</v>
      </c>
    </row>
    <row r="261" customHeight="1" spans="2:5">
      <c r="B261" s="6" t="s">
        <v>1588</v>
      </c>
      <c r="C261" s="6" t="s">
        <v>1589</v>
      </c>
      <c r="D261" s="6" t="s">
        <v>276</v>
      </c>
      <c r="E261" s="6" t="s">
        <v>1148</v>
      </c>
    </row>
    <row r="262" customHeight="1" spans="2:5">
      <c r="B262" s="6" t="s">
        <v>1590</v>
      </c>
      <c r="C262" s="6" t="s">
        <v>1590</v>
      </c>
      <c r="D262" s="6" t="s">
        <v>276</v>
      </c>
      <c r="E262" s="6" t="s">
        <v>1148</v>
      </c>
    </row>
    <row r="263" customHeight="1" spans="2:5">
      <c r="B263" s="6" t="s">
        <v>1591</v>
      </c>
      <c r="C263" s="6" t="s">
        <v>1591</v>
      </c>
      <c r="D263" s="6" t="s">
        <v>276</v>
      </c>
      <c r="E263" s="6" t="s">
        <v>1148</v>
      </c>
    </row>
    <row r="264" customHeight="1" spans="2:5">
      <c r="B264" s="6" t="s">
        <v>1592</v>
      </c>
      <c r="C264" s="6" t="s">
        <v>1593</v>
      </c>
      <c r="D264" s="6" t="s">
        <v>276</v>
      </c>
      <c r="E264" s="6" t="s">
        <v>1148</v>
      </c>
    </row>
    <row r="265" customHeight="1" spans="2:5">
      <c r="B265" s="6" t="s">
        <v>1594</v>
      </c>
      <c r="C265" s="6" t="s">
        <v>1594</v>
      </c>
      <c r="D265" s="6" t="s">
        <v>276</v>
      </c>
      <c r="E265" s="6" t="s">
        <v>1148</v>
      </c>
    </row>
    <row r="266" customHeight="1" spans="2:5">
      <c r="B266" s="6" t="s">
        <v>1595</v>
      </c>
      <c r="C266" s="6" t="s">
        <v>1595</v>
      </c>
      <c r="D266" s="6" t="s">
        <v>276</v>
      </c>
      <c r="E266" s="6" t="s">
        <v>1148</v>
      </c>
    </row>
    <row r="267" customHeight="1" spans="2:5">
      <c r="B267" s="6" t="s">
        <v>1596</v>
      </c>
      <c r="C267" s="6" t="s">
        <v>1597</v>
      </c>
      <c r="D267" s="6" t="s">
        <v>276</v>
      </c>
      <c r="E267" s="6" t="s">
        <v>1148</v>
      </c>
    </row>
    <row r="268" customHeight="1" spans="2:5">
      <c r="B268" s="6" t="s">
        <v>1598</v>
      </c>
      <c r="C268" s="6" t="s">
        <v>1599</v>
      </c>
      <c r="D268" s="6" t="s">
        <v>276</v>
      </c>
      <c r="E268" s="6" t="s">
        <v>1148</v>
      </c>
    </row>
    <row r="269" customHeight="1" spans="2:5">
      <c r="B269" s="6" t="s">
        <v>1600</v>
      </c>
      <c r="C269" s="6" t="s">
        <v>1601</v>
      </c>
      <c r="D269" s="6" t="s">
        <v>276</v>
      </c>
      <c r="E269" s="6" t="s">
        <v>1148</v>
      </c>
    </row>
    <row r="270" customHeight="1" spans="2:5">
      <c r="B270" s="6" t="s">
        <v>1602</v>
      </c>
      <c r="C270" s="6" t="s">
        <v>1603</v>
      </c>
      <c r="D270" s="6" t="s">
        <v>276</v>
      </c>
      <c r="E270" s="6" t="s">
        <v>1148</v>
      </c>
    </row>
    <row r="271" customHeight="1" spans="2:5">
      <c r="B271" s="6" t="s">
        <v>1604</v>
      </c>
      <c r="C271" s="6" t="s">
        <v>1605</v>
      </c>
      <c r="D271" s="6" t="s">
        <v>276</v>
      </c>
      <c r="E271" s="6" t="s">
        <v>1148</v>
      </c>
    </row>
    <row r="272" customHeight="1" spans="2:5">
      <c r="B272" s="6" t="s">
        <v>1606</v>
      </c>
      <c r="C272" s="6" t="s">
        <v>1607</v>
      </c>
      <c r="D272" s="6" t="s">
        <v>276</v>
      </c>
      <c r="E272" s="6" t="s">
        <v>1148</v>
      </c>
    </row>
    <row r="273" customHeight="1" spans="2:5">
      <c r="B273" s="6" t="s">
        <v>1608</v>
      </c>
      <c r="C273" s="6" t="s">
        <v>1608</v>
      </c>
      <c r="D273" s="6" t="s">
        <v>276</v>
      </c>
      <c r="E273" s="6" t="s">
        <v>1148</v>
      </c>
    </row>
    <row r="274" customHeight="1" spans="2:5">
      <c r="B274" s="6" t="s">
        <v>1609</v>
      </c>
      <c r="C274" s="6" t="s">
        <v>1610</v>
      </c>
      <c r="D274" s="6" t="s">
        <v>276</v>
      </c>
      <c r="E274" s="6" t="s">
        <v>1148</v>
      </c>
    </row>
    <row r="275" customHeight="1" spans="2:5">
      <c r="B275" s="6" t="s">
        <v>1611</v>
      </c>
      <c r="C275" s="6" t="s">
        <v>1612</v>
      </c>
      <c r="D275" s="6" t="s">
        <v>276</v>
      </c>
      <c r="E275" s="6" t="s">
        <v>1148</v>
      </c>
    </row>
    <row r="276" customHeight="1" spans="2:5">
      <c r="B276" s="6" t="s">
        <v>1613</v>
      </c>
      <c r="C276" s="6" t="s">
        <v>1614</v>
      </c>
      <c r="D276" s="6" t="s">
        <v>276</v>
      </c>
      <c r="E276" s="6" t="s">
        <v>1148</v>
      </c>
    </row>
    <row r="277" customHeight="1" spans="2:5">
      <c r="B277" s="6" t="s">
        <v>1615</v>
      </c>
      <c r="C277" s="6" t="s">
        <v>1616</v>
      </c>
      <c r="D277" s="6" t="s">
        <v>276</v>
      </c>
      <c r="E277" s="6" t="s">
        <v>1148</v>
      </c>
    </row>
    <row r="278" customHeight="1" spans="2:5">
      <c r="B278" s="6" t="s">
        <v>1617</v>
      </c>
      <c r="C278" s="6" t="s">
        <v>1618</v>
      </c>
      <c r="D278" s="6" t="s">
        <v>276</v>
      </c>
      <c r="E278" s="6" t="s">
        <v>1148</v>
      </c>
    </row>
    <row r="279" customHeight="1" spans="2:5">
      <c r="B279" s="6" t="s">
        <v>1619</v>
      </c>
      <c r="C279" s="6" t="s">
        <v>1620</v>
      </c>
      <c r="D279" s="6" t="s">
        <v>276</v>
      </c>
      <c r="E279" s="6" t="s">
        <v>1148</v>
      </c>
    </row>
    <row r="280" customHeight="1" spans="2:5">
      <c r="B280" s="6" t="s">
        <v>1621</v>
      </c>
      <c r="C280" s="6" t="s">
        <v>1622</v>
      </c>
      <c r="D280" s="6" t="s">
        <v>276</v>
      </c>
      <c r="E280" s="6" t="s">
        <v>1148</v>
      </c>
    </row>
    <row r="281" customHeight="1" spans="2:5">
      <c r="B281" s="6" t="s">
        <v>1623</v>
      </c>
      <c r="C281" s="6" t="s">
        <v>1624</v>
      </c>
      <c r="D281" s="6" t="s">
        <v>276</v>
      </c>
      <c r="E281" s="6" t="s">
        <v>1148</v>
      </c>
    </row>
    <row r="282" customHeight="1" spans="2:5">
      <c r="B282" s="6" t="s">
        <v>1625</v>
      </c>
      <c r="C282" s="6" t="s">
        <v>1626</v>
      </c>
      <c r="D282" s="6" t="s">
        <v>276</v>
      </c>
      <c r="E282" s="6" t="s">
        <v>1148</v>
      </c>
    </row>
    <row r="283" customHeight="1" spans="2:5">
      <c r="B283" s="6" t="s">
        <v>1627</v>
      </c>
      <c r="C283" s="6" t="s">
        <v>1628</v>
      </c>
      <c r="D283" s="6" t="s">
        <v>276</v>
      </c>
      <c r="E283" s="6" t="s">
        <v>1148</v>
      </c>
    </row>
    <row r="284" customHeight="1" spans="2:5">
      <c r="B284" s="6" t="s">
        <v>1629</v>
      </c>
      <c r="C284" s="6" t="s">
        <v>1630</v>
      </c>
      <c r="D284" s="6" t="s">
        <v>276</v>
      </c>
      <c r="E284" s="6" t="s">
        <v>1148</v>
      </c>
    </row>
    <row r="285" customHeight="1" spans="2:5">
      <c r="B285" s="6" t="s">
        <v>1631</v>
      </c>
      <c r="C285" s="6" t="s">
        <v>1632</v>
      </c>
      <c r="D285" s="6" t="s">
        <v>276</v>
      </c>
      <c r="E285" s="6" t="s">
        <v>1148</v>
      </c>
    </row>
    <row r="286" customHeight="1" spans="2:5">
      <c r="B286" s="6" t="s">
        <v>1633</v>
      </c>
      <c r="C286" s="6" t="s">
        <v>1634</v>
      </c>
      <c r="D286" s="6" t="s">
        <v>276</v>
      </c>
      <c r="E286" s="6" t="s">
        <v>1148</v>
      </c>
    </row>
    <row r="287" customHeight="1" spans="2:5">
      <c r="B287" s="6" t="s">
        <v>1635</v>
      </c>
      <c r="C287" s="6" t="s">
        <v>1636</v>
      </c>
      <c r="D287" s="6" t="s">
        <v>276</v>
      </c>
      <c r="E287" s="6" t="s">
        <v>1148</v>
      </c>
    </row>
    <row r="288" customHeight="1" spans="2:5">
      <c r="B288" s="6" t="s">
        <v>1637</v>
      </c>
      <c r="C288" s="6" t="s">
        <v>1638</v>
      </c>
      <c r="D288" s="6" t="s">
        <v>276</v>
      </c>
      <c r="E288" s="6" t="s">
        <v>1148</v>
      </c>
    </row>
    <row r="289" customHeight="1" spans="2:5">
      <c r="B289" s="6" t="s">
        <v>1639</v>
      </c>
      <c r="C289" s="6" t="s">
        <v>1640</v>
      </c>
      <c r="D289" s="6" t="s">
        <v>276</v>
      </c>
      <c r="E289" s="6" t="s">
        <v>1148</v>
      </c>
    </row>
    <row r="290" customHeight="1" spans="2:5">
      <c r="B290" s="6" t="s">
        <v>1641</v>
      </c>
      <c r="C290" s="6" t="s">
        <v>1642</v>
      </c>
      <c r="D290" s="6" t="s">
        <v>276</v>
      </c>
      <c r="E290" s="6" t="s">
        <v>1148</v>
      </c>
    </row>
    <row r="291" customHeight="1" spans="2:5">
      <c r="B291" s="6" t="s">
        <v>1643</v>
      </c>
      <c r="C291" s="6" t="s">
        <v>1644</v>
      </c>
      <c r="D291" s="6" t="s">
        <v>276</v>
      </c>
      <c r="E291" s="6" t="s">
        <v>1148</v>
      </c>
    </row>
    <row r="292" customHeight="1" spans="2:5">
      <c r="B292" s="6" t="s">
        <v>1645</v>
      </c>
      <c r="C292" s="6" t="s">
        <v>1646</v>
      </c>
      <c r="D292" s="6" t="s">
        <v>276</v>
      </c>
      <c r="E292" s="6" t="s">
        <v>1148</v>
      </c>
    </row>
    <row r="293" customHeight="1" spans="2:5">
      <c r="B293" s="6" t="s">
        <v>1647</v>
      </c>
      <c r="C293" s="6" t="s">
        <v>1647</v>
      </c>
      <c r="D293" s="6" t="s">
        <v>276</v>
      </c>
      <c r="E293" s="6" t="s">
        <v>1148</v>
      </c>
    </row>
    <row r="294" customHeight="1" spans="2:5">
      <c r="B294" s="6" t="s">
        <v>1648</v>
      </c>
      <c r="C294" s="6" t="s">
        <v>1648</v>
      </c>
      <c r="D294" s="6" t="s">
        <v>276</v>
      </c>
      <c r="E294" s="6" t="s">
        <v>1148</v>
      </c>
    </row>
    <row r="295" customHeight="1" spans="2:5">
      <c r="B295" s="6" t="s">
        <v>1649</v>
      </c>
      <c r="C295" s="6" t="s">
        <v>1650</v>
      </c>
      <c r="D295" s="6" t="s">
        <v>276</v>
      </c>
      <c r="E295" s="6" t="s">
        <v>1148</v>
      </c>
    </row>
    <row r="296" customHeight="1" spans="2:5">
      <c r="B296" s="6" t="s">
        <v>1651</v>
      </c>
      <c r="C296" s="6" t="s">
        <v>1652</v>
      </c>
      <c r="D296" s="6" t="s">
        <v>276</v>
      </c>
      <c r="E296" s="6" t="s">
        <v>1148</v>
      </c>
    </row>
    <row r="297" customHeight="1" spans="2:5">
      <c r="B297" s="6" t="s">
        <v>1653</v>
      </c>
      <c r="C297" s="6" t="s">
        <v>1654</v>
      </c>
      <c r="D297" s="6" t="s">
        <v>276</v>
      </c>
      <c r="E297" s="6" t="s">
        <v>1148</v>
      </c>
    </row>
    <row r="298" customHeight="1" spans="2:5">
      <c r="B298" s="6" t="s">
        <v>1655</v>
      </c>
      <c r="C298" s="6" t="s">
        <v>1656</v>
      </c>
      <c r="D298" s="6" t="s">
        <v>276</v>
      </c>
      <c r="E298" s="6" t="s">
        <v>1148</v>
      </c>
    </row>
    <row r="299" customHeight="1" spans="2:5">
      <c r="B299" s="6" t="s">
        <v>1657</v>
      </c>
      <c r="C299" s="6" t="s">
        <v>1658</v>
      </c>
      <c r="D299" s="6" t="s">
        <v>276</v>
      </c>
      <c r="E299" s="6" t="s">
        <v>1148</v>
      </c>
    </row>
    <row r="300" customHeight="1" spans="2:5">
      <c r="B300" s="6" t="s">
        <v>1659</v>
      </c>
      <c r="C300" s="6" t="s">
        <v>1659</v>
      </c>
      <c r="D300" s="6" t="s">
        <v>276</v>
      </c>
      <c r="E300" s="6" t="s">
        <v>1148</v>
      </c>
    </row>
    <row r="301" customHeight="1" spans="2:5">
      <c r="B301" s="6" t="s">
        <v>1660</v>
      </c>
      <c r="C301" s="6" t="s">
        <v>1661</v>
      </c>
      <c r="D301" s="6" t="s">
        <v>276</v>
      </c>
      <c r="E301" s="6" t="s">
        <v>1148</v>
      </c>
    </row>
    <row r="302" customHeight="1" spans="2:5">
      <c r="B302" s="6" t="s">
        <v>1662</v>
      </c>
      <c r="C302" s="6" t="s">
        <v>1662</v>
      </c>
      <c r="D302" s="6" t="s">
        <v>276</v>
      </c>
      <c r="E302" s="6" t="s">
        <v>1148</v>
      </c>
    </row>
    <row r="303" customHeight="1" spans="2:5">
      <c r="B303" s="6" t="s">
        <v>1663</v>
      </c>
      <c r="C303" s="6" t="s">
        <v>1663</v>
      </c>
      <c r="D303" s="6" t="s">
        <v>276</v>
      </c>
      <c r="E303" s="6" t="s">
        <v>1148</v>
      </c>
    </row>
    <row r="304" customHeight="1" spans="2:5">
      <c r="B304" s="6" t="s">
        <v>1664</v>
      </c>
      <c r="C304" s="6" t="s">
        <v>1665</v>
      </c>
      <c r="D304" s="6" t="s">
        <v>276</v>
      </c>
      <c r="E304" s="6" t="s">
        <v>1148</v>
      </c>
    </row>
    <row r="305" customHeight="1" spans="2:5">
      <c r="B305" s="6" t="s">
        <v>1666</v>
      </c>
      <c r="C305" s="6" t="s">
        <v>1667</v>
      </c>
      <c r="D305" s="6" t="s">
        <v>276</v>
      </c>
      <c r="E305" s="6" t="s">
        <v>1148</v>
      </c>
    </row>
    <row r="306" customHeight="1" spans="2:5">
      <c r="B306" s="6" t="s">
        <v>1668</v>
      </c>
      <c r="C306" s="6" t="s">
        <v>1669</v>
      </c>
      <c r="D306" s="6" t="s">
        <v>276</v>
      </c>
      <c r="E306" s="6" t="s">
        <v>1148</v>
      </c>
    </row>
    <row r="307" customHeight="1" spans="2:5">
      <c r="B307" s="6" t="s">
        <v>1670</v>
      </c>
      <c r="C307" s="6" t="s">
        <v>1671</v>
      </c>
      <c r="D307" s="6" t="s">
        <v>276</v>
      </c>
      <c r="E307" s="6" t="s">
        <v>1148</v>
      </c>
    </row>
    <row r="308" customHeight="1" spans="2:5">
      <c r="B308" s="6" t="s">
        <v>1672</v>
      </c>
      <c r="C308" s="6" t="s">
        <v>1673</v>
      </c>
      <c r="D308" s="6" t="s">
        <v>276</v>
      </c>
      <c r="E308" s="6" t="s">
        <v>1148</v>
      </c>
    </row>
    <row r="309" customHeight="1" spans="2:5">
      <c r="B309" s="6" t="s">
        <v>1674</v>
      </c>
      <c r="C309" s="6" t="s">
        <v>1674</v>
      </c>
      <c r="D309" s="6" t="s">
        <v>276</v>
      </c>
      <c r="E309" s="6" t="s">
        <v>1148</v>
      </c>
    </row>
    <row r="310" customHeight="1" spans="2:5">
      <c r="B310" s="6" t="s">
        <v>1675</v>
      </c>
      <c r="C310" s="6" t="s">
        <v>1675</v>
      </c>
      <c r="D310" s="6" t="s">
        <v>276</v>
      </c>
      <c r="E310" s="6" t="s">
        <v>1148</v>
      </c>
    </row>
    <row r="311" customHeight="1" spans="2:5">
      <c r="B311" s="6" t="s">
        <v>1676</v>
      </c>
      <c r="C311" s="6" t="s">
        <v>1677</v>
      </c>
      <c r="D311" s="6" t="s">
        <v>276</v>
      </c>
      <c r="E311" s="6" t="s">
        <v>1148</v>
      </c>
    </row>
    <row r="312" customHeight="1" spans="2:5">
      <c r="B312" s="6" t="s">
        <v>1678</v>
      </c>
      <c r="C312" s="6" t="s">
        <v>1679</v>
      </c>
      <c r="D312" s="6" t="s">
        <v>276</v>
      </c>
      <c r="E312" s="6" t="s">
        <v>1148</v>
      </c>
    </row>
    <row r="313" customHeight="1" spans="2:5">
      <c r="B313" s="6" t="s">
        <v>1680</v>
      </c>
      <c r="C313" s="6" t="s">
        <v>1680</v>
      </c>
      <c r="D313" s="6" t="s">
        <v>276</v>
      </c>
      <c r="E313" s="6" t="s">
        <v>1148</v>
      </c>
    </row>
    <row r="314" customHeight="1" spans="2:5">
      <c r="B314" s="6" t="s">
        <v>1681</v>
      </c>
      <c r="C314" s="6" t="s">
        <v>1682</v>
      </c>
      <c r="D314" s="6" t="s">
        <v>276</v>
      </c>
      <c r="E314" s="6" t="s">
        <v>1148</v>
      </c>
    </row>
    <row r="315" customHeight="1" spans="2:5">
      <c r="B315" s="6" t="s">
        <v>1683</v>
      </c>
      <c r="C315" s="6" t="s">
        <v>1683</v>
      </c>
      <c r="D315" s="6" t="s">
        <v>276</v>
      </c>
      <c r="E315" s="6" t="s">
        <v>1148</v>
      </c>
    </row>
    <row r="316" customHeight="1" spans="2:5">
      <c r="B316" s="6" t="s">
        <v>1684</v>
      </c>
      <c r="C316" s="6" t="s">
        <v>1685</v>
      </c>
      <c r="D316" s="6" t="s">
        <v>276</v>
      </c>
      <c r="E316" s="6" t="s">
        <v>1148</v>
      </c>
    </row>
    <row r="317" customHeight="1" spans="2:5">
      <c r="B317" s="6" t="s">
        <v>1686</v>
      </c>
      <c r="C317" s="6" t="s">
        <v>1686</v>
      </c>
      <c r="D317" s="6" t="s">
        <v>276</v>
      </c>
      <c r="E317" s="6" t="s">
        <v>1148</v>
      </c>
    </row>
    <row r="318" customHeight="1" spans="2:5">
      <c r="B318" s="6" t="s">
        <v>1687</v>
      </c>
      <c r="C318" s="6" t="s">
        <v>1687</v>
      </c>
      <c r="D318" s="6" t="s">
        <v>276</v>
      </c>
      <c r="E318" s="6" t="s">
        <v>1148</v>
      </c>
    </row>
    <row r="319" customHeight="1" spans="2:5">
      <c r="B319" s="6" t="s">
        <v>1688</v>
      </c>
      <c r="C319" s="6" t="s">
        <v>1689</v>
      </c>
      <c r="D319" s="6" t="s">
        <v>276</v>
      </c>
      <c r="E319" s="6" t="s">
        <v>1148</v>
      </c>
    </row>
    <row r="320" customHeight="1" spans="2:5">
      <c r="B320" s="6" t="s">
        <v>1690</v>
      </c>
      <c r="C320" s="6" t="s">
        <v>1691</v>
      </c>
      <c r="D320" s="6" t="s">
        <v>276</v>
      </c>
      <c r="E320" s="6" t="s">
        <v>1148</v>
      </c>
    </row>
    <row r="321" customHeight="1" spans="2:5">
      <c r="B321" s="6" t="s">
        <v>1692</v>
      </c>
      <c r="C321" s="6" t="s">
        <v>1692</v>
      </c>
      <c r="D321" s="6" t="s">
        <v>276</v>
      </c>
      <c r="E321" s="6" t="s">
        <v>1148</v>
      </c>
    </row>
    <row r="322" customHeight="1" spans="2:5">
      <c r="B322" s="6" t="s">
        <v>1693</v>
      </c>
      <c r="C322" s="6" t="s">
        <v>1694</v>
      </c>
      <c r="D322" s="6" t="s">
        <v>276</v>
      </c>
      <c r="E322" s="6" t="s">
        <v>1148</v>
      </c>
    </row>
    <row r="323" customHeight="1" spans="2:5">
      <c r="B323" s="6" t="s">
        <v>1695</v>
      </c>
      <c r="C323" s="6" t="s">
        <v>1696</v>
      </c>
      <c r="D323" s="6" t="s">
        <v>276</v>
      </c>
      <c r="E323" s="6" t="s">
        <v>1148</v>
      </c>
    </row>
    <row r="324" customHeight="1" spans="2:5">
      <c r="B324" s="6" t="s">
        <v>1697</v>
      </c>
      <c r="C324" s="6" t="s">
        <v>1698</v>
      </c>
      <c r="D324" s="6" t="s">
        <v>276</v>
      </c>
      <c r="E324" s="6" t="s">
        <v>1148</v>
      </c>
    </row>
    <row r="325" customHeight="1" spans="2:5">
      <c r="B325" s="6" t="s">
        <v>1699</v>
      </c>
      <c r="C325" s="6" t="s">
        <v>1700</v>
      </c>
      <c r="D325" s="6" t="s">
        <v>276</v>
      </c>
      <c r="E325" s="6" t="s">
        <v>1148</v>
      </c>
    </row>
    <row r="326" customHeight="1" spans="2:5">
      <c r="B326" s="6" t="s">
        <v>1701</v>
      </c>
      <c r="C326" s="6" t="s">
        <v>1701</v>
      </c>
      <c r="D326" s="6" t="s">
        <v>276</v>
      </c>
      <c r="E326" s="6" t="s">
        <v>1148</v>
      </c>
    </row>
    <row r="327" customHeight="1" spans="2:5">
      <c r="B327" s="6" t="s">
        <v>1702</v>
      </c>
      <c r="C327" s="6" t="s">
        <v>1702</v>
      </c>
      <c r="D327" s="6" t="s">
        <v>276</v>
      </c>
      <c r="E327" s="6" t="s">
        <v>1148</v>
      </c>
    </row>
    <row r="328" customHeight="1" spans="2:5">
      <c r="B328" s="6" t="s">
        <v>1703</v>
      </c>
      <c r="C328" s="6" t="s">
        <v>1704</v>
      </c>
      <c r="D328" s="6" t="s">
        <v>276</v>
      </c>
      <c r="E328" s="6" t="s">
        <v>1148</v>
      </c>
    </row>
    <row r="329" customHeight="1" spans="2:5">
      <c r="B329" s="6" t="s">
        <v>1705</v>
      </c>
      <c r="C329" s="6" t="s">
        <v>1705</v>
      </c>
      <c r="D329" s="6" t="s">
        <v>276</v>
      </c>
      <c r="E329" s="6" t="s">
        <v>1148</v>
      </c>
    </row>
    <row r="330" customHeight="1" spans="2:5">
      <c r="B330" s="6" t="s">
        <v>1706</v>
      </c>
      <c r="C330" s="6" t="s">
        <v>1706</v>
      </c>
      <c r="D330" s="6" t="s">
        <v>276</v>
      </c>
      <c r="E330" s="6" t="s">
        <v>1148</v>
      </c>
    </row>
    <row r="331" customHeight="1" spans="2:5">
      <c r="B331" s="6" t="s">
        <v>1707</v>
      </c>
      <c r="C331" s="6" t="s">
        <v>1707</v>
      </c>
      <c r="D331" s="6" t="s">
        <v>276</v>
      </c>
      <c r="E331" s="6" t="s">
        <v>1148</v>
      </c>
    </row>
    <row r="332" customHeight="1" spans="2:5">
      <c r="B332" s="6" t="s">
        <v>1708</v>
      </c>
      <c r="C332" s="6" t="s">
        <v>1708</v>
      </c>
      <c r="D332" s="6" t="s">
        <v>276</v>
      </c>
      <c r="E332" s="6" t="s">
        <v>1148</v>
      </c>
    </row>
    <row r="333" customHeight="1" spans="2:5">
      <c r="B333" s="6" t="s">
        <v>1709</v>
      </c>
      <c r="C333" s="6" t="s">
        <v>1710</v>
      </c>
      <c r="D333" s="6" t="s">
        <v>276</v>
      </c>
      <c r="E333" s="6" t="s">
        <v>1148</v>
      </c>
    </row>
    <row r="334" customHeight="1" spans="2:5">
      <c r="B334" s="6" t="s">
        <v>1711</v>
      </c>
      <c r="C334" s="6" t="s">
        <v>1711</v>
      </c>
      <c r="D334" s="6" t="s">
        <v>276</v>
      </c>
      <c r="E334" s="6" t="s">
        <v>1148</v>
      </c>
    </row>
    <row r="335" customHeight="1" spans="2:5">
      <c r="B335" s="6" t="s">
        <v>1712</v>
      </c>
      <c r="C335" s="6" t="s">
        <v>1713</v>
      </c>
      <c r="D335" s="6" t="s">
        <v>276</v>
      </c>
      <c r="E335" s="6" t="s">
        <v>1148</v>
      </c>
    </row>
    <row r="336" customHeight="1" spans="2:5">
      <c r="B336" s="6" t="s">
        <v>1714</v>
      </c>
      <c r="C336" s="6" t="s">
        <v>1715</v>
      </c>
      <c r="D336" s="6" t="s">
        <v>276</v>
      </c>
      <c r="E336" s="6" t="s">
        <v>1148</v>
      </c>
    </row>
    <row r="337" customHeight="1" spans="2:5">
      <c r="B337" s="6" t="s">
        <v>1716</v>
      </c>
      <c r="C337" s="6" t="s">
        <v>1717</v>
      </c>
      <c r="D337" s="6" t="s">
        <v>276</v>
      </c>
      <c r="E337" s="6" t="s">
        <v>1148</v>
      </c>
    </row>
    <row r="338" customHeight="1" spans="2:5">
      <c r="B338" s="6" t="s">
        <v>1718</v>
      </c>
      <c r="C338" s="6" t="s">
        <v>1718</v>
      </c>
      <c r="D338" s="6" t="s">
        <v>276</v>
      </c>
      <c r="E338" s="6" t="s">
        <v>1148</v>
      </c>
    </row>
    <row r="339" customHeight="1" spans="2:5">
      <c r="B339" s="6" t="s">
        <v>1719</v>
      </c>
      <c r="C339" s="6" t="s">
        <v>1719</v>
      </c>
      <c r="D339" s="6" t="s">
        <v>276</v>
      </c>
      <c r="E339" s="6" t="s">
        <v>1148</v>
      </c>
    </row>
    <row r="340" customHeight="1" spans="2:5">
      <c r="B340" s="6" t="s">
        <v>1720</v>
      </c>
      <c r="C340" s="6" t="s">
        <v>1720</v>
      </c>
      <c r="D340" s="6" t="s">
        <v>276</v>
      </c>
      <c r="E340" s="6" t="s">
        <v>1148</v>
      </c>
    </row>
    <row r="341" customHeight="1" spans="2:5">
      <c r="B341" s="6" t="s">
        <v>1721</v>
      </c>
      <c r="C341" s="6" t="s">
        <v>1722</v>
      </c>
      <c r="D341" s="6" t="s">
        <v>276</v>
      </c>
      <c r="E341" s="6" t="s">
        <v>1148</v>
      </c>
    </row>
    <row r="342" customHeight="1" spans="2:5">
      <c r="B342" s="6" t="s">
        <v>1723</v>
      </c>
      <c r="C342" s="6" t="s">
        <v>1724</v>
      </c>
      <c r="D342" s="6" t="s">
        <v>276</v>
      </c>
      <c r="E342" s="6" t="s">
        <v>1148</v>
      </c>
    </row>
    <row r="343" customHeight="1" spans="2:5">
      <c r="B343" s="6" t="s">
        <v>1725</v>
      </c>
      <c r="C343" s="6" t="s">
        <v>1726</v>
      </c>
      <c r="D343" s="6" t="s">
        <v>276</v>
      </c>
      <c r="E343" s="6" t="s">
        <v>1148</v>
      </c>
    </row>
    <row r="344" customHeight="1" spans="2:5">
      <c r="B344" s="6" t="s">
        <v>1727</v>
      </c>
      <c r="C344" s="6" t="s">
        <v>1727</v>
      </c>
      <c r="D344" s="6" t="s">
        <v>276</v>
      </c>
      <c r="E344" s="6" t="s">
        <v>1148</v>
      </c>
    </row>
    <row r="345" customHeight="1" spans="2:5">
      <c r="B345" s="6" t="s">
        <v>1728</v>
      </c>
      <c r="C345" s="6" t="s">
        <v>1729</v>
      </c>
      <c r="D345" s="6" t="s">
        <v>276</v>
      </c>
      <c r="E345" s="6" t="s">
        <v>1148</v>
      </c>
    </row>
    <row r="346" customHeight="1" spans="2:5">
      <c r="B346" s="6" t="s">
        <v>1730</v>
      </c>
      <c r="C346" s="6" t="s">
        <v>1730</v>
      </c>
      <c r="D346" s="6" t="s">
        <v>276</v>
      </c>
      <c r="E346" s="6" t="s">
        <v>1148</v>
      </c>
    </row>
    <row r="347" customHeight="1" spans="2:5">
      <c r="B347" s="6" t="s">
        <v>1731</v>
      </c>
      <c r="C347" s="6" t="s">
        <v>1732</v>
      </c>
      <c r="D347" s="6" t="s">
        <v>276</v>
      </c>
      <c r="E347" s="6" t="s">
        <v>1148</v>
      </c>
    </row>
    <row r="348" customHeight="1" spans="2:5">
      <c r="B348" s="6" t="s">
        <v>1733</v>
      </c>
      <c r="C348" s="6" t="s">
        <v>1733</v>
      </c>
      <c r="D348" s="6" t="s">
        <v>276</v>
      </c>
      <c r="E348" s="6" t="s">
        <v>1148</v>
      </c>
    </row>
    <row r="349" customHeight="1" spans="2:5">
      <c r="B349" s="6" t="s">
        <v>1734</v>
      </c>
      <c r="C349" s="6" t="s">
        <v>1735</v>
      </c>
      <c r="D349" s="6" t="s">
        <v>276</v>
      </c>
      <c r="E349" s="6" t="s">
        <v>1148</v>
      </c>
    </row>
    <row r="350" customHeight="1" spans="2:5">
      <c r="B350" s="6" t="s">
        <v>1736</v>
      </c>
      <c r="C350" s="6" t="s">
        <v>1736</v>
      </c>
      <c r="D350" s="6" t="s">
        <v>276</v>
      </c>
      <c r="E350" s="6" t="s">
        <v>1148</v>
      </c>
    </row>
    <row r="351" customHeight="1" spans="2:5">
      <c r="B351" s="6" t="s">
        <v>1737</v>
      </c>
      <c r="C351" s="6" t="s">
        <v>1738</v>
      </c>
      <c r="D351" s="6" t="s">
        <v>276</v>
      </c>
      <c r="E351" s="6" t="s">
        <v>1148</v>
      </c>
    </row>
    <row r="352" customHeight="1" spans="2:5">
      <c r="B352" s="6" t="s">
        <v>1739</v>
      </c>
      <c r="C352" s="6" t="s">
        <v>1740</v>
      </c>
      <c r="D352" s="6" t="s">
        <v>276</v>
      </c>
      <c r="E352" s="6" t="s">
        <v>1148</v>
      </c>
    </row>
    <row r="353" customHeight="1" spans="2:5">
      <c r="B353" s="6" t="s">
        <v>1741</v>
      </c>
      <c r="C353" s="6" t="s">
        <v>1741</v>
      </c>
      <c r="D353" s="6" t="s">
        <v>276</v>
      </c>
      <c r="E353" s="6" t="s">
        <v>1148</v>
      </c>
    </row>
    <row r="354" customHeight="1" spans="2:5">
      <c r="B354" s="6" t="s">
        <v>1742</v>
      </c>
      <c r="C354" s="6" t="s">
        <v>1742</v>
      </c>
      <c r="D354" s="6" t="s">
        <v>276</v>
      </c>
      <c r="E354" s="6" t="s">
        <v>1148</v>
      </c>
    </row>
    <row r="355" customHeight="1" spans="2:5">
      <c r="B355" s="6" t="s">
        <v>1743</v>
      </c>
      <c r="C355" s="6" t="s">
        <v>1743</v>
      </c>
      <c r="D355" s="6" t="s">
        <v>276</v>
      </c>
      <c r="E355" s="6" t="s">
        <v>1148</v>
      </c>
    </row>
    <row r="356" customHeight="1" spans="2:5">
      <c r="B356" s="6" t="s">
        <v>1744</v>
      </c>
      <c r="C356" s="6" t="s">
        <v>1745</v>
      </c>
      <c r="D356" s="6" t="s">
        <v>276</v>
      </c>
      <c r="E356" s="6" t="s">
        <v>1148</v>
      </c>
    </row>
    <row r="357" customHeight="1" spans="2:5">
      <c r="B357" s="6" t="s">
        <v>1746</v>
      </c>
      <c r="C357" s="6" t="s">
        <v>1746</v>
      </c>
      <c r="D357" s="6" t="s">
        <v>276</v>
      </c>
      <c r="E357" s="6" t="s">
        <v>1148</v>
      </c>
    </row>
    <row r="358" customHeight="1" spans="2:5">
      <c r="B358" s="6" t="s">
        <v>1747</v>
      </c>
      <c r="C358" s="6" t="s">
        <v>1747</v>
      </c>
      <c r="D358" s="6" t="s">
        <v>276</v>
      </c>
      <c r="E358" s="6" t="s">
        <v>1148</v>
      </c>
    </row>
    <row r="359" customHeight="1" spans="2:5">
      <c r="B359" s="6" t="s">
        <v>1748</v>
      </c>
      <c r="C359" s="6" t="s">
        <v>1748</v>
      </c>
      <c r="D359" s="6" t="s">
        <v>276</v>
      </c>
      <c r="E359" s="6" t="s">
        <v>1148</v>
      </c>
    </row>
    <row r="360" customHeight="1" spans="2:5">
      <c r="B360" s="6" t="s">
        <v>1749</v>
      </c>
      <c r="C360" s="6" t="s">
        <v>1750</v>
      </c>
      <c r="D360" s="6" t="s">
        <v>276</v>
      </c>
      <c r="E360" s="6" t="s">
        <v>1148</v>
      </c>
    </row>
    <row r="361" customHeight="1" spans="2:5">
      <c r="B361" s="6" t="s">
        <v>1751</v>
      </c>
      <c r="C361" s="6" t="s">
        <v>1751</v>
      </c>
      <c r="D361" s="6" t="s">
        <v>276</v>
      </c>
      <c r="E361" s="6" t="s">
        <v>1148</v>
      </c>
    </row>
    <row r="362" customHeight="1" spans="2:5">
      <c r="B362" s="6" t="s">
        <v>1752</v>
      </c>
      <c r="C362" s="6" t="s">
        <v>1752</v>
      </c>
      <c r="D362" s="6" t="s">
        <v>276</v>
      </c>
      <c r="E362" s="6" t="s">
        <v>1148</v>
      </c>
    </row>
    <row r="363" customHeight="1" spans="2:5">
      <c r="B363" s="6" t="s">
        <v>1753</v>
      </c>
      <c r="C363" s="6" t="s">
        <v>1754</v>
      </c>
      <c r="D363" s="6" t="s">
        <v>276</v>
      </c>
      <c r="E363" s="6" t="s">
        <v>1148</v>
      </c>
    </row>
    <row r="364" customHeight="1" spans="2:5">
      <c r="B364" s="6" t="s">
        <v>1755</v>
      </c>
      <c r="C364" s="6" t="s">
        <v>1755</v>
      </c>
      <c r="D364" s="6" t="s">
        <v>276</v>
      </c>
      <c r="E364" s="6" t="s">
        <v>1148</v>
      </c>
    </row>
    <row r="365" customHeight="1" spans="2:5">
      <c r="B365" s="6" t="s">
        <v>1756</v>
      </c>
      <c r="C365" s="6" t="s">
        <v>1756</v>
      </c>
      <c r="D365" s="6" t="s">
        <v>276</v>
      </c>
      <c r="E365" s="6" t="s">
        <v>1148</v>
      </c>
    </row>
    <row r="366" customHeight="1" spans="2:5">
      <c r="B366" s="6" t="s">
        <v>1757</v>
      </c>
      <c r="C366" s="6" t="s">
        <v>1757</v>
      </c>
      <c r="D366" s="6" t="s">
        <v>276</v>
      </c>
      <c r="E366" s="6" t="s">
        <v>1148</v>
      </c>
    </row>
    <row r="367" customHeight="1" spans="2:5">
      <c r="B367" s="6" t="s">
        <v>1758</v>
      </c>
      <c r="C367" s="6" t="s">
        <v>1758</v>
      </c>
      <c r="D367" s="6" t="s">
        <v>276</v>
      </c>
      <c r="E367" s="6" t="s">
        <v>1148</v>
      </c>
    </row>
    <row r="368" customHeight="1" spans="2:5">
      <c r="B368" s="6" t="s">
        <v>1759</v>
      </c>
      <c r="C368" s="6" t="s">
        <v>1759</v>
      </c>
      <c r="D368" s="6" t="s">
        <v>276</v>
      </c>
      <c r="E368" s="6" t="s">
        <v>1148</v>
      </c>
    </row>
    <row r="369" customHeight="1" spans="2:5">
      <c r="B369" s="6" t="s">
        <v>1760</v>
      </c>
      <c r="C369" s="6" t="s">
        <v>1761</v>
      </c>
      <c r="D369" s="6" t="s">
        <v>276</v>
      </c>
      <c r="E369" s="6" t="s">
        <v>1148</v>
      </c>
    </row>
    <row r="370" customHeight="1" spans="2:5">
      <c r="B370" s="6" t="s">
        <v>1762</v>
      </c>
      <c r="C370" s="6" t="s">
        <v>1762</v>
      </c>
      <c r="D370" s="6" t="s">
        <v>276</v>
      </c>
      <c r="E370" s="6" t="s">
        <v>1148</v>
      </c>
    </row>
    <row r="371" customHeight="1" spans="2:5">
      <c r="B371" s="6" t="s">
        <v>1763</v>
      </c>
      <c r="C371" s="6" t="s">
        <v>1763</v>
      </c>
      <c r="D371" s="6" t="s">
        <v>276</v>
      </c>
      <c r="E371" s="6" t="s">
        <v>1148</v>
      </c>
    </row>
    <row r="372" customHeight="1" spans="2:5">
      <c r="B372" s="6" t="s">
        <v>1764</v>
      </c>
      <c r="C372" s="6" t="s">
        <v>1764</v>
      </c>
      <c r="D372" s="6" t="s">
        <v>276</v>
      </c>
      <c r="E372" s="6" t="s">
        <v>1148</v>
      </c>
    </row>
    <row r="373" customHeight="1" spans="2:5">
      <c r="B373" s="6" t="s">
        <v>1765</v>
      </c>
      <c r="C373" s="6" t="s">
        <v>1765</v>
      </c>
      <c r="D373" s="6" t="s">
        <v>276</v>
      </c>
      <c r="E373" s="6" t="s">
        <v>1148</v>
      </c>
    </row>
    <row r="374" customHeight="1" spans="2:5">
      <c r="B374" s="6" t="s">
        <v>1766</v>
      </c>
      <c r="C374" s="6" t="s">
        <v>1766</v>
      </c>
      <c r="D374" s="6" t="s">
        <v>276</v>
      </c>
      <c r="E374" s="6" t="s">
        <v>1148</v>
      </c>
    </row>
    <row r="375" customHeight="1" spans="2:5">
      <c r="B375" s="6" t="s">
        <v>1767</v>
      </c>
      <c r="C375" s="6" t="s">
        <v>1767</v>
      </c>
      <c r="D375" s="6" t="s">
        <v>276</v>
      </c>
      <c r="E375" s="6" t="s">
        <v>1148</v>
      </c>
    </row>
    <row r="376" customHeight="1" spans="2:5">
      <c r="B376" s="6" t="s">
        <v>1768</v>
      </c>
      <c r="C376" s="6" t="s">
        <v>1769</v>
      </c>
      <c r="D376" s="6" t="s">
        <v>276</v>
      </c>
      <c r="E376" s="6" t="s">
        <v>1148</v>
      </c>
    </row>
    <row r="377" customHeight="1" spans="2:5">
      <c r="B377" s="6" t="s">
        <v>1770</v>
      </c>
      <c r="C377" s="6" t="s">
        <v>1770</v>
      </c>
      <c r="D377" s="6" t="s">
        <v>276</v>
      </c>
      <c r="E377" s="6" t="s">
        <v>1148</v>
      </c>
    </row>
    <row r="378" customHeight="1" spans="2:5">
      <c r="B378" s="6" t="s">
        <v>1771</v>
      </c>
      <c r="C378" s="6" t="s">
        <v>1771</v>
      </c>
      <c r="D378" s="6" t="s">
        <v>276</v>
      </c>
      <c r="E378" s="6" t="s">
        <v>1148</v>
      </c>
    </row>
    <row r="379" customHeight="1" spans="2:5">
      <c r="B379" s="6" t="s">
        <v>1772</v>
      </c>
      <c r="C379" s="6" t="s">
        <v>1773</v>
      </c>
      <c r="D379" s="6" t="s">
        <v>276</v>
      </c>
      <c r="E379" s="6" t="s">
        <v>1148</v>
      </c>
    </row>
    <row r="380" customHeight="1" spans="2:5">
      <c r="B380" s="6" t="s">
        <v>1774</v>
      </c>
      <c r="C380" s="6" t="s">
        <v>1775</v>
      </c>
      <c r="D380" s="6" t="s">
        <v>276</v>
      </c>
      <c r="E380" s="6" t="s">
        <v>1148</v>
      </c>
    </row>
    <row r="381" customHeight="1" spans="2:5">
      <c r="B381" s="6" t="s">
        <v>1776</v>
      </c>
      <c r="C381" s="6" t="s">
        <v>1776</v>
      </c>
      <c r="D381" s="6" t="s">
        <v>276</v>
      </c>
      <c r="E381" s="6" t="s">
        <v>1148</v>
      </c>
    </row>
    <row r="382" customHeight="1" spans="2:5">
      <c r="B382" s="6" t="s">
        <v>1777</v>
      </c>
      <c r="C382" s="6" t="s">
        <v>1778</v>
      </c>
      <c r="D382" s="6" t="s">
        <v>276</v>
      </c>
      <c r="E382" s="6" t="s">
        <v>1148</v>
      </c>
    </row>
    <row r="383" customHeight="1" spans="2:5">
      <c r="B383" s="6" t="s">
        <v>1779</v>
      </c>
      <c r="C383" s="6" t="s">
        <v>1779</v>
      </c>
      <c r="D383" s="6" t="s">
        <v>276</v>
      </c>
      <c r="E383" s="6" t="s">
        <v>1148</v>
      </c>
    </row>
    <row r="384" customHeight="1" spans="2:5">
      <c r="B384" s="6" t="s">
        <v>1780</v>
      </c>
      <c r="C384" s="6" t="s">
        <v>1780</v>
      </c>
      <c r="D384" s="6" t="s">
        <v>276</v>
      </c>
      <c r="E384" s="6" t="s">
        <v>1148</v>
      </c>
    </row>
    <row r="385" customHeight="1" spans="2:5">
      <c r="B385" s="6" t="s">
        <v>1781</v>
      </c>
      <c r="C385" s="6" t="s">
        <v>1782</v>
      </c>
      <c r="D385" s="6" t="s">
        <v>276</v>
      </c>
      <c r="E385" s="6" t="s">
        <v>1148</v>
      </c>
    </row>
    <row r="386" customHeight="1" spans="2:5">
      <c r="B386" s="6" t="s">
        <v>1783</v>
      </c>
      <c r="C386" s="6" t="s">
        <v>1784</v>
      </c>
      <c r="D386" s="6" t="s">
        <v>276</v>
      </c>
      <c r="E386" s="6" t="s">
        <v>1148</v>
      </c>
    </row>
    <row r="387" customHeight="1" spans="2:5">
      <c r="B387" s="6" t="s">
        <v>1785</v>
      </c>
      <c r="C387" s="6" t="s">
        <v>1785</v>
      </c>
      <c r="D387" s="6" t="s">
        <v>276</v>
      </c>
      <c r="E387" s="6" t="s">
        <v>1148</v>
      </c>
    </row>
    <row r="388" customHeight="1" spans="2:5">
      <c r="B388" s="6" t="s">
        <v>1786</v>
      </c>
      <c r="C388" s="6" t="s">
        <v>1786</v>
      </c>
      <c r="D388" s="6" t="s">
        <v>276</v>
      </c>
      <c r="E388" s="6" t="s">
        <v>1148</v>
      </c>
    </row>
    <row r="389" customHeight="1" spans="2:5">
      <c r="B389" s="6" t="s">
        <v>1787</v>
      </c>
      <c r="C389" s="6" t="s">
        <v>1787</v>
      </c>
      <c r="D389" s="6" t="s">
        <v>276</v>
      </c>
      <c r="E389" s="6" t="s">
        <v>1148</v>
      </c>
    </row>
    <row r="390" customHeight="1" spans="2:5">
      <c r="B390" s="6" t="s">
        <v>1788</v>
      </c>
      <c r="C390" s="6" t="s">
        <v>1789</v>
      </c>
      <c r="D390" s="6" t="s">
        <v>276</v>
      </c>
      <c r="E390" s="6" t="s">
        <v>1148</v>
      </c>
    </row>
    <row r="391" customHeight="1" spans="2:5">
      <c r="B391" s="6" t="s">
        <v>1790</v>
      </c>
      <c r="C391" s="6" t="s">
        <v>1790</v>
      </c>
      <c r="D391" s="6" t="s">
        <v>276</v>
      </c>
      <c r="E391" s="6" t="s">
        <v>1148</v>
      </c>
    </row>
    <row r="392" customHeight="1" spans="2:5">
      <c r="B392" s="6" t="s">
        <v>1791</v>
      </c>
      <c r="C392" s="6" t="s">
        <v>1791</v>
      </c>
      <c r="D392" s="6" t="s">
        <v>276</v>
      </c>
      <c r="E392" s="6" t="s">
        <v>1148</v>
      </c>
    </row>
    <row r="393" customHeight="1" spans="2:5">
      <c r="B393" s="6" t="s">
        <v>1792</v>
      </c>
      <c r="C393" s="6" t="s">
        <v>1793</v>
      </c>
      <c r="D393" s="6" t="s">
        <v>276</v>
      </c>
      <c r="E393" s="6" t="s">
        <v>1148</v>
      </c>
    </row>
    <row r="394" customHeight="1" spans="2:5">
      <c r="B394" s="6" t="s">
        <v>1794</v>
      </c>
      <c r="C394" s="6" t="s">
        <v>1794</v>
      </c>
      <c r="D394" s="6" t="s">
        <v>276</v>
      </c>
      <c r="E394" s="6" t="s">
        <v>1148</v>
      </c>
    </row>
    <row r="395" customHeight="1" spans="2:5">
      <c r="B395" s="6" t="s">
        <v>1795</v>
      </c>
      <c r="C395" s="6" t="s">
        <v>1796</v>
      </c>
      <c r="D395" s="6" t="s">
        <v>276</v>
      </c>
      <c r="E395" s="6" t="s">
        <v>1148</v>
      </c>
    </row>
    <row r="396" customHeight="1" spans="2:5">
      <c r="B396" s="6" t="s">
        <v>1797</v>
      </c>
      <c r="C396" s="6" t="s">
        <v>1798</v>
      </c>
      <c r="D396" s="6" t="s">
        <v>276</v>
      </c>
      <c r="E396" s="6" t="s">
        <v>1148</v>
      </c>
    </row>
    <row r="397" customHeight="1" spans="2:5">
      <c r="B397" s="6" t="s">
        <v>1799</v>
      </c>
      <c r="C397" s="6" t="s">
        <v>1799</v>
      </c>
      <c r="D397" s="6" t="s">
        <v>276</v>
      </c>
      <c r="E397" s="6" t="s">
        <v>1148</v>
      </c>
    </row>
    <row r="398" customHeight="1" spans="2:5">
      <c r="B398" s="6" t="s">
        <v>1800</v>
      </c>
      <c r="C398" s="6" t="s">
        <v>1801</v>
      </c>
      <c r="D398" s="6" t="s">
        <v>276</v>
      </c>
      <c r="E398" s="6" t="s">
        <v>1148</v>
      </c>
    </row>
    <row r="399" customHeight="1" spans="2:5">
      <c r="B399" s="6" t="s">
        <v>1802</v>
      </c>
      <c r="C399" s="6" t="s">
        <v>1802</v>
      </c>
      <c r="D399" s="6" t="s">
        <v>276</v>
      </c>
      <c r="E399" s="6" t="s">
        <v>1148</v>
      </c>
    </row>
    <row r="400" customHeight="1" spans="2:5">
      <c r="B400" s="6" t="s">
        <v>1803</v>
      </c>
      <c r="C400" s="6" t="s">
        <v>1804</v>
      </c>
      <c r="D400" s="6" t="s">
        <v>276</v>
      </c>
      <c r="E400" s="6" t="s">
        <v>1148</v>
      </c>
    </row>
    <row r="401" customHeight="1" spans="2:5">
      <c r="B401" s="6" t="s">
        <v>1805</v>
      </c>
      <c r="C401" s="6" t="s">
        <v>1805</v>
      </c>
      <c r="D401" s="6" t="s">
        <v>276</v>
      </c>
      <c r="E401" s="6" t="s">
        <v>1148</v>
      </c>
    </row>
    <row r="402" customHeight="1" spans="2:5">
      <c r="B402" s="6" t="s">
        <v>1806</v>
      </c>
      <c r="C402" s="6" t="s">
        <v>1807</v>
      </c>
      <c r="D402" s="6" t="s">
        <v>276</v>
      </c>
      <c r="E402" s="6" t="s">
        <v>1148</v>
      </c>
    </row>
    <row r="403" customHeight="1" spans="2:5">
      <c r="B403" s="6" t="s">
        <v>1808</v>
      </c>
      <c r="C403" s="6" t="s">
        <v>1808</v>
      </c>
      <c r="D403" s="6" t="s">
        <v>276</v>
      </c>
      <c r="E403" s="6" t="s">
        <v>1148</v>
      </c>
    </row>
    <row r="404" customHeight="1" spans="2:5">
      <c r="B404" s="6" t="s">
        <v>1809</v>
      </c>
      <c r="C404" s="6" t="s">
        <v>1810</v>
      </c>
      <c r="D404" s="6" t="s">
        <v>276</v>
      </c>
      <c r="E404" s="6" t="s">
        <v>1148</v>
      </c>
    </row>
    <row r="405" customHeight="1" spans="2:5">
      <c r="B405" s="6" t="s">
        <v>1811</v>
      </c>
      <c r="C405" s="6" t="s">
        <v>1812</v>
      </c>
      <c r="D405" s="6" t="s">
        <v>276</v>
      </c>
      <c r="E405" s="6" t="s">
        <v>1148</v>
      </c>
    </row>
    <row r="406" customHeight="1" spans="2:5">
      <c r="B406" s="6" t="s">
        <v>1813</v>
      </c>
      <c r="C406" s="6" t="s">
        <v>1813</v>
      </c>
      <c r="D406" s="6" t="s">
        <v>276</v>
      </c>
      <c r="E406" s="6" t="s">
        <v>1148</v>
      </c>
    </row>
    <row r="407" customHeight="1" spans="2:5">
      <c r="B407" s="6" t="s">
        <v>1814</v>
      </c>
      <c r="C407" s="6" t="s">
        <v>1814</v>
      </c>
      <c r="D407" s="6" t="s">
        <v>276</v>
      </c>
      <c r="E407" s="6" t="s">
        <v>1148</v>
      </c>
    </row>
    <row r="408" customHeight="1" spans="2:5">
      <c r="B408" s="6" t="s">
        <v>1815</v>
      </c>
      <c r="C408" s="6" t="s">
        <v>1816</v>
      </c>
      <c r="D408" s="6" t="s">
        <v>276</v>
      </c>
      <c r="E408" s="6" t="s">
        <v>1148</v>
      </c>
    </row>
    <row r="409" customHeight="1" spans="2:5">
      <c r="B409" s="6" t="s">
        <v>1817</v>
      </c>
      <c r="C409" s="6" t="s">
        <v>1818</v>
      </c>
      <c r="D409" s="6" t="s">
        <v>276</v>
      </c>
      <c r="E409" s="6" t="s">
        <v>1148</v>
      </c>
    </row>
    <row r="410" customHeight="1" spans="2:5">
      <c r="B410" s="6" t="s">
        <v>1819</v>
      </c>
      <c r="C410" s="6" t="s">
        <v>1819</v>
      </c>
      <c r="D410" s="6" t="s">
        <v>276</v>
      </c>
      <c r="E410" s="6" t="s">
        <v>1148</v>
      </c>
    </row>
    <row r="411" customHeight="1" spans="2:5">
      <c r="B411" s="6" t="s">
        <v>1820</v>
      </c>
      <c r="C411" s="6" t="s">
        <v>1821</v>
      </c>
      <c r="D411" s="6" t="s">
        <v>276</v>
      </c>
      <c r="E411" s="6" t="s">
        <v>1148</v>
      </c>
    </row>
    <row r="412" customHeight="1" spans="2:5">
      <c r="B412" s="6" t="s">
        <v>1822</v>
      </c>
      <c r="C412" s="6" t="s">
        <v>1822</v>
      </c>
      <c r="D412" s="6" t="s">
        <v>276</v>
      </c>
      <c r="E412" s="6" t="s">
        <v>1148</v>
      </c>
    </row>
    <row r="413" customHeight="1" spans="2:5">
      <c r="B413" s="6" t="s">
        <v>1823</v>
      </c>
      <c r="C413" s="6" t="s">
        <v>1824</v>
      </c>
      <c r="D413" s="6" t="s">
        <v>276</v>
      </c>
      <c r="E413" s="6" t="s">
        <v>1148</v>
      </c>
    </row>
    <row r="414" customHeight="1" spans="2:5">
      <c r="B414" s="6" t="s">
        <v>1825</v>
      </c>
      <c r="C414" s="6" t="s">
        <v>1826</v>
      </c>
      <c r="D414" s="6" t="s">
        <v>276</v>
      </c>
      <c r="E414" s="6" t="s">
        <v>1148</v>
      </c>
    </row>
    <row r="415" customHeight="1" spans="2:5">
      <c r="B415" s="6" t="s">
        <v>1827</v>
      </c>
      <c r="C415" s="6" t="s">
        <v>1827</v>
      </c>
      <c r="D415" s="6" t="s">
        <v>276</v>
      </c>
      <c r="E415" s="6" t="s">
        <v>1148</v>
      </c>
    </row>
    <row r="416" customHeight="1" spans="2:5">
      <c r="B416" s="6" t="s">
        <v>1828</v>
      </c>
      <c r="C416" s="6" t="s">
        <v>1829</v>
      </c>
      <c r="D416" s="6" t="s">
        <v>276</v>
      </c>
      <c r="E416" s="6" t="s">
        <v>1148</v>
      </c>
    </row>
    <row r="417" customHeight="1" spans="2:5">
      <c r="B417" s="6" t="s">
        <v>1830</v>
      </c>
      <c r="C417" s="6" t="s">
        <v>1830</v>
      </c>
      <c r="D417" s="6" t="s">
        <v>276</v>
      </c>
      <c r="E417" s="6" t="s">
        <v>1148</v>
      </c>
    </row>
    <row r="418" customHeight="1" spans="2:5">
      <c r="B418" s="6" t="s">
        <v>1831</v>
      </c>
      <c r="C418" s="6" t="s">
        <v>1831</v>
      </c>
      <c r="D418" s="6" t="s">
        <v>276</v>
      </c>
      <c r="E418" s="6" t="s">
        <v>1148</v>
      </c>
    </row>
    <row r="419" customHeight="1" spans="2:5">
      <c r="B419" s="6" t="s">
        <v>1832</v>
      </c>
      <c r="C419" s="6" t="s">
        <v>1833</v>
      </c>
      <c r="D419" s="6" t="s">
        <v>276</v>
      </c>
      <c r="E419" s="6" t="s">
        <v>1148</v>
      </c>
    </row>
    <row r="420" customHeight="1" spans="2:5">
      <c r="B420" s="6" t="s">
        <v>1834</v>
      </c>
      <c r="C420" s="6" t="s">
        <v>1835</v>
      </c>
      <c r="D420" s="6" t="s">
        <v>276</v>
      </c>
      <c r="E420" s="6" t="s">
        <v>1148</v>
      </c>
    </row>
    <row r="421" customHeight="1" spans="2:5">
      <c r="B421" s="6" t="s">
        <v>1836</v>
      </c>
      <c r="C421" s="6" t="s">
        <v>1836</v>
      </c>
      <c r="D421" s="6" t="s">
        <v>276</v>
      </c>
      <c r="E421" s="6" t="s">
        <v>1148</v>
      </c>
    </row>
    <row r="422" customHeight="1" spans="2:5">
      <c r="B422" s="6" t="s">
        <v>1837</v>
      </c>
      <c r="C422" s="6" t="s">
        <v>1837</v>
      </c>
      <c r="D422" s="6" t="s">
        <v>276</v>
      </c>
      <c r="E422" s="6" t="s">
        <v>1148</v>
      </c>
    </row>
    <row r="423" customHeight="1" spans="2:5">
      <c r="B423" s="6" t="s">
        <v>1838</v>
      </c>
      <c r="C423" s="6" t="s">
        <v>1839</v>
      </c>
      <c r="D423" s="6" t="s">
        <v>276</v>
      </c>
      <c r="E423" s="6" t="s">
        <v>1148</v>
      </c>
    </row>
    <row r="424" customHeight="1" spans="2:5">
      <c r="B424" s="6" t="s">
        <v>1840</v>
      </c>
      <c r="C424" s="6" t="s">
        <v>1841</v>
      </c>
      <c r="D424" s="6" t="s">
        <v>276</v>
      </c>
      <c r="E424" s="6" t="s">
        <v>1148</v>
      </c>
    </row>
    <row r="425" customHeight="1" spans="2:5">
      <c r="B425" s="6" t="s">
        <v>1842</v>
      </c>
      <c r="C425" s="6" t="s">
        <v>1842</v>
      </c>
      <c r="D425" s="6" t="s">
        <v>276</v>
      </c>
      <c r="E425" s="6" t="s">
        <v>1148</v>
      </c>
    </row>
    <row r="426" customHeight="1" spans="2:5">
      <c r="B426" s="6" t="s">
        <v>1843</v>
      </c>
      <c r="C426" s="6" t="s">
        <v>1844</v>
      </c>
      <c r="D426" s="6" t="s">
        <v>276</v>
      </c>
      <c r="E426" s="6" t="s">
        <v>1148</v>
      </c>
    </row>
    <row r="427" customHeight="1" spans="2:5">
      <c r="B427" s="6" t="s">
        <v>1845</v>
      </c>
      <c r="C427" s="6" t="s">
        <v>1846</v>
      </c>
      <c r="D427" s="6" t="s">
        <v>276</v>
      </c>
      <c r="E427" s="6" t="s">
        <v>1148</v>
      </c>
    </row>
    <row r="428" customHeight="1" spans="2:5">
      <c r="B428" s="6" t="s">
        <v>1847</v>
      </c>
      <c r="C428" s="6" t="s">
        <v>1848</v>
      </c>
      <c r="D428" s="6" t="s">
        <v>276</v>
      </c>
      <c r="E428" s="6" t="s">
        <v>1148</v>
      </c>
    </row>
    <row r="429" customHeight="1" spans="2:5">
      <c r="B429" s="6" t="s">
        <v>1849</v>
      </c>
      <c r="C429" s="6" t="s">
        <v>1849</v>
      </c>
      <c r="D429" s="6" t="s">
        <v>276</v>
      </c>
      <c r="E429" s="6" t="s">
        <v>1148</v>
      </c>
    </row>
    <row r="430" customHeight="1" spans="2:5">
      <c r="B430" s="6" t="s">
        <v>1850</v>
      </c>
      <c r="C430" s="6" t="s">
        <v>1850</v>
      </c>
      <c r="D430" s="6" t="s">
        <v>276</v>
      </c>
      <c r="E430" s="6" t="s">
        <v>1148</v>
      </c>
    </row>
    <row r="431" customHeight="1" spans="2:5">
      <c r="B431" s="6" t="s">
        <v>1851</v>
      </c>
      <c r="C431" s="6" t="s">
        <v>1852</v>
      </c>
      <c r="D431" s="6" t="s">
        <v>276</v>
      </c>
      <c r="E431" s="6" t="s">
        <v>1148</v>
      </c>
    </row>
    <row r="432" customHeight="1" spans="2:5">
      <c r="B432" s="6" t="s">
        <v>1853</v>
      </c>
      <c r="C432" s="6" t="s">
        <v>1854</v>
      </c>
      <c r="D432" s="6" t="s">
        <v>276</v>
      </c>
      <c r="E432" s="6" t="s">
        <v>1148</v>
      </c>
    </row>
    <row r="433" customHeight="1" spans="2:5">
      <c r="B433" s="6" t="s">
        <v>1855</v>
      </c>
      <c r="C433" s="6" t="s">
        <v>1856</v>
      </c>
      <c r="D433" s="6" t="s">
        <v>276</v>
      </c>
      <c r="E433" s="6" t="s">
        <v>1148</v>
      </c>
    </row>
    <row r="434" customHeight="1" spans="2:5">
      <c r="B434" s="6" t="s">
        <v>1857</v>
      </c>
      <c r="C434" s="6" t="s">
        <v>1857</v>
      </c>
      <c r="D434" s="6" t="s">
        <v>276</v>
      </c>
      <c r="E434" s="6" t="s">
        <v>1148</v>
      </c>
    </row>
    <row r="435" customHeight="1" spans="2:5">
      <c r="B435" s="6" t="s">
        <v>1858</v>
      </c>
      <c r="C435" s="6" t="s">
        <v>1858</v>
      </c>
      <c r="D435" s="6" t="s">
        <v>276</v>
      </c>
      <c r="E435" s="6" t="s">
        <v>1148</v>
      </c>
    </row>
    <row r="436" customHeight="1" spans="2:5">
      <c r="B436" s="6" t="s">
        <v>1859</v>
      </c>
      <c r="C436" s="6" t="s">
        <v>1859</v>
      </c>
      <c r="D436" s="6" t="s">
        <v>276</v>
      </c>
      <c r="E436" s="6" t="s">
        <v>1148</v>
      </c>
    </row>
    <row r="437" customHeight="1" spans="2:5">
      <c r="B437" s="6" t="s">
        <v>1860</v>
      </c>
      <c r="C437" s="6" t="s">
        <v>1860</v>
      </c>
      <c r="D437" s="6" t="s">
        <v>276</v>
      </c>
      <c r="E437" s="6" t="s">
        <v>1148</v>
      </c>
    </row>
    <row r="438" customHeight="1" spans="2:5">
      <c r="B438" s="6" t="s">
        <v>1861</v>
      </c>
      <c r="C438" s="6" t="s">
        <v>1862</v>
      </c>
      <c r="D438" s="6" t="s">
        <v>276</v>
      </c>
      <c r="E438" s="6" t="s">
        <v>1148</v>
      </c>
    </row>
    <row r="439" customHeight="1" spans="2:5">
      <c r="B439" s="6" t="s">
        <v>1863</v>
      </c>
      <c r="C439" s="6" t="s">
        <v>1864</v>
      </c>
      <c r="D439" s="6" t="s">
        <v>276</v>
      </c>
      <c r="E439" s="6" t="s">
        <v>1148</v>
      </c>
    </row>
    <row r="440" customHeight="1" spans="2:5">
      <c r="B440" s="6" t="s">
        <v>1865</v>
      </c>
      <c r="C440" s="6" t="s">
        <v>1866</v>
      </c>
      <c r="D440" s="6" t="s">
        <v>276</v>
      </c>
      <c r="E440" s="6" t="s">
        <v>1148</v>
      </c>
    </row>
    <row r="441" customHeight="1" spans="2:5">
      <c r="B441" s="6" t="s">
        <v>1867</v>
      </c>
      <c r="C441" s="6" t="s">
        <v>1868</v>
      </c>
      <c r="D441" s="6" t="s">
        <v>276</v>
      </c>
      <c r="E441" s="6" t="s">
        <v>1148</v>
      </c>
    </row>
    <row r="442" customHeight="1" spans="2:5">
      <c r="B442" s="6" t="s">
        <v>1869</v>
      </c>
      <c r="C442" s="6" t="s">
        <v>1870</v>
      </c>
      <c r="D442" s="6" t="s">
        <v>1871</v>
      </c>
      <c r="E442" s="6" t="s">
        <v>1872</v>
      </c>
    </row>
    <row r="443" customHeight="1" spans="2:5">
      <c r="B443" s="6" t="s">
        <v>1873</v>
      </c>
      <c r="C443" s="6" t="s">
        <v>1874</v>
      </c>
      <c r="D443" s="6" t="s">
        <v>1871</v>
      </c>
      <c r="E443" s="6" t="s">
        <v>1872</v>
      </c>
    </row>
    <row r="444" customHeight="1" spans="2:5">
      <c r="B444" s="6" t="s">
        <v>1875</v>
      </c>
      <c r="C444" s="6" t="s">
        <v>1875</v>
      </c>
      <c r="D444" s="6" t="s">
        <v>1871</v>
      </c>
      <c r="E444" s="6" t="s">
        <v>1872</v>
      </c>
    </row>
    <row r="445" customHeight="1" spans="2:5">
      <c r="B445" s="6" t="s">
        <v>1876</v>
      </c>
      <c r="C445" s="6" t="s">
        <v>1876</v>
      </c>
      <c r="D445" s="6" t="s">
        <v>1871</v>
      </c>
      <c r="E445" s="6" t="s">
        <v>1872</v>
      </c>
    </row>
    <row r="446" customHeight="1" spans="2:5">
      <c r="B446" s="6" t="s">
        <v>1877</v>
      </c>
      <c r="C446" s="6" t="s">
        <v>1878</v>
      </c>
      <c r="D446" s="6" t="s">
        <v>1871</v>
      </c>
      <c r="E446" s="6" t="s">
        <v>1872</v>
      </c>
    </row>
    <row r="447" customHeight="1" spans="2:5">
      <c r="B447" s="6" t="s">
        <v>1879</v>
      </c>
      <c r="C447" s="6" t="s">
        <v>1879</v>
      </c>
      <c r="D447" s="6" t="s">
        <v>1871</v>
      </c>
      <c r="E447" s="6" t="s">
        <v>1872</v>
      </c>
    </row>
    <row r="448" customHeight="1" spans="2:5">
      <c r="B448" s="6" t="s">
        <v>1880</v>
      </c>
      <c r="C448" s="6" t="s">
        <v>1880</v>
      </c>
      <c r="D448" s="6" t="s">
        <v>1871</v>
      </c>
      <c r="E448" s="6" t="s">
        <v>1872</v>
      </c>
    </row>
    <row r="449" customHeight="1" spans="2:5">
      <c r="B449" s="6" t="s">
        <v>1881</v>
      </c>
      <c r="C449" s="6" t="s">
        <v>1882</v>
      </c>
      <c r="D449" s="6" t="s">
        <v>1871</v>
      </c>
      <c r="E449" s="6" t="s">
        <v>1872</v>
      </c>
    </row>
    <row r="450" customHeight="1" spans="2:5">
      <c r="B450" s="6" t="s">
        <v>1883</v>
      </c>
      <c r="C450" s="6" t="s">
        <v>1884</v>
      </c>
      <c r="D450" s="6" t="s">
        <v>1871</v>
      </c>
      <c r="E450" s="6" t="s">
        <v>1872</v>
      </c>
    </row>
    <row r="451" customHeight="1" spans="2:5">
      <c r="B451" s="6" t="s">
        <v>1885</v>
      </c>
      <c r="C451" s="6" t="s">
        <v>1886</v>
      </c>
      <c r="D451" s="6" t="s">
        <v>1871</v>
      </c>
      <c r="E451" s="6" t="s">
        <v>1872</v>
      </c>
    </row>
    <row r="452" customHeight="1" spans="2:5">
      <c r="B452" s="6" t="s">
        <v>1887</v>
      </c>
      <c r="C452" s="6" t="s">
        <v>1887</v>
      </c>
      <c r="D452" s="6" t="s">
        <v>1871</v>
      </c>
      <c r="E452" s="6" t="s">
        <v>1872</v>
      </c>
    </row>
    <row r="453" customHeight="1" spans="2:5">
      <c r="B453" s="6" t="s">
        <v>1888</v>
      </c>
      <c r="C453" s="6" t="s">
        <v>1889</v>
      </c>
      <c r="D453" s="6" t="s">
        <v>1871</v>
      </c>
      <c r="E453" s="6" t="s">
        <v>1872</v>
      </c>
    </row>
    <row r="454" customHeight="1" spans="2:5">
      <c r="B454" s="6" t="s">
        <v>1890</v>
      </c>
      <c r="C454" s="6" t="s">
        <v>1891</v>
      </c>
      <c r="D454" s="6" t="s">
        <v>1871</v>
      </c>
      <c r="E454" s="6" t="s">
        <v>1872</v>
      </c>
    </row>
    <row r="455" customHeight="1" spans="2:5">
      <c r="B455" s="6" t="s">
        <v>1892</v>
      </c>
      <c r="C455" s="6" t="s">
        <v>1893</v>
      </c>
      <c r="D455" s="6" t="s">
        <v>1871</v>
      </c>
      <c r="E455" s="6" t="s">
        <v>1872</v>
      </c>
    </row>
    <row r="456" customHeight="1" spans="2:5">
      <c r="B456" s="6" t="s">
        <v>1894</v>
      </c>
      <c r="C456" s="6" t="s">
        <v>1894</v>
      </c>
      <c r="D456" s="6" t="s">
        <v>1871</v>
      </c>
      <c r="E456" s="6" t="s">
        <v>1872</v>
      </c>
    </row>
    <row r="457" customHeight="1" spans="2:5">
      <c r="B457" s="6" t="s">
        <v>1895</v>
      </c>
      <c r="C457" s="6" t="s">
        <v>1895</v>
      </c>
      <c r="D457" s="6" t="s">
        <v>1871</v>
      </c>
      <c r="E457" s="6" t="s">
        <v>1872</v>
      </c>
    </row>
    <row r="458" customHeight="1" spans="2:5">
      <c r="B458" s="6" t="s">
        <v>1896</v>
      </c>
      <c r="C458" s="6" t="s">
        <v>1897</v>
      </c>
      <c r="D458" s="6" t="s">
        <v>1871</v>
      </c>
      <c r="E458" s="6" t="s">
        <v>1872</v>
      </c>
    </row>
    <row r="459" customHeight="1" spans="2:5">
      <c r="B459" s="6" t="s">
        <v>1898</v>
      </c>
      <c r="C459" s="6" t="s">
        <v>1899</v>
      </c>
      <c r="D459" s="6" t="s">
        <v>1871</v>
      </c>
      <c r="E459" s="6" t="s">
        <v>1872</v>
      </c>
    </row>
    <row r="460" customHeight="1" spans="2:5">
      <c r="B460" s="6" t="s">
        <v>1900</v>
      </c>
      <c r="C460" s="6" t="s">
        <v>1900</v>
      </c>
      <c r="D460" s="6" t="s">
        <v>1871</v>
      </c>
      <c r="E460" s="6" t="s">
        <v>1872</v>
      </c>
    </row>
    <row r="461" customHeight="1" spans="2:5">
      <c r="B461" s="6" t="s">
        <v>1901</v>
      </c>
      <c r="C461" s="6" t="s">
        <v>1901</v>
      </c>
      <c r="D461" s="6" t="s">
        <v>1871</v>
      </c>
      <c r="E461" s="6" t="s">
        <v>1872</v>
      </c>
    </row>
    <row r="462" customHeight="1" spans="2:5">
      <c r="B462" s="6" t="s">
        <v>1902</v>
      </c>
      <c r="C462" s="6" t="s">
        <v>1903</v>
      </c>
      <c r="D462" s="6" t="s">
        <v>1871</v>
      </c>
      <c r="E462" s="6" t="s">
        <v>1872</v>
      </c>
    </row>
    <row r="463" customHeight="1" spans="2:5">
      <c r="B463" s="6" t="s">
        <v>1904</v>
      </c>
      <c r="C463" s="6" t="s">
        <v>1904</v>
      </c>
      <c r="D463" s="6" t="s">
        <v>1871</v>
      </c>
      <c r="E463" s="6" t="s">
        <v>1872</v>
      </c>
    </row>
    <row r="464" customHeight="1" spans="2:5">
      <c r="B464" s="6" t="s">
        <v>1905</v>
      </c>
      <c r="C464" s="6" t="s">
        <v>1906</v>
      </c>
      <c r="D464" s="6" t="s">
        <v>1871</v>
      </c>
      <c r="E464" s="6" t="s">
        <v>1872</v>
      </c>
    </row>
    <row r="465" customHeight="1" spans="2:5">
      <c r="B465" s="6" t="s">
        <v>1907</v>
      </c>
      <c r="C465" s="6" t="s">
        <v>1908</v>
      </c>
      <c r="D465" s="6" t="s">
        <v>1871</v>
      </c>
      <c r="E465" s="6" t="s">
        <v>1872</v>
      </c>
    </row>
    <row r="466" customHeight="1" spans="2:5">
      <c r="B466" s="6" t="s">
        <v>1909</v>
      </c>
      <c r="C466" s="6" t="s">
        <v>1910</v>
      </c>
      <c r="D466" s="6" t="s">
        <v>1871</v>
      </c>
      <c r="E466" s="6" t="s">
        <v>1872</v>
      </c>
    </row>
    <row r="467" customHeight="1" spans="2:5">
      <c r="B467" s="6" t="s">
        <v>1911</v>
      </c>
      <c r="C467" s="6" t="s">
        <v>1912</v>
      </c>
      <c r="D467" s="6" t="s">
        <v>1871</v>
      </c>
      <c r="E467" s="6" t="s">
        <v>1872</v>
      </c>
    </row>
    <row r="468" customHeight="1" spans="2:5">
      <c r="B468" s="6" t="s">
        <v>1913</v>
      </c>
      <c r="C468" s="6" t="s">
        <v>1914</v>
      </c>
      <c r="D468" s="6" t="s">
        <v>1871</v>
      </c>
      <c r="E468" s="6" t="s">
        <v>1872</v>
      </c>
    </row>
    <row r="469" customHeight="1" spans="2:5">
      <c r="B469" s="6" t="s">
        <v>1915</v>
      </c>
      <c r="C469" s="6" t="s">
        <v>1915</v>
      </c>
      <c r="D469" s="6" t="s">
        <v>1871</v>
      </c>
      <c r="E469" s="6" t="s">
        <v>1872</v>
      </c>
    </row>
    <row r="470" customHeight="1" spans="2:5">
      <c r="B470" s="6" t="s">
        <v>1916</v>
      </c>
      <c r="C470" s="6" t="s">
        <v>1917</v>
      </c>
      <c r="D470" s="6" t="s">
        <v>1871</v>
      </c>
      <c r="E470" s="6" t="s">
        <v>1872</v>
      </c>
    </row>
    <row r="471" customHeight="1" spans="2:5">
      <c r="B471" s="6" t="s">
        <v>1918</v>
      </c>
      <c r="C471" s="6" t="s">
        <v>1918</v>
      </c>
      <c r="D471" s="6" t="s">
        <v>1871</v>
      </c>
      <c r="E471" s="6" t="s">
        <v>1872</v>
      </c>
    </row>
    <row r="472" customHeight="1" spans="2:5">
      <c r="B472" s="6" t="s">
        <v>1919</v>
      </c>
      <c r="C472" s="6" t="s">
        <v>1919</v>
      </c>
      <c r="D472" s="6" t="s">
        <v>1871</v>
      </c>
      <c r="E472" s="6" t="s">
        <v>1872</v>
      </c>
    </row>
    <row r="473" customHeight="1" spans="2:5">
      <c r="B473" s="6" t="s">
        <v>1920</v>
      </c>
      <c r="C473" s="6" t="s">
        <v>1921</v>
      </c>
      <c r="D473" s="6" t="s">
        <v>1871</v>
      </c>
      <c r="E473" s="6" t="s">
        <v>1872</v>
      </c>
    </row>
    <row r="474" customHeight="1" spans="2:5">
      <c r="B474" s="6" t="s">
        <v>1922</v>
      </c>
      <c r="C474" s="6" t="s">
        <v>1923</v>
      </c>
      <c r="D474" s="6" t="s">
        <v>1871</v>
      </c>
      <c r="E474" s="6" t="s">
        <v>1872</v>
      </c>
    </row>
    <row r="475" customHeight="1" spans="2:5">
      <c r="B475" s="6" t="s">
        <v>1924</v>
      </c>
      <c r="C475" s="6" t="s">
        <v>1925</v>
      </c>
      <c r="D475" s="6" t="s">
        <v>1871</v>
      </c>
      <c r="E475" s="6" t="s">
        <v>1872</v>
      </c>
    </row>
    <row r="476" customHeight="1" spans="2:5">
      <c r="B476" s="6" t="s">
        <v>1926</v>
      </c>
      <c r="C476" s="6" t="s">
        <v>1927</v>
      </c>
      <c r="D476" s="6" t="s">
        <v>1871</v>
      </c>
      <c r="E476" s="6" t="s">
        <v>1872</v>
      </c>
    </row>
    <row r="477" customHeight="1" spans="2:5">
      <c r="B477" s="6" t="s">
        <v>1928</v>
      </c>
      <c r="C477" s="6" t="s">
        <v>1928</v>
      </c>
      <c r="D477" s="6" t="s">
        <v>1871</v>
      </c>
      <c r="E477" s="6" t="s">
        <v>1872</v>
      </c>
    </row>
    <row r="478" customHeight="1" spans="2:5">
      <c r="B478" s="6" t="s">
        <v>1929</v>
      </c>
      <c r="C478" s="6" t="s">
        <v>1929</v>
      </c>
      <c r="D478" s="6" t="s">
        <v>1871</v>
      </c>
      <c r="E478" s="6" t="s">
        <v>1872</v>
      </c>
    </row>
    <row r="479" customHeight="1" spans="2:5">
      <c r="B479" s="6" t="s">
        <v>1930</v>
      </c>
      <c r="C479" s="6" t="s">
        <v>1930</v>
      </c>
      <c r="D479" s="6" t="s">
        <v>1871</v>
      </c>
      <c r="E479" s="6" t="s">
        <v>1872</v>
      </c>
    </row>
    <row r="480" customHeight="1" spans="2:5">
      <c r="B480" s="6" t="s">
        <v>1931</v>
      </c>
      <c r="C480" s="6" t="s">
        <v>1932</v>
      </c>
      <c r="D480" s="6" t="s">
        <v>1871</v>
      </c>
      <c r="E480" s="6" t="s">
        <v>1872</v>
      </c>
    </row>
    <row r="481" customHeight="1" spans="2:5">
      <c r="B481" s="6" t="s">
        <v>1933</v>
      </c>
      <c r="C481" s="6" t="s">
        <v>1934</v>
      </c>
      <c r="D481" s="6" t="s">
        <v>1871</v>
      </c>
      <c r="E481" s="6" t="s">
        <v>1872</v>
      </c>
    </row>
    <row r="482" customHeight="1" spans="2:5">
      <c r="B482" s="6" t="s">
        <v>1935</v>
      </c>
      <c r="C482" s="6" t="s">
        <v>1936</v>
      </c>
      <c r="D482" s="6" t="s">
        <v>1871</v>
      </c>
      <c r="E482" s="6" t="s">
        <v>1872</v>
      </c>
    </row>
    <row r="483" customHeight="1" spans="2:5">
      <c r="B483" s="6" t="s">
        <v>1937</v>
      </c>
      <c r="C483" s="6" t="s">
        <v>1938</v>
      </c>
      <c r="D483" s="6" t="s">
        <v>1871</v>
      </c>
      <c r="E483" s="6" t="s">
        <v>1872</v>
      </c>
    </row>
    <row r="484" customHeight="1" spans="2:5">
      <c r="B484" s="6" t="s">
        <v>1939</v>
      </c>
      <c r="C484" s="6" t="s">
        <v>1939</v>
      </c>
      <c r="D484" s="6" t="s">
        <v>1871</v>
      </c>
      <c r="E484" s="6" t="s">
        <v>1872</v>
      </c>
    </row>
    <row r="485" customHeight="1" spans="2:5">
      <c r="B485" s="6" t="s">
        <v>1940</v>
      </c>
      <c r="C485" s="6" t="s">
        <v>1941</v>
      </c>
      <c r="D485" s="6" t="s">
        <v>1871</v>
      </c>
      <c r="E485" s="6" t="s">
        <v>1872</v>
      </c>
    </row>
    <row r="486" customHeight="1" spans="2:5">
      <c r="B486" s="6" t="s">
        <v>1942</v>
      </c>
      <c r="C486" s="6" t="s">
        <v>1942</v>
      </c>
      <c r="D486" s="6" t="s">
        <v>1871</v>
      </c>
      <c r="E486" s="6" t="s">
        <v>1872</v>
      </c>
    </row>
    <row r="487" customHeight="1" spans="2:5">
      <c r="B487" s="6" t="s">
        <v>1943</v>
      </c>
      <c r="C487" s="6" t="s">
        <v>1944</v>
      </c>
      <c r="D487" s="6" t="s">
        <v>1871</v>
      </c>
      <c r="E487" s="6" t="s">
        <v>1872</v>
      </c>
    </row>
    <row r="488" customHeight="1" spans="2:5">
      <c r="B488" s="6" t="s">
        <v>1945</v>
      </c>
      <c r="C488" s="6" t="s">
        <v>1946</v>
      </c>
      <c r="D488" s="6" t="s">
        <v>1871</v>
      </c>
      <c r="E488" s="6" t="s">
        <v>1872</v>
      </c>
    </row>
    <row r="489" customHeight="1" spans="2:5">
      <c r="B489" s="6" t="s">
        <v>1947</v>
      </c>
      <c r="C489" s="6" t="s">
        <v>1948</v>
      </c>
      <c r="D489" s="6" t="s">
        <v>1871</v>
      </c>
      <c r="E489" s="6" t="s">
        <v>1872</v>
      </c>
    </row>
    <row r="490" customHeight="1" spans="2:5">
      <c r="B490" s="6" t="s">
        <v>1949</v>
      </c>
      <c r="C490" s="6" t="s">
        <v>1950</v>
      </c>
      <c r="D490" s="6" t="s">
        <v>1871</v>
      </c>
      <c r="E490" s="6" t="s">
        <v>1872</v>
      </c>
    </row>
    <row r="491" customHeight="1" spans="2:5">
      <c r="B491" s="6" t="s">
        <v>1951</v>
      </c>
      <c r="C491" s="6" t="s">
        <v>1951</v>
      </c>
      <c r="D491" s="6" t="s">
        <v>1871</v>
      </c>
      <c r="E491" s="6" t="s">
        <v>1872</v>
      </c>
    </row>
    <row r="492" customHeight="1" spans="2:5">
      <c r="B492" s="6" t="s">
        <v>1952</v>
      </c>
      <c r="C492" s="6" t="s">
        <v>1953</v>
      </c>
      <c r="D492" s="6" t="s">
        <v>1871</v>
      </c>
      <c r="E492" s="6" t="s">
        <v>1872</v>
      </c>
    </row>
    <row r="493" customHeight="1" spans="2:5">
      <c r="B493" s="6" t="s">
        <v>1954</v>
      </c>
      <c r="C493" s="6" t="s">
        <v>1955</v>
      </c>
      <c r="D493" s="6" t="s">
        <v>1871</v>
      </c>
      <c r="E493" s="6" t="s">
        <v>1872</v>
      </c>
    </row>
    <row r="494" customHeight="1" spans="2:5">
      <c r="B494" s="6" t="s">
        <v>1956</v>
      </c>
      <c r="C494" s="6" t="s">
        <v>1956</v>
      </c>
      <c r="D494" s="6" t="s">
        <v>1871</v>
      </c>
      <c r="E494" s="6" t="s">
        <v>1872</v>
      </c>
    </row>
    <row r="495" customHeight="1" spans="2:5">
      <c r="B495" s="6" t="s">
        <v>1957</v>
      </c>
      <c r="C495" s="6" t="s">
        <v>1958</v>
      </c>
      <c r="D495" s="6" t="s">
        <v>1871</v>
      </c>
      <c r="E495" s="6" t="s">
        <v>1872</v>
      </c>
    </row>
    <row r="496" customHeight="1" spans="2:5">
      <c r="B496" s="6" t="s">
        <v>1959</v>
      </c>
      <c r="C496" s="6" t="s">
        <v>1960</v>
      </c>
      <c r="D496" s="6" t="s">
        <v>1871</v>
      </c>
      <c r="E496" s="6" t="s">
        <v>1872</v>
      </c>
    </row>
    <row r="497" customHeight="1" spans="2:5">
      <c r="B497" s="6" t="s">
        <v>1961</v>
      </c>
      <c r="C497" s="6" t="s">
        <v>1961</v>
      </c>
      <c r="D497" s="6" t="s">
        <v>1871</v>
      </c>
      <c r="E497" s="6" t="s">
        <v>1872</v>
      </c>
    </row>
    <row r="498" customHeight="1" spans="2:5">
      <c r="B498" s="6" t="s">
        <v>1962</v>
      </c>
      <c r="C498" s="6" t="s">
        <v>1963</v>
      </c>
      <c r="D498" s="6" t="s">
        <v>1871</v>
      </c>
      <c r="E498" s="6" t="s">
        <v>1872</v>
      </c>
    </row>
    <row r="499" customHeight="1" spans="2:5">
      <c r="B499" s="6" t="s">
        <v>1964</v>
      </c>
      <c r="C499" s="6" t="s">
        <v>1964</v>
      </c>
      <c r="D499" s="6" t="s">
        <v>1871</v>
      </c>
      <c r="E499" s="6" t="s">
        <v>1872</v>
      </c>
    </row>
    <row r="500" customHeight="1" spans="2:5">
      <c r="B500" s="6" t="s">
        <v>1965</v>
      </c>
      <c r="C500" s="6" t="s">
        <v>1966</v>
      </c>
      <c r="D500" s="6" t="s">
        <v>1871</v>
      </c>
      <c r="E500" s="6" t="s">
        <v>1872</v>
      </c>
    </row>
    <row r="501" customHeight="1" spans="2:5">
      <c r="B501" s="6" t="s">
        <v>1967</v>
      </c>
      <c r="C501" s="6" t="s">
        <v>1967</v>
      </c>
      <c r="D501" s="6" t="s">
        <v>1871</v>
      </c>
      <c r="E501" s="6" t="s">
        <v>1872</v>
      </c>
    </row>
    <row r="502" customHeight="1" spans="2:5">
      <c r="B502" s="6" t="s">
        <v>1968</v>
      </c>
      <c r="C502" s="6" t="s">
        <v>1968</v>
      </c>
      <c r="D502" s="6" t="s">
        <v>1871</v>
      </c>
      <c r="E502" s="6" t="s">
        <v>1872</v>
      </c>
    </row>
    <row r="503" customHeight="1" spans="2:5">
      <c r="B503" s="6" t="s">
        <v>1969</v>
      </c>
      <c r="C503" s="6" t="s">
        <v>1970</v>
      </c>
      <c r="D503" s="6" t="s">
        <v>1871</v>
      </c>
      <c r="E503" s="6" t="s">
        <v>1872</v>
      </c>
    </row>
    <row r="504" customHeight="1" spans="2:5">
      <c r="B504" s="6" t="s">
        <v>1971</v>
      </c>
      <c r="C504" s="6" t="s">
        <v>1972</v>
      </c>
      <c r="D504" s="6" t="s">
        <v>1871</v>
      </c>
      <c r="E504" s="6" t="s">
        <v>1872</v>
      </c>
    </row>
    <row r="505" customHeight="1" spans="2:5">
      <c r="B505" s="6" t="s">
        <v>1973</v>
      </c>
      <c r="C505" s="6" t="s">
        <v>1973</v>
      </c>
      <c r="D505" s="6" t="s">
        <v>1871</v>
      </c>
      <c r="E505" s="6" t="s">
        <v>1872</v>
      </c>
    </row>
    <row r="506" customHeight="1" spans="2:5">
      <c r="B506" s="6" t="s">
        <v>1974</v>
      </c>
      <c r="C506" s="6" t="s">
        <v>1974</v>
      </c>
      <c r="D506" s="6" t="s">
        <v>1871</v>
      </c>
      <c r="E506" s="6" t="s">
        <v>1872</v>
      </c>
    </row>
    <row r="507" customHeight="1" spans="2:5">
      <c r="B507" s="6" t="s">
        <v>1975</v>
      </c>
      <c r="C507" s="6" t="s">
        <v>1976</v>
      </c>
      <c r="D507" s="6" t="s">
        <v>1871</v>
      </c>
      <c r="E507" s="6" t="s">
        <v>1872</v>
      </c>
    </row>
    <row r="508" customHeight="1" spans="2:5">
      <c r="B508" s="6" t="s">
        <v>1977</v>
      </c>
      <c r="C508" s="6" t="s">
        <v>1977</v>
      </c>
      <c r="D508" s="6" t="s">
        <v>1871</v>
      </c>
      <c r="E508" s="6" t="s">
        <v>1872</v>
      </c>
    </row>
    <row r="509" customHeight="1" spans="2:5">
      <c r="B509" s="6" t="s">
        <v>1978</v>
      </c>
      <c r="C509" s="6" t="s">
        <v>1979</v>
      </c>
      <c r="D509" s="6" t="s">
        <v>1871</v>
      </c>
      <c r="E509" s="6" t="s">
        <v>1872</v>
      </c>
    </row>
    <row r="510" customHeight="1" spans="2:5">
      <c r="B510" s="6" t="s">
        <v>1980</v>
      </c>
      <c r="C510" s="6" t="s">
        <v>1980</v>
      </c>
      <c r="D510" s="6" t="s">
        <v>1871</v>
      </c>
      <c r="E510" s="6" t="s">
        <v>1872</v>
      </c>
    </row>
    <row r="511" customHeight="1" spans="2:5">
      <c r="B511" s="6" t="s">
        <v>1981</v>
      </c>
      <c r="C511" s="6" t="s">
        <v>1981</v>
      </c>
      <c r="D511" s="6" t="s">
        <v>1871</v>
      </c>
      <c r="E511" s="6" t="s">
        <v>1872</v>
      </c>
    </row>
    <row r="512" customHeight="1" spans="2:5">
      <c r="B512" s="6" t="s">
        <v>1982</v>
      </c>
      <c r="C512" s="6" t="s">
        <v>1983</v>
      </c>
      <c r="D512" s="6" t="s">
        <v>1871</v>
      </c>
      <c r="E512" s="6" t="s">
        <v>1872</v>
      </c>
    </row>
    <row r="513" customHeight="1" spans="2:5">
      <c r="B513" s="6" t="s">
        <v>1984</v>
      </c>
      <c r="C513" s="6" t="s">
        <v>1984</v>
      </c>
      <c r="D513" s="6" t="s">
        <v>1871</v>
      </c>
      <c r="E513" s="6" t="s">
        <v>1872</v>
      </c>
    </row>
    <row r="514" customHeight="1" spans="2:5">
      <c r="B514" s="6" t="s">
        <v>1985</v>
      </c>
      <c r="C514" s="6" t="s">
        <v>1986</v>
      </c>
      <c r="D514" s="6" t="s">
        <v>1871</v>
      </c>
      <c r="E514" s="6" t="s">
        <v>1872</v>
      </c>
    </row>
    <row r="515" customHeight="1" spans="2:5">
      <c r="B515" s="6" t="s">
        <v>1987</v>
      </c>
      <c r="C515" s="6" t="s">
        <v>1987</v>
      </c>
      <c r="D515" s="6" t="s">
        <v>1871</v>
      </c>
      <c r="E515" s="6" t="s">
        <v>1872</v>
      </c>
    </row>
    <row r="516" customHeight="1" spans="2:5">
      <c r="B516" s="6" t="s">
        <v>1988</v>
      </c>
      <c r="C516" s="6" t="s">
        <v>1988</v>
      </c>
      <c r="D516" s="6" t="s">
        <v>1871</v>
      </c>
      <c r="E516" s="6" t="s">
        <v>1872</v>
      </c>
    </row>
    <row r="517" customHeight="1" spans="2:5">
      <c r="B517" s="6" t="s">
        <v>1989</v>
      </c>
      <c r="C517" s="6" t="s">
        <v>1989</v>
      </c>
      <c r="D517" s="6" t="s">
        <v>1871</v>
      </c>
      <c r="E517" s="6" t="s">
        <v>1872</v>
      </c>
    </row>
    <row r="518" customHeight="1" spans="2:5">
      <c r="B518" s="6" t="s">
        <v>1990</v>
      </c>
      <c r="C518" s="6" t="s">
        <v>1990</v>
      </c>
      <c r="D518" s="6" t="s">
        <v>1871</v>
      </c>
      <c r="E518" s="6" t="s">
        <v>1872</v>
      </c>
    </row>
    <row r="519" customHeight="1" spans="2:5">
      <c r="B519" s="6" t="s">
        <v>1991</v>
      </c>
      <c r="C519" s="6" t="s">
        <v>1991</v>
      </c>
      <c r="D519" s="6" t="s">
        <v>1871</v>
      </c>
      <c r="E519" s="6" t="s">
        <v>1872</v>
      </c>
    </row>
    <row r="520" customHeight="1" spans="2:5">
      <c r="B520" s="6" t="s">
        <v>1992</v>
      </c>
      <c r="C520" s="6" t="s">
        <v>1992</v>
      </c>
      <c r="D520" s="6" t="s">
        <v>1871</v>
      </c>
      <c r="E520" s="6" t="s">
        <v>1872</v>
      </c>
    </row>
    <row r="521" customHeight="1" spans="2:5">
      <c r="B521" s="6" t="s">
        <v>1993</v>
      </c>
      <c r="C521" s="6" t="s">
        <v>1993</v>
      </c>
      <c r="D521" s="6" t="s">
        <v>1871</v>
      </c>
      <c r="E521" s="6" t="s">
        <v>1872</v>
      </c>
    </row>
    <row r="522" customHeight="1" spans="2:5">
      <c r="B522" s="6" t="s">
        <v>1994</v>
      </c>
      <c r="C522" s="6" t="s">
        <v>1995</v>
      </c>
      <c r="D522" s="6" t="s">
        <v>1871</v>
      </c>
      <c r="E522" s="6" t="s">
        <v>1872</v>
      </c>
    </row>
    <row r="523" customHeight="1" spans="2:5">
      <c r="B523" s="6" t="s">
        <v>1996</v>
      </c>
      <c r="C523" s="6" t="s">
        <v>1996</v>
      </c>
      <c r="D523" s="6" t="s">
        <v>1871</v>
      </c>
      <c r="E523" s="6" t="s">
        <v>1872</v>
      </c>
    </row>
    <row r="524" customHeight="1" spans="2:5">
      <c r="B524" s="6" t="s">
        <v>1997</v>
      </c>
      <c r="C524" s="6" t="s">
        <v>1997</v>
      </c>
      <c r="D524" s="6" t="s">
        <v>1871</v>
      </c>
      <c r="E524" s="6" t="s">
        <v>1872</v>
      </c>
    </row>
    <row r="525" customHeight="1" spans="2:5">
      <c r="B525" s="6" t="s">
        <v>1998</v>
      </c>
      <c r="C525" s="6" t="s">
        <v>1999</v>
      </c>
      <c r="D525" s="6" t="s">
        <v>1871</v>
      </c>
      <c r="E525" s="6" t="s">
        <v>1872</v>
      </c>
    </row>
    <row r="526" customHeight="1" spans="2:5">
      <c r="B526" s="6" t="s">
        <v>2000</v>
      </c>
      <c r="C526" s="6" t="s">
        <v>2001</v>
      </c>
      <c r="D526" s="6" t="s">
        <v>1871</v>
      </c>
      <c r="E526" s="6" t="s">
        <v>1872</v>
      </c>
    </row>
    <row r="527" customHeight="1" spans="2:5">
      <c r="B527" s="6" t="s">
        <v>2002</v>
      </c>
      <c r="C527" s="6" t="s">
        <v>2003</v>
      </c>
      <c r="D527" s="6" t="s">
        <v>1871</v>
      </c>
      <c r="E527" s="6" t="s">
        <v>1872</v>
      </c>
    </row>
    <row r="528" customHeight="1" spans="2:5">
      <c r="B528" s="6" t="s">
        <v>2004</v>
      </c>
      <c r="C528" s="6" t="s">
        <v>2005</v>
      </c>
      <c r="D528" s="6" t="s">
        <v>1871</v>
      </c>
      <c r="E528" s="6" t="s">
        <v>1872</v>
      </c>
    </row>
    <row r="529" customHeight="1" spans="2:5">
      <c r="B529" s="6" t="s">
        <v>2006</v>
      </c>
      <c r="C529" s="6" t="s">
        <v>2007</v>
      </c>
      <c r="D529" s="6" t="s">
        <v>1871</v>
      </c>
      <c r="E529" s="6" t="s">
        <v>1872</v>
      </c>
    </row>
    <row r="530" customHeight="1" spans="2:5">
      <c r="B530" s="6" t="s">
        <v>2008</v>
      </c>
      <c r="C530" s="6" t="s">
        <v>2008</v>
      </c>
      <c r="D530" s="6" t="s">
        <v>1871</v>
      </c>
      <c r="E530" s="6" t="s">
        <v>1872</v>
      </c>
    </row>
    <row r="531" customHeight="1" spans="2:5">
      <c r="B531" s="6" t="s">
        <v>2009</v>
      </c>
      <c r="C531" s="6" t="s">
        <v>2009</v>
      </c>
      <c r="D531" s="6" t="s">
        <v>1871</v>
      </c>
      <c r="E531" s="6" t="s">
        <v>1872</v>
      </c>
    </row>
    <row r="532" customHeight="1" spans="2:5">
      <c r="B532" s="6" t="s">
        <v>2010</v>
      </c>
      <c r="C532" s="6" t="s">
        <v>2010</v>
      </c>
      <c r="D532" s="6" t="s">
        <v>1871</v>
      </c>
      <c r="E532" s="6" t="s">
        <v>1872</v>
      </c>
    </row>
    <row r="533" customHeight="1" spans="2:5">
      <c r="B533" s="6" t="s">
        <v>2011</v>
      </c>
      <c r="C533" s="6" t="s">
        <v>2012</v>
      </c>
      <c r="D533" s="6" t="s">
        <v>1871</v>
      </c>
      <c r="E533" s="6" t="s">
        <v>1872</v>
      </c>
    </row>
    <row r="534" customHeight="1" spans="2:5">
      <c r="B534" s="6" t="s">
        <v>2013</v>
      </c>
      <c r="C534" s="6" t="s">
        <v>2013</v>
      </c>
      <c r="D534" s="6" t="s">
        <v>1871</v>
      </c>
      <c r="E534" s="6" t="s">
        <v>1872</v>
      </c>
    </row>
    <row r="535" customHeight="1" spans="2:5">
      <c r="B535" s="6" t="s">
        <v>2014</v>
      </c>
      <c r="C535" s="6" t="s">
        <v>2014</v>
      </c>
      <c r="D535" s="6" t="s">
        <v>1871</v>
      </c>
      <c r="E535" s="6" t="s">
        <v>1872</v>
      </c>
    </row>
    <row r="536" customHeight="1" spans="2:5">
      <c r="B536" s="6" t="s">
        <v>2015</v>
      </c>
      <c r="C536" s="6" t="s">
        <v>2016</v>
      </c>
      <c r="D536" s="6" t="s">
        <v>1871</v>
      </c>
      <c r="E536" s="6" t="s">
        <v>1872</v>
      </c>
    </row>
    <row r="537" customHeight="1" spans="2:5">
      <c r="B537" s="6" t="s">
        <v>2017</v>
      </c>
      <c r="C537" s="6" t="s">
        <v>2018</v>
      </c>
      <c r="D537" s="6" t="s">
        <v>1871</v>
      </c>
      <c r="E537" s="6" t="s">
        <v>1872</v>
      </c>
    </row>
    <row r="538" customHeight="1" spans="2:5">
      <c r="B538" s="6" t="s">
        <v>2019</v>
      </c>
      <c r="C538" s="6" t="s">
        <v>2020</v>
      </c>
      <c r="D538" s="6" t="s">
        <v>1871</v>
      </c>
      <c r="E538" s="6" t="s">
        <v>1872</v>
      </c>
    </row>
    <row r="539" customHeight="1" spans="2:5">
      <c r="B539" s="6" t="s">
        <v>2021</v>
      </c>
      <c r="C539" s="6" t="s">
        <v>2021</v>
      </c>
      <c r="D539" s="6" t="s">
        <v>1871</v>
      </c>
      <c r="E539" s="6" t="s">
        <v>1872</v>
      </c>
    </row>
    <row r="540" customHeight="1" spans="2:5">
      <c r="B540" s="6" t="s">
        <v>2022</v>
      </c>
      <c r="C540" s="6" t="s">
        <v>2023</v>
      </c>
      <c r="D540" s="6" t="s">
        <v>1871</v>
      </c>
      <c r="E540" s="6" t="s">
        <v>1872</v>
      </c>
    </row>
    <row r="541" customHeight="1" spans="2:5">
      <c r="B541" s="6" t="s">
        <v>2024</v>
      </c>
      <c r="C541" s="6" t="s">
        <v>2025</v>
      </c>
      <c r="D541" s="6" t="s">
        <v>1871</v>
      </c>
      <c r="E541" s="6" t="s">
        <v>1872</v>
      </c>
    </row>
    <row r="542" customHeight="1" spans="2:5">
      <c r="B542" s="6" t="s">
        <v>2026</v>
      </c>
      <c r="C542" s="6" t="s">
        <v>2026</v>
      </c>
      <c r="D542" s="6" t="s">
        <v>1871</v>
      </c>
      <c r="E542" s="6" t="s">
        <v>1872</v>
      </c>
    </row>
    <row r="543" customHeight="1" spans="2:5">
      <c r="B543" s="6" t="s">
        <v>2027</v>
      </c>
      <c r="C543" s="6" t="s">
        <v>2027</v>
      </c>
      <c r="D543" s="6" t="s">
        <v>1871</v>
      </c>
      <c r="E543" s="6" t="s">
        <v>1872</v>
      </c>
    </row>
    <row r="544" customHeight="1" spans="2:5">
      <c r="B544" s="6" t="s">
        <v>2028</v>
      </c>
      <c r="C544" s="6" t="s">
        <v>2028</v>
      </c>
      <c r="D544" s="6" t="s">
        <v>1871</v>
      </c>
      <c r="E544" s="6" t="s">
        <v>1872</v>
      </c>
    </row>
    <row r="545" customHeight="1" spans="2:5">
      <c r="B545" s="6" t="s">
        <v>2029</v>
      </c>
      <c r="C545" s="6" t="s">
        <v>2030</v>
      </c>
      <c r="D545" s="6" t="s">
        <v>1871</v>
      </c>
      <c r="E545" s="6" t="s">
        <v>1872</v>
      </c>
    </row>
    <row r="546" customHeight="1" spans="2:5">
      <c r="B546" s="6" t="s">
        <v>2031</v>
      </c>
      <c r="C546" s="6" t="s">
        <v>2032</v>
      </c>
      <c r="D546" s="6" t="s">
        <v>1871</v>
      </c>
      <c r="E546" s="6" t="s">
        <v>1872</v>
      </c>
    </row>
    <row r="547" customHeight="1" spans="2:5">
      <c r="B547" s="6" t="s">
        <v>2033</v>
      </c>
      <c r="C547" s="6" t="s">
        <v>2033</v>
      </c>
      <c r="D547" s="6" t="s">
        <v>1871</v>
      </c>
      <c r="E547" s="6" t="s">
        <v>1872</v>
      </c>
    </row>
    <row r="548" customHeight="1" spans="2:5">
      <c r="B548" s="6" t="s">
        <v>2034</v>
      </c>
      <c r="C548" s="6" t="s">
        <v>2034</v>
      </c>
      <c r="D548" s="6" t="s">
        <v>1871</v>
      </c>
      <c r="E548" s="6" t="s">
        <v>1872</v>
      </c>
    </row>
    <row r="549" customHeight="1" spans="2:5">
      <c r="B549" s="6" t="s">
        <v>2035</v>
      </c>
      <c r="C549" s="6" t="s">
        <v>2036</v>
      </c>
      <c r="D549" s="6" t="s">
        <v>1871</v>
      </c>
      <c r="E549" s="6" t="s">
        <v>1872</v>
      </c>
    </row>
    <row r="550" customHeight="1" spans="2:5">
      <c r="B550" s="6" t="s">
        <v>2037</v>
      </c>
      <c r="C550" s="6" t="s">
        <v>2037</v>
      </c>
      <c r="D550" s="6" t="s">
        <v>1871</v>
      </c>
      <c r="E550" s="6" t="s">
        <v>1872</v>
      </c>
    </row>
    <row r="551" customHeight="1" spans="2:5">
      <c r="B551" s="6" t="s">
        <v>2038</v>
      </c>
      <c r="C551" s="6" t="s">
        <v>2038</v>
      </c>
      <c r="D551" s="6" t="s">
        <v>1871</v>
      </c>
      <c r="E551" s="6" t="s">
        <v>1872</v>
      </c>
    </row>
    <row r="552" customHeight="1" spans="2:5">
      <c r="B552" s="6" t="s">
        <v>2039</v>
      </c>
      <c r="C552" s="6" t="s">
        <v>2039</v>
      </c>
      <c r="D552" s="6" t="s">
        <v>1871</v>
      </c>
      <c r="E552" s="6" t="s">
        <v>1872</v>
      </c>
    </row>
    <row r="553" customHeight="1" spans="2:5">
      <c r="B553" s="6" t="s">
        <v>2040</v>
      </c>
      <c r="C553" s="6" t="s">
        <v>2040</v>
      </c>
      <c r="D553" s="6" t="s">
        <v>1871</v>
      </c>
      <c r="E553" s="6" t="s">
        <v>1872</v>
      </c>
    </row>
    <row r="554" customHeight="1" spans="2:5">
      <c r="B554" s="6" t="s">
        <v>2041</v>
      </c>
      <c r="C554" s="6" t="s">
        <v>2041</v>
      </c>
      <c r="D554" s="6" t="s">
        <v>1871</v>
      </c>
      <c r="E554" s="6" t="s">
        <v>1872</v>
      </c>
    </row>
    <row r="555" customHeight="1" spans="2:5">
      <c r="B555" s="6" t="s">
        <v>2042</v>
      </c>
      <c r="C555" s="6" t="s">
        <v>2042</v>
      </c>
      <c r="D555" s="6" t="s">
        <v>1871</v>
      </c>
      <c r="E555" s="6" t="s">
        <v>1872</v>
      </c>
    </row>
    <row r="556" customHeight="1" spans="2:5">
      <c r="B556" s="6" t="s">
        <v>2043</v>
      </c>
      <c r="C556" s="6" t="s">
        <v>2043</v>
      </c>
      <c r="D556" s="6" t="s">
        <v>1871</v>
      </c>
      <c r="E556" s="6" t="s">
        <v>1872</v>
      </c>
    </row>
    <row r="557" customHeight="1" spans="2:5">
      <c r="B557" s="6" t="s">
        <v>2044</v>
      </c>
      <c r="C557" s="6" t="s">
        <v>2044</v>
      </c>
      <c r="D557" s="6" t="s">
        <v>1871</v>
      </c>
      <c r="E557" s="6" t="s">
        <v>1872</v>
      </c>
    </row>
    <row r="558" customHeight="1" spans="2:5">
      <c r="B558" s="6" t="s">
        <v>2045</v>
      </c>
      <c r="C558" s="6" t="s">
        <v>2045</v>
      </c>
      <c r="D558" s="6" t="s">
        <v>1871</v>
      </c>
      <c r="E558" s="6" t="s">
        <v>1872</v>
      </c>
    </row>
    <row r="559" customHeight="1" spans="2:5">
      <c r="B559" s="6" t="s">
        <v>2046</v>
      </c>
      <c r="C559" s="6" t="s">
        <v>2047</v>
      </c>
      <c r="D559" s="6" t="s">
        <v>1871</v>
      </c>
      <c r="E559" s="6" t="s">
        <v>1872</v>
      </c>
    </row>
    <row r="560" customHeight="1" spans="2:5">
      <c r="B560" s="6" t="s">
        <v>2048</v>
      </c>
      <c r="C560" s="6" t="s">
        <v>2049</v>
      </c>
      <c r="D560" s="6" t="s">
        <v>1871</v>
      </c>
      <c r="E560" s="6" t="s">
        <v>1872</v>
      </c>
    </row>
    <row r="561" customHeight="1" spans="2:5">
      <c r="B561" s="6" t="s">
        <v>2050</v>
      </c>
      <c r="C561" s="6" t="s">
        <v>2051</v>
      </c>
      <c r="D561" s="6" t="s">
        <v>1871</v>
      </c>
      <c r="E561" s="6" t="s">
        <v>1872</v>
      </c>
    </row>
    <row r="562" customHeight="1" spans="2:5">
      <c r="B562" s="6" t="s">
        <v>2052</v>
      </c>
      <c r="C562" s="6" t="s">
        <v>2053</v>
      </c>
      <c r="D562" s="6" t="s">
        <v>1871</v>
      </c>
      <c r="E562" s="6" t="s">
        <v>1872</v>
      </c>
    </row>
    <row r="563" customHeight="1" spans="2:5">
      <c r="B563" s="6" t="s">
        <v>2054</v>
      </c>
      <c r="C563" s="6" t="s">
        <v>2055</v>
      </c>
      <c r="D563" s="6" t="s">
        <v>1871</v>
      </c>
      <c r="E563" s="6" t="s">
        <v>1872</v>
      </c>
    </row>
    <row r="564" customHeight="1" spans="2:5">
      <c r="B564" s="6" t="s">
        <v>2056</v>
      </c>
      <c r="C564" s="6" t="s">
        <v>2057</v>
      </c>
      <c r="D564" s="6" t="s">
        <v>1871</v>
      </c>
      <c r="E564" s="6" t="s">
        <v>1872</v>
      </c>
    </row>
    <row r="565" customHeight="1" spans="2:5">
      <c r="B565" s="6" t="s">
        <v>2058</v>
      </c>
      <c r="C565" s="6" t="s">
        <v>2059</v>
      </c>
      <c r="D565" s="6" t="s">
        <v>1871</v>
      </c>
      <c r="E565" s="6" t="s">
        <v>1872</v>
      </c>
    </row>
    <row r="566" customHeight="1" spans="2:5">
      <c r="B566" s="6" t="s">
        <v>2060</v>
      </c>
      <c r="C566" s="6" t="s">
        <v>2061</v>
      </c>
      <c r="D566" s="6" t="s">
        <v>1871</v>
      </c>
      <c r="E566" s="6" t="s">
        <v>1872</v>
      </c>
    </row>
    <row r="567" customHeight="1" spans="2:5">
      <c r="B567" s="6" t="s">
        <v>2062</v>
      </c>
      <c r="C567" s="6" t="s">
        <v>2063</v>
      </c>
      <c r="D567" s="6" t="s">
        <v>1871</v>
      </c>
      <c r="E567" s="6" t="s">
        <v>1872</v>
      </c>
    </row>
    <row r="568" customHeight="1" spans="2:5">
      <c r="B568" s="6" t="s">
        <v>2064</v>
      </c>
      <c r="C568" s="6" t="s">
        <v>2065</v>
      </c>
      <c r="D568" s="6" t="s">
        <v>1871</v>
      </c>
      <c r="E568" s="6" t="s">
        <v>1872</v>
      </c>
    </row>
    <row r="569" customHeight="1" spans="2:5">
      <c r="B569" s="6" t="s">
        <v>2066</v>
      </c>
      <c r="C569" s="6" t="s">
        <v>2067</v>
      </c>
      <c r="D569" s="6" t="s">
        <v>1871</v>
      </c>
      <c r="E569" s="6" t="s">
        <v>1872</v>
      </c>
    </row>
    <row r="570" customHeight="1" spans="2:5">
      <c r="B570" s="6" t="s">
        <v>2068</v>
      </c>
      <c r="C570" s="6" t="s">
        <v>2069</v>
      </c>
      <c r="D570" s="6" t="s">
        <v>1871</v>
      </c>
      <c r="E570" s="6" t="s">
        <v>1872</v>
      </c>
    </row>
    <row r="571" customHeight="1" spans="2:5">
      <c r="B571" s="6" t="s">
        <v>2070</v>
      </c>
      <c r="C571" s="6" t="s">
        <v>2071</v>
      </c>
      <c r="D571" s="6" t="s">
        <v>1871</v>
      </c>
      <c r="E571" s="6" t="s">
        <v>1872</v>
      </c>
    </row>
    <row r="572" customHeight="1" spans="2:5">
      <c r="B572" s="6" t="s">
        <v>2072</v>
      </c>
      <c r="C572" s="6" t="s">
        <v>2072</v>
      </c>
      <c r="D572" s="6" t="s">
        <v>1871</v>
      </c>
      <c r="E572" s="6" t="s">
        <v>1872</v>
      </c>
    </row>
    <row r="573" customHeight="1" spans="2:5">
      <c r="B573" s="6" t="s">
        <v>2073</v>
      </c>
      <c r="C573" s="6" t="s">
        <v>2073</v>
      </c>
      <c r="D573" s="6" t="s">
        <v>1871</v>
      </c>
      <c r="E573" s="6" t="s">
        <v>1872</v>
      </c>
    </row>
    <row r="574" customHeight="1" spans="2:5">
      <c r="B574" s="6" t="s">
        <v>2074</v>
      </c>
      <c r="C574" s="6" t="s">
        <v>2075</v>
      </c>
      <c r="D574" s="6" t="s">
        <v>1871</v>
      </c>
      <c r="E574" s="6" t="s">
        <v>1872</v>
      </c>
    </row>
    <row r="575" customHeight="1" spans="2:5">
      <c r="B575" s="6" t="s">
        <v>2076</v>
      </c>
      <c r="C575" s="6" t="s">
        <v>2076</v>
      </c>
      <c r="D575" s="6" t="s">
        <v>1871</v>
      </c>
      <c r="E575" s="6" t="s">
        <v>1872</v>
      </c>
    </row>
    <row r="576" customHeight="1" spans="2:5">
      <c r="B576" s="6" t="s">
        <v>2077</v>
      </c>
      <c r="C576" s="6" t="s">
        <v>2077</v>
      </c>
      <c r="D576" s="6" t="s">
        <v>1871</v>
      </c>
      <c r="E576" s="6" t="s">
        <v>1872</v>
      </c>
    </row>
    <row r="577" customHeight="1" spans="2:5">
      <c r="B577" s="6" t="s">
        <v>2078</v>
      </c>
      <c r="C577" s="6" t="s">
        <v>2079</v>
      </c>
      <c r="D577" s="6" t="s">
        <v>1871</v>
      </c>
      <c r="E577" s="6" t="s">
        <v>1872</v>
      </c>
    </row>
    <row r="578" customHeight="1" spans="2:5">
      <c r="B578" s="6" t="s">
        <v>2080</v>
      </c>
      <c r="C578" s="6" t="s">
        <v>2081</v>
      </c>
      <c r="D578" s="6" t="s">
        <v>1871</v>
      </c>
      <c r="E578" s="6" t="s">
        <v>1872</v>
      </c>
    </row>
    <row r="579" customHeight="1" spans="2:5">
      <c r="B579" s="6" t="s">
        <v>2082</v>
      </c>
      <c r="C579" s="6" t="s">
        <v>2082</v>
      </c>
      <c r="D579" s="6" t="s">
        <v>1871</v>
      </c>
      <c r="E579" s="6" t="s">
        <v>1872</v>
      </c>
    </row>
    <row r="580" customHeight="1" spans="2:5">
      <c r="B580" s="6" t="s">
        <v>2083</v>
      </c>
      <c r="C580" s="6" t="s">
        <v>2083</v>
      </c>
      <c r="D580" s="6" t="s">
        <v>1871</v>
      </c>
      <c r="E580" s="6" t="s">
        <v>1872</v>
      </c>
    </row>
    <row r="581" customHeight="1" spans="2:5">
      <c r="B581" s="6" t="s">
        <v>2084</v>
      </c>
      <c r="C581" s="6" t="s">
        <v>2084</v>
      </c>
      <c r="D581" s="6" t="s">
        <v>1871</v>
      </c>
      <c r="E581" s="6" t="s">
        <v>1872</v>
      </c>
    </row>
    <row r="582" customHeight="1" spans="2:5">
      <c r="B582" s="6" t="s">
        <v>2085</v>
      </c>
      <c r="C582" s="6" t="s">
        <v>2086</v>
      </c>
      <c r="D582" s="6" t="s">
        <v>1871</v>
      </c>
      <c r="E582" s="6" t="s">
        <v>1872</v>
      </c>
    </row>
    <row r="583" customHeight="1" spans="2:5">
      <c r="B583" s="6" t="s">
        <v>2087</v>
      </c>
      <c r="C583" s="6" t="s">
        <v>2088</v>
      </c>
      <c r="D583" s="6" t="s">
        <v>1871</v>
      </c>
      <c r="E583" s="6" t="s">
        <v>1872</v>
      </c>
    </row>
    <row r="584" customHeight="1" spans="2:5">
      <c r="B584" s="6" t="s">
        <v>2089</v>
      </c>
      <c r="C584" s="6" t="s">
        <v>2089</v>
      </c>
      <c r="D584" s="6" t="s">
        <v>1871</v>
      </c>
      <c r="E584" s="6" t="s">
        <v>1872</v>
      </c>
    </row>
    <row r="585" customHeight="1" spans="2:5">
      <c r="B585" s="6" t="s">
        <v>2090</v>
      </c>
      <c r="C585" s="6" t="s">
        <v>2090</v>
      </c>
      <c r="D585" s="6" t="s">
        <v>1871</v>
      </c>
      <c r="E585" s="6" t="s">
        <v>1872</v>
      </c>
    </row>
    <row r="586" customHeight="1" spans="2:5">
      <c r="B586" s="6" t="s">
        <v>2091</v>
      </c>
      <c r="C586" s="6" t="s">
        <v>2092</v>
      </c>
      <c r="D586" s="6" t="s">
        <v>1871</v>
      </c>
      <c r="E586" s="6" t="s">
        <v>1872</v>
      </c>
    </row>
    <row r="587" customHeight="1" spans="2:5">
      <c r="B587" s="6" t="s">
        <v>2093</v>
      </c>
      <c r="C587" s="6" t="s">
        <v>2094</v>
      </c>
      <c r="D587" s="6" t="s">
        <v>1871</v>
      </c>
      <c r="E587" s="6" t="s">
        <v>1872</v>
      </c>
    </row>
    <row r="588" customHeight="1" spans="2:5">
      <c r="B588" s="6" t="s">
        <v>2095</v>
      </c>
      <c r="C588" s="6" t="s">
        <v>2095</v>
      </c>
      <c r="D588" s="6" t="s">
        <v>1871</v>
      </c>
      <c r="E588" s="6" t="s">
        <v>1872</v>
      </c>
    </row>
    <row r="589" customHeight="1" spans="2:5">
      <c r="B589" s="6" t="s">
        <v>2096</v>
      </c>
      <c r="C589" s="6" t="s">
        <v>2097</v>
      </c>
      <c r="D589" s="6" t="s">
        <v>1871</v>
      </c>
      <c r="E589" s="6" t="s">
        <v>1872</v>
      </c>
    </row>
    <row r="590" customHeight="1" spans="2:5">
      <c r="B590" s="6" t="s">
        <v>2098</v>
      </c>
      <c r="C590" s="6" t="s">
        <v>2098</v>
      </c>
      <c r="D590" s="6" t="s">
        <v>1871</v>
      </c>
      <c r="E590" s="6" t="s">
        <v>1872</v>
      </c>
    </row>
    <row r="591" customHeight="1" spans="2:5">
      <c r="B591" s="6" t="s">
        <v>2099</v>
      </c>
      <c r="C591" s="6" t="s">
        <v>2100</v>
      </c>
      <c r="D591" s="6" t="s">
        <v>1871</v>
      </c>
      <c r="E591" s="6" t="s">
        <v>1872</v>
      </c>
    </row>
    <row r="592" customHeight="1" spans="2:5">
      <c r="B592" s="6" t="s">
        <v>2101</v>
      </c>
      <c r="C592" s="6" t="s">
        <v>2102</v>
      </c>
      <c r="D592" s="6" t="s">
        <v>1871</v>
      </c>
      <c r="E592" s="6" t="s">
        <v>1872</v>
      </c>
    </row>
    <row r="593" customHeight="1" spans="2:5">
      <c r="B593" s="6" t="s">
        <v>2103</v>
      </c>
      <c r="C593" s="6" t="s">
        <v>2104</v>
      </c>
      <c r="D593" s="6" t="s">
        <v>1871</v>
      </c>
      <c r="E593" s="6" t="s">
        <v>1872</v>
      </c>
    </row>
    <row r="594" customHeight="1" spans="2:5">
      <c r="B594" s="6" t="s">
        <v>2105</v>
      </c>
      <c r="C594" s="6" t="s">
        <v>2106</v>
      </c>
      <c r="D594" s="6" t="s">
        <v>1871</v>
      </c>
      <c r="E594" s="6" t="s">
        <v>1872</v>
      </c>
    </row>
    <row r="595" customHeight="1" spans="2:5">
      <c r="B595" s="6" t="s">
        <v>2107</v>
      </c>
      <c r="C595" s="6" t="s">
        <v>2108</v>
      </c>
      <c r="D595" s="6" t="s">
        <v>1871</v>
      </c>
      <c r="E595" s="6" t="s">
        <v>1872</v>
      </c>
    </row>
    <row r="596" customHeight="1" spans="2:5">
      <c r="B596" s="6" t="s">
        <v>2109</v>
      </c>
      <c r="C596" s="6" t="s">
        <v>2110</v>
      </c>
      <c r="D596" s="6" t="s">
        <v>1871</v>
      </c>
      <c r="E596" s="6" t="s">
        <v>1872</v>
      </c>
    </row>
    <row r="597" customHeight="1" spans="2:5">
      <c r="B597" s="6" t="s">
        <v>2111</v>
      </c>
      <c r="C597" s="6" t="s">
        <v>2111</v>
      </c>
      <c r="D597" s="6" t="s">
        <v>1871</v>
      </c>
      <c r="E597" s="6" t="s">
        <v>1872</v>
      </c>
    </row>
    <row r="598" customHeight="1" spans="2:5">
      <c r="B598" s="6" t="s">
        <v>2112</v>
      </c>
      <c r="C598" s="6" t="s">
        <v>2113</v>
      </c>
      <c r="D598" s="6" t="s">
        <v>1871</v>
      </c>
      <c r="E598" s="6" t="s">
        <v>1872</v>
      </c>
    </row>
    <row r="599" customHeight="1" spans="2:5">
      <c r="B599" s="6" t="s">
        <v>2114</v>
      </c>
      <c r="C599" s="6" t="s">
        <v>2115</v>
      </c>
      <c r="D599" s="6" t="s">
        <v>1871</v>
      </c>
      <c r="E599" s="6" t="s">
        <v>1872</v>
      </c>
    </row>
    <row r="600" customHeight="1" spans="2:5">
      <c r="B600" s="6" t="s">
        <v>2116</v>
      </c>
      <c r="C600" s="6" t="s">
        <v>2117</v>
      </c>
      <c r="D600" s="6" t="s">
        <v>1871</v>
      </c>
      <c r="E600" s="6" t="s">
        <v>1872</v>
      </c>
    </row>
    <row r="601" customHeight="1" spans="2:5">
      <c r="B601" s="6" t="s">
        <v>2118</v>
      </c>
      <c r="C601" s="6" t="s">
        <v>2119</v>
      </c>
      <c r="D601" s="6" t="s">
        <v>1871</v>
      </c>
      <c r="E601" s="6" t="s">
        <v>1872</v>
      </c>
    </row>
    <row r="602" customHeight="1" spans="2:5">
      <c r="B602" s="6" t="s">
        <v>2120</v>
      </c>
      <c r="C602" s="6" t="s">
        <v>2120</v>
      </c>
      <c r="D602" s="6" t="s">
        <v>1871</v>
      </c>
      <c r="E602" s="6" t="s">
        <v>1872</v>
      </c>
    </row>
    <row r="603" customHeight="1" spans="2:5">
      <c r="B603" s="6" t="s">
        <v>2121</v>
      </c>
      <c r="C603" s="6" t="s">
        <v>2122</v>
      </c>
      <c r="D603" s="6" t="s">
        <v>1871</v>
      </c>
      <c r="E603" s="6" t="s">
        <v>1872</v>
      </c>
    </row>
    <row r="604" customHeight="1" spans="2:5">
      <c r="B604" s="6" t="s">
        <v>2123</v>
      </c>
      <c r="C604" s="6" t="s">
        <v>2124</v>
      </c>
      <c r="D604" s="6" t="s">
        <v>1871</v>
      </c>
      <c r="E604" s="6" t="s">
        <v>1872</v>
      </c>
    </row>
    <row r="605" customHeight="1" spans="2:5">
      <c r="B605" s="6" t="s">
        <v>2125</v>
      </c>
      <c r="C605" s="6" t="s">
        <v>2126</v>
      </c>
      <c r="D605" s="6" t="s">
        <v>1871</v>
      </c>
      <c r="E605" s="6" t="s">
        <v>1872</v>
      </c>
    </row>
    <row r="606" customHeight="1" spans="2:5">
      <c r="B606" s="6" t="s">
        <v>2127</v>
      </c>
      <c r="C606" s="6" t="s">
        <v>2127</v>
      </c>
      <c r="D606" s="6" t="s">
        <v>1871</v>
      </c>
      <c r="E606" s="6" t="s">
        <v>1872</v>
      </c>
    </row>
    <row r="607" customHeight="1" spans="2:5">
      <c r="B607" s="6" t="s">
        <v>2128</v>
      </c>
      <c r="C607" s="6" t="s">
        <v>2129</v>
      </c>
      <c r="D607" s="6" t="s">
        <v>1871</v>
      </c>
      <c r="E607" s="6" t="s">
        <v>1872</v>
      </c>
    </row>
    <row r="608" customHeight="1" spans="2:5">
      <c r="B608" s="6" t="s">
        <v>2130</v>
      </c>
      <c r="C608" s="6" t="s">
        <v>2131</v>
      </c>
      <c r="D608" s="6" t="s">
        <v>1871</v>
      </c>
      <c r="E608" s="6" t="s">
        <v>1872</v>
      </c>
    </row>
    <row r="609" customHeight="1" spans="2:5">
      <c r="B609" s="6" t="s">
        <v>2132</v>
      </c>
      <c r="C609" s="6" t="s">
        <v>2133</v>
      </c>
      <c r="D609" s="6" t="s">
        <v>1871</v>
      </c>
      <c r="E609" s="6" t="s">
        <v>1872</v>
      </c>
    </row>
    <row r="610" customHeight="1" spans="2:5">
      <c r="B610" s="6" t="s">
        <v>2134</v>
      </c>
      <c r="C610" s="6" t="s">
        <v>2135</v>
      </c>
      <c r="D610" s="6" t="s">
        <v>1871</v>
      </c>
      <c r="E610" s="6" t="s">
        <v>1872</v>
      </c>
    </row>
    <row r="611" customHeight="1" spans="2:5">
      <c r="B611" s="6" t="s">
        <v>2136</v>
      </c>
      <c r="C611" s="6" t="s">
        <v>2136</v>
      </c>
      <c r="D611" s="6" t="s">
        <v>1871</v>
      </c>
      <c r="E611" s="6" t="s">
        <v>1872</v>
      </c>
    </row>
    <row r="612" customHeight="1" spans="2:5">
      <c r="B612" s="6" t="s">
        <v>2137</v>
      </c>
      <c r="C612" s="6" t="s">
        <v>2137</v>
      </c>
      <c r="D612" s="6" t="s">
        <v>1871</v>
      </c>
      <c r="E612" s="6" t="s">
        <v>1872</v>
      </c>
    </row>
    <row r="613" customHeight="1" spans="2:5">
      <c r="B613" s="6" t="s">
        <v>2138</v>
      </c>
      <c r="C613" s="6" t="s">
        <v>2139</v>
      </c>
      <c r="D613" s="6" t="s">
        <v>1871</v>
      </c>
      <c r="E613" s="6" t="s">
        <v>1872</v>
      </c>
    </row>
    <row r="614" customHeight="1" spans="2:5">
      <c r="B614" s="6" t="s">
        <v>2140</v>
      </c>
      <c r="C614" s="6" t="s">
        <v>2140</v>
      </c>
      <c r="D614" s="6" t="s">
        <v>1871</v>
      </c>
      <c r="E614" s="6" t="s">
        <v>1872</v>
      </c>
    </row>
    <row r="615" customHeight="1" spans="2:5">
      <c r="B615" s="6" t="s">
        <v>2141</v>
      </c>
      <c r="C615" s="6" t="s">
        <v>2141</v>
      </c>
      <c r="D615" s="6" t="s">
        <v>1871</v>
      </c>
      <c r="E615" s="6" t="s">
        <v>1872</v>
      </c>
    </row>
    <row r="616" customHeight="1" spans="2:5">
      <c r="B616" s="6" t="s">
        <v>2142</v>
      </c>
      <c r="C616" s="6" t="s">
        <v>2142</v>
      </c>
      <c r="D616" s="6" t="s">
        <v>1871</v>
      </c>
      <c r="E616" s="6" t="s">
        <v>1872</v>
      </c>
    </row>
    <row r="617" customHeight="1" spans="2:5">
      <c r="B617" s="6" t="s">
        <v>2143</v>
      </c>
      <c r="C617" s="6" t="s">
        <v>2144</v>
      </c>
      <c r="D617" s="6" t="s">
        <v>1871</v>
      </c>
      <c r="E617" s="6" t="s">
        <v>1872</v>
      </c>
    </row>
    <row r="618" customHeight="1" spans="2:5">
      <c r="B618" s="6" t="s">
        <v>2145</v>
      </c>
      <c r="C618" s="6" t="s">
        <v>2145</v>
      </c>
      <c r="D618" s="6" t="s">
        <v>1871</v>
      </c>
      <c r="E618" s="6" t="s">
        <v>1872</v>
      </c>
    </row>
    <row r="619" customHeight="1" spans="2:5">
      <c r="B619" s="6" t="s">
        <v>2146</v>
      </c>
      <c r="C619" s="6" t="s">
        <v>2147</v>
      </c>
      <c r="D619" s="6" t="s">
        <v>1871</v>
      </c>
      <c r="E619" s="6" t="s">
        <v>1872</v>
      </c>
    </row>
    <row r="620" customHeight="1" spans="2:5">
      <c r="B620" s="6" t="s">
        <v>2148</v>
      </c>
      <c r="C620" s="6" t="s">
        <v>2148</v>
      </c>
      <c r="D620" s="6" t="s">
        <v>1871</v>
      </c>
      <c r="E620" s="6" t="s">
        <v>1872</v>
      </c>
    </row>
    <row r="621" customHeight="1" spans="2:5">
      <c r="B621" s="6" t="s">
        <v>2149</v>
      </c>
      <c r="C621" s="6" t="s">
        <v>2149</v>
      </c>
      <c r="D621" s="6" t="s">
        <v>1871</v>
      </c>
      <c r="E621" s="6" t="s">
        <v>1872</v>
      </c>
    </row>
    <row r="622" customHeight="1" spans="2:5">
      <c r="B622" s="6" t="s">
        <v>2150</v>
      </c>
      <c r="C622" s="6" t="s">
        <v>2151</v>
      </c>
      <c r="D622" s="6" t="s">
        <v>1871</v>
      </c>
      <c r="E622" s="6" t="s">
        <v>1872</v>
      </c>
    </row>
    <row r="623" customHeight="1" spans="2:5">
      <c r="B623" s="6" t="s">
        <v>2152</v>
      </c>
      <c r="C623" s="6" t="s">
        <v>2153</v>
      </c>
      <c r="D623" s="6" t="s">
        <v>1871</v>
      </c>
      <c r="E623" s="6" t="s">
        <v>1872</v>
      </c>
    </row>
    <row r="624" customHeight="1" spans="2:5">
      <c r="B624" s="6" t="s">
        <v>2154</v>
      </c>
      <c r="C624" s="6" t="s">
        <v>2154</v>
      </c>
      <c r="D624" s="6" t="s">
        <v>1871</v>
      </c>
      <c r="E624" s="6" t="s">
        <v>1872</v>
      </c>
    </row>
    <row r="625" customHeight="1" spans="2:5">
      <c r="B625" s="6" t="s">
        <v>2155</v>
      </c>
      <c r="C625" s="6" t="s">
        <v>2156</v>
      </c>
      <c r="D625" s="6" t="s">
        <v>1871</v>
      </c>
      <c r="E625" s="6" t="s">
        <v>1872</v>
      </c>
    </row>
    <row r="626" customHeight="1" spans="2:5">
      <c r="B626" s="6" t="s">
        <v>2157</v>
      </c>
      <c r="C626" s="6" t="s">
        <v>2158</v>
      </c>
      <c r="D626" s="6" t="s">
        <v>1871</v>
      </c>
      <c r="E626" s="6" t="s">
        <v>1872</v>
      </c>
    </row>
    <row r="627" customHeight="1" spans="2:5">
      <c r="B627" s="6" t="s">
        <v>2159</v>
      </c>
      <c r="C627" s="6" t="s">
        <v>2160</v>
      </c>
      <c r="D627" s="6" t="s">
        <v>1871</v>
      </c>
      <c r="E627" s="6" t="s">
        <v>1872</v>
      </c>
    </row>
    <row r="628" customHeight="1" spans="2:5">
      <c r="B628" s="6" t="s">
        <v>2161</v>
      </c>
      <c r="C628" s="6" t="s">
        <v>2162</v>
      </c>
      <c r="D628" s="6" t="s">
        <v>1871</v>
      </c>
      <c r="E628" s="6" t="s">
        <v>1872</v>
      </c>
    </row>
    <row r="629" customHeight="1" spans="2:5">
      <c r="B629" s="6" t="s">
        <v>2163</v>
      </c>
      <c r="C629" s="6" t="s">
        <v>2163</v>
      </c>
      <c r="D629" s="6" t="s">
        <v>1871</v>
      </c>
      <c r="E629" s="6" t="s">
        <v>1872</v>
      </c>
    </row>
    <row r="630" customHeight="1" spans="2:5">
      <c r="B630" s="6" t="s">
        <v>2164</v>
      </c>
      <c r="C630" s="6" t="s">
        <v>2165</v>
      </c>
      <c r="D630" s="6" t="s">
        <v>1871</v>
      </c>
      <c r="E630" s="6" t="s">
        <v>1872</v>
      </c>
    </row>
    <row r="631" customHeight="1" spans="2:5">
      <c r="B631" s="6" t="s">
        <v>2166</v>
      </c>
      <c r="C631" s="6" t="s">
        <v>2167</v>
      </c>
      <c r="D631" s="6" t="s">
        <v>1871</v>
      </c>
      <c r="E631" s="6" t="s">
        <v>1872</v>
      </c>
    </row>
    <row r="632" customHeight="1" spans="2:5">
      <c r="B632" s="6" t="s">
        <v>2168</v>
      </c>
      <c r="C632" s="6" t="s">
        <v>2169</v>
      </c>
      <c r="D632" s="6" t="s">
        <v>1871</v>
      </c>
      <c r="E632" s="6" t="s">
        <v>1872</v>
      </c>
    </row>
    <row r="633" customHeight="1" spans="2:5">
      <c r="B633" s="6" t="s">
        <v>2170</v>
      </c>
      <c r="C633" s="6" t="s">
        <v>2171</v>
      </c>
      <c r="D633" s="6" t="s">
        <v>1871</v>
      </c>
      <c r="E633" s="6" t="s">
        <v>1872</v>
      </c>
    </row>
    <row r="634" customHeight="1" spans="2:5">
      <c r="B634" s="6" t="s">
        <v>2172</v>
      </c>
      <c r="C634" s="6" t="s">
        <v>2173</v>
      </c>
      <c r="D634" s="6" t="s">
        <v>1871</v>
      </c>
      <c r="E634" s="6" t="s">
        <v>1872</v>
      </c>
    </row>
    <row r="635" customHeight="1" spans="2:5">
      <c r="B635" s="6" t="s">
        <v>2174</v>
      </c>
      <c r="C635" s="6" t="s">
        <v>2175</v>
      </c>
      <c r="D635" s="6" t="s">
        <v>1871</v>
      </c>
      <c r="E635" s="6" t="s">
        <v>1872</v>
      </c>
    </row>
    <row r="636" customHeight="1" spans="2:5">
      <c r="B636" s="6" t="s">
        <v>2176</v>
      </c>
      <c r="C636" s="6" t="s">
        <v>2177</v>
      </c>
      <c r="D636" s="6" t="s">
        <v>1871</v>
      </c>
      <c r="E636" s="6" t="s">
        <v>1872</v>
      </c>
    </row>
    <row r="637" customHeight="1" spans="2:5">
      <c r="B637" s="6" t="s">
        <v>2178</v>
      </c>
      <c r="C637" s="6" t="s">
        <v>2179</v>
      </c>
      <c r="D637" s="6" t="s">
        <v>1871</v>
      </c>
      <c r="E637" s="6" t="s">
        <v>1872</v>
      </c>
    </row>
    <row r="638" customHeight="1" spans="2:5">
      <c r="B638" s="6" t="s">
        <v>2180</v>
      </c>
      <c r="C638" s="6" t="s">
        <v>2181</v>
      </c>
      <c r="D638" s="6" t="s">
        <v>1871</v>
      </c>
      <c r="E638" s="6" t="s">
        <v>1872</v>
      </c>
    </row>
    <row r="639" customHeight="1" spans="2:5">
      <c r="B639" s="6" t="s">
        <v>2182</v>
      </c>
      <c r="C639" s="6" t="s">
        <v>2183</v>
      </c>
      <c r="D639" s="6" t="s">
        <v>1871</v>
      </c>
      <c r="E639" s="6" t="s">
        <v>1872</v>
      </c>
    </row>
    <row r="640" customHeight="1" spans="2:5">
      <c r="B640" s="6" t="s">
        <v>2184</v>
      </c>
      <c r="C640" s="6" t="s">
        <v>2184</v>
      </c>
      <c r="D640" s="6" t="s">
        <v>1871</v>
      </c>
      <c r="E640" s="6" t="s">
        <v>1872</v>
      </c>
    </row>
    <row r="641" customHeight="1" spans="2:5">
      <c r="B641" s="6" t="s">
        <v>2185</v>
      </c>
      <c r="C641" s="6" t="s">
        <v>2186</v>
      </c>
      <c r="D641" s="6" t="s">
        <v>1871</v>
      </c>
      <c r="E641" s="6" t="s">
        <v>1872</v>
      </c>
    </row>
    <row r="642" customHeight="1" spans="2:5">
      <c r="B642" s="6" t="s">
        <v>2187</v>
      </c>
      <c r="C642" s="6" t="s">
        <v>2188</v>
      </c>
      <c r="D642" s="6" t="s">
        <v>1871</v>
      </c>
      <c r="E642" s="6" t="s">
        <v>1872</v>
      </c>
    </row>
    <row r="643" customHeight="1" spans="2:5">
      <c r="B643" s="6" t="s">
        <v>2189</v>
      </c>
      <c r="C643" s="6" t="s">
        <v>2189</v>
      </c>
      <c r="D643" s="6" t="s">
        <v>1871</v>
      </c>
      <c r="E643" s="6" t="s">
        <v>1872</v>
      </c>
    </row>
    <row r="644" customHeight="1" spans="2:5">
      <c r="B644" s="6" t="s">
        <v>2190</v>
      </c>
      <c r="C644" s="6" t="s">
        <v>2190</v>
      </c>
      <c r="D644" s="6" t="s">
        <v>1871</v>
      </c>
      <c r="E644" s="6" t="s">
        <v>1872</v>
      </c>
    </row>
    <row r="645" customHeight="1" spans="2:5">
      <c r="B645" s="6" t="s">
        <v>2191</v>
      </c>
      <c r="C645" s="6" t="s">
        <v>2192</v>
      </c>
      <c r="D645" s="6" t="s">
        <v>1871</v>
      </c>
      <c r="E645" s="6" t="s">
        <v>1872</v>
      </c>
    </row>
    <row r="646" customHeight="1" spans="2:5">
      <c r="B646" s="6" t="s">
        <v>2193</v>
      </c>
      <c r="C646" s="6" t="s">
        <v>2194</v>
      </c>
      <c r="D646" s="6" t="s">
        <v>1871</v>
      </c>
      <c r="E646" s="6" t="s">
        <v>1872</v>
      </c>
    </row>
    <row r="647" customHeight="1" spans="2:5">
      <c r="B647" s="6" t="s">
        <v>2195</v>
      </c>
      <c r="C647" s="6" t="s">
        <v>2195</v>
      </c>
      <c r="D647" s="6" t="s">
        <v>1871</v>
      </c>
      <c r="E647" s="6" t="s">
        <v>1872</v>
      </c>
    </row>
    <row r="648" customHeight="1" spans="2:5">
      <c r="B648" s="6" t="s">
        <v>2196</v>
      </c>
      <c r="C648" s="6" t="s">
        <v>2197</v>
      </c>
      <c r="D648" s="6" t="s">
        <v>1871</v>
      </c>
      <c r="E648" s="6" t="s">
        <v>1872</v>
      </c>
    </row>
    <row r="649" customHeight="1" spans="2:5">
      <c r="B649" s="6" t="s">
        <v>2198</v>
      </c>
      <c r="C649" s="6" t="s">
        <v>2198</v>
      </c>
      <c r="D649" s="6" t="s">
        <v>1871</v>
      </c>
      <c r="E649" s="6" t="s">
        <v>1872</v>
      </c>
    </row>
    <row r="650" customHeight="1" spans="2:5">
      <c r="B650" s="6" t="s">
        <v>2199</v>
      </c>
      <c r="C650" s="6" t="s">
        <v>2200</v>
      </c>
      <c r="D650" s="6" t="s">
        <v>1871</v>
      </c>
      <c r="E650" s="6" t="s">
        <v>1872</v>
      </c>
    </row>
    <row r="651" customHeight="1" spans="2:5">
      <c r="B651" s="6" t="s">
        <v>2201</v>
      </c>
      <c r="C651" s="6" t="s">
        <v>2202</v>
      </c>
      <c r="D651" s="6" t="s">
        <v>1871</v>
      </c>
      <c r="E651" s="6" t="s">
        <v>1872</v>
      </c>
    </row>
    <row r="652" customHeight="1" spans="2:5">
      <c r="B652" s="6" t="s">
        <v>2203</v>
      </c>
      <c r="C652" s="6" t="s">
        <v>2203</v>
      </c>
      <c r="D652" s="6" t="s">
        <v>1871</v>
      </c>
      <c r="E652" s="6" t="s">
        <v>1872</v>
      </c>
    </row>
    <row r="653" customHeight="1" spans="2:5">
      <c r="B653" s="6" t="s">
        <v>2204</v>
      </c>
      <c r="C653" s="6" t="s">
        <v>2205</v>
      </c>
      <c r="D653" s="6" t="s">
        <v>1871</v>
      </c>
      <c r="E653" s="6" t="s">
        <v>1872</v>
      </c>
    </row>
    <row r="654" customHeight="1" spans="2:5">
      <c r="B654" s="6" t="s">
        <v>2206</v>
      </c>
      <c r="C654" s="6" t="s">
        <v>2206</v>
      </c>
      <c r="D654" s="6" t="s">
        <v>1871</v>
      </c>
      <c r="E654" s="6" t="s">
        <v>1872</v>
      </c>
    </row>
    <row r="655" customHeight="1" spans="2:5">
      <c r="B655" s="6" t="s">
        <v>2207</v>
      </c>
      <c r="C655" s="6" t="s">
        <v>2208</v>
      </c>
      <c r="D655" s="6" t="s">
        <v>1871</v>
      </c>
      <c r="E655" s="6" t="s">
        <v>1872</v>
      </c>
    </row>
    <row r="656" customHeight="1" spans="2:5">
      <c r="B656" s="6" t="s">
        <v>2209</v>
      </c>
      <c r="C656" s="6" t="s">
        <v>2210</v>
      </c>
      <c r="D656" s="6" t="s">
        <v>1871</v>
      </c>
      <c r="E656" s="6" t="s">
        <v>1872</v>
      </c>
    </row>
    <row r="657" customHeight="1" spans="2:5">
      <c r="B657" s="6" t="s">
        <v>2211</v>
      </c>
      <c r="C657" s="6" t="s">
        <v>2211</v>
      </c>
      <c r="D657" s="6" t="s">
        <v>1871</v>
      </c>
      <c r="E657" s="6" t="s">
        <v>1872</v>
      </c>
    </row>
    <row r="658" customHeight="1" spans="2:5">
      <c r="B658" s="6" t="s">
        <v>2212</v>
      </c>
      <c r="C658" s="6" t="s">
        <v>2213</v>
      </c>
      <c r="D658" s="6" t="s">
        <v>1871</v>
      </c>
      <c r="E658" s="6" t="s">
        <v>1872</v>
      </c>
    </row>
    <row r="659" customHeight="1" spans="2:5">
      <c r="B659" s="6" t="s">
        <v>2214</v>
      </c>
      <c r="C659" s="6" t="s">
        <v>2215</v>
      </c>
      <c r="D659" s="6" t="s">
        <v>1871</v>
      </c>
      <c r="E659" s="6" t="s">
        <v>1872</v>
      </c>
    </row>
    <row r="660" customHeight="1" spans="2:5">
      <c r="B660" s="6" t="s">
        <v>2216</v>
      </c>
      <c r="C660" s="6" t="s">
        <v>2217</v>
      </c>
      <c r="D660" s="6" t="s">
        <v>1871</v>
      </c>
      <c r="E660" s="6" t="s">
        <v>1872</v>
      </c>
    </row>
    <row r="661" customHeight="1" spans="2:5">
      <c r="B661" s="6" t="s">
        <v>2218</v>
      </c>
      <c r="C661" s="6" t="s">
        <v>2218</v>
      </c>
      <c r="D661" s="6" t="s">
        <v>2219</v>
      </c>
      <c r="E661" s="6" t="s">
        <v>2220</v>
      </c>
    </row>
    <row r="662" customHeight="1" spans="2:5">
      <c r="B662" s="6" t="s">
        <v>2221</v>
      </c>
      <c r="C662" s="6" t="s">
        <v>2222</v>
      </c>
      <c r="D662" s="6" t="s">
        <v>2219</v>
      </c>
      <c r="E662" s="6" t="s">
        <v>2220</v>
      </c>
    </row>
    <row r="663" customHeight="1" spans="2:5">
      <c r="B663" s="6" t="s">
        <v>2223</v>
      </c>
      <c r="C663" s="6" t="s">
        <v>2223</v>
      </c>
      <c r="D663" s="6" t="s">
        <v>2219</v>
      </c>
      <c r="E663" s="6" t="s">
        <v>2220</v>
      </c>
    </row>
    <row r="664" customHeight="1" spans="2:5">
      <c r="B664" s="6" t="s">
        <v>2224</v>
      </c>
      <c r="C664" s="6" t="s">
        <v>2225</v>
      </c>
      <c r="D664" s="6" t="s">
        <v>2219</v>
      </c>
      <c r="E664" s="6" t="s">
        <v>2220</v>
      </c>
    </row>
    <row r="665" customHeight="1" spans="2:5">
      <c r="B665" s="6" t="s">
        <v>2226</v>
      </c>
      <c r="C665" s="6" t="s">
        <v>2226</v>
      </c>
      <c r="D665" s="6" t="s">
        <v>2219</v>
      </c>
      <c r="E665" s="6" t="s">
        <v>2220</v>
      </c>
    </row>
    <row r="666" customHeight="1" spans="2:5">
      <c r="B666" s="6" t="s">
        <v>2227</v>
      </c>
      <c r="C666" s="6" t="s">
        <v>2227</v>
      </c>
      <c r="D666" s="6" t="s">
        <v>2219</v>
      </c>
      <c r="E666" s="6" t="s">
        <v>2220</v>
      </c>
    </row>
    <row r="667" customHeight="1" spans="2:5">
      <c r="B667" s="6" t="s">
        <v>2228</v>
      </c>
      <c r="C667" s="6" t="s">
        <v>2228</v>
      </c>
      <c r="D667" s="6" t="s">
        <v>2219</v>
      </c>
      <c r="E667" s="6" t="s">
        <v>2220</v>
      </c>
    </row>
    <row r="668" customHeight="1" spans="2:5">
      <c r="B668" s="6" t="s">
        <v>2229</v>
      </c>
      <c r="C668" s="6" t="s">
        <v>2229</v>
      </c>
      <c r="D668" s="6" t="s">
        <v>2219</v>
      </c>
      <c r="E668" s="6" t="s">
        <v>2220</v>
      </c>
    </row>
    <row r="669" customHeight="1" spans="2:5">
      <c r="B669" s="6" t="s">
        <v>2230</v>
      </c>
      <c r="C669" s="6" t="s">
        <v>2230</v>
      </c>
      <c r="D669" s="6" t="s">
        <v>2219</v>
      </c>
      <c r="E669" s="6" t="s">
        <v>2220</v>
      </c>
    </row>
    <row r="670" customHeight="1" spans="2:5">
      <c r="B670" s="6" t="s">
        <v>2231</v>
      </c>
      <c r="C670" s="6" t="s">
        <v>2231</v>
      </c>
      <c r="D670" s="6" t="s">
        <v>2219</v>
      </c>
      <c r="E670" s="6" t="s">
        <v>2220</v>
      </c>
    </row>
    <row r="671" customHeight="1" spans="2:5">
      <c r="B671" s="6" t="s">
        <v>2232</v>
      </c>
      <c r="C671" s="6" t="s">
        <v>2232</v>
      </c>
      <c r="D671" s="6" t="s">
        <v>2219</v>
      </c>
      <c r="E671" s="6" t="s">
        <v>2220</v>
      </c>
    </row>
    <row r="672" customHeight="1" spans="2:5">
      <c r="B672" s="6" t="s">
        <v>2233</v>
      </c>
      <c r="C672" s="6" t="s">
        <v>2233</v>
      </c>
      <c r="D672" s="6" t="s">
        <v>2219</v>
      </c>
      <c r="E672" s="6" t="s">
        <v>2220</v>
      </c>
    </row>
    <row r="673" customHeight="1" spans="2:5">
      <c r="B673" s="6" t="s">
        <v>2234</v>
      </c>
      <c r="C673" s="6" t="s">
        <v>2235</v>
      </c>
      <c r="D673" s="6" t="s">
        <v>2219</v>
      </c>
      <c r="E673" s="6" t="s">
        <v>2220</v>
      </c>
    </row>
    <row r="674" customHeight="1" spans="2:5">
      <c r="B674" s="6" t="s">
        <v>2236</v>
      </c>
      <c r="C674" s="6" t="s">
        <v>2236</v>
      </c>
      <c r="D674" s="6" t="s">
        <v>2219</v>
      </c>
      <c r="E674" s="6" t="s">
        <v>2220</v>
      </c>
    </row>
    <row r="675" customHeight="1" spans="2:5">
      <c r="B675" s="6" t="s">
        <v>2237</v>
      </c>
      <c r="C675" s="6" t="s">
        <v>2238</v>
      </c>
      <c r="D675" s="6" t="s">
        <v>2219</v>
      </c>
      <c r="E675" s="6" t="s">
        <v>2220</v>
      </c>
    </row>
    <row r="676" customHeight="1" spans="2:5">
      <c r="B676" s="6" t="s">
        <v>2239</v>
      </c>
      <c r="C676" s="6" t="s">
        <v>2240</v>
      </c>
      <c r="D676" s="6" t="s">
        <v>2219</v>
      </c>
      <c r="E676" s="6" t="s">
        <v>2220</v>
      </c>
    </row>
    <row r="677" customHeight="1" spans="2:5">
      <c r="B677" s="6" t="s">
        <v>2241</v>
      </c>
      <c r="C677" s="6" t="s">
        <v>2241</v>
      </c>
      <c r="D677" s="6" t="s">
        <v>2219</v>
      </c>
      <c r="E677" s="6" t="s">
        <v>2220</v>
      </c>
    </row>
    <row r="678" customHeight="1" spans="2:5">
      <c r="B678" s="6" t="s">
        <v>2242</v>
      </c>
      <c r="C678" s="6" t="s">
        <v>2243</v>
      </c>
      <c r="D678" s="6" t="s">
        <v>2219</v>
      </c>
      <c r="E678" s="6" t="s">
        <v>2220</v>
      </c>
    </row>
    <row r="679" customHeight="1" spans="2:5">
      <c r="B679" s="6" t="s">
        <v>2244</v>
      </c>
      <c r="C679" s="6" t="s">
        <v>2245</v>
      </c>
      <c r="D679" s="6" t="s">
        <v>2219</v>
      </c>
      <c r="E679" s="6" t="s">
        <v>2220</v>
      </c>
    </row>
    <row r="680" customHeight="1" spans="2:5">
      <c r="B680" s="6" t="s">
        <v>2246</v>
      </c>
      <c r="C680" s="6" t="s">
        <v>2246</v>
      </c>
      <c r="D680" s="6" t="s">
        <v>2219</v>
      </c>
      <c r="E680" s="6" t="s">
        <v>2220</v>
      </c>
    </row>
    <row r="681" customHeight="1" spans="2:5">
      <c r="B681" s="6" t="s">
        <v>2247</v>
      </c>
      <c r="C681" s="6" t="s">
        <v>2248</v>
      </c>
      <c r="D681" s="6" t="s">
        <v>2219</v>
      </c>
      <c r="E681" s="6" t="s">
        <v>2220</v>
      </c>
    </row>
    <row r="682" customHeight="1" spans="2:5">
      <c r="B682" s="6" t="s">
        <v>2249</v>
      </c>
      <c r="C682" s="6" t="s">
        <v>2249</v>
      </c>
      <c r="D682" s="6" t="s">
        <v>2219</v>
      </c>
      <c r="E682" s="6" t="s">
        <v>2220</v>
      </c>
    </row>
    <row r="683" customHeight="1" spans="2:5">
      <c r="B683" s="6" t="s">
        <v>2250</v>
      </c>
      <c r="C683" s="6" t="s">
        <v>2251</v>
      </c>
      <c r="D683" s="6" t="s">
        <v>2219</v>
      </c>
      <c r="E683" s="6" t="s">
        <v>2220</v>
      </c>
    </row>
    <row r="684" customHeight="1" spans="2:5">
      <c r="B684" s="6" t="s">
        <v>2252</v>
      </c>
      <c r="C684" s="6" t="s">
        <v>2253</v>
      </c>
      <c r="D684" s="6" t="s">
        <v>2219</v>
      </c>
      <c r="E684" s="6" t="s">
        <v>2220</v>
      </c>
    </row>
    <row r="685" customHeight="1" spans="2:5">
      <c r="B685" s="6" t="s">
        <v>2254</v>
      </c>
      <c r="C685" s="6" t="s">
        <v>2254</v>
      </c>
      <c r="D685" s="6" t="s">
        <v>2219</v>
      </c>
      <c r="E685" s="6" t="s">
        <v>2220</v>
      </c>
    </row>
    <row r="686" customHeight="1" spans="2:5">
      <c r="B686" s="6" t="s">
        <v>2255</v>
      </c>
      <c r="C686" s="6" t="s">
        <v>2256</v>
      </c>
      <c r="D686" s="6" t="s">
        <v>2219</v>
      </c>
      <c r="E686" s="6" t="s">
        <v>2220</v>
      </c>
    </row>
    <row r="687" customHeight="1" spans="2:5">
      <c r="B687" s="6" t="s">
        <v>2257</v>
      </c>
      <c r="C687" s="6" t="s">
        <v>2258</v>
      </c>
      <c r="D687" s="6" t="s">
        <v>2219</v>
      </c>
      <c r="E687" s="6" t="s">
        <v>2220</v>
      </c>
    </row>
    <row r="688" customHeight="1" spans="2:5">
      <c r="B688" s="6" t="s">
        <v>2259</v>
      </c>
      <c r="C688" s="6" t="s">
        <v>2260</v>
      </c>
      <c r="D688" s="6" t="s">
        <v>2219</v>
      </c>
      <c r="E688" s="6" t="s">
        <v>2220</v>
      </c>
    </row>
    <row r="689" customHeight="1" spans="2:5">
      <c r="B689" s="6" t="s">
        <v>2261</v>
      </c>
      <c r="C689" s="6" t="s">
        <v>2261</v>
      </c>
      <c r="D689" s="6" t="s">
        <v>2219</v>
      </c>
      <c r="E689" s="6" t="s">
        <v>2220</v>
      </c>
    </row>
    <row r="690" customHeight="1" spans="2:5">
      <c r="B690" s="6" t="s">
        <v>2262</v>
      </c>
      <c r="C690" s="6" t="s">
        <v>2263</v>
      </c>
      <c r="D690" s="6" t="s">
        <v>2219</v>
      </c>
      <c r="E690" s="6" t="s">
        <v>2220</v>
      </c>
    </row>
    <row r="691" customHeight="1" spans="2:5">
      <c r="B691" s="6" t="s">
        <v>2264</v>
      </c>
      <c r="C691" s="6" t="s">
        <v>2264</v>
      </c>
      <c r="D691" s="6" t="s">
        <v>2219</v>
      </c>
      <c r="E691" s="6" t="s">
        <v>2220</v>
      </c>
    </row>
    <row r="692" customHeight="1" spans="2:5">
      <c r="B692" s="6" t="s">
        <v>2265</v>
      </c>
      <c r="C692" s="6" t="s">
        <v>2266</v>
      </c>
      <c r="D692" s="6" t="s">
        <v>2219</v>
      </c>
      <c r="E692" s="6" t="s">
        <v>2220</v>
      </c>
    </row>
    <row r="693" customHeight="1" spans="2:5">
      <c r="B693" s="6" t="s">
        <v>2267</v>
      </c>
      <c r="C693" s="6" t="s">
        <v>2267</v>
      </c>
      <c r="D693" s="6" t="s">
        <v>2219</v>
      </c>
      <c r="E693" s="6" t="s">
        <v>2220</v>
      </c>
    </row>
    <row r="694" customHeight="1" spans="2:5">
      <c r="B694" s="6" t="s">
        <v>2268</v>
      </c>
      <c r="C694" s="6" t="s">
        <v>2268</v>
      </c>
      <c r="D694" s="6" t="s">
        <v>2219</v>
      </c>
      <c r="E694" s="6" t="s">
        <v>2220</v>
      </c>
    </row>
    <row r="695" customHeight="1" spans="2:5">
      <c r="B695" s="6" t="s">
        <v>2269</v>
      </c>
      <c r="C695" s="6" t="s">
        <v>2269</v>
      </c>
      <c r="D695" s="6" t="s">
        <v>2219</v>
      </c>
      <c r="E695" s="6" t="s">
        <v>2220</v>
      </c>
    </row>
    <row r="696" customHeight="1" spans="2:5">
      <c r="B696" s="6" t="s">
        <v>2270</v>
      </c>
      <c r="C696" s="6" t="s">
        <v>2270</v>
      </c>
      <c r="D696" s="6" t="s">
        <v>2219</v>
      </c>
      <c r="E696" s="6" t="s">
        <v>2220</v>
      </c>
    </row>
    <row r="697" customHeight="1" spans="2:5">
      <c r="B697" s="6" t="s">
        <v>2271</v>
      </c>
      <c r="C697" s="6" t="s">
        <v>2272</v>
      </c>
      <c r="D697" s="6" t="s">
        <v>2219</v>
      </c>
      <c r="E697" s="6" t="s">
        <v>2220</v>
      </c>
    </row>
    <row r="698" customHeight="1" spans="2:5">
      <c r="B698" s="6" t="s">
        <v>2273</v>
      </c>
      <c r="C698" s="6" t="s">
        <v>2273</v>
      </c>
      <c r="D698" s="6" t="s">
        <v>2219</v>
      </c>
      <c r="E698" s="6" t="s">
        <v>2220</v>
      </c>
    </row>
    <row r="699" customHeight="1" spans="2:5">
      <c r="B699" s="6" t="s">
        <v>2274</v>
      </c>
      <c r="C699" s="6" t="s">
        <v>2274</v>
      </c>
      <c r="D699" s="6" t="s">
        <v>2219</v>
      </c>
      <c r="E699" s="6" t="s">
        <v>2220</v>
      </c>
    </row>
    <row r="700" customHeight="1" spans="2:5">
      <c r="B700" s="6" t="s">
        <v>2275</v>
      </c>
      <c r="C700" s="6" t="s">
        <v>2275</v>
      </c>
      <c r="D700" s="6" t="s">
        <v>2219</v>
      </c>
      <c r="E700" s="6" t="s">
        <v>2220</v>
      </c>
    </row>
    <row r="701" customHeight="1" spans="2:5">
      <c r="B701" s="6" t="s">
        <v>2276</v>
      </c>
      <c r="C701" s="6" t="s">
        <v>2276</v>
      </c>
      <c r="D701" s="6" t="s">
        <v>2219</v>
      </c>
      <c r="E701" s="6" t="s">
        <v>2220</v>
      </c>
    </row>
    <row r="702" customHeight="1" spans="2:5">
      <c r="B702" s="6" t="s">
        <v>2277</v>
      </c>
      <c r="C702" s="6" t="s">
        <v>2277</v>
      </c>
      <c r="D702" s="6" t="s">
        <v>2219</v>
      </c>
      <c r="E702" s="6" t="s">
        <v>2220</v>
      </c>
    </row>
    <row r="703" customHeight="1" spans="2:5">
      <c r="B703" s="6" t="s">
        <v>2278</v>
      </c>
      <c r="C703" s="6" t="s">
        <v>2278</v>
      </c>
      <c r="D703" s="6" t="s">
        <v>2219</v>
      </c>
      <c r="E703" s="6" t="s">
        <v>2220</v>
      </c>
    </row>
    <row r="704" customHeight="1" spans="2:5">
      <c r="B704" s="6" t="s">
        <v>2279</v>
      </c>
      <c r="C704" s="6" t="s">
        <v>2279</v>
      </c>
      <c r="D704" s="6" t="s">
        <v>2219</v>
      </c>
      <c r="E704" s="6" t="s">
        <v>2220</v>
      </c>
    </row>
    <row r="705" customHeight="1" spans="2:5">
      <c r="B705" s="6" t="s">
        <v>2280</v>
      </c>
      <c r="C705" s="6" t="s">
        <v>2280</v>
      </c>
      <c r="D705" s="6" t="s">
        <v>2219</v>
      </c>
      <c r="E705" s="6" t="s">
        <v>2220</v>
      </c>
    </row>
    <row r="706" customHeight="1" spans="2:5">
      <c r="B706" s="6" t="s">
        <v>2281</v>
      </c>
      <c r="C706" s="6" t="s">
        <v>2281</v>
      </c>
      <c r="D706" s="6" t="s">
        <v>2219</v>
      </c>
      <c r="E706" s="6" t="s">
        <v>2220</v>
      </c>
    </row>
    <row r="707" customHeight="1" spans="2:5">
      <c r="B707" s="6" t="s">
        <v>2282</v>
      </c>
      <c r="C707" s="6" t="s">
        <v>2283</v>
      </c>
      <c r="D707" s="6" t="s">
        <v>2219</v>
      </c>
      <c r="E707" s="6" t="s">
        <v>2220</v>
      </c>
    </row>
    <row r="708" customHeight="1" spans="2:5">
      <c r="B708" s="6" t="s">
        <v>2284</v>
      </c>
      <c r="C708" s="6" t="s">
        <v>2284</v>
      </c>
      <c r="D708" s="6" t="s">
        <v>2219</v>
      </c>
      <c r="E708" s="6" t="s">
        <v>2220</v>
      </c>
    </row>
    <row r="709" customHeight="1" spans="2:5">
      <c r="B709" s="6" t="s">
        <v>2285</v>
      </c>
      <c r="C709" s="6" t="s">
        <v>2286</v>
      </c>
      <c r="D709" s="6" t="s">
        <v>2219</v>
      </c>
      <c r="E709" s="6" t="s">
        <v>2220</v>
      </c>
    </row>
    <row r="710" customHeight="1" spans="2:5">
      <c r="B710" s="6" t="s">
        <v>2287</v>
      </c>
      <c r="C710" s="6" t="s">
        <v>2287</v>
      </c>
      <c r="D710" s="6" t="s">
        <v>2219</v>
      </c>
      <c r="E710" s="6" t="s">
        <v>2220</v>
      </c>
    </row>
    <row r="711" customHeight="1" spans="2:5">
      <c r="B711" s="6" t="s">
        <v>2288</v>
      </c>
      <c r="C711" s="6" t="s">
        <v>2289</v>
      </c>
      <c r="D711" s="6" t="s">
        <v>2219</v>
      </c>
      <c r="E711" s="6" t="s">
        <v>2220</v>
      </c>
    </row>
    <row r="712" customHeight="1" spans="2:5">
      <c r="B712" s="6" t="s">
        <v>2290</v>
      </c>
      <c r="C712" s="6" t="s">
        <v>2290</v>
      </c>
      <c r="D712" s="6" t="s">
        <v>2219</v>
      </c>
      <c r="E712" s="6" t="s">
        <v>2220</v>
      </c>
    </row>
    <row r="713" customHeight="1" spans="2:5">
      <c r="B713" s="6" t="s">
        <v>2291</v>
      </c>
      <c r="C713" s="6" t="s">
        <v>2291</v>
      </c>
      <c r="D713" s="6" t="s">
        <v>2219</v>
      </c>
      <c r="E713" s="6" t="s">
        <v>2220</v>
      </c>
    </row>
    <row r="714" customHeight="1" spans="2:5">
      <c r="B714" s="6" t="s">
        <v>2292</v>
      </c>
      <c r="C714" s="6" t="s">
        <v>2292</v>
      </c>
      <c r="D714" s="6" t="s">
        <v>2219</v>
      </c>
      <c r="E714" s="6" t="s">
        <v>2220</v>
      </c>
    </row>
    <row r="715" customHeight="1" spans="2:5">
      <c r="B715" s="6" t="s">
        <v>2293</v>
      </c>
      <c r="C715" s="6" t="s">
        <v>2294</v>
      </c>
      <c r="D715" s="6" t="s">
        <v>2219</v>
      </c>
      <c r="E715" s="6" t="s">
        <v>2220</v>
      </c>
    </row>
    <row r="716" customHeight="1" spans="2:5">
      <c r="B716" s="6" t="s">
        <v>2295</v>
      </c>
      <c r="C716" s="6" t="s">
        <v>2296</v>
      </c>
      <c r="D716" s="6" t="s">
        <v>2219</v>
      </c>
      <c r="E716" s="6" t="s">
        <v>2220</v>
      </c>
    </row>
    <row r="717" customHeight="1" spans="2:5">
      <c r="B717" s="6" t="s">
        <v>2297</v>
      </c>
      <c r="C717" s="6" t="s">
        <v>2297</v>
      </c>
      <c r="D717" s="6" t="s">
        <v>2219</v>
      </c>
      <c r="E717" s="6" t="s">
        <v>2220</v>
      </c>
    </row>
    <row r="718" customHeight="1" spans="2:5">
      <c r="B718" s="6" t="s">
        <v>2298</v>
      </c>
      <c r="C718" s="6" t="s">
        <v>2298</v>
      </c>
      <c r="D718" s="6" t="s">
        <v>2219</v>
      </c>
      <c r="E718" s="6" t="s">
        <v>2220</v>
      </c>
    </row>
    <row r="719" customHeight="1" spans="2:5">
      <c r="B719" s="6" t="s">
        <v>2299</v>
      </c>
      <c r="C719" s="6" t="s">
        <v>2299</v>
      </c>
      <c r="D719" s="6" t="s">
        <v>2219</v>
      </c>
      <c r="E719" s="6" t="s">
        <v>2220</v>
      </c>
    </row>
    <row r="720" customHeight="1" spans="2:5">
      <c r="B720" s="6" t="s">
        <v>2300</v>
      </c>
      <c r="C720" s="6" t="s">
        <v>2301</v>
      </c>
      <c r="D720" s="6" t="s">
        <v>2219</v>
      </c>
      <c r="E720" s="6" t="s">
        <v>2220</v>
      </c>
    </row>
    <row r="721" customHeight="1" spans="2:5">
      <c r="B721" s="6" t="s">
        <v>2302</v>
      </c>
      <c r="C721" s="6" t="s">
        <v>2303</v>
      </c>
      <c r="D721" s="6" t="s">
        <v>2219</v>
      </c>
      <c r="E721" s="6" t="s">
        <v>2220</v>
      </c>
    </row>
    <row r="722" customHeight="1" spans="2:5">
      <c r="B722" s="6" t="s">
        <v>2304</v>
      </c>
      <c r="C722" s="6" t="s">
        <v>2304</v>
      </c>
      <c r="D722" s="6" t="s">
        <v>2219</v>
      </c>
      <c r="E722" s="6" t="s">
        <v>2220</v>
      </c>
    </row>
    <row r="723" customHeight="1" spans="2:5">
      <c r="B723" s="6" t="s">
        <v>2305</v>
      </c>
      <c r="C723" s="6" t="s">
        <v>2305</v>
      </c>
      <c r="D723" s="6" t="s">
        <v>2219</v>
      </c>
      <c r="E723" s="6" t="s">
        <v>2220</v>
      </c>
    </row>
    <row r="724" customHeight="1" spans="2:5">
      <c r="B724" s="6" t="s">
        <v>2306</v>
      </c>
      <c r="C724" s="6" t="s">
        <v>2306</v>
      </c>
      <c r="D724" s="6" t="s">
        <v>2219</v>
      </c>
      <c r="E724" s="6" t="s">
        <v>2220</v>
      </c>
    </row>
    <row r="725" customHeight="1" spans="2:5">
      <c r="B725" s="6" t="s">
        <v>2307</v>
      </c>
      <c r="C725" s="6" t="s">
        <v>2308</v>
      </c>
      <c r="D725" s="6" t="s">
        <v>2219</v>
      </c>
      <c r="E725" s="6" t="s">
        <v>2220</v>
      </c>
    </row>
    <row r="726" customHeight="1" spans="2:5">
      <c r="B726" s="6" t="s">
        <v>2309</v>
      </c>
      <c r="C726" s="6" t="s">
        <v>2310</v>
      </c>
      <c r="D726" s="6" t="s">
        <v>2219</v>
      </c>
      <c r="E726" s="6" t="s">
        <v>2220</v>
      </c>
    </row>
    <row r="727" customHeight="1" spans="2:5">
      <c r="B727" s="6" t="s">
        <v>2311</v>
      </c>
      <c r="C727" s="6" t="s">
        <v>2312</v>
      </c>
      <c r="D727" s="6" t="s">
        <v>2219</v>
      </c>
      <c r="E727" s="6" t="s">
        <v>2220</v>
      </c>
    </row>
    <row r="728" customHeight="1" spans="2:5">
      <c r="B728" s="6" t="s">
        <v>2313</v>
      </c>
      <c r="C728" s="6" t="s">
        <v>2314</v>
      </c>
      <c r="D728" s="6" t="s">
        <v>2219</v>
      </c>
      <c r="E728" s="6" t="s">
        <v>2220</v>
      </c>
    </row>
    <row r="729" customHeight="1" spans="2:5">
      <c r="B729" s="6" t="s">
        <v>2315</v>
      </c>
      <c r="C729" s="6" t="s">
        <v>2315</v>
      </c>
      <c r="D729" s="6" t="s">
        <v>2219</v>
      </c>
      <c r="E729" s="6" t="s">
        <v>2220</v>
      </c>
    </row>
    <row r="730" customHeight="1" spans="2:5">
      <c r="B730" s="6" t="s">
        <v>2316</v>
      </c>
      <c r="C730" s="6" t="s">
        <v>2317</v>
      </c>
      <c r="D730" s="6" t="s">
        <v>2219</v>
      </c>
      <c r="E730" s="6" t="s">
        <v>2220</v>
      </c>
    </row>
    <row r="731" customHeight="1" spans="2:5">
      <c r="B731" s="6" t="s">
        <v>2318</v>
      </c>
      <c r="C731" s="6" t="s">
        <v>2318</v>
      </c>
      <c r="D731" s="6" t="s">
        <v>2219</v>
      </c>
      <c r="E731" s="6" t="s">
        <v>2220</v>
      </c>
    </row>
    <row r="732" customHeight="1" spans="2:5">
      <c r="B732" s="6" t="s">
        <v>2319</v>
      </c>
      <c r="C732" s="6" t="s">
        <v>2320</v>
      </c>
      <c r="D732" s="6" t="s">
        <v>2219</v>
      </c>
      <c r="E732" s="6" t="s">
        <v>2220</v>
      </c>
    </row>
    <row r="733" customHeight="1" spans="2:5">
      <c r="B733" s="6" t="s">
        <v>2321</v>
      </c>
      <c r="C733" s="6" t="s">
        <v>2321</v>
      </c>
      <c r="D733" s="6" t="s">
        <v>2219</v>
      </c>
      <c r="E733" s="6" t="s">
        <v>2220</v>
      </c>
    </row>
    <row r="734" customHeight="1" spans="2:5">
      <c r="B734" s="6" t="s">
        <v>2322</v>
      </c>
      <c r="C734" s="6" t="s">
        <v>2323</v>
      </c>
      <c r="D734" s="6" t="s">
        <v>2219</v>
      </c>
      <c r="E734" s="6" t="s">
        <v>2220</v>
      </c>
    </row>
    <row r="735" customHeight="1" spans="2:5">
      <c r="B735" s="6" t="s">
        <v>2324</v>
      </c>
      <c r="C735" s="6" t="s">
        <v>2325</v>
      </c>
      <c r="D735" s="6" t="s">
        <v>2219</v>
      </c>
      <c r="E735" s="6" t="s">
        <v>2220</v>
      </c>
    </row>
    <row r="736" customHeight="1" spans="2:5">
      <c r="B736" s="6" t="s">
        <v>2326</v>
      </c>
      <c r="C736" s="6" t="s">
        <v>2327</v>
      </c>
      <c r="D736" s="6" t="s">
        <v>2219</v>
      </c>
      <c r="E736" s="6" t="s">
        <v>2220</v>
      </c>
    </row>
    <row r="737" customHeight="1" spans="2:5">
      <c r="B737" s="6" t="s">
        <v>2328</v>
      </c>
      <c r="C737" s="6" t="s">
        <v>2328</v>
      </c>
      <c r="D737" s="6" t="s">
        <v>2219</v>
      </c>
      <c r="E737" s="6" t="s">
        <v>2220</v>
      </c>
    </row>
    <row r="738" customHeight="1" spans="2:5">
      <c r="B738" s="6" t="s">
        <v>2329</v>
      </c>
      <c r="C738" s="6" t="s">
        <v>2330</v>
      </c>
      <c r="D738" s="6" t="s">
        <v>2219</v>
      </c>
      <c r="E738" s="6" t="s">
        <v>2220</v>
      </c>
    </row>
    <row r="739" customHeight="1" spans="2:5">
      <c r="B739" s="6" t="s">
        <v>2331</v>
      </c>
      <c r="C739" s="6" t="s">
        <v>2332</v>
      </c>
      <c r="D739" s="6" t="s">
        <v>2219</v>
      </c>
      <c r="E739" s="6" t="s">
        <v>2220</v>
      </c>
    </row>
    <row r="740" customHeight="1" spans="2:5">
      <c r="B740" s="6" t="s">
        <v>2333</v>
      </c>
      <c r="C740" s="6" t="s">
        <v>2333</v>
      </c>
      <c r="D740" s="6" t="s">
        <v>2219</v>
      </c>
      <c r="E740" s="6" t="s">
        <v>2220</v>
      </c>
    </row>
    <row r="741" customHeight="1" spans="2:5">
      <c r="B741" s="6" t="s">
        <v>2334</v>
      </c>
      <c r="C741" s="6" t="s">
        <v>2334</v>
      </c>
      <c r="D741" s="6" t="s">
        <v>2219</v>
      </c>
      <c r="E741" s="6" t="s">
        <v>2220</v>
      </c>
    </row>
    <row r="742" customHeight="1" spans="2:5">
      <c r="B742" s="6" t="s">
        <v>2335</v>
      </c>
      <c r="C742" s="6" t="s">
        <v>2335</v>
      </c>
      <c r="D742" s="6" t="s">
        <v>2219</v>
      </c>
      <c r="E742" s="6" t="s">
        <v>2220</v>
      </c>
    </row>
    <row r="743" customHeight="1" spans="2:5">
      <c r="B743" s="6" t="s">
        <v>2336</v>
      </c>
      <c r="C743" s="6" t="s">
        <v>2336</v>
      </c>
      <c r="D743" s="6" t="s">
        <v>2219</v>
      </c>
      <c r="E743" s="6" t="s">
        <v>2220</v>
      </c>
    </row>
    <row r="744" customHeight="1" spans="2:5">
      <c r="B744" s="6" t="s">
        <v>2337</v>
      </c>
      <c r="C744" s="6" t="s">
        <v>2337</v>
      </c>
      <c r="D744" s="6" t="s">
        <v>2219</v>
      </c>
      <c r="E744" s="6" t="s">
        <v>2220</v>
      </c>
    </row>
    <row r="745" customHeight="1" spans="2:5">
      <c r="B745" s="6" t="s">
        <v>2338</v>
      </c>
      <c r="C745" s="6" t="s">
        <v>2339</v>
      </c>
      <c r="D745" s="6" t="s">
        <v>2219</v>
      </c>
      <c r="E745" s="6" t="s">
        <v>2220</v>
      </c>
    </row>
    <row r="746" customHeight="1" spans="2:5">
      <c r="B746" s="6" t="s">
        <v>2340</v>
      </c>
      <c r="C746" s="6" t="s">
        <v>2341</v>
      </c>
      <c r="D746" s="6" t="s">
        <v>2219</v>
      </c>
      <c r="E746" s="6" t="s">
        <v>2220</v>
      </c>
    </row>
    <row r="747" customHeight="1" spans="2:5">
      <c r="B747" s="6" t="s">
        <v>2342</v>
      </c>
      <c r="C747" s="6" t="s">
        <v>2342</v>
      </c>
      <c r="D747" s="6" t="s">
        <v>2219</v>
      </c>
      <c r="E747" s="6" t="s">
        <v>2220</v>
      </c>
    </row>
    <row r="748" customHeight="1" spans="2:5">
      <c r="B748" s="6" t="s">
        <v>2343</v>
      </c>
      <c r="C748" s="6" t="s">
        <v>2343</v>
      </c>
      <c r="D748" s="6" t="s">
        <v>2219</v>
      </c>
      <c r="E748" s="6" t="s">
        <v>2220</v>
      </c>
    </row>
    <row r="749" customHeight="1" spans="2:5">
      <c r="B749" s="6" t="s">
        <v>2344</v>
      </c>
      <c r="C749" s="6" t="s">
        <v>2344</v>
      </c>
      <c r="D749" s="6" t="s">
        <v>2219</v>
      </c>
      <c r="E749" s="6" t="s">
        <v>2220</v>
      </c>
    </row>
    <row r="750" customHeight="1" spans="2:5">
      <c r="B750" s="6" t="s">
        <v>2345</v>
      </c>
      <c r="C750" s="6" t="s">
        <v>2345</v>
      </c>
      <c r="D750" s="6" t="s">
        <v>2219</v>
      </c>
      <c r="E750" s="6" t="s">
        <v>2220</v>
      </c>
    </row>
    <row r="751" customHeight="1" spans="2:5">
      <c r="B751" s="6" t="s">
        <v>2346</v>
      </c>
      <c r="C751" s="6" t="s">
        <v>2346</v>
      </c>
      <c r="D751" s="6" t="s">
        <v>2219</v>
      </c>
      <c r="E751" s="6" t="s">
        <v>2220</v>
      </c>
    </row>
    <row r="752" customHeight="1" spans="2:5">
      <c r="B752" s="6" t="s">
        <v>2347</v>
      </c>
      <c r="C752" s="6" t="s">
        <v>2347</v>
      </c>
      <c r="D752" s="6" t="s">
        <v>2219</v>
      </c>
      <c r="E752" s="6" t="s">
        <v>2220</v>
      </c>
    </row>
    <row r="753" customHeight="1" spans="2:5">
      <c r="B753" s="6" t="s">
        <v>2348</v>
      </c>
      <c r="C753" s="6" t="s">
        <v>2348</v>
      </c>
      <c r="D753" s="6" t="s">
        <v>2219</v>
      </c>
      <c r="E753" s="6" t="s">
        <v>2220</v>
      </c>
    </row>
    <row r="754" customHeight="1" spans="2:5">
      <c r="B754" s="6" t="s">
        <v>2349</v>
      </c>
      <c r="C754" s="6" t="s">
        <v>2349</v>
      </c>
      <c r="D754" s="6" t="s">
        <v>2219</v>
      </c>
      <c r="E754" s="6" t="s">
        <v>2220</v>
      </c>
    </row>
    <row r="755" customHeight="1" spans="2:5">
      <c r="B755" s="6" t="s">
        <v>2350</v>
      </c>
      <c r="C755" s="6" t="s">
        <v>2350</v>
      </c>
      <c r="D755" s="6" t="s">
        <v>2219</v>
      </c>
      <c r="E755" s="6" t="s">
        <v>2220</v>
      </c>
    </row>
    <row r="756" customHeight="1" spans="2:5">
      <c r="B756" s="6" t="s">
        <v>2351</v>
      </c>
      <c r="C756" s="6" t="s">
        <v>2351</v>
      </c>
      <c r="D756" s="6" t="s">
        <v>2219</v>
      </c>
      <c r="E756" s="6" t="s">
        <v>2220</v>
      </c>
    </row>
    <row r="757" customHeight="1" spans="2:5">
      <c r="B757" s="6" t="s">
        <v>2352</v>
      </c>
      <c r="C757" s="6" t="s">
        <v>2352</v>
      </c>
      <c r="D757" s="6" t="s">
        <v>2219</v>
      </c>
      <c r="E757" s="6" t="s">
        <v>2220</v>
      </c>
    </row>
    <row r="758" customHeight="1" spans="2:5">
      <c r="B758" s="6" t="s">
        <v>2353</v>
      </c>
      <c r="C758" s="6" t="s">
        <v>2353</v>
      </c>
      <c r="D758" s="6" t="s">
        <v>2219</v>
      </c>
      <c r="E758" s="6" t="s">
        <v>2220</v>
      </c>
    </row>
    <row r="759" customHeight="1" spans="2:5">
      <c r="B759" s="6" t="s">
        <v>2354</v>
      </c>
      <c r="C759" s="6" t="s">
        <v>2355</v>
      </c>
      <c r="D759" s="6" t="s">
        <v>2219</v>
      </c>
      <c r="E759" s="6" t="s">
        <v>2220</v>
      </c>
    </row>
    <row r="760" customHeight="1" spans="2:5">
      <c r="B760" s="6" t="s">
        <v>2356</v>
      </c>
      <c r="C760" s="6" t="s">
        <v>2357</v>
      </c>
      <c r="D760" s="6" t="s">
        <v>2219</v>
      </c>
      <c r="E760" s="6" t="s">
        <v>2220</v>
      </c>
    </row>
    <row r="761" customHeight="1" spans="2:5">
      <c r="B761" s="6" t="s">
        <v>2358</v>
      </c>
      <c r="C761" s="6" t="s">
        <v>2358</v>
      </c>
      <c r="D761" s="6" t="s">
        <v>2219</v>
      </c>
      <c r="E761" s="6" t="s">
        <v>2220</v>
      </c>
    </row>
    <row r="762" customHeight="1" spans="2:5">
      <c r="B762" s="6" t="s">
        <v>2359</v>
      </c>
      <c r="C762" s="6" t="s">
        <v>2359</v>
      </c>
      <c r="D762" s="6" t="s">
        <v>2219</v>
      </c>
      <c r="E762" s="6" t="s">
        <v>2220</v>
      </c>
    </row>
    <row r="763" customHeight="1" spans="2:5">
      <c r="B763" s="6" t="s">
        <v>2360</v>
      </c>
      <c r="C763" s="6" t="s">
        <v>2360</v>
      </c>
      <c r="D763" s="6" t="s">
        <v>2219</v>
      </c>
      <c r="E763" s="6" t="s">
        <v>2220</v>
      </c>
    </row>
    <row r="764" customHeight="1" spans="2:5">
      <c r="B764" s="6" t="s">
        <v>2361</v>
      </c>
      <c r="C764" s="6" t="s">
        <v>2361</v>
      </c>
      <c r="D764" s="6" t="s">
        <v>2219</v>
      </c>
      <c r="E764" s="6" t="s">
        <v>2220</v>
      </c>
    </row>
    <row r="765" customHeight="1" spans="2:5">
      <c r="B765" s="6" t="s">
        <v>2362</v>
      </c>
      <c r="C765" s="6" t="s">
        <v>2362</v>
      </c>
      <c r="D765" s="6" t="s">
        <v>2219</v>
      </c>
      <c r="E765" s="6" t="s">
        <v>2220</v>
      </c>
    </row>
    <row r="766" customHeight="1" spans="2:5">
      <c r="B766" s="6" t="s">
        <v>2363</v>
      </c>
      <c r="C766" s="6" t="s">
        <v>2363</v>
      </c>
      <c r="D766" s="6" t="s">
        <v>2219</v>
      </c>
      <c r="E766" s="6" t="s">
        <v>2220</v>
      </c>
    </row>
    <row r="767" customHeight="1" spans="2:5">
      <c r="B767" s="6" t="s">
        <v>2364</v>
      </c>
      <c r="C767" s="6" t="s">
        <v>2365</v>
      </c>
      <c r="D767" s="6" t="s">
        <v>2219</v>
      </c>
      <c r="E767" s="6" t="s">
        <v>2220</v>
      </c>
    </row>
    <row r="768" customHeight="1" spans="2:5">
      <c r="B768" s="6" t="s">
        <v>2366</v>
      </c>
      <c r="C768" s="6" t="s">
        <v>2367</v>
      </c>
      <c r="D768" s="6" t="s">
        <v>2219</v>
      </c>
      <c r="E768" s="6" t="s">
        <v>2220</v>
      </c>
    </row>
    <row r="769" customHeight="1" spans="2:5">
      <c r="B769" s="6" t="s">
        <v>2368</v>
      </c>
      <c r="C769" s="6" t="s">
        <v>2369</v>
      </c>
      <c r="D769" s="6" t="s">
        <v>2219</v>
      </c>
      <c r="E769" s="6" t="s">
        <v>2220</v>
      </c>
    </row>
    <row r="770" customHeight="1" spans="2:5">
      <c r="B770" s="6" t="s">
        <v>2370</v>
      </c>
      <c r="C770" s="6" t="s">
        <v>2370</v>
      </c>
      <c r="D770" s="6" t="s">
        <v>2219</v>
      </c>
      <c r="E770" s="6" t="s">
        <v>2220</v>
      </c>
    </row>
    <row r="771" customHeight="1" spans="2:5">
      <c r="B771" s="6" t="s">
        <v>2371</v>
      </c>
      <c r="C771" s="6" t="s">
        <v>2371</v>
      </c>
      <c r="D771" s="6" t="s">
        <v>2219</v>
      </c>
      <c r="E771" s="6" t="s">
        <v>2220</v>
      </c>
    </row>
    <row r="772" customHeight="1" spans="2:5">
      <c r="B772" s="6" t="s">
        <v>2372</v>
      </c>
      <c r="C772" s="6" t="s">
        <v>2372</v>
      </c>
      <c r="D772" s="6" t="s">
        <v>2219</v>
      </c>
      <c r="E772" s="6" t="s">
        <v>2220</v>
      </c>
    </row>
    <row r="773" customHeight="1" spans="2:5">
      <c r="B773" s="6" t="s">
        <v>2373</v>
      </c>
      <c r="C773" s="6" t="s">
        <v>2373</v>
      </c>
      <c r="D773" s="6" t="s">
        <v>2219</v>
      </c>
      <c r="E773" s="6" t="s">
        <v>2220</v>
      </c>
    </row>
    <row r="774" customHeight="1" spans="2:5">
      <c r="B774" s="6" t="s">
        <v>2374</v>
      </c>
      <c r="C774" s="6" t="s">
        <v>2374</v>
      </c>
      <c r="D774" s="6" t="s">
        <v>2219</v>
      </c>
      <c r="E774" s="6" t="s">
        <v>2220</v>
      </c>
    </row>
    <row r="775" customHeight="1" spans="2:5">
      <c r="B775" s="6" t="s">
        <v>2375</v>
      </c>
      <c r="C775" s="6" t="s">
        <v>2375</v>
      </c>
      <c r="D775" s="6" t="s">
        <v>2219</v>
      </c>
      <c r="E775" s="6" t="s">
        <v>2220</v>
      </c>
    </row>
    <row r="776" customHeight="1" spans="2:5">
      <c r="B776" s="6" t="s">
        <v>2376</v>
      </c>
      <c r="C776" s="6" t="s">
        <v>2377</v>
      </c>
      <c r="D776" s="6" t="s">
        <v>2219</v>
      </c>
      <c r="E776" s="6" t="s">
        <v>2220</v>
      </c>
    </row>
    <row r="777" customHeight="1" spans="2:5">
      <c r="B777" s="6" t="s">
        <v>2378</v>
      </c>
      <c r="C777" s="6" t="s">
        <v>2378</v>
      </c>
      <c r="D777" s="6" t="s">
        <v>2219</v>
      </c>
      <c r="E777" s="6" t="s">
        <v>2220</v>
      </c>
    </row>
    <row r="778" customHeight="1" spans="2:5">
      <c r="B778" s="6" t="s">
        <v>2379</v>
      </c>
      <c r="C778" s="6" t="s">
        <v>2380</v>
      </c>
      <c r="D778" s="6" t="s">
        <v>2219</v>
      </c>
      <c r="E778" s="6" t="s">
        <v>2220</v>
      </c>
    </row>
    <row r="779" customHeight="1" spans="2:5">
      <c r="B779" s="6" t="s">
        <v>2381</v>
      </c>
      <c r="C779" s="6" t="s">
        <v>2381</v>
      </c>
      <c r="D779" s="6" t="s">
        <v>2219</v>
      </c>
      <c r="E779" s="6" t="s">
        <v>2220</v>
      </c>
    </row>
    <row r="780" customHeight="1" spans="2:5">
      <c r="B780" s="6" t="s">
        <v>2382</v>
      </c>
      <c r="C780" s="6" t="s">
        <v>2382</v>
      </c>
      <c r="D780" s="6" t="s">
        <v>2219</v>
      </c>
      <c r="E780" s="6" t="s">
        <v>2220</v>
      </c>
    </row>
    <row r="781" customHeight="1" spans="2:5">
      <c r="B781" s="6" t="s">
        <v>2383</v>
      </c>
      <c r="C781" s="6" t="s">
        <v>2383</v>
      </c>
      <c r="D781" s="6" t="s">
        <v>2219</v>
      </c>
      <c r="E781" s="6" t="s">
        <v>2220</v>
      </c>
    </row>
    <row r="782" customHeight="1" spans="2:5">
      <c r="B782" s="6" t="s">
        <v>2384</v>
      </c>
      <c r="C782" s="6" t="s">
        <v>2385</v>
      </c>
      <c r="D782" s="6" t="s">
        <v>2219</v>
      </c>
      <c r="E782" s="6" t="s">
        <v>2220</v>
      </c>
    </row>
    <row r="783" customHeight="1" spans="2:5">
      <c r="B783" s="6" t="s">
        <v>2386</v>
      </c>
      <c r="C783" s="6" t="s">
        <v>2386</v>
      </c>
      <c r="D783" s="6" t="s">
        <v>2219</v>
      </c>
      <c r="E783" s="6" t="s">
        <v>2220</v>
      </c>
    </row>
    <row r="784" customHeight="1" spans="2:5">
      <c r="B784" s="6" t="s">
        <v>2387</v>
      </c>
      <c r="C784" s="6" t="s">
        <v>2387</v>
      </c>
      <c r="D784" s="6" t="s">
        <v>2219</v>
      </c>
      <c r="E784" s="6" t="s">
        <v>2220</v>
      </c>
    </row>
    <row r="785" customHeight="1" spans="2:5">
      <c r="B785" s="6" t="s">
        <v>2388</v>
      </c>
      <c r="C785" s="6" t="s">
        <v>2388</v>
      </c>
      <c r="D785" s="6" t="s">
        <v>2219</v>
      </c>
      <c r="E785" s="6" t="s">
        <v>2220</v>
      </c>
    </row>
    <row r="786" customHeight="1" spans="2:5">
      <c r="B786" s="6" t="s">
        <v>2389</v>
      </c>
      <c r="C786" s="6" t="s">
        <v>2389</v>
      </c>
      <c r="D786" s="6" t="s">
        <v>2219</v>
      </c>
      <c r="E786" s="6" t="s">
        <v>2220</v>
      </c>
    </row>
    <row r="787" customHeight="1" spans="2:5">
      <c r="B787" s="6" t="s">
        <v>2390</v>
      </c>
      <c r="C787" s="6" t="s">
        <v>2390</v>
      </c>
      <c r="D787" s="6" t="s">
        <v>2219</v>
      </c>
      <c r="E787" s="6" t="s">
        <v>2220</v>
      </c>
    </row>
    <row r="788" customHeight="1" spans="2:5">
      <c r="B788" s="6" t="s">
        <v>2391</v>
      </c>
      <c r="C788" s="6" t="s">
        <v>2391</v>
      </c>
      <c r="D788" s="6" t="s">
        <v>2219</v>
      </c>
      <c r="E788" s="6" t="s">
        <v>2220</v>
      </c>
    </row>
    <row r="789" customHeight="1" spans="2:5">
      <c r="B789" s="6" t="s">
        <v>2392</v>
      </c>
      <c r="C789" s="6" t="s">
        <v>2392</v>
      </c>
      <c r="D789" s="6" t="s">
        <v>2219</v>
      </c>
      <c r="E789" s="6" t="s">
        <v>2220</v>
      </c>
    </row>
    <row r="790" customHeight="1" spans="2:5">
      <c r="B790" s="6" t="s">
        <v>2393</v>
      </c>
      <c r="C790" s="6" t="s">
        <v>2393</v>
      </c>
      <c r="D790" s="6" t="s">
        <v>2219</v>
      </c>
      <c r="E790" s="6" t="s">
        <v>2220</v>
      </c>
    </row>
    <row r="791" customHeight="1" spans="2:5">
      <c r="B791" s="6" t="s">
        <v>2394</v>
      </c>
      <c r="C791" s="6" t="s">
        <v>2394</v>
      </c>
      <c r="D791" s="6" t="s">
        <v>2219</v>
      </c>
      <c r="E791" s="6" t="s">
        <v>2220</v>
      </c>
    </row>
    <row r="792" customHeight="1" spans="2:5">
      <c r="B792" s="6" t="s">
        <v>2395</v>
      </c>
      <c r="C792" s="6" t="s">
        <v>2396</v>
      </c>
      <c r="D792" s="6" t="s">
        <v>2219</v>
      </c>
      <c r="E792" s="6" t="s">
        <v>2220</v>
      </c>
    </row>
    <row r="793" customHeight="1" spans="2:5">
      <c r="B793" s="6" t="s">
        <v>2397</v>
      </c>
      <c r="C793" s="6" t="s">
        <v>2398</v>
      </c>
      <c r="D793" s="6" t="s">
        <v>2219</v>
      </c>
      <c r="E793" s="6" t="s">
        <v>2220</v>
      </c>
    </row>
    <row r="794" customHeight="1" spans="2:5">
      <c r="B794" s="6" t="s">
        <v>2399</v>
      </c>
      <c r="C794" s="6" t="s">
        <v>2400</v>
      </c>
      <c r="D794" s="6" t="s">
        <v>2219</v>
      </c>
      <c r="E794" s="6" t="s">
        <v>2220</v>
      </c>
    </row>
    <row r="795" customHeight="1" spans="2:5">
      <c r="B795" s="6" t="s">
        <v>2401</v>
      </c>
      <c r="C795" s="6" t="s">
        <v>2402</v>
      </c>
      <c r="D795" s="6" t="s">
        <v>2219</v>
      </c>
      <c r="E795" s="6" t="s">
        <v>2220</v>
      </c>
    </row>
    <row r="796" customHeight="1" spans="2:5">
      <c r="B796" s="6" t="s">
        <v>2403</v>
      </c>
      <c r="C796" s="6" t="s">
        <v>2404</v>
      </c>
      <c r="D796" s="6" t="s">
        <v>2219</v>
      </c>
      <c r="E796" s="6" t="s">
        <v>2220</v>
      </c>
    </row>
    <row r="797" customHeight="1" spans="2:5">
      <c r="B797" s="6" t="s">
        <v>2405</v>
      </c>
      <c r="C797" s="6" t="s">
        <v>2405</v>
      </c>
      <c r="D797" s="6" t="s">
        <v>2219</v>
      </c>
      <c r="E797" s="6" t="s">
        <v>2220</v>
      </c>
    </row>
    <row r="798" customHeight="1" spans="2:5">
      <c r="B798" s="6" t="s">
        <v>2406</v>
      </c>
      <c r="C798" s="6" t="s">
        <v>2406</v>
      </c>
      <c r="D798" s="6" t="s">
        <v>2219</v>
      </c>
      <c r="E798" s="6" t="s">
        <v>2220</v>
      </c>
    </row>
    <row r="799" customHeight="1" spans="2:5">
      <c r="B799" s="6" t="s">
        <v>2407</v>
      </c>
      <c r="C799" s="6" t="s">
        <v>2407</v>
      </c>
      <c r="D799" s="6" t="s">
        <v>2219</v>
      </c>
      <c r="E799" s="6" t="s">
        <v>2220</v>
      </c>
    </row>
    <row r="800" customHeight="1" spans="2:5">
      <c r="B800" s="6" t="s">
        <v>2408</v>
      </c>
      <c r="C800" s="6" t="s">
        <v>2409</v>
      </c>
      <c r="D800" s="6" t="s">
        <v>2219</v>
      </c>
      <c r="E800" s="6" t="s">
        <v>2220</v>
      </c>
    </row>
    <row r="801" customHeight="1" spans="2:5">
      <c r="B801" s="6" t="s">
        <v>2410</v>
      </c>
      <c r="C801" s="6" t="s">
        <v>2410</v>
      </c>
      <c r="D801" s="6" t="s">
        <v>2219</v>
      </c>
      <c r="E801" s="6" t="s">
        <v>2220</v>
      </c>
    </row>
    <row r="802" customHeight="1" spans="2:5">
      <c r="B802" s="6" t="s">
        <v>2411</v>
      </c>
      <c r="C802" s="6" t="s">
        <v>2411</v>
      </c>
      <c r="D802" s="6" t="s">
        <v>2219</v>
      </c>
      <c r="E802" s="6" t="s">
        <v>2220</v>
      </c>
    </row>
    <row r="803" customHeight="1" spans="2:5">
      <c r="B803" s="6" t="s">
        <v>2412</v>
      </c>
      <c r="C803" s="6" t="s">
        <v>2413</v>
      </c>
      <c r="D803" s="6" t="s">
        <v>2219</v>
      </c>
      <c r="E803" s="6" t="s">
        <v>2220</v>
      </c>
    </row>
    <row r="804" customHeight="1" spans="2:5">
      <c r="B804" s="6" t="s">
        <v>2414</v>
      </c>
      <c r="C804" s="6" t="s">
        <v>2414</v>
      </c>
      <c r="D804" s="6" t="s">
        <v>2219</v>
      </c>
      <c r="E804" s="6" t="s">
        <v>2220</v>
      </c>
    </row>
    <row r="805" customHeight="1" spans="2:5">
      <c r="B805" s="6" t="s">
        <v>2415</v>
      </c>
      <c r="C805" s="6" t="s">
        <v>2415</v>
      </c>
      <c r="D805" s="6" t="s">
        <v>2219</v>
      </c>
      <c r="E805" s="6" t="s">
        <v>2220</v>
      </c>
    </row>
    <row r="806" customHeight="1" spans="2:5">
      <c r="B806" s="6" t="s">
        <v>2416</v>
      </c>
      <c r="C806" s="6" t="s">
        <v>2416</v>
      </c>
      <c r="D806" s="6" t="s">
        <v>2219</v>
      </c>
      <c r="E806" s="6" t="s">
        <v>2220</v>
      </c>
    </row>
    <row r="807" customHeight="1" spans="2:5">
      <c r="B807" s="6" t="s">
        <v>2417</v>
      </c>
      <c r="C807" s="6" t="s">
        <v>2417</v>
      </c>
      <c r="D807" s="6" t="s">
        <v>2219</v>
      </c>
      <c r="E807" s="6" t="s">
        <v>2220</v>
      </c>
    </row>
    <row r="808" customHeight="1" spans="2:5">
      <c r="B808" s="6" t="s">
        <v>2418</v>
      </c>
      <c r="C808" s="6" t="s">
        <v>2418</v>
      </c>
      <c r="D808" s="6" t="s">
        <v>2219</v>
      </c>
      <c r="E808" s="6" t="s">
        <v>2220</v>
      </c>
    </row>
    <row r="809" customHeight="1" spans="2:5">
      <c r="B809" s="6" t="s">
        <v>2419</v>
      </c>
      <c r="C809" s="6" t="s">
        <v>2419</v>
      </c>
      <c r="D809" s="6" t="s">
        <v>2219</v>
      </c>
      <c r="E809" s="6" t="s">
        <v>2220</v>
      </c>
    </row>
    <row r="810" customHeight="1" spans="2:5">
      <c r="B810" s="6" t="s">
        <v>2420</v>
      </c>
      <c r="C810" s="6" t="s">
        <v>2420</v>
      </c>
      <c r="D810" s="6" t="s">
        <v>2219</v>
      </c>
      <c r="E810" s="6" t="s">
        <v>2220</v>
      </c>
    </row>
    <row r="811" customHeight="1" spans="2:5">
      <c r="B811" s="6" t="s">
        <v>2421</v>
      </c>
      <c r="C811" s="6" t="s">
        <v>2422</v>
      </c>
      <c r="D811" s="6" t="s">
        <v>2219</v>
      </c>
      <c r="E811" s="6" t="s">
        <v>2220</v>
      </c>
    </row>
    <row r="812" customHeight="1" spans="2:5">
      <c r="B812" s="6" t="s">
        <v>2423</v>
      </c>
      <c r="C812" s="6" t="s">
        <v>2423</v>
      </c>
      <c r="D812" s="6" t="s">
        <v>2219</v>
      </c>
      <c r="E812" s="6" t="s">
        <v>2220</v>
      </c>
    </row>
    <row r="813" customHeight="1" spans="2:5">
      <c r="B813" s="6" t="s">
        <v>2424</v>
      </c>
      <c r="C813" s="6" t="s">
        <v>2425</v>
      </c>
      <c r="D813" s="6" t="s">
        <v>2219</v>
      </c>
      <c r="E813" s="6" t="s">
        <v>2220</v>
      </c>
    </row>
    <row r="814" customHeight="1" spans="2:5">
      <c r="B814" s="6" t="s">
        <v>2426</v>
      </c>
      <c r="C814" s="6" t="s">
        <v>2427</v>
      </c>
      <c r="D814" s="6" t="s">
        <v>2219</v>
      </c>
      <c r="E814" s="6" t="s">
        <v>2220</v>
      </c>
    </row>
    <row r="815" customHeight="1" spans="2:5">
      <c r="B815" s="6" t="s">
        <v>2428</v>
      </c>
      <c r="C815" s="6" t="s">
        <v>2428</v>
      </c>
      <c r="D815" s="6" t="s">
        <v>2219</v>
      </c>
      <c r="E815" s="6" t="s">
        <v>2220</v>
      </c>
    </row>
    <row r="816" customHeight="1" spans="2:5">
      <c r="B816" s="6" t="s">
        <v>2429</v>
      </c>
      <c r="C816" s="6" t="s">
        <v>2429</v>
      </c>
      <c r="D816" s="6" t="s">
        <v>2219</v>
      </c>
      <c r="E816" s="6" t="s">
        <v>2220</v>
      </c>
    </row>
    <row r="817" customHeight="1" spans="2:5">
      <c r="B817" s="6" t="s">
        <v>2430</v>
      </c>
      <c r="C817" s="6" t="s">
        <v>2430</v>
      </c>
      <c r="D817" s="6" t="s">
        <v>2219</v>
      </c>
      <c r="E817" s="6" t="s">
        <v>2220</v>
      </c>
    </row>
    <row r="818" customHeight="1" spans="2:5">
      <c r="B818" s="6" t="s">
        <v>2431</v>
      </c>
      <c r="C818" s="6" t="s">
        <v>2431</v>
      </c>
      <c r="D818" s="6" t="s">
        <v>2219</v>
      </c>
      <c r="E818" s="6" t="s">
        <v>2220</v>
      </c>
    </row>
    <row r="819" customHeight="1" spans="2:5">
      <c r="B819" s="6" t="s">
        <v>2432</v>
      </c>
      <c r="C819" s="6" t="s">
        <v>2433</v>
      </c>
      <c r="D819" s="6" t="s">
        <v>2219</v>
      </c>
      <c r="E819" s="6" t="s">
        <v>2220</v>
      </c>
    </row>
    <row r="820" customHeight="1" spans="2:5">
      <c r="B820" s="6" t="s">
        <v>2434</v>
      </c>
      <c r="C820" s="6" t="s">
        <v>2434</v>
      </c>
      <c r="D820" s="6" t="s">
        <v>2219</v>
      </c>
      <c r="E820" s="6" t="s">
        <v>2220</v>
      </c>
    </row>
    <row r="821" customHeight="1" spans="2:5">
      <c r="B821" s="6" t="s">
        <v>2435</v>
      </c>
      <c r="C821" s="6" t="s">
        <v>2435</v>
      </c>
      <c r="D821" s="6" t="s">
        <v>2219</v>
      </c>
      <c r="E821" s="6" t="s">
        <v>2220</v>
      </c>
    </row>
    <row r="822" customHeight="1" spans="2:5">
      <c r="B822" s="6" t="s">
        <v>2436</v>
      </c>
      <c r="C822" s="6" t="s">
        <v>2436</v>
      </c>
      <c r="D822" s="6" t="s">
        <v>2219</v>
      </c>
      <c r="E822" s="6" t="s">
        <v>2220</v>
      </c>
    </row>
    <row r="823" customHeight="1" spans="2:5">
      <c r="B823" s="6" t="s">
        <v>2437</v>
      </c>
      <c r="C823" s="6" t="s">
        <v>2437</v>
      </c>
      <c r="D823" s="6" t="s">
        <v>2219</v>
      </c>
      <c r="E823" s="6" t="s">
        <v>2220</v>
      </c>
    </row>
    <row r="824" customHeight="1" spans="2:5">
      <c r="B824" s="6" t="s">
        <v>2438</v>
      </c>
      <c r="C824" s="6" t="s">
        <v>2438</v>
      </c>
      <c r="D824" s="6" t="s">
        <v>2219</v>
      </c>
      <c r="E824" s="6" t="s">
        <v>2220</v>
      </c>
    </row>
    <row r="825" customHeight="1" spans="2:5">
      <c r="B825" s="6" t="s">
        <v>2439</v>
      </c>
      <c r="C825" s="6" t="s">
        <v>2440</v>
      </c>
      <c r="D825" s="6" t="s">
        <v>2219</v>
      </c>
      <c r="E825" s="6" t="s">
        <v>2220</v>
      </c>
    </row>
    <row r="826" customHeight="1" spans="2:5">
      <c r="B826" s="6" t="s">
        <v>2441</v>
      </c>
      <c r="C826" s="6" t="s">
        <v>2442</v>
      </c>
      <c r="D826" s="6" t="s">
        <v>2219</v>
      </c>
      <c r="E826" s="6" t="s">
        <v>2220</v>
      </c>
    </row>
    <row r="827" customHeight="1" spans="2:5">
      <c r="B827" s="6" t="s">
        <v>2443</v>
      </c>
      <c r="C827" s="6" t="s">
        <v>2443</v>
      </c>
      <c r="D827" s="6" t="s">
        <v>2219</v>
      </c>
      <c r="E827" s="6" t="s">
        <v>2220</v>
      </c>
    </row>
    <row r="828" customHeight="1" spans="2:5">
      <c r="B828" s="6" t="s">
        <v>2444</v>
      </c>
      <c r="C828" s="6" t="s">
        <v>2445</v>
      </c>
      <c r="D828" s="6" t="s">
        <v>2219</v>
      </c>
      <c r="E828" s="6" t="s">
        <v>2220</v>
      </c>
    </row>
    <row r="829" customHeight="1" spans="2:5">
      <c r="B829" s="6" t="s">
        <v>2446</v>
      </c>
      <c r="C829" s="6" t="s">
        <v>2447</v>
      </c>
      <c r="D829" s="6" t="s">
        <v>2219</v>
      </c>
      <c r="E829" s="6" t="s">
        <v>2220</v>
      </c>
    </row>
    <row r="830" customHeight="1" spans="2:5">
      <c r="B830" s="6" t="s">
        <v>2448</v>
      </c>
      <c r="C830" s="6" t="s">
        <v>2449</v>
      </c>
      <c r="D830" s="6" t="s">
        <v>2219</v>
      </c>
      <c r="E830" s="6" t="s">
        <v>2220</v>
      </c>
    </row>
    <row r="831" customHeight="1" spans="2:5">
      <c r="B831" s="6" t="s">
        <v>2450</v>
      </c>
      <c r="C831" s="6" t="s">
        <v>2451</v>
      </c>
      <c r="D831" s="6" t="s">
        <v>2219</v>
      </c>
      <c r="E831" s="6" t="s">
        <v>2220</v>
      </c>
    </row>
    <row r="832" customHeight="1" spans="2:5">
      <c r="B832" s="6" t="s">
        <v>2452</v>
      </c>
      <c r="C832" s="6" t="s">
        <v>2452</v>
      </c>
      <c r="D832" s="6" t="s">
        <v>2219</v>
      </c>
      <c r="E832" s="6" t="s">
        <v>2220</v>
      </c>
    </row>
    <row r="833" customHeight="1" spans="2:5">
      <c r="B833" s="6" t="s">
        <v>2453</v>
      </c>
      <c r="C833" s="6" t="s">
        <v>2454</v>
      </c>
      <c r="D833" s="6" t="s">
        <v>2219</v>
      </c>
      <c r="E833" s="6" t="s">
        <v>2220</v>
      </c>
    </row>
    <row r="834" customHeight="1" spans="2:5">
      <c r="B834" s="6" t="s">
        <v>2455</v>
      </c>
      <c r="C834" s="6" t="s">
        <v>2456</v>
      </c>
      <c r="D834" s="6" t="s">
        <v>2219</v>
      </c>
      <c r="E834" s="6" t="s">
        <v>2220</v>
      </c>
    </row>
    <row r="835" customHeight="1" spans="2:5">
      <c r="B835" s="6" t="s">
        <v>2457</v>
      </c>
      <c r="C835" s="6" t="s">
        <v>2457</v>
      </c>
      <c r="D835" s="6" t="s">
        <v>2219</v>
      </c>
      <c r="E835" s="6" t="s">
        <v>2220</v>
      </c>
    </row>
    <row r="836" customHeight="1" spans="2:5">
      <c r="B836" s="6" t="s">
        <v>2458</v>
      </c>
      <c r="C836" s="6" t="s">
        <v>2458</v>
      </c>
      <c r="D836" s="6" t="s">
        <v>2219</v>
      </c>
      <c r="E836" s="6" t="s">
        <v>2220</v>
      </c>
    </row>
    <row r="837" customHeight="1" spans="2:5">
      <c r="B837" s="6" t="s">
        <v>2459</v>
      </c>
      <c r="C837" s="6" t="s">
        <v>2459</v>
      </c>
      <c r="D837" s="6" t="s">
        <v>2219</v>
      </c>
      <c r="E837" s="6" t="s">
        <v>2220</v>
      </c>
    </row>
    <row r="838" customHeight="1" spans="2:5">
      <c r="B838" s="6" t="s">
        <v>2460</v>
      </c>
      <c r="C838" s="6" t="s">
        <v>2460</v>
      </c>
      <c r="D838" s="6" t="s">
        <v>2219</v>
      </c>
      <c r="E838" s="6" t="s">
        <v>2220</v>
      </c>
    </row>
    <row r="839" customHeight="1" spans="2:5">
      <c r="B839" s="6" t="s">
        <v>2461</v>
      </c>
      <c r="C839" s="6" t="s">
        <v>2461</v>
      </c>
      <c r="D839" s="6" t="s">
        <v>2219</v>
      </c>
      <c r="E839" s="6" t="s">
        <v>2220</v>
      </c>
    </row>
    <row r="840" customHeight="1" spans="2:5">
      <c r="B840" s="6" t="s">
        <v>2462</v>
      </c>
      <c r="C840" s="6" t="s">
        <v>2463</v>
      </c>
      <c r="D840" s="6" t="s">
        <v>2219</v>
      </c>
      <c r="E840" s="6" t="s">
        <v>2220</v>
      </c>
    </row>
    <row r="841" customHeight="1" spans="2:5">
      <c r="B841" s="6" t="s">
        <v>2464</v>
      </c>
      <c r="C841" s="6" t="s">
        <v>2464</v>
      </c>
      <c r="D841" s="6" t="s">
        <v>2219</v>
      </c>
      <c r="E841" s="6" t="s">
        <v>2220</v>
      </c>
    </row>
    <row r="842" customHeight="1" spans="2:5">
      <c r="B842" s="6" t="s">
        <v>2465</v>
      </c>
      <c r="C842" s="6" t="s">
        <v>2465</v>
      </c>
      <c r="D842" s="6" t="s">
        <v>2219</v>
      </c>
      <c r="E842" s="6" t="s">
        <v>2220</v>
      </c>
    </row>
    <row r="843" customHeight="1" spans="2:5">
      <c r="B843" s="6" t="s">
        <v>2466</v>
      </c>
      <c r="C843" s="6" t="s">
        <v>2467</v>
      </c>
      <c r="D843" s="6" t="s">
        <v>2219</v>
      </c>
      <c r="E843" s="6" t="s">
        <v>2220</v>
      </c>
    </row>
    <row r="844" customHeight="1" spans="2:5">
      <c r="B844" s="6" t="s">
        <v>2468</v>
      </c>
      <c r="C844" s="6" t="s">
        <v>2469</v>
      </c>
      <c r="D844" s="6" t="s">
        <v>2219</v>
      </c>
      <c r="E844" s="6" t="s">
        <v>2220</v>
      </c>
    </row>
    <row r="845" customHeight="1" spans="2:5">
      <c r="B845" s="6" t="s">
        <v>2470</v>
      </c>
      <c r="C845" s="6" t="s">
        <v>2470</v>
      </c>
      <c r="D845" s="6" t="s">
        <v>2219</v>
      </c>
      <c r="E845" s="6" t="s">
        <v>2220</v>
      </c>
    </row>
    <row r="846" customHeight="1" spans="2:5">
      <c r="B846" s="6" t="s">
        <v>2471</v>
      </c>
      <c r="C846" s="6" t="s">
        <v>2471</v>
      </c>
      <c r="D846" s="6" t="s">
        <v>2219</v>
      </c>
      <c r="E846" s="6" t="s">
        <v>2220</v>
      </c>
    </row>
    <row r="847" customHeight="1" spans="2:5">
      <c r="B847" s="6" t="s">
        <v>2472</v>
      </c>
      <c r="C847" s="6" t="s">
        <v>2473</v>
      </c>
      <c r="D847" s="6" t="s">
        <v>2219</v>
      </c>
      <c r="E847" s="6" t="s">
        <v>2220</v>
      </c>
    </row>
    <row r="848" customHeight="1" spans="2:5">
      <c r="B848" s="6" t="s">
        <v>2474</v>
      </c>
      <c r="C848" s="6" t="s">
        <v>2475</v>
      </c>
      <c r="D848" s="6" t="s">
        <v>2219</v>
      </c>
      <c r="E848" s="6" t="s">
        <v>2220</v>
      </c>
    </row>
    <row r="849" customHeight="1" spans="2:5">
      <c r="B849" s="6" t="s">
        <v>2476</v>
      </c>
      <c r="C849" s="6" t="s">
        <v>2476</v>
      </c>
      <c r="D849" s="6" t="s">
        <v>2219</v>
      </c>
      <c r="E849" s="6" t="s">
        <v>2220</v>
      </c>
    </row>
    <row r="850" customHeight="1" spans="2:5">
      <c r="B850" s="6" t="s">
        <v>2477</v>
      </c>
      <c r="C850" s="6" t="s">
        <v>2478</v>
      </c>
      <c r="D850" s="6" t="s">
        <v>2219</v>
      </c>
      <c r="E850" s="6" t="s">
        <v>2220</v>
      </c>
    </row>
    <row r="851" customHeight="1" spans="2:5">
      <c r="B851" s="6" t="s">
        <v>2479</v>
      </c>
      <c r="C851" s="6" t="s">
        <v>2479</v>
      </c>
      <c r="D851" s="6" t="s">
        <v>2219</v>
      </c>
      <c r="E851" s="6" t="s">
        <v>2220</v>
      </c>
    </row>
    <row r="852" customHeight="1" spans="2:5">
      <c r="B852" s="6" t="s">
        <v>2480</v>
      </c>
      <c r="C852" s="6" t="s">
        <v>2481</v>
      </c>
      <c r="D852" s="6" t="s">
        <v>2219</v>
      </c>
      <c r="E852" s="6" t="s">
        <v>2220</v>
      </c>
    </row>
    <row r="853" customHeight="1" spans="2:5">
      <c r="B853" s="6" t="s">
        <v>2482</v>
      </c>
      <c r="C853" s="6" t="s">
        <v>2482</v>
      </c>
      <c r="D853" s="6" t="s">
        <v>2219</v>
      </c>
      <c r="E853" s="6" t="s">
        <v>2220</v>
      </c>
    </row>
    <row r="854" customHeight="1" spans="2:5">
      <c r="B854" s="6" t="s">
        <v>2483</v>
      </c>
      <c r="C854" s="6" t="s">
        <v>2483</v>
      </c>
      <c r="D854" s="6" t="s">
        <v>2219</v>
      </c>
      <c r="E854" s="6" t="s">
        <v>2220</v>
      </c>
    </row>
    <row r="855" customHeight="1" spans="2:5">
      <c r="B855" s="6" t="s">
        <v>2484</v>
      </c>
      <c r="C855" s="6" t="s">
        <v>2484</v>
      </c>
      <c r="D855" s="6" t="s">
        <v>2219</v>
      </c>
      <c r="E855" s="6" t="s">
        <v>2220</v>
      </c>
    </row>
    <row r="856" customHeight="1" spans="2:5">
      <c r="B856" s="6" t="s">
        <v>2485</v>
      </c>
      <c r="C856" s="6" t="s">
        <v>2485</v>
      </c>
      <c r="D856" s="6" t="s">
        <v>2219</v>
      </c>
      <c r="E856" s="6" t="s">
        <v>2220</v>
      </c>
    </row>
    <row r="857" customHeight="1" spans="2:5">
      <c r="B857" s="6" t="s">
        <v>2486</v>
      </c>
      <c r="C857" s="6" t="s">
        <v>2486</v>
      </c>
      <c r="D857" s="6" t="s">
        <v>2219</v>
      </c>
      <c r="E857" s="6" t="s">
        <v>2220</v>
      </c>
    </row>
    <row r="858" customHeight="1" spans="2:5">
      <c r="B858" s="6" t="s">
        <v>2487</v>
      </c>
      <c r="C858" s="6" t="s">
        <v>2488</v>
      </c>
      <c r="D858" s="6" t="s">
        <v>2219</v>
      </c>
      <c r="E858" s="6" t="s">
        <v>2220</v>
      </c>
    </row>
    <row r="859" customHeight="1" spans="2:5">
      <c r="B859" s="6" t="s">
        <v>2489</v>
      </c>
      <c r="C859" s="6" t="s">
        <v>2490</v>
      </c>
      <c r="D859" s="6" t="s">
        <v>2219</v>
      </c>
      <c r="E859" s="6" t="s">
        <v>2220</v>
      </c>
    </row>
    <row r="860" customHeight="1" spans="2:5">
      <c r="B860" s="6" t="s">
        <v>2491</v>
      </c>
      <c r="C860" s="6" t="s">
        <v>2491</v>
      </c>
      <c r="D860" s="6" t="s">
        <v>2219</v>
      </c>
      <c r="E860" s="6" t="s">
        <v>2220</v>
      </c>
    </row>
    <row r="861" customHeight="1" spans="2:5">
      <c r="B861" s="6" t="s">
        <v>2492</v>
      </c>
      <c r="C861" s="6" t="s">
        <v>2493</v>
      </c>
      <c r="D861" s="6" t="s">
        <v>2219</v>
      </c>
      <c r="E861" s="6" t="s">
        <v>2220</v>
      </c>
    </row>
    <row r="862" customHeight="1" spans="2:5">
      <c r="B862" s="6" t="s">
        <v>2494</v>
      </c>
      <c r="C862" s="6" t="s">
        <v>2494</v>
      </c>
      <c r="D862" s="6" t="s">
        <v>2219</v>
      </c>
      <c r="E862" s="6" t="s">
        <v>2220</v>
      </c>
    </row>
    <row r="863" customHeight="1" spans="2:5">
      <c r="B863" s="6" t="s">
        <v>2495</v>
      </c>
      <c r="C863" s="6" t="s">
        <v>2496</v>
      </c>
      <c r="D863" s="6" t="s">
        <v>2219</v>
      </c>
      <c r="E863" s="6" t="s">
        <v>2220</v>
      </c>
    </row>
    <row r="864" customHeight="1" spans="2:5">
      <c r="B864" s="6" t="s">
        <v>2497</v>
      </c>
      <c r="C864" s="6" t="s">
        <v>2498</v>
      </c>
      <c r="D864" s="6" t="s">
        <v>2219</v>
      </c>
      <c r="E864" s="6" t="s">
        <v>2220</v>
      </c>
    </row>
    <row r="865" customHeight="1" spans="2:5">
      <c r="B865" s="6" t="s">
        <v>2499</v>
      </c>
      <c r="C865" s="6" t="s">
        <v>2500</v>
      </c>
      <c r="D865" s="6" t="s">
        <v>2219</v>
      </c>
      <c r="E865" s="6" t="s">
        <v>2220</v>
      </c>
    </row>
    <row r="866" customHeight="1" spans="2:5">
      <c r="B866" s="6" t="s">
        <v>2501</v>
      </c>
      <c r="C866" s="6" t="s">
        <v>2501</v>
      </c>
      <c r="D866" s="6" t="s">
        <v>2219</v>
      </c>
      <c r="E866" s="6" t="s">
        <v>2220</v>
      </c>
    </row>
    <row r="867" customHeight="1" spans="2:5">
      <c r="B867" s="6" t="s">
        <v>2502</v>
      </c>
      <c r="C867" s="6" t="s">
        <v>2503</v>
      </c>
      <c r="D867" s="6" t="s">
        <v>2219</v>
      </c>
      <c r="E867" s="6" t="s">
        <v>2220</v>
      </c>
    </row>
    <row r="868" customHeight="1" spans="2:5">
      <c r="B868" s="6" t="s">
        <v>2504</v>
      </c>
      <c r="C868" s="6" t="s">
        <v>2504</v>
      </c>
      <c r="D868" s="6" t="s">
        <v>2219</v>
      </c>
      <c r="E868" s="6" t="s">
        <v>2220</v>
      </c>
    </row>
    <row r="869" customHeight="1" spans="2:5">
      <c r="B869" s="6" t="s">
        <v>2505</v>
      </c>
      <c r="C869" s="6" t="s">
        <v>2505</v>
      </c>
      <c r="D869" s="6" t="s">
        <v>2219</v>
      </c>
      <c r="E869" s="6" t="s">
        <v>2220</v>
      </c>
    </row>
    <row r="870" customHeight="1" spans="2:5">
      <c r="B870" s="6" t="s">
        <v>2506</v>
      </c>
      <c r="C870" s="6" t="s">
        <v>2507</v>
      </c>
      <c r="D870" s="6" t="s">
        <v>2219</v>
      </c>
      <c r="E870" s="6" t="s">
        <v>2220</v>
      </c>
    </row>
    <row r="871" customHeight="1" spans="2:5">
      <c r="B871" s="6" t="s">
        <v>2508</v>
      </c>
      <c r="C871" s="6" t="s">
        <v>2508</v>
      </c>
      <c r="D871" s="6" t="s">
        <v>2219</v>
      </c>
      <c r="E871" s="6" t="s">
        <v>2220</v>
      </c>
    </row>
    <row r="872" customHeight="1" spans="2:5">
      <c r="B872" s="6" t="s">
        <v>2509</v>
      </c>
      <c r="C872" s="6" t="s">
        <v>2509</v>
      </c>
      <c r="D872" s="6" t="s">
        <v>2219</v>
      </c>
      <c r="E872" s="6" t="s">
        <v>2220</v>
      </c>
    </row>
    <row r="873" customHeight="1" spans="2:5">
      <c r="B873" s="6" t="s">
        <v>2510</v>
      </c>
      <c r="C873" s="6" t="s">
        <v>2510</v>
      </c>
      <c r="D873" s="6" t="s">
        <v>2219</v>
      </c>
      <c r="E873" s="6" t="s">
        <v>2220</v>
      </c>
    </row>
    <row r="874" customHeight="1" spans="2:5">
      <c r="B874" s="6" t="s">
        <v>2511</v>
      </c>
      <c r="C874" s="6" t="s">
        <v>2512</v>
      </c>
      <c r="D874" s="6" t="s">
        <v>2219</v>
      </c>
      <c r="E874" s="6" t="s">
        <v>2220</v>
      </c>
    </row>
    <row r="875" customHeight="1" spans="2:5">
      <c r="B875" s="6" t="s">
        <v>2513</v>
      </c>
      <c r="C875" s="6" t="s">
        <v>2514</v>
      </c>
      <c r="D875" s="6" t="s">
        <v>2219</v>
      </c>
      <c r="E875" s="6" t="s">
        <v>2220</v>
      </c>
    </row>
    <row r="876" customHeight="1" spans="2:5">
      <c r="B876" s="6" t="s">
        <v>2515</v>
      </c>
      <c r="C876" s="6" t="s">
        <v>2515</v>
      </c>
      <c r="D876" s="6" t="s">
        <v>2219</v>
      </c>
      <c r="E876" s="6" t="s">
        <v>2220</v>
      </c>
    </row>
    <row r="877" customHeight="1" spans="2:5">
      <c r="B877" s="6" t="s">
        <v>2516</v>
      </c>
      <c r="C877" s="6" t="s">
        <v>2516</v>
      </c>
      <c r="D877" s="6" t="s">
        <v>2219</v>
      </c>
      <c r="E877" s="6" t="s">
        <v>2220</v>
      </c>
    </row>
    <row r="878" customHeight="1" spans="2:5">
      <c r="B878" s="6" t="s">
        <v>2517</v>
      </c>
      <c r="C878" s="6" t="s">
        <v>2518</v>
      </c>
      <c r="D878" s="6" t="s">
        <v>2219</v>
      </c>
      <c r="E878" s="6" t="s">
        <v>2220</v>
      </c>
    </row>
    <row r="879" customHeight="1" spans="2:5">
      <c r="B879" s="6" t="s">
        <v>2519</v>
      </c>
      <c r="C879" s="6" t="s">
        <v>2520</v>
      </c>
      <c r="D879" s="6" t="s">
        <v>2219</v>
      </c>
      <c r="E879" s="6" t="s">
        <v>2220</v>
      </c>
    </row>
    <row r="880" customHeight="1" spans="2:5">
      <c r="B880" s="6" t="s">
        <v>2521</v>
      </c>
      <c r="C880" s="6" t="s">
        <v>2521</v>
      </c>
      <c r="D880" s="6" t="s">
        <v>2219</v>
      </c>
      <c r="E880" s="6" t="s">
        <v>2220</v>
      </c>
    </row>
    <row r="881" customHeight="1" spans="2:5">
      <c r="B881" s="6" t="s">
        <v>2522</v>
      </c>
      <c r="C881" s="6" t="s">
        <v>2523</v>
      </c>
      <c r="D881" s="6" t="s">
        <v>2219</v>
      </c>
      <c r="E881" s="6" t="s">
        <v>2220</v>
      </c>
    </row>
    <row r="882" customHeight="1" spans="2:5">
      <c r="B882" s="6" t="s">
        <v>2524</v>
      </c>
      <c r="C882" s="6" t="s">
        <v>2525</v>
      </c>
      <c r="D882" s="6" t="s">
        <v>2219</v>
      </c>
      <c r="E882" s="6" t="s">
        <v>2220</v>
      </c>
    </row>
    <row r="883" customHeight="1" spans="2:5">
      <c r="B883" s="6" t="s">
        <v>2526</v>
      </c>
      <c r="C883" s="6" t="s">
        <v>2527</v>
      </c>
      <c r="D883" s="6" t="s">
        <v>2219</v>
      </c>
      <c r="E883" s="6" t="s">
        <v>2220</v>
      </c>
    </row>
    <row r="884" customHeight="1" spans="2:5">
      <c r="B884" s="6" t="s">
        <v>2528</v>
      </c>
      <c r="C884" s="6" t="s">
        <v>2528</v>
      </c>
      <c r="D884" s="6" t="s">
        <v>2219</v>
      </c>
      <c r="E884" s="6" t="s">
        <v>2220</v>
      </c>
    </row>
    <row r="885" customHeight="1" spans="2:5">
      <c r="B885" s="6" t="s">
        <v>2529</v>
      </c>
      <c r="C885" s="6" t="s">
        <v>2529</v>
      </c>
      <c r="D885" s="6" t="s">
        <v>2219</v>
      </c>
      <c r="E885" s="6" t="s">
        <v>2220</v>
      </c>
    </row>
    <row r="886" customHeight="1" spans="2:5">
      <c r="B886" s="6" t="s">
        <v>2530</v>
      </c>
      <c r="C886" s="6" t="s">
        <v>2531</v>
      </c>
      <c r="D886" s="6" t="s">
        <v>2219</v>
      </c>
      <c r="E886" s="6" t="s">
        <v>2220</v>
      </c>
    </row>
    <row r="887" customHeight="1" spans="2:5">
      <c r="B887" s="6" t="s">
        <v>2532</v>
      </c>
      <c r="C887" s="6" t="s">
        <v>2533</v>
      </c>
      <c r="D887" s="6" t="s">
        <v>2219</v>
      </c>
      <c r="E887" s="6" t="s">
        <v>2220</v>
      </c>
    </row>
    <row r="888" customHeight="1" spans="2:5">
      <c r="B888" s="6" t="s">
        <v>2534</v>
      </c>
      <c r="C888" s="6" t="s">
        <v>2535</v>
      </c>
      <c r="D888" s="6" t="s">
        <v>2219</v>
      </c>
      <c r="E888" s="6" t="s">
        <v>2220</v>
      </c>
    </row>
    <row r="889" customHeight="1" spans="2:5">
      <c r="B889" s="6" t="s">
        <v>2536</v>
      </c>
      <c r="C889" s="6" t="s">
        <v>2536</v>
      </c>
      <c r="D889" s="6" t="s">
        <v>2219</v>
      </c>
      <c r="E889" s="6" t="s">
        <v>2220</v>
      </c>
    </row>
    <row r="890" customHeight="1" spans="2:5">
      <c r="B890" s="6" t="s">
        <v>2537</v>
      </c>
      <c r="C890" s="6" t="s">
        <v>2537</v>
      </c>
      <c r="D890" s="6" t="s">
        <v>2219</v>
      </c>
      <c r="E890" s="6" t="s">
        <v>2220</v>
      </c>
    </row>
    <row r="891" customHeight="1" spans="2:5">
      <c r="B891" s="6" t="s">
        <v>2538</v>
      </c>
      <c r="C891" s="6" t="s">
        <v>2539</v>
      </c>
      <c r="D891" s="6" t="s">
        <v>2219</v>
      </c>
      <c r="E891" s="6" t="s">
        <v>2220</v>
      </c>
    </row>
    <row r="892" customHeight="1" spans="2:5">
      <c r="B892" s="6" t="s">
        <v>2540</v>
      </c>
      <c r="C892" s="6" t="s">
        <v>2541</v>
      </c>
      <c r="D892" s="6" t="s">
        <v>2219</v>
      </c>
      <c r="E892" s="6" t="s">
        <v>2220</v>
      </c>
    </row>
    <row r="893" customHeight="1" spans="2:5">
      <c r="B893" s="6" t="s">
        <v>2542</v>
      </c>
      <c r="C893" s="6" t="s">
        <v>2543</v>
      </c>
      <c r="D893" s="6" t="s">
        <v>2219</v>
      </c>
      <c r="E893" s="6" t="s">
        <v>2220</v>
      </c>
    </row>
    <row r="894" customHeight="1" spans="2:5">
      <c r="B894" s="6" t="s">
        <v>2544</v>
      </c>
      <c r="C894" s="6" t="s">
        <v>2544</v>
      </c>
      <c r="D894" s="6" t="s">
        <v>2219</v>
      </c>
      <c r="E894" s="6" t="s">
        <v>2220</v>
      </c>
    </row>
    <row r="895" customHeight="1" spans="2:5">
      <c r="B895" s="6" t="s">
        <v>2545</v>
      </c>
      <c r="C895" s="6" t="s">
        <v>2545</v>
      </c>
      <c r="D895" s="6" t="s">
        <v>2219</v>
      </c>
      <c r="E895" s="6" t="s">
        <v>2220</v>
      </c>
    </row>
    <row r="896" customHeight="1" spans="2:5">
      <c r="B896" s="6" t="s">
        <v>2546</v>
      </c>
      <c r="C896" s="6" t="s">
        <v>2546</v>
      </c>
      <c r="D896" s="6" t="s">
        <v>2219</v>
      </c>
      <c r="E896" s="6" t="s">
        <v>2220</v>
      </c>
    </row>
    <row r="897" customHeight="1" spans="2:5">
      <c r="B897" s="6" t="s">
        <v>2547</v>
      </c>
      <c r="C897" s="6" t="s">
        <v>2548</v>
      </c>
      <c r="D897" s="6" t="s">
        <v>2219</v>
      </c>
      <c r="E897" s="6" t="s">
        <v>2220</v>
      </c>
    </row>
    <row r="898" customHeight="1" spans="2:5">
      <c r="B898" s="6" t="s">
        <v>2549</v>
      </c>
      <c r="C898" s="6" t="s">
        <v>2549</v>
      </c>
      <c r="D898" s="6" t="s">
        <v>2219</v>
      </c>
      <c r="E898" s="6" t="s">
        <v>2220</v>
      </c>
    </row>
    <row r="899" customHeight="1" spans="2:5">
      <c r="B899" s="6" t="s">
        <v>2550</v>
      </c>
      <c r="C899" s="6" t="s">
        <v>2550</v>
      </c>
      <c r="D899" s="6" t="s">
        <v>2219</v>
      </c>
      <c r="E899" s="6" t="s">
        <v>2220</v>
      </c>
    </row>
    <row r="900" customHeight="1" spans="2:5">
      <c r="B900" s="6" t="s">
        <v>2551</v>
      </c>
      <c r="C900" s="6" t="s">
        <v>2552</v>
      </c>
      <c r="D900" s="6" t="s">
        <v>2219</v>
      </c>
      <c r="E900" s="6" t="s">
        <v>2220</v>
      </c>
    </row>
    <row r="901" customHeight="1" spans="2:5">
      <c r="B901" s="6" t="s">
        <v>2553</v>
      </c>
      <c r="C901" s="6" t="s">
        <v>2553</v>
      </c>
      <c r="D901" s="6" t="s">
        <v>2219</v>
      </c>
      <c r="E901" s="6" t="s">
        <v>2220</v>
      </c>
    </row>
    <row r="902" customHeight="1" spans="2:5">
      <c r="B902" s="6" t="s">
        <v>2554</v>
      </c>
      <c r="C902" s="6" t="s">
        <v>2555</v>
      </c>
      <c r="D902" s="6" t="s">
        <v>2219</v>
      </c>
      <c r="E902" s="6" t="s">
        <v>2220</v>
      </c>
    </row>
    <row r="903" customHeight="1" spans="2:5">
      <c r="B903" s="6" t="s">
        <v>2556</v>
      </c>
      <c r="C903" s="6" t="s">
        <v>2556</v>
      </c>
      <c r="D903" s="6" t="s">
        <v>2219</v>
      </c>
      <c r="E903" s="6" t="s">
        <v>2220</v>
      </c>
    </row>
    <row r="904" customHeight="1" spans="2:5">
      <c r="B904" s="6" t="s">
        <v>2557</v>
      </c>
      <c r="C904" s="6" t="s">
        <v>2558</v>
      </c>
      <c r="D904" s="6" t="s">
        <v>2219</v>
      </c>
      <c r="E904" s="6" t="s">
        <v>2220</v>
      </c>
    </row>
    <row r="905" customHeight="1" spans="2:5">
      <c r="B905" s="6" t="s">
        <v>2559</v>
      </c>
      <c r="C905" s="6" t="s">
        <v>2560</v>
      </c>
      <c r="D905" s="6" t="s">
        <v>2219</v>
      </c>
      <c r="E905" s="6" t="s">
        <v>2220</v>
      </c>
    </row>
    <row r="906" customHeight="1" spans="2:5">
      <c r="B906" s="6" t="s">
        <v>2561</v>
      </c>
      <c r="C906" s="6" t="s">
        <v>2562</v>
      </c>
      <c r="D906" s="6" t="s">
        <v>2219</v>
      </c>
      <c r="E906" s="6" t="s">
        <v>2220</v>
      </c>
    </row>
    <row r="907" customHeight="1" spans="2:5">
      <c r="B907" s="6" t="s">
        <v>2563</v>
      </c>
      <c r="C907" s="6" t="s">
        <v>2564</v>
      </c>
      <c r="D907" s="6" t="s">
        <v>2219</v>
      </c>
      <c r="E907" s="6" t="s">
        <v>2220</v>
      </c>
    </row>
    <row r="908" customHeight="1" spans="2:5">
      <c r="B908" s="6" t="s">
        <v>2565</v>
      </c>
      <c r="C908" s="6" t="s">
        <v>2566</v>
      </c>
      <c r="D908" s="6" t="s">
        <v>2219</v>
      </c>
      <c r="E908" s="6" t="s">
        <v>2220</v>
      </c>
    </row>
    <row r="909" customHeight="1" spans="2:5">
      <c r="B909" s="6" t="s">
        <v>2567</v>
      </c>
      <c r="C909" s="6" t="s">
        <v>2567</v>
      </c>
      <c r="D909" s="6" t="s">
        <v>2219</v>
      </c>
      <c r="E909" s="6" t="s">
        <v>2220</v>
      </c>
    </row>
    <row r="910" customHeight="1" spans="2:5">
      <c r="B910" s="6" t="s">
        <v>2568</v>
      </c>
      <c r="C910" s="6" t="s">
        <v>2568</v>
      </c>
      <c r="D910" s="6" t="s">
        <v>2219</v>
      </c>
      <c r="E910" s="6" t="s">
        <v>2220</v>
      </c>
    </row>
    <row r="911" customHeight="1" spans="2:5">
      <c r="B911" s="6" t="s">
        <v>2569</v>
      </c>
      <c r="C911" s="6" t="s">
        <v>2570</v>
      </c>
      <c r="D911" s="6" t="s">
        <v>2219</v>
      </c>
      <c r="E911" s="6" t="s">
        <v>2220</v>
      </c>
    </row>
    <row r="912" customHeight="1" spans="2:5">
      <c r="B912" s="6" t="s">
        <v>2571</v>
      </c>
      <c r="C912" s="6" t="s">
        <v>2572</v>
      </c>
      <c r="D912" s="6" t="s">
        <v>2219</v>
      </c>
      <c r="E912" s="6" t="s">
        <v>2220</v>
      </c>
    </row>
    <row r="913" customHeight="1" spans="2:5">
      <c r="B913" s="6" t="s">
        <v>2573</v>
      </c>
      <c r="C913" s="6" t="s">
        <v>2574</v>
      </c>
      <c r="D913" s="6" t="s">
        <v>2219</v>
      </c>
      <c r="E913" s="6" t="s">
        <v>2220</v>
      </c>
    </row>
    <row r="914" customHeight="1" spans="2:5">
      <c r="B914" s="6" t="s">
        <v>2575</v>
      </c>
      <c r="C914" s="6" t="s">
        <v>2576</v>
      </c>
      <c r="D914" s="6" t="s">
        <v>2219</v>
      </c>
      <c r="E914" s="6" t="s">
        <v>2220</v>
      </c>
    </row>
    <row r="915" customHeight="1" spans="2:5">
      <c r="B915" s="6" t="s">
        <v>2577</v>
      </c>
      <c r="C915" s="6" t="s">
        <v>2578</v>
      </c>
      <c r="D915" s="6" t="s">
        <v>2219</v>
      </c>
      <c r="E915" s="6" t="s">
        <v>2220</v>
      </c>
    </row>
    <row r="916" customHeight="1" spans="2:5">
      <c r="B916" s="6" t="s">
        <v>2579</v>
      </c>
      <c r="C916" s="6" t="s">
        <v>2579</v>
      </c>
      <c r="D916" s="6" t="s">
        <v>2219</v>
      </c>
      <c r="E916" s="6" t="s">
        <v>2220</v>
      </c>
    </row>
    <row r="917" customHeight="1" spans="2:5">
      <c r="B917" s="6" t="s">
        <v>2580</v>
      </c>
      <c r="C917" s="6" t="s">
        <v>2580</v>
      </c>
      <c r="D917" s="6" t="s">
        <v>2219</v>
      </c>
      <c r="E917" s="6" t="s">
        <v>2220</v>
      </c>
    </row>
    <row r="918" customHeight="1" spans="2:5">
      <c r="B918" s="6" t="s">
        <v>2581</v>
      </c>
      <c r="C918" s="6" t="s">
        <v>2581</v>
      </c>
      <c r="D918" s="6" t="s">
        <v>2219</v>
      </c>
      <c r="E918" s="6" t="s">
        <v>2220</v>
      </c>
    </row>
    <row r="919" customHeight="1" spans="2:5">
      <c r="B919" s="6" t="s">
        <v>2582</v>
      </c>
      <c r="C919" s="6" t="s">
        <v>2582</v>
      </c>
      <c r="D919" s="6" t="s">
        <v>2219</v>
      </c>
      <c r="E919" s="6" t="s">
        <v>2220</v>
      </c>
    </row>
    <row r="920" customHeight="1" spans="2:5">
      <c r="B920" s="6" t="s">
        <v>2583</v>
      </c>
      <c r="C920" s="6" t="s">
        <v>2584</v>
      </c>
      <c r="D920" s="6" t="s">
        <v>2219</v>
      </c>
      <c r="E920" s="6" t="s">
        <v>2220</v>
      </c>
    </row>
    <row r="921" customHeight="1" spans="2:5">
      <c r="B921" s="6" t="s">
        <v>2585</v>
      </c>
      <c r="C921" s="6" t="s">
        <v>2586</v>
      </c>
      <c r="D921" s="6" t="s">
        <v>2219</v>
      </c>
      <c r="E921" s="6" t="s">
        <v>2220</v>
      </c>
    </row>
    <row r="922" customHeight="1" spans="2:5">
      <c r="B922" s="6" t="s">
        <v>2587</v>
      </c>
      <c r="C922" s="6" t="s">
        <v>2588</v>
      </c>
      <c r="D922" s="6" t="s">
        <v>2219</v>
      </c>
      <c r="E922" s="6" t="s">
        <v>2220</v>
      </c>
    </row>
    <row r="923" customHeight="1" spans="2:5">
      <c r="B923" s="6" t="s">
        <v>2589</v>
      </c>
      <c r="C923" s="6" t="s">
        <v>2589</v>
      </c>
      <c r="D923" s="6" t="s">
        <v>2219</v>
      </c>
      <c r="E923" s="6" t="s">
        <v>2220</v>
      </c>
    </row>
    <row r="924" customHeight="1" spans="2:5">
      <c r="B924" s="6" t="s">
        <v>2590</v>
      </c>
      <c r="C924" s="6" t="s">
        <v>2590</v>
      </c>
      <c r="D924" s="6" t="s">
        <v>2219</v>
      </c>
      <c r="E924" s="6" t="s">
        <v>2220</v>
      </c>
    </row>
    <row r="925" customHeight="1" spans="2:5">
      <c r="B925" s="6" t="s">
        <v>2591</v>
      </c>
      <c r="C925" s="6" t="s">
        <v>2592</v>
      </c>
      <c r="D925" s="6" t="s">
        <v>2219</v>
      </c>
      <c r="E925" s="6" t="s">
        <v>2220</v>
      </c>
    </row>
    <row r="926" customHeight="1" spans="2:5">
      <c r="B926" s="6" t="s">
        <v>2593</v>
      </c>
      <c r="C926" s="6" t="s">
        <v>2593</v>
      </c>
      <c r="D926" s="6" t="s">
        <v>2219</v>
      </c>
      <c r="E926" s="6" t="s">
        <v>2220</v>
      </c>
    </row>
    <row r="927" customHeight="1" spans="2:5">
      <c r="B927" s="6" t="s">
        <v>2594</v>
      </c>
      <c r="C927" s="6" t="s">
        <v>2595</v>
      </c>
      <c r="D927" s="6" t="s">
        <v>2219</v>
      </c>
      <c r="E927" s="6" t="s">
        <v>2220</v>
      </c>
    </row>
    <row r="928" customHeight="1" spans="2:5">
      <c r="B928" s="6" t="s">
        <v>2596</v>
      </c>
      <c r="C928" s="6" t="s">
        <v>2596</v>
      </c>
      <c r="D928" s="6" t="s">
        <v>2219</v>
      </c>
      <c r="E928" s="6" t="s">
        <v>2220</v>
      </c>
    </row>
    <row r="929" customHeight="1" spans="2:5">
      <c r="B929" s="6" t="s">
        <v>2597</v>
      </c>
      <c r="C929" s="6" t="s">
        <v>2598</v>
      </c>
      <c r="D929" s="6" t="s">
        <v>2219</v>
      </c>
      <c r="E929" s="6" t="s">
        <v>2220</v>
      </c>
    </row>
    <row r="930" customHeight="1" spans="2:5">
      <c r="B930" s="6" t="s">
        <v>2599</v>
      </c>
      <c r="C930" s="6" t="s">
        <v>2600</v>
      </c>
      <c r="D930" s="6" t="s">
        <v>2219</v>
      </c>
      <c r="E930" s="6" t="s">
        <v>2220</v>
      </c>
    </row>
    <row r="931" customHeight="1" spans="2:5">
      <c r="B931" s="6" t="s">
        <v>2601</v>
      </c>
      <c r="C931" s="6" t="s">
        <v>2601</v>
      </c>
      <c r="D931" s="6" t="s">
        <v>2219</v>
      </c>
      <c r="E931" s="6" t="s">
        <v>2220</v>
      </c>
    </row>
    <row r="932" customHeight="1" spans="2:5">
      <c r="B932" s="6" t="s">
        <v>2602</v>
      </c>
      <c r="C932" s="6" t="s">
        <v>2602</v>
      </c>
      <c r="D932" s="6" t="s">
        <v>2219</v>
      </c>
      <c r="E932" s="6" t="s">
        <v>2220</v>
      </c>
    </row>
    <row r="933" customHeight="1" spans="2:5">
      <c r="B933" s="6" t="s">
        <v>2603</v>
      </c>
      <c r="C933" s="6" t="s">
        <v>2603</v>
      </c>
      <c r="D933" s="6" t="s">
        <v>2219</v>
      </c>
      <c r="E933" s="6" t="s">
        <v>2220</v>
      </c>
    </row>
    <row r="934" customHeight="1" spans="2:5">
      <c r="B934" s="6" t="s">
        <v>2604</v>
      </c>
      <c r="C934" s="6" t="s">
        <v>2604</v>
      </c>
      <c r="D934" s="6" t="s">
        <v>2219</v>
      </c>
      <c r="E934" s="6" t="s">
        <v>2220</v>
      </c>
    </row>
    <row r="935" customHeight="1" spans="2:5">
      <c r="B935" s="6" t="s">
        <v>2605</v>
      </c>
      <c r="C935" s="6" t="s">
        <v>2606</v>
      </c>
      <c r="D935" s="6" t="s">
        <v>2219</v>
      </c>
      <c r="E935" s="6" t="s">
        <v>2220</v>
      </c>
    </row>
    <row r="936" customHeight="1" spans="2:5">
      <c r="B936" s="6" t="s">
        <v>2607</v>
      </c>
      <c r="C936" s="6" t="s">
        <v>2607</v>
      </c>
      <c r="D936" s="6" t="s">
        <v>2219</v>
      </c>
      <c r="E936" s="6" t="s">
        <v>2220</v>
      </c>
    </row>
    <row r="937" customHeight="1" spans="2:5">
      <c r="B937" s="6" t="s">
        <v>2608</v>
      </c>
      <c r="C937" s="6" t="s">
        <v>2609</v>
      </c>
      <c r="D937" s="6" t="s">
        <v>2219</v>
      </c>
      <c r="E937" s="6" t="s">
        <v>2220</v>
      </c>
    </row>
    <row r="938" customHeight="1" spans="2:5">
      <c r="B938" s="6" t="s">
        <v>2610</v>
      </c>
      <c r="C938" s="6" t="s">
        <v>2611</v>
      </c>
      <c r="D938" s="6" t="s">
        <v>2219</v>
      </c>
      <c r="E938" s="6" t="s">
        <v>2220</v>
      </c>
    </row>
    <row r="939" customHeight="1" spans="2:5">
      <c r="B939" s="6" t="s">
        <v>2612</v>
      </c>
      <c r="C939" s="6" t="s">
        <v>2612</v>
      </c>
      <c r="D939" s="6" t="s">
        <v>2219</v>
      </c>
      <c r="E939" s="6" t="s">
        <v>2220</v>
      </c>
    </row>
    <row r="940" customHeight="1" spans="2:5">
      <c r="B940" s="6" t="s">
        <v>2613</v>
      </c>
      <c r="C940" s="6" t="s">
        <v>2613</v>
      </c>
      <c r="D940" s="6" t="s">
        <v>2219</v>
      </c>
      <c r="E940" s="6" t="s">
        <v>2220</v>
      </c>
    </row>
    <row r="941" customHeight="1" spans="2:5">
      <c r="B941" s="6" t="s">
        <v>2614</v>
      </c>
      <c r="C941" s="6" t="s">
        <v>2614</v>
      </c>
      <c r="D941" s="6" t="s">
        <v>2219</v>
      </c>
      <c r="E941" s="6" t="s">
        <v>2220</v>
      </c>
    </row>
    <row r="942" customHeight="1" spans="2:5">
      <c r="B942" s="6" t="s">
        <v>2615</v>
      </c>
      <c r="C942" s="6" t="s">
        <v>2615</v>
      </c>
      <c r="D942" s="6" t="s">
        <v>2219</v>
      </c>
      <c r="E942" s="6" t="s">
        <v>2220</v>
      </c>
    </row>
    <row r="943" customHeight="1" spans="2:5">
      <c r="B943" s="6" t="s">
        <v>2616</v>
      </c>
      <c r="C943" s="6" t="s">
        <v>2617</v>
      </c>
      <c r="D943" s="6" t="s">
        <v>2219</v>
      </c>
      <c r="E943" s="6" t="s">
        <v>2220</v>
      </c>
    </row>
    <row r="944" customHeight="1" spans="2:5">
      <c r="B944" s="6" t="s">
        <v>2618</v>
      </c>
      <c r="C944" s="6" t="s">
        <v>2618</v>
      </c>
      <c r="D944" s="6" t="s">
        <v>2219</v>
      </c>
      <c r="E944" s="6" t="s">
        <v>2220</v>
      </c>
    </row>
    <row r="945" customHeight="1" spans="2:5">
      <c r="B945" s="6" t="s">
        <v>2619</v>
      </c>
      <c r="C945" s="6" t="s">
        <v>2619</v>
      </c>
      <c r="D945" s="6" t="s">
        <v>2219</v>
      </c>
      <c r="E945" s="6" t="s">
        <v>2220</v>
      </c>
    </row>
    <row r="946" customHeight="1" spans="2:5">
      <c r="B946" s="6" t="s">
        <v>2620</v>
      </c>
      <c r="C946" s="6" t="s">
        <v>2620</v>
      </c>
      <c r="D946" s="6" t="s">
        <v>2219</v>
      </c>
      <c r="E946" s="6" t="s">
        <v>2220</v>
      </c>
    </row>
    <row r="947" customHeight="1" spans="2:5">
      <c r="B947" s="6" t="s">
        <v>2621</v>
      </c>
      <c r="C947" s="6" t="s">
        <v>2621</v>
      </c>
      <c r="D947" s="6" t="s">
        <v>2219</v>
      </c>
      <c r="E947" s="6" t="s">
        <v>2220</v>
      </c>
    </row>
    <row r="948" customHeight="1" spans="2:5">
      <c r="B948" s="6" t="s">
        <v>2622</v>
      </c>
      <c r="C948" s="6" t="s">
        <v>2622</v>
      </c>
      <c r="D948" s="6" t="s">
        <v>2219</v>
      </c>
      <c r="E948" s="6" t="s">
        <v>2220</v>
      </c>
    </row>
    <row r="949" customHeight="1" spans="2:5">
      <c r="B949" s="6" t="s">
        <v>2623</v>
      </c>
      <c r="C949" s="6" t="s">
        <v>2623</v>
      </c>
      <c r="D949" s="6" t="s">
        <v>2219</v>
      </c>
      <c r="E949" s="6" t="s">
        <v>2220</v>
      </c>
    </row>
    <row r="950" customHeight="1" spans="2:5">
      <c r="B950" s="6" t="s">
        <v>2624</v>
      </c>
      <c r="C950" s="6" t="s">
        <v>2624</v>
      </c>
      <c r="D950" s="6" t="s">
        <v>2219</v>
      </c>
      <c r="E950" s="6" t="s">
        <v>2220</v>
      </c>
    </row>
    <row r="951" customHeight="1" spans="2:5">
      <c r="B951" s="6" t="s">
        <v>2625</v>
      </c>
      <c r="C951" s="6" t="s">
        <v>2626</v>
      </c>
      <c r="D951" s="6" t="s">
        <v>2219</v>
      </c>
      <c r="E951" s="6" t="s">
        <v>2220</v>
      </c>
    </row>
    <row r="952" customHeight="1" spans="2:5">
      <c r="B952" s="6" t="s">
        <v>2627</v>
      </c>
      <c r="C952" s="6" t="s">
        <v>2627</v>
      </c>
      <c r="D952" s="6" t="s">
        <v>2219</v>
      </c>
      <c r="E952" s="6" t="s">
        <v>2220</v>
      </c>
    </row>
    <row r="953" customHeight="1" spans="2:5">
      <c r="B953" s="6" t="s">
        <v>2628</v>
      </c>
      <c r="C953" s="6" t="s">
        <v>2628</v>
      </c>
      <c r="D953" s="6" t="s">
        <v>2219</v>
      </c>
      <c r="E953" s="6" t="s">
        <v>2220</v>
      </c>
    </row>
    <row r="954" customHeight="1" spans="2:5">
      <c r="B954" s="6" t="s">
        <v>2629</v>
      </c>
      <c r="C954" s="6" t="s">
        <v>2629</v>
      </c>
      <c r="D954" s="6" t="s">
        <v>2219</v>
      </c>
      <c r="E954" s="6" t="s">
        <v>2220</v>
      </c>
    </row>
    <row r="955" customHeight="1" spans="2:5">
      <c r="B955" s="6" t="s">
        <v>2630</v>
      </c>
      <c r="C955" s="6" t="s">
        <v>2631</v>
      </c>
      <c r="D955" s="6" t="s">
        <v>2219</v>
      </c>
      <c r="E955" s="6" t="s">
        <v>2220</v>
      </c>
    </row>
    <row r="956" customHeight="1" spans="2:5">
      <c r="B956" s="6" t="s">
        <v>2632</v>
      </c>
      <c r="C956" s="6" t="s">
        <v>2632</v>
      </c>
      <c r="D956" s="6" t="s">
        <v>2219</v>
      </c>
      <c r="E956" s="6" t="s">
        <v>2220</v>
      </c>
    </row>
    <row r="957" customHeight="1" spans="2:5">
      <c r="B957" s="6" t="s">
        <v>2633</v>
      </c>
      <c r="C957" s="6" t="s">
        <v>2634</v>
      </c>
      <c r="D957" s="6" t="s">
        <v>2219</v>
      </c>
      <c r="E957" s="6" t="s">
        <v>2220</v>
      </c>
    </row>
    <row r="958" customHeight="1" spans="2:5">
      <c r="B958" s="6" t="s">
        <v>2635</v>
      </c>
      <c r="C958" s="6" t="s">
        <v>2636</v>
      </c>
      <c r="D958" s="6" t="s">
        <v>2219</v>
      </c>
      <c r="E958" s="6" t="s">
        <v>2220</v>
      </c>
    </row>
    <row r="959" customHeight="1" spans="2:5">
      <c r="B959" s="6" t="s">
        <v>2637</v>
      </c>
      <c r="C959" s="6" t="s">
        <v>2638</v>
      </c>
      <c r="D959" s="6" t="s">
        <v>2219</v>
      </c>
      <c r="E959" s="6" t="s">
        <v>2220</v>
      </c>
    </row>
    <row r="960" customHeight="1" spans="2:5">
      <c r="B960" s="6" t="s">
        <v>2639</v>
      </c>
      <c r="C960" s="6" t="s">
        <v>2640</v>
      </c>
      <c r="D960" s="6" t="s">
        <v>2219</v>
      </c>
      <c r="E960" s="6" t="s">
        <v>2220</v>
      </c>
    </row>
    <row r="961" customHeight="1" spans="2:5">
      <c r="B961" s="6" t="s">
        <v>2641</v>
      </c>
      <c r="C961" s="6" t="s">
        <v>2641</v>
      </c>
      <c r="D961" s="6" t="s">
        <v>2219</v>
      </c>
      <c r="E961" s="6" t="s">
        <v>2220</v>
      </c>
    </row>
    <row r="962" customHeight="1" spans="2:5">
      <c r="B962" s="6" t="s">
        <v>2642</v>
      </c>
      <c r="C962" s="6" t="s">
        <v>2643</v>
      </c>
      <c r="D962" s="6" t="s">
        <v>2219</v>
      </c>
      <c r="E962" s="6" t="s">
        <v>2220</v>
      </c>
    </row>
    <row r="963" customHeight="1" spans="2:5">
      <c r="B963" s="6" t="s">
        <v>2644</v>
      </c>
      <c r="C963" s="6" t="s">
        <v>2644</v>
      </c>
      <c r="D963" s="6" t="s">
        <v>2219</v>
      </c>
      <c r="E963" s="6" t="s">
        <v>2220</v>
      </c>
    </row>
    <row r="964" customHeight="1" spans="2:5">
      <c r="B964" s="6" t="s">
        <v>2645</v>
      </c>
      <c r="C964" s="6" t="s">
        <v>2646</v>
      </c>
      <c r="D964" s="6" t="s">
        <v>2219</v>
      </c>
      <c r="E964" s="6" t="s">
        <v>2220</v>
      </c>
    </row>
    <row r="965" customHeight="1" spans="2:5">
      <c r="B965" s="6" t="s">
        <v>2647</v>
      </c>
      <c r="C965" s="6" t="s">
        <v>2647</v>
      </c>
      <c r="D965" s="6" t="s">
        <v>2219</v>
      </c>
      <c r="E965" s="6" t="s">
        <v>2220</v>
      </c>
    </row>
    <row r="966" customHeight="1" spans="2:5">
      <c r="B966" s="6" t="s">
        <v>2648</v>
      </c>
      <c r="C966" s="6" t="s">
        <v>2649</v>
      </c>
      <c r="D966" s="6" t="s">
        <v>2219</v>
      </c>
      <c r="E966" s="6" t="s">
        <v>2220</v>
      </c>
    </row>
    <row r="967" customHeight="1" spans="2:5">
      <c r="B967" s="6" t="s">
        <v>2650</v>
      </c>
      <c r="C967" s="6" t="s">
        <v>2650</v>
      </c>
      <c r="D967" s="6" t="s">
        <v>2219</v>
      </c>
      <c r="E967" s="6" t="s">
        <v>2220</v>
      </c>
    </row>
    <row r="968" customHeight="1" spans="2:5">
      <c r="B968" s="6" t="s">
        <v>2651</v>
      </c>
      <c r="C968" s="6" t="s">
        <v>2652</v>
      </c>
      <c r="D968" s="6" t="s">
        <v>2219</v>
      </c>
      <c r="E968" s="6" t="s">
        <v>2220</v>
      </c>
    </row>
    <row r="969" customHeight="1" spans="2:5">
      <c r="B969" s="6" t="s">
        <v>2653</v>
      </c>
      <c r="C969" s="6" t="s">
        <v>2653</v>
      </c>
      <c r="D969" s="6" t="s">
        <v>2219</v>
      </c>
      <c r="E969" s="6" t="s">
        <v>2220</v>
      </c>
    </row>
    <row r="970" customHeight="1" spans="2:5">
      <c r="B970" s="6" t="s">
        <v>2654</v>
      </c>
      <c r="C970" s="6" t="s">
        <v>2655</v>
      </c>
      <c r="D970" s="6" t="s">
        <v>2219</v>
      </c>
      <c r="E970" s="6" t="s">
        <v>2220</v>
      </c>
    </row>
    <row r="971" customHeight="1" spans="2:5">
      <c r="B971" s="6" t="s">
        <v>2656</v>
      </c>
      <c r="C971" s="6" t="s">
        <v>2657</v>
      </c>
      <c r="D971" s="6" t="s">
        <v>2219</v>
      </c>
      <c r="E971" s="6" t="s">
        <v>2220</v>
      </c>
    </row>
    <row r="972" customHeight="1" spans="2:5">
      <c r="B972" s="6" t="s">
        <v>2658</v>
      </c>
      <c r="C972" s="6" t="s">
        <v>2659</v>
      </c>
      <c r="D972" s="6" t="s">
        <v>2219</v>
      </c>
      <c r="E972" s="6" t="s">
        <v>2220</v>
      </c>
    </row>
    <row r="973" customHeight="1" spans="2:5">
      <c r="B973" s="6" t="s">
        <v>2660</v>
      </c>
      <c r="C973" s="6" t="s">
        <v>2661</v>
      </c>
      <c r="D973" s="6" t="s">
        <v>2219</v>
      </c>
      <c r="E973" s="6" t="s">
        <v>2220</v>
      </c>
    </row>
    <row r="974" customHeight="1" spans="2:5">
      <c r="B974" s="6" t="s">
        <v>2662</v>
      </c>
      <c r="C974" s="6" t="s">
        <v>2663</v>
      </c>
      <c r="D974" s="6" t="s">
        <v>2219</v>
      </c>
      <c r="E974" s="6" t="s">
        <v>2220</v>
      </c>
    </row>
    <row r="975" customHeight="1" spans="2:5">
      <c r="B975" s="6" t="s">
        <v>2664</v>
      </c>
      <c r="C975" s="6" t="s">
        <v>2664</v>
      </c>
      <c r="D975" s="6" t="s">
        <v>2219</v>
      </c>
      <c r="E975" s="6" t="s">
        <v>2220</v>
      </c>
    </row>
    <row r="976" customHeight="1" spans="2:5">
      <c r="B976" s="6" t="s">
        <v>2665</v>
      </c>
      <c r="C976" s="6" t="s">
        <v>2666</v>
      </c>
      <c r="D976" s="6" t="s">
        <v>2219</v>
      </c>
      <c r="E976" s="6" t="s">
        <v>2220</v>
      </c>
    </row>
    <row r="977" customHeight="1" spans="2:5">
      <c r="B977" s="6" t="s">
        <v>2667</v>
      </c>
      <c r="C977" s="6" t="s">
        <v>2667</v>
      </c>
      <c r="D977" s="6" t="s">
        <v>2219</v>
      </c>
      <c r="E977" s="6" t="s">
        <v>2220</v>
      </c>
    </row>
    <row r="978" customHeight="1" spans="2:5">
      <c r="B978" s="6" t="s">
        <v>2668</v>
      </c>
      <c r="C978" s="6" t="s">
        <v>2668</v>
      </c>
      <c r="D978" s="6" t="s">
        <v>2219</v>
      </c>
      <c r="E978" s="6" t="s">
        <v>2220</v>
      </c>
    </row>
    <row r="979" customHeight="1" spans="2:5">
      <c r="B979" s="6" t="s">
        <v>2669</v>
      </c>
      <c r="C979" s="6" t="s">
        <v>2669</v>
      </c>
      <c r="D979" s="6" t="s">
        <v>2219</v>
      </c>
      <c r="E979" s="6" t="s">
        <v>2220</v>
      </c>
    </row>
    <row r="980" customHeight="1" spans="2:5">
      <c r="B980" s="6" t="s">
        <v>2670</v>
      </c>
      <c r="C980" s="6" t="s">
        <v>2670</v>
      </c>
      <c r="D980" s="6" t="s">
        <v>2219</v>
      </c>
      <c r="E980" s="6" t="s">
        <v>2220</v>
      </c>
    </row>
    <row r="981" customHeight="1" spans="2:5">
      <c r="B981" s="6" t="s">
        <v>2671</v>
      </c>
      <c r="C981" s="6" t="s">
        <v>2671</v>
      </c>
      <c r="D981" s="6" t="s">
        <v>2219</v>
      </c>
      <c r="E981" s="6" t="s">
        <v>2220</v>
      </c>
    </row>
    <row r="982" customHeight="1" spans="2:5">
      <c r="B982" s="6" t="s">
        <v>2672</v>
      </c>
      <c r="C982" s="6" t="s">
        <v>2672</v>
      </c>
      <c r="D982" s="6" t="s">
        <v>2219</v>
      </c>
      <c r="E982" s="6" t="s">
        <v>2220</v>
      </c>
    </row>
    <row r="983" customHeight="1" spans="2:5">
      <c r="B983" s="6" t="s">
        <v>2673</v>
      </c>
      <c r="C983" s="6" t="s">
        <v>2673</v>
      </c>
      <c r="D983" s="6" t="s">
        <v>2219</v>
      </c>
      <c r="E983" s="6" t="s">
        <v>2220</v>
      </c>
    </row>
    <row r="984" customHeight="1" spans="2:5">
      <c r="B984" s="6" t="s">
        <v>2674</v>
      </c>
      <c r="C984" s="6" t="s">
        <v>2675</v>
      </c>
      <c r="D984" s="6" t="s">
        <v>2219</v>
      </c>
      <c r="E984" s="6" t="s">
        <v>2220</v>
      </c>
    </row>
    <row r="985" customHeight="1" spans="2:5">
      <c r="B985" s="6" t="s">
        <v>2676</v>
      </c>
      <c r="C985" s="6" t="s">
        <v>2676</v>
      </c>
      <c r="D985" s="6" t="s">
        <v>2219</v>
      </c>
      <c r="E985" s="6" t="s">
        <v>2220</v>
      </c>
    </row>
    <row r="986" customHeight="1" spans="2:5">
      <c r="B986" s="6" t="s">
        <v>2677</v>
      </c>
      <c r="C986" s="6" t="s">
        <v>2677</v>
      </c>
      <c r="D986" s="6" t="s">
        <v>2219</v>
      </c>
      <c r="E986" s="6" t="s">
        <v>2220</v>
      </c>
    </row>
    <row r="987" customHeight="1" spans="2:5">
      <c r="B987" s="6" t="s">
        <v>2678</v>
      </c>
      <c r="C987" s="6" t="s">
        <v>2678</v>
      </c>
      <c r="D987" s="6" t="s">
        <v>2219</v>
      </c>
      <c r="E987" s="6" t="s">
        <v>2220</v>
      </c>
    </row>
    <row r="988" customHeight="1" spans="2:5">
      <c r="B988" s="6" t="s">
        <v>2679</v>
      </c>
      <c r="C988" s="6" t="s">
        <v>2679</v>
      </c>
      <c r="D988" s="6" t="s">
        <v>2219</v>
      </c>
      <c r="E988" s="6" t="s">
        <v>2220</v>
      </c>
    </row>
    <row r="989" customHeight="1" spans="2:5">
      <c r="B989" s="6" t="s">
        <v>2680</v>
      </c>
      <c r="C989" s="6" t="s">
        <v>2681</v>
      </c>
      <c r="D989" s="6" t="s">
        <v>2219</v>
      </c>
      <c r="E989" s="6" t="s">
        <v>2220</v>
      </c>
    </row>
    <row r="990" customHeight="1" spans="2:5">
      <c r="B990" s="6" t="s">
        <v>2682</v>
      </c>
      <c r="C990" s="6" t="s">
        <v>2683</v>
      </c>
      <c r="D990" s="6" t="s">
        <v>2219</v>
      </c>
      <c r="E990" s="6" t="s">
        <v>2220</v>
      </c>
    </row>
    <row r="991" customHeight="1" spans="2:5">
      <c r="B991" s="6" t="s">
        <v>2684</v>
      </c>
      <c r="C991" s="6" t="s">
        <v>2685</v>
      </c>
      <c r="D991" s="6" t="s">
        <v>2219</v>
      </c>
      <c r="E991" s="6" t="s">
        <v>2220</v>
      </c>
    </row>
    <row r="992" customHeight="1" spans="2:5">
      <c r="B992" s="6" t="s">
        <v>2686</v>
      </c>
      <c r="C992" s="6" t="s">
        <v>2687</v>
      </c>
      <c r="D992" s="6" t="s">
        <v>2219</v>
      </c>
      <c r="E992" s="6" t="s">
        <v>2220</v>
      </c>
    </row>
    <row r="993" customHeight="1" spans="2:5">
      <c r="B993" s="6" t="s">
        <v>2688</v>
      </c>
      <c r="C993" s="6" t="s">
        <v>2689</v>
      </c>
      <c r="D993" s="6" t="s">
        <v>2219</v>
      </c>
      <c r="E993" s="6" t="s">
        <v>2220</v>
      </c>
    </row>
    <row r="994" customHeight="1" spans="2:5">
      <c r="B994" s="6" t="s">
        <v>2690</v>
      </c>
      <c r="C994" s="6" t="s">
        <v>2691</v>
      </c>
      <c r="D994" s="6" t="s">
        <v>2219</v>
      </c>
      <c r="E994" s="6" t="s">
        <v>2220</v>
      </c>
    </row>
    <row r="995" customHeight="1" spans="2:5">
      <c r="B995" s="6" t="s">
        <v>2692</v>
      </c>
      <c r="C995" s="6" t="s">
        <v>2693</v>
      </c>
      <c r="D995" s="6" t="s">
        <v>2219</v>
      </c>
      <c r="E995" s="6" t="s">
        <v>2220</v>
      </c>
    </row>
    <row r="996" customHeight="1" spans="2:5">
      <c r="B996" s="6" t="s">
        <v>2694</v>
      </c>
      <c r="C996" s="6" t="s">
        <v>2695</v>
      </c>
      <c r="D996" s="6" t="s">
        <v>2219</v>
      </c>
      <c r="E996" s="6" t="s">
        <v>2220</v>
      </c>
    </row>
    <row r="997" customHeight="1" spans="2:5">
      <c r="B997" s="6" t="s">
        <v>2696</v>
      </c>
      <c r="C997" s="6" t="s">
        <v>2696</v>
      </c>
      <c r="D997" s="6" t="s">
        <v>2219</v>
      </c>
      <c r="E997" s="6" t="s">
        <v>2220</v>
      </c>
    </row>
    <row r="998" customHeight="1" spans="2:5">
      <c r="B998" s="6" t="s">
        <v>2697</v>
      </c>
      <c r="C998" s="6" t="s">
        <v>2697</v>
      </c>
      <c r="D998" s="6" t="s">
        <v>2219</v>
      </c>
      <c r="E998" s="6" t="s">
        <v>2220</v>
      </c>
    </row>
    <row r="999" customHeight="1" spans="2:5">
      <c r="B999" s="6" t="s">
        <v>2698</v>
      </c>
      <c r="C999" s="6" t="s">
        <v>2699</v>
      </c>
      <c r="D999" s="6" t="s">
        <v>2219</v>
      </c>
      <c r="E999" s="6" t="s">
        <v>2220</v>
      </c>
    </row>
    <row r="1000" customHeight="1" spans="2:5">
      <c r="B1000" s="6" t="s">
        <v>2700</v>
      </c>
      <c r="C1000" s="6" t="s">
        <v>2701</v>
      </c>
      <c r="D1000" s="6" t="s">
        <v>2219</v>
      </c>
      <c r="E1000" s="6" t="s">
        <v>2220</v>
      </c>
    </row>
    <row r="1001" customHeight="1" spans="2:5">
      <c r="B1001" s="6" t="s">
        <v>2702</v>
      </c>
      <c r="C1001" s="6" t="s">
        <v>2703</v>
      </c>
      <c r="D1001" s="6" t="s">
        <v>2219</v>
      </c>
      <c r="E1001" s="6" t="s">
        <v>2220</v>
      </c>
    </row>
    <row r="1002" customHeight="1" spans="2:5">
      <c r="B1002" s="6" t="s">
        <v>2704</v>
      </c>
      <c r="C1002" s="6" t="s">
        <v>2705</v>
      </c>
      <c r="D1002" s="6" t="s">
        <v>2219</v>
      </c>
      <c r="E1002" s="6" t="s">
        <v>2220</v>
      </c>
    </row>
    <row r="1003" customHeight="1" spans="2:5">
      <c r="B1003" s="6" t="s">
        <v>2706</v>
      </c>
      <c r="C1003" s="6" t="s">
        <v>2706</v>
      </c>
      <c r="D1003" s="6" t="s">
        <v>2219</v>
      </c>
      <c r="E1003" s="6" t="s">
        <v>2220</v>
      </c>
    </row>
    <row r="1004" customHeight="1" spans="2:5">
      <c r="B1004" s="6" t="s">
        <v>2707</v>
      </c>
      <c r="C1004" s="6" t="s">
        <v>2708</v>
      </c>
      <c r="D1004" s="6" t="s">
        <v>2219</v>
      </c>
      <c r="E1004" s="6" t="s">
        <v>2220</v>
      </c>
    </row>
    <row r="1005" customHeight="1" spans="2:5">
      <c r="B1005" s="6" t="s">
        <v>2709</v>
      </c>
      <c r="C1005" s="6" t="s">
        <v>2709</v>
      </c>
      <c r="D1005" s="6" t="s">
        <v>2219</v>
      </c>
      <c r="E1005" s="6" t="s">
        <v>2220</v>
      </c>
    </row>
    <row r="1006" customHeight="1" spans="2:5">
      <c r="B1006" s="6" t="s">
        <v>2710</v>
      </c>
      <c r="C1006" s="6" t="s">
        <v>2711</v>
      </c>
      <c r="D1006" s="6" t="s">
        <v>2219</v>
      </c>
      <c r="E1006" s="6" t="s">
        <v>2220</v>
      </c>
    </row>
    <row r="1007" customHeight="1" spans="2:5">
      <c r="B1007" s="6" t="s">
        <v>2712</v>
      </c>
      <c r="C1007" s="6" t="s">
        <v>2713</v>
      </c>
      <c r="D1007" s="6" t="s">
        <v>2219</v>
      </c>
      <c r="E1007" s="6" t="s">
        <v>2220</v>
      </c>
    </row>
    <row r="1008" customHeight="1" spans="2:5">
      <c r="B1008" s="6" t="s">
        <v>2714</v>
      </c>
      <c r="C1008" s="6" t="s">
        <v>2715</v>
      </c>
      <c r="D1008" s="6" t="s">
        <v>2219</v>
      </c>
      <c r="E1008" s="6" t="s">
        <v>2220</v>
      </c>
    </row>
    <row r="1009" customHeight="1" spans="2:5">
      <c r="B1009" s="6" t="s">
        <v>2716</v>
      </c>
      <c r="C1009" s="6" t="s">
        <v>2717</v>
      </c>
      <c r="D1009" s="6" t="s">
        <v>2219</v>
      </c>
      <c r="E1009" s="6" t="s">
        <v>2220</v>
      </c>
    </row>
    <row r="1010" customHeight="1" spans="2:5">
      <c r="B1010" s="6" t="s">
        <v>2718</v>
      </c>
      <c r="C1010" s="6" t="s">
        <v>2718</v>
      </c>
      <c r="D1010" s="6" t="s">
        <v>2219</v>
      </c>
      <c r="E1010" s="6" t="s">
        <v>2220</v>
      </c>
    </row>
    <row r="1011" customHeight="1" spans="2:5">
      <c r="B1011" s="6" t="s">
        <v>2719</v>
      </c>
      <c r="C1011" s="6" t="s">
        <v>2720</v>
      </c>
      <c r="D1011" s="6" t="s">
        <v>2219</v>
      </c>
      <c r="E1011" s="6" t="s">
        <v>2220</v>
      </c>
    </row>
    <row r="1012" customHeight="1" spans="2:5">
      <c r="B1012" s="6" t="s">
        <v>2721</v>
      </c>
      <c r="C1012" s="6" t="s">
        <v>2722</v>
      </c>
      <c r="D1012" s="6" t="s">
        <v>2219</v>
      </c>
      <c r="E1012" s="6" t="s">
        <v>2220</v>
      </c>
    </row>
    <row r="1013" customHeight="1" spans="2:5">
      <c r="B1013" s="6" t="s">
        <v>2723</v>
      </c>
      <c r="C1013" s="6" t="s">
        <v>2724</v>
      </c>
      <c r="D1013" s="6" t="s">
        <v>2219</v>
      </c>
      <c r="E1013" s="6" t="s">
        <v>2220</v>
      </c>
    </row>
    <row r="1014" customHeight="1" spans="2:5">
      <c r="B1014" s="6" t="s">
        <v>2725</v>
      </c>
      <c r="C1014" s="6" t="s">
        <v>2726</v>
      </c>
      <c r="D1014" s="6" t="s">
        <v>2219</v>
      </c>
      <c r="E1014" s="6" t="s">
        <v>2220</v>
      </c>
    </row>
    <row r="1015" customHeight="1" spans="2:5">
      <c r="B1015" s="6" t="s">
        <v>2727</v>
      </c>
      <c r="C1015" s="6" t="s">
        <v>2728</v>
      </c>
      <c r="D1015" s="6" t="s">
        <v>2219</v>
      </c>
      <c r="E1015" s="6" t="s">
        <v>2220</v>
      </c>
    </row>
    <row r="1016" customHeight="1" spans="2:5">
      <c r="B1016" s="6" t="s">
        <v>2729</v>
      </c>
      <c r="C1016" s="6" t="s">
        <v>2730</v>
      </c>
      <c r="D1016" s="6" t="s">
        <v>2219</v>
      </c>
      <c r="E1016" s="6" t="s">
        <v>2220</v>
      </c>
    </row>
    <row r="1017" customHeight="1" spans="2:5">
      <c r="B1017" s="6" t="s">
        <v>2731</v>
      </c>
      <c r="C1017" s="6" t="s">
        <v>2732</v>
      </c>
      <c r="D1017" s="6" t="s">
        <v>2219</v>
      </c>
      <c r="E1017" s="6" t="s">
        <v>2220</v>
      </c>
    </row>
    <row r="1018" customHeight="1" spans="2:5">
      <c r="B1018" s="6" t="s">
        <v>2733</v>
      </c>
      <c r="C1018" s="6" t="s">
        <v>2734</v>
      </c>
      <c r="D1018" s="6" t="s">
        <v>2219</v>
      </c>
      <c r="E1018" s="6" t="s">
        <v>2220</v>
      </c>
    </row>
    <row r="1019" customHeight="1" spans="2:5">
      <c r="B1019" s="6" t="s">
        <v>2735</v>
      </c>
      <c r="C1019" s="6" t="s">
        <v>2735</v>
      </c>
      <c r="D1019" s="6" t="s">
        <v>2219</v>
      </c>
      <c r="E1019" s="6" t="s">
        <v>2220</v>
      </c>
    </row>
    <row r="1020" customHeight="1" spans="2:5">
      <c r="B1020" s="6" t="s">
        <v>2736</v>
      </c>
      <c r="C1020" s="6" t="s">
        <v>2736</v>
      </c>
      <c r="D1020" s="6" t="s">
        <v>2219</v>
      </c>
      <c r="E1020" s="6" t="s">
        <v>2220</v>
      </c>
    </row>
    <row r="1021" customHeight="1" spans="2:5">
      <c r="B1021" s="6" t="s">
        <v>2737</v>
      </c>
      <c r="C1021" s="6" t="s">
        <v>2738</v>
      </c>
      <c r="D1021" s="6" t="s">
        <v>2219</v>
      </c>
      <c r="E1021" s="6" t="s">
        <v>2220</v>
      </c>
    </row>
    <row r="1022" customHeight="1" spans="2:5">
      <c r="B1022" s="6" t="s">
        <v>2739</v>
      </c>
      <c r="C1022" s="6" t="s">
        <v>2739</v>
      </c>
      <c r="D1022" s="6" t="s">
        <v>2219</v>
      </c>
      <c r="E1022" s="6" t="s">
        <v>2220</v>
      </c>
    </row>
    <row r="1023" customHeight="1" spans="2:5">
      <c r="B1023" s="6" t="s">
        <v>2740</v>
      </c>
      <c r="C1023" s="6" t="s">
        <v>2740</v>
      </c>
      <c r="D1023" s="6" t="s">
        <v>2219</v>
      </c>
      <c r="E1023" s="6" t="s">
        <v>2220</v>
      </c>
    </row>
    <row r="1024" customHeight="1" spans="2:5">
      <c r="B1024" s="6" t="s">
        <v>2741</v>
      </c>
      <c r="C1024" s="6" t="s">
        <v>2742</v>
      </c>
      <c r="D1024" s="6" t="s">
        <v>2219</v>
      </c>
      <c r="E1024" s="6" t="s">
        <v>2220</v>
      </c>
    </row>
    <row r="1025" customHeight="1" spans="2:5">
      <c r="B1025" s="6" t="s">
        <v>2743</v>
      </c>
      <c r="C1025" s="6" t="s">
        <v>2744</v>
      </c>
      <c r="D1025" s="6" t="s">
        <v>2219</v>
      </c>
      <c r="E1025" s="6" t="s">
        <v>2220</v>
      </c>
    </row>
    <row r="1026" customHeight="1" spans="2:5">
      <c r="B1026" s="6" t="s">
        <v>2745</v>
      </c>
      <c r="C1026" s="6" t="s">
        <v>2746</v>
      </c>
      <c r="D1026" s="6" t="s">
        <v>2219</v>
      </c>
      <c r="E1026" s="6" t="s">
        <v>2220</v>
      </c>
    </row>
    <row r="1027" customHeight="1" spans="2:5">
      <c r="B1027" s="6" t="s">
        <v>2747</v>
      </c>
      <c r="C1027" s="6" t="s">
        <v>2747</v>
      </c>
      <c r="D1027" s="6" t="s">
        <v>2219</v>
      </c>
      <c r="E1027" s="6" t="s">
        <v>2220</v>
      </c>
    </row>
    <row r="1028" customHeight="1" spans="2:5">
      <c r="B1028" s="6" t="s">
        <v>2748</v>
      </c>
      <c r="C1028" s="6" t="s">
        <v>2748</v>
      </c>
      <c r="D1028" s="6" t="s">
        <v>2219</v>
      </c>
      <c r="E1028" s="6" t="s">
        <v>2220</v>
      </c>
    </row>
    <row r="1029" customHeight="1" spans="2:5">
      <c r="B1029" s="6" t="s">
        <v>2749</v>
      </c>
      <c r="C1029" s="6" t="s">
        <v>2750</v>
      </c>
      <c r="D1029" s="6" t="s">
        <v>2219</v>
      </c>
      <c r="E1029" s="6" t="s">
        <v>2220</v>
      </c>
    </row>
    <row r="1030" customHeight="1" spans="2:5">
      <c r="B1030" s="6" t="s">
        <v>2751</v>
      </c>
      <c r="C1030" s="6" t="s">
        <v>2752</v>
      </c>
      <c r="D1030" s="6" t="s">
        <v>2219</v>
      </c>
      <c r="E1030" s="6" t="s">
        <v>2220</v>
      </c>
    </row>
    <row r="1031" customHeight="1" spans="2:5">
      <c r="B1031" s="6" t="s">
        <v>2753</v>
      </c>
      <c r="C1031" s="6" t="s">
        <v>2754</v>
      </c>
      <c r="D1031" s="6" t="s">
        <v>2219</v>
      </c>
      <c r="E1031" s="6" t="s">
        <v>2220</v>
      </c>
    </row>
    <row r="1032" customHeight="1" spans="2:5">
      <c r="B1032" s="6" t="s">
        <v>2755</v>
      </c>
      <c r="C1032" s="6" t="s">
        <v>2755</v>
      </c>
      <c r="D1032" s="6" t="s">
        <v>2219</v>
      </c>
      <c r="E1032" s="6" t="s">
        <v>2220</v>
      </c>
    </row>
    <row r="1033" customHeight="1" spans="2:5">
      <c r="B1033" s="6" t="s">
        <v>2756</v>
      </c>
      <c r="C1033" s="6" t="s">
        <v>2756</v>
      </c>
      <c r="D1033" s="6" t="s">
        <v>2219</v>
      </c>
      <c r="E1033" s="6" t="s">
        <v>2220</v>
      </c>
    </row>
    <row r="1034" customHeight="1" spans="2:5">
      <c r="B1034" s="6" t="s">
        <v>2757</v>
      </c>
      <c r="C1034" s="6" t="s">
        <v>2758</v>
      </c>
      <c r="D1034" s="6" t="s">
        <v>2219</v>
      </c>
      <c r="E1034" s="6" t="s">
        <v>2220</v>
      </c>
    </row>
    <row r="1035" customHeight="1" spans="2:5">
      <c r="B1035" s="6" t="s">
        <v>2759</v>
      </c>
      <c r="C1035" s="6" t="s">
        <v>2759</v>
      </c>
      <c r="D1035" s="6" t="s">
        <v>2219</v>
      </c>
      <c r="E1035" s="6" t="s">
        <v>2220</v>
      </c>
    </row>
    <row r="1036" customHeight="1" spans="2:5">
      <c r="B1036" s="6" t="s">
        <v>2760</v>
      </c>
      <c r="C1036" s="6" t="s">
        <v>2760</v>
      </c>
      <c r="D1036" s="6" t="s">
        <v>2219</v>
      </c>
      <c r="E1036" s="6" t="s">
        <v>2220</v>
      </c>
    </row>
    <row r="1037" customHeight="1" spans="2:5">
      <c r="B1037" s="6" t="s">
        <v>2761</v>
      </c>
      <c r="C1037" s="6" t="s">
        <v>2762</v>
      </c>
      <c r="D1037" s="6" t="s">
        <v>2219</v>
      </c>
      <c r="E1037" s="6" t="s">
        <v>2220</v>
      </c>
    </row>
    <row r="1038" customHeight="1" spans="2:5">
      <c r="B1038" s="6" t="s">
        <v>2763</v>
      </c>
      <c r="C1038" s="6" t="s">
        <v>2763</v>
      </c>
      <c r="D1038" s="6" t="s">
        <v>2219</v>
      </c>
      <c r="E1038" s="6" t="s">
        <v>2220</v>
      </c>
    </row>
    <row r="1039" customHeight="1" spans="2:5">
      <c r="B1039" s="6" t="s">
        <v>2764</v>
      </c>
      <c r="C1039" s="6" t="s">
        <v>2765</v>
      </c>
      <c r="D1039" s="6" t="s">
        <v>2219</v>
      </c>
      <c r="E1039" s="6" t="s">
        <v>2220</v>
      </c>
    </row>
    <row r="1040" customHeight="1" spans="2:5">
      <c r="B1040" s="6" t="s">
        <v>2766</v>
      </c>
      <c r="C1040" s="6" t="s">
        <v>2766</v>
      </c>
      <c r="D1040" s="6" t="s">
        <v>2219</v>
      </c>
      <c r="E1040" s="6" t="s">
        <v>2220</v>
      </c>
    </row>
    <row r="1041" customHeight="1" spans="2:5">
      <c r="B1041" s="6" t="s">
        <v>2767</v>
      </c>
      <c r="C1041" s="6" t="s">
        <v>2768</v>
      </c>
      <c r="D1041" s="6" t="s">
        <v>2219</v>
      </c>
      <c r="E1041" s="6" t="s">
        <v>2220</v>
      </c>
    </row>
    <row r="1042" customHeight="1" spans="2:5">
      <c r="B1042" s="6" t="s">
        <v>2769</v>
      </c>
      <c r="C1042" s="6" t="s">
        <v>2770</v>
      </c>
      <c r="D1042" s="6" t="s">
        <v>2219</v>
      </c>
      <c r="E1042" s="6" t="s">
        <v>2220</v>
      </c>
    </row>
    <row r="1043" customHeight="1" spans="2:5">
      <c r="B1043" s="6" t="s">
        <v>2771</v>
      </c>
      <c r="C1043" s="6" t="s">
        <v>2771</v>
      </c>
      <c r="D1043" s="6" t="s">
        <v>2219</v>
      </c>
      <c r="E1043" s="6" t="s">
        <v>2220</v>
      </c>
    </row>
    <row r="1044" customHeight="1" spans="2:5">
      <c r="B1044" s="6" t="s">
        <v>2772</v>
      </c>
      <c r="C1044" s="6" t="s">
        <v>2772</v>
      </c>
      <c r="D1044" s="6" t="s">
        <v>2219</v>
      </c>
      <c r="E1044" s="6" t="s">
        <v>2220</v>
      </c>
    </row>
    <row r="1045" customHeight="1" spans="2:5">
      <c r="B1045" s="6" t="s">
        <v>2773</v>
      </c>
      <c r="C1045" s="6" t="s">
        <v>2773</v>
      </c>
      <c r="D1045" s="6" t="s">
        <v>2219</v>
      </c>
      <c r="E1045" s="6" t="s">
        <v>2220</v>
      </c>
    </row>
    <row r="1046" customHeight="1" spans="2:5">
      <c r="B1046" s="6" t="s">
        <v>2774</v>
      </c>
      <c r="C1046" s="6" t="s">
        <v>2774</v>
      </c>
      <c r="D1046" s="6" t="s">
        <v>2219</v>
      </c>
      <c r="E1046" s="6" t="s">
        <v>2220</v>
      </c>
    </row>
    <row r="1047" customHeight="1" spans="2:5">
      <c r="B1047" s="6" t="s">
        <v>2775</v>
      </c>
      <c r="C1047" s="6" t="s">
        <v>2776</v>
      </c>
      <c r="D1047" s="6" t="s">
        <v>2219</v>
      </c>
      <c r="E1047" s="6" t="s">
        <v>2220</v>
      </c>
    </row>
    <row r="1048" customHeight="1" spans="2:5">
      <c r="B1048" s="6" t="s">
        <v>2777</v>
      </c>
      <c r="C1048" s="6" t="s">
        <v>2777</v>
      </c>
      <c r="D1048" s="6" t="s">
        <v>2219</v>
      </c>
      <c r="E1048" s="6" t="s">
        <v>2220</v>
      </c>
    </row>
    <row r="1049" customHeight="1" spans="2:5">
      <c r="B1049" s="6" t="s">
        <v>2778</v>
      </c>
      <c r="C1049" s="6" t="s">
        <v>2778</v>
      </c>
      <c r="D1049" s="6" t="s">
        <v>2219</v>
      </c>
      <c r="E1049" s="6" t="s">
        <v>2220</v>
      </c>
    </row>
    <row r="1050" customHeight="1" spans="2:5">
      <c r="B1050" s="6" t="s">
        <v>2779</v>
      </c>
      <c r="C1050" s="6" t="s">
        <v>2779</v>
      </c>
      <c r="D1050" s="6" t="s">
        <v>2219</v>
      </c>
      <c r="E1050" s="6" t="s">
        <v>2220</v>
      </c>
    </row>
    <row r="1051" customHeight="1" spans="2:5">
      <c r="B1051" s="6" t="s">
        <v>2780</v>
      </c>
      <c r="C1051" s="6" t="s">
        <v>2780</v>
      </c>
      <c r="D1051" s="6" t="s">
        <v>2219</v>
      </c>
      <c r="E1051" s="6" t="s">
        <v>2220</v>
      </c>
    </row>
    <row r="1052" customHeight="1" spans="2:5">
      <c r="B1052" s="6" t="s">
        <v>2781</v>
      </c>
      <c r="C1052" s="6" t="s">
        <v>2781</v>
      </c>
      <c r="D1052" s="6" t="s">
        <v>2219</v>
      </c>
      <c r="E1052" s="6" t="s">
        <v>2220</v>
      </c>
    </row>
    <row r="1053" customHeight="1" spans="2:5">
      <c r="B1053" s="6" t="s">
        <v>2782</v>
      </c>
      <c r="C1053" s="6" t="s">
        <v>2782</v>
      </c>
      <c r="D1053" s="6" t="s">
        <v>2219</v>
      </c>
      <c r="E1053" s="6" t="s">
        <v>2220</v>
      </c>
    </row>
    <row r="1054" customHeight="1" spans="2:5">
      <c r="B1054" s="6" t="s">
        <v>2783</v>
      </c>
      <c r="C1054" s="6" t="s">
        <v>2783</v>
      </c>
      <c r="D1054" s="6" t="s">
        <v>2219</v>
      </c>
      <c r="E1054" s="6" t="s">
        <v>2220</v>
      </c>
    </row>
    <row r="1055" customHeight="1" spans="2:5">
      <c r="B1055" s="6" t="s">
        <v>2784</v>
      </c>
      <c r="C1055" s="6" t="s">
        <v>2784</v>
      </c>
      <c r="D1055" s="6" t="s">
        <v>2219</v>
      </c>
      <c r="E1055" s="6" t="s">
        <v>2220</v>
      </c>
    </row>
    <row r="1056" customHeight="1" spans="2:5">
      <c r="B1056" s="6" t="s">
        <v>2785</v>
      </c>
      <c r="C1056" s="6" t="s">
        <v>2786</v>
      </c>
      <c r="D1056" s="6" t="s">
        <v>2219</v>
      </c>
      <c r="E1056" s="6" t="s">
        <v>2220</v>
      </c>
    </row>
    <row r="1057" customHeight="1" spans="2:5">
      <c r="B1057" s="6" t="s">
        <v>2787</v>
      </c>
      <c r="C1057" s="6" t="s">
        <v>2787</v>
      </c>
      <c r="D1057" s="6" t="s">
        <v>2219</v>
      </c>
      <c r="E1057" s="6" t="s">
        <v>2220</v>
      </c>
    </row>
    <row r="1058" customHeight="1" spans="2:5">
      <c r="B1058" s="6" t="s">
        <v>2788</v>
      </c>
      <c r="C1058" s="6" t="s">
        <v>2789</v>
      </c>
      <c r="D1058" s="6" t="s">
        <v>2219</v>
      </c>
      <c r="E1058" s="6" t="s">
        <v>2220</v>
      </c>
    </row>
    <row r="1059" customHeight="1" spans="2:5">
      <c r="B1059" s="6" t="s">
        <v>2790</v>
      </c>
      <c r="C1059" s="6" t="s">
        <v>2790</v>
      </c>
      <c r="D1059" s="6" t="s">
        <v>2219</v>
      </c>
      <c r="E1059" s="6" t="s">
        <v>2220</v>
      </c>
    </row>
    <row r="1060" customHeight="1" spans="2:5">
      <c r="B1060" s="6" t="s">
        <v>2791</v>
      </c>
      <c r="C1060" s="6" t="s">
        <v>2792</v>
      </c>
      <c r="D1060" s="6" t="s">
        <v>2219</v>
      </c>
      <c r="E1060" s="6" t="s">
        <v>2220</v>
      </c>
    </row>
    <row r="1061" customHeight="1" spans="2:5">
      <c r="B1061" s="6" t="s">
        <v>2793</v>
      </c>
      <c r="C1061" s="6" t="s">
        <v>2793</v>
      </c>
      <c r="D1061" s="6" t="s">
        <v>2219</v>
      </c>
      <c r="E1061" s="6" t="s">
        <v>2220</v>
      </c>
    </row>
    <row r="1062" customHeight="1" spans="2:5">
      <c r="B1062" s="6" t="s">
        <v>2794</v>
      </c>
      <c r="C1062" s="6" t="s">
        <v>2794</v>
      </c>
      <c r="D1062" s="6" t="s">
        <v>2219</v>
      </c>
      <c r="E1062" s="6" t="s">
        <v>2220</v>
      </c>
    </row>
    <row r="1063" customHeight="1" spans="2:5">
      <c r="B1063" s="6" t="s">
        <v>2795</v>
      </c>
      <c r="C1063" s="6" t="s">
        <v>2796</v>
      </c>
      <c r="D1063" s="6" t="s">
        <v>2219</v>
      </c>
      <c r="E1063" s="6" t="s">
        <v>2220</v>
      </c>
    </row>
    <row r="1064" customHeight="1" spans="2:5">
      <c r="B1064" s="6" t="s">
        <v>2797</v>
      </c>
      <c r="C1064" s="6" t="s">
        <v>2798</v>
      </c>
      <c r="D1064" s="6" t="s">
        <v>2219</v>
      </c>
      <c r="E1064" s="6" t="s">
        <v>2220</v>
      </c>
    </row>
    <row r="1065" customHeight="1" spans="2:5">
      <c r="B1065" s="6" t="s">
        <v>2799</v>
      </c>
      <c r="C1065" s="6" t="s">
        <v>2799</v>
      </c>
      <c r="D1065" s="6" t="s">
        <v>2219</v>
      </c>
      <c r="E1065" s="6" t="s">
        <v>2220</v>
      </c>
    </row>
    <row r="1066" customHeight="1" spans="2:5">
      <c r="B1066" s="6" t="s">
        <v>2800</v>
      </c>
      <c r="C1066" s="6" t="s">
        <v>2800</v>
      </c>
      <c r="D1066" s="6" t="s">
        <v>2219</v>
      </c>
      <c r="E1066" s="6" t="s">
        <v>2220</v>
      </c>
    </row>
    <row r="1067" customHeight="1" spans="2:5">
      <c r="B1067" s="6" t="s">
        <v>2801</v>
      </c>
      <c r="C1067" s="6" t="s">
        <v>2801</v>
      </c>
      <c r="D1067" s="6" t="s">
        <v>2219</v>
      </c>
      <c r="E1067" s="6" t="s">
        <v>2220</v>
      </c>
    </row>
    <row r="1068" customHeight="1" spans="2:5">
      <c r="B1068" s="6" t="s">
        <v>2802</v>
      </c>
      <c r="C1068" s="6" t="s">
        <v>2802</v>
      </c>
      <c r="D1068" s="6" t="s">
        <v>2219</v>
      </c>
      <c r="E1068" s="6" t="s">
        <v>2220</v>
      </c>
    </row>
    <row r="1069" customHeight="1" spans="2:5">
      <c r="B1069" s="6" t="s">
        <v>2803</v>
      </c>
      <c r="C1069" s="6" t="s">
        <v>2803</v>
      </c>
      <c r="D1069" s="6" t="s">
        <v>2219</v>
      </c>
      <c r="E1069" s="6" t="s">
        <v>2220</v>
      </c>
    </row>
    <row r="1070" customHeight="1" spans="2:5">
      <c r="B1070" s="6" t="s">
        <v>2804</v>
      </c>
      <c r="C1070" s="6" t="s">
        <v>2804</v>
      </c>
      <c r="D1070" s="6" t="s">
        <v>2219</v>
      </c>
      <c r="E1070" s="6" t="s">
        <v>2220</v>
      </c>
    </row>
    <row r="1071" customHeight="1" spans="2:5">
      <c r="B1071" s="6" t="s">
        <v>2805</v>
      </c>
      <c r="C1071" s="6" t="s">
        <v>2805</v>
      </c>
      <c r="D1071" s="6" t="s">
        <v>2219</v>
      </c>
      <c r="E1071" s="6" t="s">
        <v>2220</v>
      </c>
    </row>
    <row r="1072" customHeight="1" spans="2:5">
      <c r="B1072" s="6" t="s">
        <v>2806</v>
      </c>
      <c r="C1072" s="6" t="s">
        <v>2807</v>
      </c>
      <c r="D1072" s="6" t="s">
        <v>2219</v>
      </c>
      <c r="E1072" s="6" t="s">
        <v>2220</v>
      </c>
    </row>
    <row r="1073" customHeight="1" spans="2:5">
      <c r="B1073" s="6" t="s">
        <v>2808</v>
      </c>
      <c r="C1073" s="6" t="s">
        <v>2809</v>
      </c>
      <c r="D1073" s="6" t="s">
        <v>2219</v>
      </c>
      <c r="E1073" s="6" t="s">
        <v>2220</v>
      </c>
    </row>
    <row r="1074" customHeight="1" spans="2:5">
      <c r="B1074" s="6" t="s">
        <v>2810</v>
      </c>
      <c r="C1074" s="6" t="s">
        <v>2810</v>
      </c>
      <c r="D1074" s="6" t="s">
        <v>2219</v>
      </c>
      <c r="E1074" s="6" t="s">
        <v>2220</v>
      </c>
    </row>
    <row r="1075" customHeight="1" spans="2:5">
      <c r="B1075" s="6" t="s">
        <v>2811</v>
      </c>
      <c r="C1075" s="6" t="s">
        <v>2812</v>
      </c>
      <c r="D1075" s="6" t="s">
        <v>2219</v>
      </c>
      <c r="E1075" s="6" t="s">
        <v>2220</v>
      </c>
    </row>
    <row r="1076" customHeight="1" spans="2:5">
      <c r="B1076" s="6" t="s">
        <v>2813</v>
      </c>
      <c r="C1076" s="6" t="s">
        <v>2814</v>
      </c>
      <c r="D1076" s="6" t="s">
        <v>2219</v>
      </c>
      <c r="E1076" s="6" t="s">
        <v>2220</v>
      </c>
    </row>
    <row r="1077" customHeight="1" spans="2:5">
      <c r="B1077" s="6" t="s">
        <v>2815</v>
      </c>
      <c r="C1077" s="6" t="s">
        <v>2816</v>
      </c>
      <c r="D1077" s="6" t="s">
        <v>2219</v>
      </c>
      <c r="E1077" s="6" t="s">
        <v>2220</v>
      </c>
    </row>
    <row r="1078" customHeight="1" spans="2:5">
      <c r="B1078" s="6" t="s">
        <v>2817</v>
      </c>
      <c r="C1078" s="6" t="s">
        <v>2818</v>
      </c>
      <c r="D1078" s="6" t="s">
        <v>2219</v>
      </c>
      <c r="E1078" s="6" t="s">
        <v>2220</v>
      </c>
    </row>
    <row r="1079" customHeight="1" spans="2:5">
      <c r="B1079" s="6" t="s">
        <v>2819</v>
      </c>
      <c r="C1079" s="6" t="s">
        <v>2820</v>
      </c>
      <c r="D1079" s="6" t="s">
        <v>2219</v>
      </c>
      <c r="E1079" s="6" t="s">
        <v>2220</v>
      </c>
    </row>
    <row r="1080" customHeight="1" spans="2:5">
      <c r="B1080" s="6" t="s">
        <v>2821</v>
      </c>
      <c r="C1080" s="6" t="s">
        <v>2822</v>
      </c>
      <c r="D1080" s="6" t="s">
        <v>2219</v>
      </c>
      <c r="E1080" s="6" t="s">
        <v>2220</v>
      </c>
    </row>
    <row r="1081" customHeight="1" spans="2:5">
      <c r="B1081" s="6" t="s">
        <v>2823</v>
      </c>
      <c r="C1081" s="6" t="s">
        <v>2824</v>
      </c>
      <c r="D1081" s="6" t="s">
        <v>2219</v>
      </c>
      <c r="E1081" s="6" t="s">
        <v>2220</v>
      </c>
    </row>
    <row r="1082" customHeight="1" spans="2:5">
      <c r="B1082" s="6" t="s">
        <v>2825</v>
      </c>
      <c r="C1082" s="6" t="s">
        <v>2826</v>
      </c>
      <c r="D1082" s="6" t="s">
        <v>2219</v>
      </c>
      <c r="E1082" s="6" t="s">
        <v>2220</v>
      </c>
    </row>
  </sheetData>
  <mergeCells count="2">
    <mergeCell ref="B2:E2"/>
    <mergeCell ref="B3:E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6" master="" otherUserPermission="visible"/>
  <rangeList sheetStid="13" master="" otherUserPermission="visible"/>
  <rangeList sheetStid="45" master="" otherUserPermission="visible"/>
  <rangeList sheetStid="34" master="" otherUserPermission="visible"/>
  <rangeList sheetStid="27" master="" otherUserPermission="visible"/>
  <rangeList sheetStid="5" master="" otherUserPermission="visible"/>
  <rangeList sheetStid="54" master="" otherUserPermission="visible"/>
  <rangeList sheetStid="21" master="" otherUserPermission="visible"/>
  <rangeList sheetStid="65" master="" otherUserPermission="visible"/>
  <rangeList sheetStid="20" master="" otherUserPermission="visible"/>
  <rangeList sheetStid="67" master="" otherUserPermission="visible"/>
  <rangeList sheetStid="66" master="" otherUserPermission="visible"/>
  <rangeList sheetStid="43" master="" otherUserPermission="visible"/>
  <rangeList sheetStid="64" master="" otherUserPermission="visible"/>
  <rangeList sheetStid="55" master="" otherUserPermission="visible"/>
  <rangeList sheetStid="56" master="" otherUserPermission="visible"/>
  <rangeList sheetStid="51" master="" otherUserPermission="visible"/>
  <rangeList sheetStid="49" master="" otherUserPermission="visible"/>
  <rangeList sheetStid="48" master="" otherUserPermission="visible"/>
  <rangeList sheetStid="53" master="" otherUserPermission="visible"/>
  <rangeList sheetStid="59" master="" otherUserPermission="visible"/>
  <rangeList sheetStid="44" master="" otherUserPermission="visible"/>
  <rangeList sheetStid="41" master="" otherUserPermission="visible"/>
  <rangeList sheetStid="47" master="" otherUserPermission="visible"/>
  <rangeList sheetStid="4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查询首页</vt:lpstr>
      <vt:lpstr>渠道目录</vt:lpstr>
      <vt:lpstr>发货须知</vt:lpstr>
      <vt:lpstr>赔偿标准和免赔声明</vt:lpstr>
      <vt:lpstr>易通国内仓服务</vt:lpstr>
      <vt:lpstr>船期表</vt:lpstr>
      <vt:lpstr>美转加海派</vt:lpstr>
      <vt:lpstr>美转加卡派</vt:lpstr>
      <vt:lpstr>加拿大直航海派</vt:lpstr>
      <vt:lpstr>加拿大直航卡派</vt:lpstr>
      <vt:lpstr>加拿大商业地址卡派</vt:lpstr>
      <vt:lpstr>加拿大香港UPS红单</vt:lpstr>
      <vt:lpstr>加拿大DG卡派</vt:lpstr>
      <vt:lpstr>加拿大海外仓增值服务</vt:lpstr>
      <vt:lpstr>澳洲空运含税</vt:lpstr>
      <vt:lpstr>澳洲空运分区表</vt:lpstr>
      <vt:lpstr>澳洲海运含税</vt:lpstr>
      <vt:lpstr>澳洲海运不含税</vt:lpstr>
      <vt:lpstr>澳洲海运超大件卡派分区表</vt:lpstr>
      <vt:lpstr>澳洲空海运超偏远区域表</vt:lpstr>
      <vt:lpstr>澳洲海外仓增值服务</vt:lpstr>
      <vt:lpstr>DG货物包装和文件要求</vt:lpstr>
      <vt:lpstr>加拿大仓库列表</vt:lpstr>
      <vt:lpstr>澳洲仓库列表</vt:lpstr>
      <vt:lpstr>加拿大UPS偏远附加参考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YT</dc:creator>
  <cp:lastModifiedBy>Linda</cp:lastModifiedBy>
  <dcterms:created xsi:type="dcterms:W3CDTF">2025-06-23T03:08:00Z</dcterms:created>
  <cp:lastPrinted>2025-07-07T18:44:00Z</cp:lastPrinted>
  <dcterms:modified xsi:type="dcterms:W3CDTF">2026-06-30T11:53:50Z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18A4DC806BB141E292DA6BAC5D321A95_13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